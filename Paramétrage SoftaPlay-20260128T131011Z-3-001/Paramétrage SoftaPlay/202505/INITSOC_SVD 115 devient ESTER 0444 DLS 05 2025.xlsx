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SVD 115 - DLS - Estuaires St Nazaire ENERG Renouv 04 2025\"/>
    </mc:Choice>
  </mc:AlternateContent>
  <bookViews>
    <workbookView xWindow="-20" yWindow="170" windowWidth="15330" windowHeight="4140" tabRatio="681" firstSheet="1" activeTab="1"/>
  </bookViews>
  <sheets>
    <sheet name="513517 - banque" sheetId="8" r:id="rId1"/>
    <sheet name="INITSOC- Oracle R12" sheetId="1" r:id="rId2"/>
    <sheet name="Attributions Responsabilités" sheetId="7" r:id="rId3"/>
    <sheet name="Nouveau référentiel R12" sheetId="10" r:id="rId4"/>
    <sheet name="ADRESSE TSA" sheetId="11" r:id="rId5"/>
    <sheet name="BD STE ET AUTRES" sheetId="5" r:id="rId6"/>
  </sheets>
  <definedNames>
    <definedName name="_xlnm._FilterDatabase" localSheetId="2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3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4">'ADRESSE TSA'!$A$1:$F$21</definedName>
    <definedName name="_xlnm.Print_Area" localSheetId="2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K3" i="10" l="1"/>
  <c r="E3" i="10"/>
  <c r="H41" i="1" l="1"/>
  <c r="C2" i="11" l="1"/>
  <c r="B2" i="1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<sst xmlns="http://schemas.openxmlformats.org/spreadsheetml/2006/main" count="326" uniqueCount="274">
  <si>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</si>
  <si>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</si>
  <si>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</si>
  <si>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</si>
  <si>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</si>
  <si>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</si>
  <si>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</si>
  <si>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</si>
  <si>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</si>
  <si>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</si>
  <si>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</si>
  <si>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</si>
  <si>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</si>
  <si>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</si>
  <si>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</si>
  <si>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</si>
  <si>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</si>
  <si>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</si>
  <si>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</si>
  <si>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</si>
  <si>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</si>
  <si>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</si>
  <si>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</si>
  <si>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</si>
  <si>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</si>
  <si>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</si>
  <si>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</si>
  <si>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</si>
  <si>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</si>
  <si>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</si>
  <si>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</si>
  <si>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</si>
  <si>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</si>
  <si>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</si>
  <si>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</si>
  <si>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</si>
  <si>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</si>
  <si>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</si>
  <si>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</si>
  <si>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CODE  CONSO VEOLIA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</si>
  <si>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</si>
  <si>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</si>
  <si>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</si>
  <si>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</si>
  <si>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</si>
  <si>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</si>
  <si>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</si>
  <si>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</si>
  <si>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</si>
  <si>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</si>
  <si>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</si>
  <si>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</si>
  <si>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</si>
  <si>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</si>
  <si>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</si>
  <si>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</si>
  <si>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</si>
  <si>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</si>
  <si>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</si>
  <si>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</si>
  <si>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</si>
  <si>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</si>
  <si>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</si>
  <si>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</si>
  <si>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</si>
  <si>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</si>
  <si>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</si>
  <si>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</si>
  <si>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</si>
  <si>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</si>
  <si>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</si>
  <si>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</si>
  <si>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</si>
  <si>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</si>
  <si>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</si>
  <si>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</si>
  <si>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</si>
  <si>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</si>
  <si>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</si>
  <si>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</si>
  <si>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</si>
  <si>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</si>
  <si>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</si>
  <si>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</si>
  <si>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</si>
  <si>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</si>
  <si>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</si>
  <si>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</si>
  <si>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</si>
  <si>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</si>
  <si>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</si>
  <si>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</si>
  <si>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</si>
  <si>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</si>
  <si>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</si>
  <si>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</si>
  <si>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</si>
  <si>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</si>
  <si>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</si>
  <si>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</si>
  <si>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</si>
  <si>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</si>
  <si>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</si>
  <si>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</si>
  <si>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</si>
  <si>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</si>
  <si>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</si>
  <si>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</si>
  <si>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</si>
  <si>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</si>
  <si>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</si>
  <si>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</si>
  <si>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</si>
  <si>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</si>
  <si>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</si>
  <si>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</si>
  <si>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</si>
  <si>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</si>
  <si>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</si>
  <si>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</si>
  <si>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</si>
  <si>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</si>
  <si>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</si>
  <si>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</si>
  <si>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</si>
  <si>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</si>
  <si>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</si>
  <si>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</si>
  <si>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</si>
  <si>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</si>
  <si>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</si>
  <si>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</si>
  <si>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</si>
  <si>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</si>
  <si>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</si>
  <si>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</si>
  <si>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</si>
  <si>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</si>
  <si>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</si>
  <si>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</si>
  <si>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</si>
  <si>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</si>
  <si>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</si>
  <si>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</si>
  <si>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</si>
  <si>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</si>
  <si>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</si>
  <si>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</si>
  <si>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</si>
  <si>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</si>
  <si>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Tache finance de rattachement de la tache finance frais de société</t>
  </si>
  <si>
    <t>Demande faite à Kador</t>
  </si>
  <si>
    <t>DK code partenaire</t>
  </si>
  <si>
    <t>Kador :</t>
  </si>
  <si>
    <t>SOCIETE</t>
  </si>
  <si>
    <t>Code Lieu</t>
  </si>
  <si>
    <t>Adresse ligne 1</t>
  </si>
  <si>
    <t>Adresse ligne 2</t>
  </si>
  <si>
    <t>CUF Région</t>
  </si>
  <si>
    <t>59784 LILLE CEDEX 9</t>
  </si>
  <si>
    <t>France</t>
  </si>
  <si>
    <t>Société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</si>
  <si>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</si>
  <si>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</si>
  <si>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</si>
  <si>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</si>
  <si>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</si>
  <si>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</si>
  <si>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</si>
  <si>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BANQUE</t>
  </si>
  <si>
    <t>AGENCE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</si>
  <si>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</si>
  <si>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</si>
  <si>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</si>
  <si>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</si>
  <si>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</si>
  <si>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</si>
  <si>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</si>
  <si>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</si>
  <si>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</si>
  <si>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</si>
  <si>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</si>
  <si>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</si>
  <si>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(à cocher)</t>
  </si>
  <si>
    <t>TYPE DE RAPPROCHEMENT pour RB</t>
  </si>
  <si>
    <t>O</t>
  </si>
  <si>
    <t>Emmanuel COMPAIN</t>
  </si>
  <si>
    <t xml:space="preserve">Rachid MELLAS, Arnaud  MALEZIEUX,  </t>
  </si>
  <si>
    <t>Adresse siège :</t>
  </si>
  <si>
    <t>ETABLISSEMENT :DOS</t>
  </si>
  <si>
    <t>BNP PARIBAS</t>
  </si>
  <si>
    <t>BIC:</t>
  </si>
  <si>
    <t>BNPAFRPPXXX</t>
  </si>
  <si>
    <t>virements express</t>
  </si>
  <si>
    <t>virement tiers echeancier</t>
  </si>
  <si>
    <t>virement groupe echéancier</t>
  </si>
  <si>
    <t>virement NDF</t>
  </si>
  <si>
    <t>compte bancaire  sera suivi et intégtré dans RB</t>
  </si>
  <si>
    <t>SIREN/SIRET</t>
  </si>
  <si>
    <t>N° TVA intracommunautaire</t>
  </si>
  <si>
    <t>SAS</t>
  </si>
  <si>
    <t>00828</t>
  </si>
  <si>
    <t>Trésorerie gérée par Siège:  OUI    NON</t>
  </si>
  <si>
    <t>CREATION DE COMPTE BANCAIRE et Parametrage Oracle  complet  ( RB + GL)</t>
  </si>
  <si>
    <t xml:space="preserve">DSIN,MOA finance, Aissata  DIAO, Agnes KURI, Olivier DESHAYES, </t>
  </si>
  <si>
    <t>TOUR Europe 33, place des corolles TSA 12345</t>
  </si>
  <si>
    <t>92099 PARIS LA DEFENSE</t>
  </si>
  <si>
    <t>BNP PARIBAS PARIS A CENTRALE (00828)</t>
  </si>
  <si>
    <t>Virement manuel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</si>
  <si>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</si>
  <si>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</si>
  <si>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</si>
  <si>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</si>
  <si>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</si>
  <si>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</si>
  <si>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Partenaire</t>
  </si>
  <si>
    <t>Code Société Oracle</t>
  </si>
  <si>
    <t>Code consolidation</t>
  </si>
  <si>
    <t>X</t>
  </si>
  <si>
    <t>OK LOGO</t>
  </si>
  <si>
    <t>0444 SVD 115</t>
  </si>
  <si>
    <t>30004 00828 0013171589 76</t>
  </si>
  <si>
    <t>FR 76 3000 4008 2800 0131 7158 976</t>
  </si>
  <si>
    <t>Compte local 513517</t>
  </si>
  <si>
    <t>00013171589</t>
  </si>
  <si>
    <t>0444</t>
  </si>
  <si>
    <t>FR38904677234</t>
  </si>
  <si>
    <t>D00264210M</t>
  </si>
  <si>
    <t>Libellé de l adresse</t>
  </si>
  <si>
    <t>AF : Adresse 1</t>
  </si>
  <si>
    <t>AF : Adresse 2</t>
  </si>
  <si>
    <t>Code postal</t>
  </si>
  <si>
    <t>Code pays</t>
  </si>
  <si>
    <t>DLS0444</t>
  </si>
  <si>
    <t>LILLE CEDEX 9</t>
  </si>
  <si>
    <t>DLS</t>
  </si>
  <si>
    <t>ESTER (46444)</t>
  </si>
  <si>
    <t>TSA 45506</t>
  </si>
  <si>
    <t>90467723400026</t>
  </si>
  <si>
    <t>Adresse envoi factures</t>
  </si>
  <si>
    <t>facturepdf.dalkia@csp.dalkia.fr</t>
  </si>
  <si>
    <t>Adresse contact factures</t>
  </si>
  <si>
    <t>contactfournisseur@csp.dalkia.fr</t>
  </si>
  <si>
    <t>Autre Nom autorisé</t>
  </si>
  <si>
    <t>Estuaire Saint-Nazaire Energies Renouvelables</t>
  </si>
  <si>
    <t>ESTER</t>
  </si>
  <si>
    <t>S2015</t>
  </si>
  <si>
    <t>TOURS</t>
  </si>
  <si>
    <t>LIVRE COMPTABLE</t>
  </si>
  <si>
    <t>40, RUE JAMES WATT - ACTICAMPUS</t>
  </si>
  <si>
    <t>Bascule de DOS en DLS</t>
  </si>
  <si>
    <t>3530Z</t>
  </si>
  <si>
    <t>Production et distribution de vapeur et d'air conditionné</t>
  </si>
  <si>
    <t>37261</t>
  </si>
  <si>
    <t>PF FPS 0444 ESTER</t>
  </si>
  <si>
    <t>TF FPS 0444 ESTER</t>
  </si>
  <si>
    <t>PROJET FINANCE ESTER UO DLS0444</t>
  </si>
  <si>
    <t>Région DLS - Centre-Ouest :</t>
  </si>
  <si>
    <t>DK Code</t>
  </si>
  <si>
    <t>Statut</t>
  </si>
  <si>
    <t>Libellé</t>
  </si>
  <si>
    <t>CF</t>
  </si>
  <si>
    <t>PF</t>
  </si>
  <si>
    <t>Matricule Société PF</t>
  </si>
  <si>
    <t>Début</t>
  </si>
  <si>
    <t>Fin</t>
  </si>
  <si>
    <t>Mode de gestion</t>
  </si>
  <si>
    <t>OUV</t>
  </si>
  <si>
    <t>N/A</t>
  </si>
  <si>
    <t>GK1530819S</t>
  </si>
  <si>
    <t>CO</t>
  </si>
  <si>
    <t>B00001732T</t>
  </si>
  <si>
    <t>FB0089908T</t>
  </si>
  <si>
    <t>2025-04-24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</si>
</sst>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40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0"/>
      <color rgb="FFFF0000"/>
      <name val="MS Sans Serif"/>
      <family val="2"/>
    </font>
    <font>
      <b/>
      <sz val="10"/>
      <color theme="1"/>
      <name val="MS Sans Serif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b/>
      <sz val="10"/>
      <name val="MS Sans Serif"/>
    </font>
    <font>
      <b/>
      <sz val="10"/>
      <color indexed="10"/>
      <name val="MS Sans Serif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Microsoft Sans Serif"/>
      <family val="2"/>
    </font>
    <font>
      <b/>
      <sz val="10"/>
      <color rgb="FF000000"/>
      <name val="Microsoft Sans Serif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11"/>
      <color rgb="FFFFFFFF"/>
      <name val="Calibri"/>
      <charset val="1"/>
    </font>
    <font>
      <sz val="9"/>
      <color rgb="FF000000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0CEC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5BBB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35" fillId="0" borderId="0" applyNumberForma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9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0" fontId="16" fillId="5" borderId="5" xfId="0" applyFont="1" applyFill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quotePrefix="1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14" fontId="0" fillId="0" borderId="0" xfId="0" applyNumberForma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20" fillId="0" borderId="12" xfId="0" applyFont="1" applyBorder="1"/>
    <xf numFmtId="0" fontId="0" fillId="0" borderId="15" xfId="0" applyBorder="1"/>
    <xf numFmtId="0" fontId="17" fillId="0" borderId="10" xfId="0" applyFont="1" applyBorder="1"/>
    <xf numFmtId="0" fontId="0" fillId="0" borderId="6" xfId="0" applyBorder="1"/>
    <xf numFmtId="0" fontId="0" fillId="0" borderId="7" xfId="0" applyBorder="1"/>
    <xf numFmtId="0" fontId="17" fillId="7" borderId="5" xfId="0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17" fillId="7" borderId="17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3" fontId="17" fillId="0" borderId="15" xfId="0" applyNumberFormat="1" applyFont="1" applyFill="1" applyBorder="1"/>
    <xf numFmtId="0" fontId="17" fillId="0" borderId="0" xfId="0" applyFont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5" xfId="0" applyBorder="1"/>
    <xf numFmtId="0" fontId="17" fillId="0" borderId="10" xfId="0" applyFont="1" applyBorder="1" applyAlignment="1">
      <alignment horizontal="left"/>
    </xf>
    <xf numFmtId="14" fontId="20" fillId="0" borderId="5" xfId="0" applyNumberFormat="1" applyFont="1" applyBorder="1" applyAlignment="1">
      <alignment horizontal="center"/>
    </xf>
    <xf numFmtId="0" fontId="0" fillId="8" borderId="9" xfId="0" applyFill="1" applyBorder="1"/>
    <xf numFmtId="0" fontId="20" fillId="8" borderId="12" xfId="0" applyFont="1" applyFill="1" applyBorder="1"/>
    <xf numFmtId="0" fontId="20" fillId="8" borderId="14" xfId="0" applyFont="1" applyFill="1" applyBorder="1"/>
    <xf numFmtId="0" fontId="0" fillId="8" borderId="15" xfId="0" applyFill="1" applyBorder="1"/>
    <xf numFmtId="0" fontId="17" fillId="8" borderId="15" xfId="0" applyFont="1" applyFill="1" applyBorder="1"/>
    <xf numFmtId="0" fontId="0" fillId="8" borderId="16" xfId="0" applyFill="1" applyBorder="1"/>
    <xf numFmtId="49" fontId="17" fillId="9" borderId="4" xfId="0" applyNumberFormat="1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20" fillId="2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21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21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6" fillId="0" borderId="5" xfId="0" applyFont="1" applyBorder="1"/>
    <xf numFmtId="0" fontId="1" fillId="0" borderId="2" xfId="0" quotePrefix="1" applyFont="1" applyBorder="1" applyAlignment="1">
      <alignment horizontal="center"/>
    </xf>
    <xf numFmtId="3" fontId="22" fillId="0" borderId="1" xfId="0" quotePrefix="1" applyNumberFormat="1" applyFont="1" applyFill="1" applyBorder="1" applyAlignment="1">
      <alignment horizontal="center"/>
    </xf>
    <xf numFmtId="165" fontId="1" fillId="0" borderId="1" xfId="0" quotePrefix="1" applyNumberFormat="1" applyFont="1" applyFill="1" applyBorder="1" applyAlignment="1">
      <alignment horizontal="center"/>
    </xf>
    <xf numFmtId="0" fontId="0" fillId="0" borderId="5" xfId="0" applyFill="1" applyBorder="1"/>
    <xf numFmtId="0" fontId="0" fillId="0" borderId="5" xfId="0" applyFont="1" applyBorder="1"/>
    <xf numFmtId="0" fontId="0" fillId="0" borderId="5" xfId="0" quotePrefix="1" applyFont="1" applyBorder="1"/>
    <xf numFmtId="0" fontId="13" fillId="10" borderId="5" xfId="1" applyFont="1" applyFill="1" applyBorder="1" applyAlignment="1">
      <alignment horizontal="center"/>
    </xf>
    <xf numFmtId="0" fontId="5" fillId="10" borderId="5" xfId="1" applyFill="1" applyBorder="1"/>
    <xf numFmtId="0" fontId="25" fillId="0" borderId="5" xfId="0" applyNumberFormat="1" applyFont="1" applyFill="1" applyBorder="1" applyAlignment="1" applyProtection="1"/>
    <xf numFmtId="0" fontId="26" fillId="0" borderId="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5" xfId="0" applyFont="1" applyBorder="1" applyAlignment="1">
      <alignment wrapText="1"/>
    </xf>
    <xf numFmtId="0" fontId="28" fillId="11" borderId="5" xfId="0" applyFont="1" applyFill="1" applyBorder="1" applyAlignment="1">
      <alignment horizontal="center" wrapText="1"/>
    </xf>
    <xf numFmtId="0" fontId="28" fillId="11" borderId="8" xfId="0" applyFont="1" applyFill="1" applyBorder="1" applyAlignment="1">
      <alignment horizontal="center" wrapText="1"/>
    </xf>
    <xf numFmtId="0" fontId="29" fillId="12" borderId="5" xfId="0" applyFont="1" applyFill="1" applyBorder="1" applyAlignment="1">
      <alignment horizontal="center" wrapText="1"/>
    </xf>
    <xf numFmtId="0" fontId="30" fillId="13" borderId="17" xfId="0" applyFont="1" applyFill="1" applyBorder="1" applyAlignment="1">
      <alignment horizontal="center" wrapText="1"/>
    </xf>
    <xf numFmtId="0" fontId="30" fillId="13" borderId="16" xfId="0" applyFont="1" applyFill="1" applyBorder="1" applyAlignment="1">
      <alignment horizontal="center" wrapText="1"/>
    </xf>
    <xf numFmtId="0" fontId="31" fillId="14" borderId="5" xfId="0" applyFont="1" applyFill="1" applyBorder="1" applyAlignment="1">
      <alignment horizontal="center"/>
    </xf>
    <xf numFmtId="0" fontId="32" fillId="0" borderId="0" xfId="0" applyFont="1" applyAlignment="1">
      <alignment wrapText="1"/>
    </xf>
    <xf numFmtId="0" fontId="17" fillId="0" borderId="5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33" fillId="0" borderId="17" xfId="0" applyFont="1" applyBorder="1" applyAlignment="1">
      <alignment horizontal="center" wrapText="1"/>
    </xf>
    <xf numFmtId="0" fontId="5" fillId="0" borderId="16" xfId="0" quotePrefix="1" applyFont="1" applyBorder="1" applyAlignment="1">
      <alignment horizontal="center" wrapText="1"/>
    </xf>
    <xf numFmtId="0" fontId="34" fillId="15" borderId="5" xfId="0" applyFont="1" applyFill="1" applyBorder="1" applyAlignment="1">
      <alignment wrapText="1"/>
    </xf>
    <xf numFmtId="0" fontId="34" fillId="15" borderId="8" xfId="0" applyFont="1" applyFill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33" fillId="0" borderId="16" xfId="0" applyFont="1" applyBorder="1" applyAlignment="1">
      <alignment horizontal="center" wrapText="1"/>
    </xf>
    <xf numFmtId="0" fontId="6" fillId="0" borderId="1" xfId="0" quotePrefix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16" borderId="5" xfId="0" applyFont="1" applyFill="1" applyBorder="1" applyAlignment="1">
      <alignment wrapText="1"/>
    </xf>
    <xf numFmtId="0" fontId="35" fillId="16" borderId="8" xfId="3" applyFill="1" applyBorder="1" applyAlignment="1">
      <alignment horizontal="center" wrapText="1"/>
    </xf>
    <xf numFmtId="0" fontId="5" fillId="17" borderId="5" xfId="0" applyFont="1" applyFill="1" applyBorder="1" applyAlignment="1">
      <alignment wrapText="1"/>
    </xf>
    <xf numFmtId="0" fontId="35" fillId="17" borderId="8" xfId="3" applyFill="1" applyBorder="1" applyAlignment="1">
      <alignment horizontal="center" wrapText="1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7" fillId="8" borderId="0" xfId="0" applyFont="1" applyFill="1" applyBorder="1" applyAlignment="1">
      <alignment horizontal="left"/>
    </xf>
    <xf numFmtId="0" fontId="17" fillId="8" borderId="13" xfId="0" applyFont="1" applyFill="1" applyBorder="1" applyAlignment="1">
      <alignment horizontal="left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0" borderId="0" xfId="0" applyFont="1" applyAlignment="1">
      <alignment horizontal="center"/>
    </xf>
    <xf numFmtId="0" fontId="17" fillId="6" borderId="0" xfId="0" applyFont="1" applyFill="1" applyBorder="1" applyAlignment="1">
      <alignment horizontal="left" vertical="top"/>
    </xf>
    <xf numFmtId="0" fontId="17" fillId="6" borderId="13" xfId="0" applyFont="1" applyFill="1" applyBorder="1" applyAlignment="1">
      <alignment horizontal="left" vertical="top"/>
    </xf>
    <xf numFmtId="0" fontId="17" fillId="7" borderId="15" xfId="0" applyFont="1" applyFill="1" applyBorder="1" applyAlignment="1">
      <alignment horizontal="left" wrapText="1"/>
    </xf>
    <xf numFmtId="0" fontId="17" fillId="7" borderId="16" xfId="0" applyFont="1" applyFill="1" applyBorder="1" applyAlignment="1">
      <alignment horizontal="left" wrapText="1"/>
    </xf>
    <xf numFmtId="0" fontId="17" fillId="8" borderId="10" xfId="0" applyFont="1" applyFill="1" applyBorder="1" applyAlignment="1">
      <alignment horizontal="left"/>
    </xf>
    <xf numFmtId="0" fontId="17" fillId="8" borderId="1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38" fillId="18" borderId="19" xfId="0" applyFont="1" applyFill="1" applyBorder="1"/>
    <xf numFmtId="0" fontId="0" fillId="0" borderId="0" xfId="0" applyFont="1"/>
    <xf numFmtId="0" fontId="39" fillId="0" borderId="0" xfId="0" applyFont="1"/>
    <xf numFmtId="0" fontId="38" fillId="18" borderId="5" xfId="0" applyFont="1" applyFill="1" applyBorder="1"/>
    <xf numFmtId="0" fontId="39" fillId="2" borderId="5" xfId="0" applyFont="1" applyFill="1" applyBorder="1"/>
    <xf numFmtId="2" fontId="23" fillId="2" borderId="5" xfId="0" applyNumberFormat="1" applyFont="1" applyFill="1" applyBorder="1" applyAlignment="1">
      <alignment horizontal="center"/>
    </xf>
    <xf numFmtId="2" fontId="24" fillId="2" borderId="5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</cellXfs>
  <cellStyles count="4">
    <cellStyle name="Lien hypertexte" xfId="3" builtinId="8"/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1</xdr:col>
      <xdr:colOff>647700</xdr:colOff>
      <xdr:row>3</xdr:row>
      <xdr:rowOff>0</xdr:rowOff>
    </xdr:to>
    <xdr:pic>
      <xdr:nvPicPr>
        <xdr:cNvPr id="7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13335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facturepdf.dalkia@csp.dalkia.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49"/>
  <sheetViews>
    <sheetView topLeftCell="A10" workbookViewId="0">
      <selection activeCell="E24" sqref="E24:E25"/>
    </sheetView>
  </sheetViews>
  <sheetFormatPr baseColWidth="10" defaultRowHeight="13" x14ac:dyDescent="0.3"/>
  <cols>
    <col min="4" max="4" width="20.81640625" customWidth="1"/>
    <col min="5" max="5" width="37.1796875" bestFit="1" customWidth="1"/>
  </cols>
  <sheetData>
    <row r="1" spans="1:7" ht="14" x14ac:dyDescent="0.3">
      <c r="D1" s="106"/>
      <c r="E1" s="107" t="s">
        <v>203</v>
      </c>
      <c r="F1" s="108"/>
      <c r="G1" s="109"/>
    </row>
    <row r="2" spans="1:7" ht="15" customHeight="1" x14ac:dyDescent="0.3">
      <c r="D2" s="106"/>
      <c r="E2" s="110"/>
      <c r="F2" s="110"/>
      <c r="G2" s="110"/>
    </row>
    <row r="3" spans="1:7" ht="14" x14ac:dyDescent="0.3">
      <c r="D3" s="106"/>
      <c r="E3" s="110"/>
      <c r="F3" s="110"/>
      <c r="G3" s="110"/>
    </row>
    <row r="4" spans="1:7" ht="14" x14ac:dyDescent="0.3">
      <c r="A4" s="64" t="s">
        <v>162</v>
      </c>
      <c r="E4" s="168"/>
      <c r="F4" s="168"/>
      <c r="G4" s="168"/>
    </row>
    <row r="8" spans="1:7" ht="14.5" x14ac:dyDescent="0.35">
      <c r="A8" s="65" t="s">
        <v>163</v>
      </c>
      <c r="C8" s="89">
        <v>44518</v>
      </c>
    </row>
    <row r="9" spans="1:7" x14ac:dyDescent="0.3">
      <c r="C9" s="66"/>
    </row>
    <row r="10" spans="1:7" ht="14" x14ac:dyDescent="0.3">
      <c r="D10" s="67" t="s">
        <v>164</v>
      </c>
      <c r="E10" s="88" t="s">
        <v>165</v>
      </c>
      <c r="F10" s="68"/>
      <c r="G10" s="69"/>
    </row>
    <row r="11" spans="1:7" ht="14" x14ac:dyDescent="0.3">
      <c r="D11" s="70" t="s">
        <v>166</v>
      </c>
      <c r="E11" s="71" t="s">
        <v>186</v>
      </c>
      <c r="F11" s="10"/>
      <c r="G11" s="72"/>
    </row>
    <row r="12" spans="1:7" ht="14" x14ac:dyDescent="0.3">
      <c r="D12" s="70" t="s">
        <v>167</v>
      </c>
      <c r="E12" s="169" t="s">
        <v>204</v>
      </c>
      <c r="F12" s="169"/>
      <c r="G12" s="170"/>
    </row>
    <row r="13" spans="1:7" ht="15" customHeight="1" x14ac:dyDescent="0.3">
      <c r="D13" s="73"/>
      <c r="E13" s="171" t="s">
        <v>187</v>
      </c>
      <c r="F13" s="171"/>
      <c r="G13" s="172"/>
    </row>
    <row r="14" spans="1:7" x14ac:dyDescent="0.3">
      <c r="D14" s="10"/>
      <c r="E14" s="10"/>
      <c r="F14" s="10"/>
      <c r="G14" s="10"/>
    </row>
    <row r="16" spans="1:7" ht="15" customHeight="1" x14ac:dyDescent="0.3">
      <c r="A16" s="64" t="s">
        <v>11</v>
      </c>
      <c r="D16" s="90" t="s">
        <v>168</v>
      </c>
      <c r="E16" s="173" t="s">
        <v>220</v>
      </c>
      <c r="F16" s="173"/>
      <c r="G16" s="174"/>
    </row>
    <row r="17" spans="1:7" ht="14" x14ac:dyDescent="0.3">
      <c r="A17" s="64"/>
      <c r="D17" s="91" t="s">
        <v>188</v>
      </c>
      <c r="E17" s="164" t="s">
        <v>205</v>
      </c>
      <c r="F17" s="164"/>
      <c r="G17" s="165"/>
    </row>
    <row r="18" spans="1:7" ht="14" x14ac:dyDescent="0.3">
      <c r="A18" s="64"/>
      <c r="D18" s="91"/>
      <c r="E18" s="164" t="s">
        <v>206</v>
      </c>
      <c r="F18" s="164"/>
      <c r="G18" s="165"/>
    </row>
    <row r="19" spans="1:7" ht="14" x14ac:dyDescent="0.3">
      <c r="D19" s="92" t="s">
        <v>189</v>
      </c>
      <c r="E19" s="93"/>
      <c r="F19" s="94"/>
      <c r="G19" s="95"/>
    </row>
    <row r="21" spans="1:7" ht="14" x14ac:dyDescent="0.3">
      <c r="D21" s="67" t="s">
        <v>169</v>
      </c>
      <c r="E21" s="76" t="s">
        <v>190</v>
      </c>
      <c r="F21" s="68"/>
      <c r="G21" s="69"/>
    </row>
    <row r="22" spans="1:7" ht="15" customHeight="1" x14ac:dyDescent="0.3">
      <c r="D22" s="70" t="s">
        <v>170</v>
      </c>
      <c r="E22" s="166" t="s">
        <v>207</v>
      </c>
      <c r="F22" s="166"/>
      <c r="G22" s="167"/>
    </row>
    <row r="23" spans="1:7" ht="14" x14ac:dyDescent="0.3">
      <c r="D23" s="74" t="s">
        <v>191</v>
      </c>
      <c r="E23" s="166" t="s">
        <v>192</v>
      </c>
      <c r="F23" s="166"/>
      <c r="G23" s="167"/>
    </row>
    <row r="24" spans="1:7" ht="15" customHeight="1" x14ac:dyDescent="0.3">
      <c r="D24" s="70" t="s">
        <v>171</v>
      </c>
      <c r="E24" s="71" t="s">
        <v>221</v>
      </c>
      <c r="F24" s="10"/>
      <c r="G24" s="72"/>
    </row>
    <row r="25" spans="1:7" ht="15" customHeight="1" x14ac:dyDescent="0.3">
      <c r="D25" s="70" t="s">
        <v>172</v>
      </c>
      <c r="E25" s="71" t="s">
        <v>222</v>
      </c>
      <c r="F25" s="10"/>
      <c r="G25" s="72"/>
    </row>
    <row r="26" spans="1:7" ht="14" x14ac:dyDescent="0.3">
      <c r="D26" s="77" t="s">
        <v>173</v>
      </c>
      <c r="E26" s="78"/>
      <c r="F26" s="78"/>
      <c r="G26" s="79" t="s">
        <v>112</v>
      </c>
    </row>
    <row r="28" spans="1:7" ht="14" x14ac:dyDescent="0.3">
      <c r="D28" s="77" t="s">
        <v>174</v>
      </c>
      <c r="E28" s="78"/>
      <c r="F28" s="78"/>
      <c r="G28" s="79" t="s">
        <v>83</v>
      </c>
    </row>
    <row r="30" spans="1:7" ht="14" x14ac:dyDescent="0.3">
      <c r="D30" s="67" t="s">
        <v>175</v>
      </c>
      <c r="E30" s="68"/>
      <c r="F30" s="82"/>
      <c r="G30" s="80">
        <v>513517</v>
      </c>
    </row>
    <row r="31" spans="1:7" ht="14" x14ac:dyDescent="0.3">
      <c r="D31" s="73" t="s">
        <v>176</v>
      </c>
      <c r="E31" s="75"/>
      <c r="F31" s="75"/>
      <c r="G31" s="81" t="s">
        <v>112</v>
      </c>
    </row>
    <row r="32" spans="1:7" x14ac:dyDescent="0.3">
      <c r="D32" s="10"/>
      <c r="E32" s="10"/>
      <c r="F32" s="10"/>
    </row>
    <row r="33" spans="1:8" ht="14.5" x14ac:dyDescent="0.35">
      <c r="A33" s="65"/>
      <c r="B33" s="10"/>
      <c r="D33" s="39"/>
    </row>
    <row r="34" spans="1:8" ht="14" x14ac:dyDescent="0.3">
      <c r="A34" s="64" t="s">
        <v>177</v>
      </c>
      <c r="D34" s="67" t="s">
        <v>178</v>
      </c>
      <c r="E34" s="68"/>
      <c r="F34" s="68"/>
      <c r="G34" s="79" t="s">
        <v>83</v>
      </c>
    </row>
    <row r="35" spans="1:8" ht="14" x14ac:dyDescent="0.3">
      <c r="A35" s="64"/>
      <c r="D35" s="73" t="s">
        <v>179</v>
      </c>
      <c r="E35" s="75"/>
      <c r="F35" s="75"/>
      <c r="G35" s="96"/>
    </row>
    <row r="36" spans="1:8" ht="14" x14ac:dyDescent="0.3">
      <c r="D36" s="73" t="s">
        <v>180</v>
      </c>
      <c r="E36" s="75"/>
      <c r="F36" s="83"/>
      <c r="G36" s="97"/>
    </row>
    <row r="39" spans="1:8" ht="14" x14ac:dyDescent="0.3">
      <c r="A39" s="84" t="s">
        <v>181</v>
      </c>
      <c r="B39" s="98"/>
      <c r="C39" s="98"/>
      <c r="D39" s="98"/>
      <c r="E39" s="99" t="s">
        <v>182</v>
      </c>
      <c r="F39" s="100"/>
      <c r="G39" s="101"/>
      <c r="H39" s="98"/>
    </row>
    <row r="40" spans="1:8" ht="14" x14ac:dyDescent="0.3">
      <c r="A40" s="84"/>
      <c r="B40" s="98"/>
      <c r="C40" s="98"/>
      <c r="D40" s="98"/>
      <c r="E40" s="99" t="s">
        <v>208</v>
      </c>
      <c r="F40" s="100"/>
      <c r="G40" s="101"/>
      <c r="H40" s="98"/>
    </row>
    <row r="41" spans="1:8" ht="14.5" x14ac:dyDescent="0.35">
      <c r="A41" s="65" t="s">
        <v>183</v>
      </c>
      <c r="B41" s="10"/>
      <c r="D41" s="39"/>
      <c r="E41" s="99" t="s">
        <v>193</v>
      </c>
      <c r="F41" s="102"/>
      <c r="G41" s="103"/>
    </row>
    <row r="42" spans="1:8" ht="14" x14ac:dyDescent="0.3">
      <c r="D42" s="39"/>
      <c r="E42" s="99" t="s">
        <v>194</v>
      </c>
      <c r="F42" s="102"/>
      <c r="G42" s="103"/>
    </row>
    <row r="43" spans="1:8" ht="14" x14ac:dyDescent="0.3">
      <c r="D43" s="39"/>
      <c r="E43" s="99" t="s">
        <v>195</v>
      </c>
      <c r="F43" s="102"/>
      <c r="G43" s="103"/>
    </row>
    <row r="44" spans="1:8" ht="14" x14ac:dyDescent="0.3">
      <c r="D44" s="39"/>
      <c r="E44" s="99" t="s">
        <v>196</v>
      </c>
      <c r="F44" s="102"/>
      <c r="G44" s="103"/>
    </row>
    <row r="46" spans="1:8" ht="14" x14ac:dyDescent="0.3">
      <c r="E46" s="85"/>
      <c r="F46" s="85"/>
      <c r="G46" s="85"/>
    </row>
    <row r="47" spans="1:8" x14ac:dyDescent="0.3">
      <c r="F47" s="86"/>
    </row>
    <row r="48" spans="1:8" ht="14" x14ac:dyDescent="0.3">
      <c r="A48" s="64" t="s">
        <v>184</v>
      </c>
    </row>
    <row r="49" spans="1:7" ht="14.5" x14ac:dyDescent="0.35">
      <c r="A49" s="65" t="s">
        <v>183</v>
      </c>
      <c r="E49" s="104" t="s">
        <v>185</v>
      </c>
      <c r="F49" s="102" t="s">
        <v>197</v>
      </c>
      <c r="G49" s="103"/>
    </row>
  </sheetData>
  <mergeCells count="8">
    <mergeCell ref="E18:G18"/>
    <mergeCell ref="E22:G22"/>
    <mergeCell ref="E23:G23"/>
    <mergeCell ref="E4:G4"/>
    <mergeCell ref="E12:G12"/>
    <mergeCell ref="E13:G13"/>
    <mergeCell ref="E16:G16"/>
    <mergeCell ref="E17:G17"/>
  </mergeCells>
  <pageMargins left="0.11811023622047245" right="0.11811023622047245" top="0.15748031496062992" bottom="0.35433070866141736" header="0.31496062992125984" footer="0.11811023622047245"/>
  <pageSetup paperSize="9"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K78"/>
  <sheetViews>
    <sheetView tabSelected="1" topLeftCell="B4" workbookViewId="0">
      <selection activeCell="H46" sqref="H46"/>
    </sheetView>
  </sheetViews>
  <sheetFormatPr baseColWidth="10" defaultRowHeight="15" customHeight="1" x14ac:dyDescent="0.3"/>
  <cols>
    <col min="1" max="1" width="6.1796875" customWidth="1"/>
    <col min="8" max="8" width="57.81640625" style="6" bestFit="1" customWidth="1"/>
    <col min="9" max="9" width="34.54296875" style="21" bestFit="1" customWidth="1"/>
    <col min="11" max="11" width="43" bestFit="1" customWidth="1"/>
  </cols>
  <sheetData>
    <row r="1" spans="1:11" ht="15" customHeight="1" x14ac:dyDescent="0.35">
      <c r="A1" s="175" t="s">
        <v>0</v>
      </c>
      <c r="B1" s="175"/>
      <c r="C1" s="175"/>
      <c r="D1" s="175"/>
      <c r="E1" s="175"/>
      <c r="F1" s="175"/>
      <c r="G1" s="175"/>
      <c r="H1" s="175"/>
      <c r="I1" s="19"/>
    </row>
    <row r="2" spans="1:11" s="3" customFormat="1" ht="27.75" customHeight="1" x14ac:dyDescent="0.3">
      <c r="B2" s="3" t="s">
        <v>73</v>
      </c>
      <c r="H2" s="111"/>
      <c r="I2" s="18"/>
    </row>
    <row r="3" spans="1:11" s="3" customFormat="1" ht="27.75" customHeight="1" x14ac:dyDescent="0.3">
      <c r="B3" s="177" t="s">
        <v>74</v>
      </c>
      <c r="C3" s="177"/>
      <c r="D3" s="177"/>
      <c r="E3" s="177"/>
      <c r="F3" s="177"/>
      <c r="G3" s="177"/>
      <c r="H3" s="111"/>
      <c r="I3" s="18"/>
    </row>
    <row r="4" spans="1:11" s="29" customFormat="1" ht="15" customHeight="1" x14ac:dyDescent="0.35">
      <c r="A4" s="27"/>
      <c r="B4" s="176" t="s">
        <v>68</v>
      </c>
      <c r="C4" s="176"/>
      <c r="D4" s="176"/>
      <c r="E4" s="176"/>
      <c r="F4" s="176"/>
      <c r="G4" s="176"/>
      <c r="H4" s="176"/>
      <c r="I4" s="28"/>
      <c r="K4" s="3"/>
    </row>
    <row r="5" spans="1:11" s="3" customFormat="1" ht="15" customHeight="1" thickBot="1" x14ac:dyDescent="0.35">
      <c r="A5" s="2" t="s">
        <v>72</v>
      </c>
      <c r="H5" s="111"/>
      <c r="I5" s="20"/>
    </row>
    <row r="6" spans="1:11" ht="15" customHeight="1" thickBot="1" x14ac:dyDescent="0.35">
      <c r="B6" t="s">
        <v>1</v>
      </c>
      <c r="F6" s="55"/>
      <c r="G6" s="55"/>
      <c r="H6" s="162" t="s">
        <v>244</v>
      </c>
      <c r="I6" s="163" t="s">
        <v>248</v>
      </c>
      <c r="K6" s="3"/>
    </row>
    <row r="7" spans="1:11" ht="15" customHeight="1" thickBot="1" x14ac:dyDescent="0.35">
      <c r="B7" t="s">
        <v>98</v>
      </c>
      <c r="D7" s="1"/>
      <c r="E7" s="1"/>
      <c r="G7" s="1"/>
      <c r="H7" s="162" t="s">
        <v>245</v>
      </c>
      <c r="I7" s="163" t="s">
        <v>245</v>
      </c>
      <c r="K7" s="3"/>
    </row>
    <row r="8" spans="1:11" ht="15" customHeight="1" thickBot="1" x14ac:dyDescent="0.35">
      <c r="B8" t="s">
        <v>2</v>
      </c>
      <c r="D8" s="1"/>
      <c r="E8" s="1"/>
      <c r="F8" s="55"/>
      <c r="G8" s="55"/>
      <c r="H8" s="40" t="s">
        <v>249</v>
      </c>
      <c r="K8" s="3"/>
    </row>
    <row r="9" spans="1:11" ht="15" customHeight="1" thickBot="1" x14ac:dyDescent="0.35">
      <c r="B9" t="s">
        <v>29</v>
      </c>
      <c r="D9" s="1"/>
      <c r="E9" s="1"/>
      <c r="G9" s="1"/>
      <c r="H9" s="127">
        <v>37200</v>
      </c>
      <c r="K9" s="3"/>
    </row>
    <row r="10" spans="1:11" ht="15" customHeight="1" thickBot="1" x14ac:dyDescent="0.35">
      <c r="B10" t="s">
        <v>24</v>
      </c>
      <c r="D10" s="1"/>
      <c r="E10" s="1"/>
      <c r="G10" s="1"/>
      <c r="H10" s="40" t="s">
        <v>247</v>
      </c>
      <c r="K10" s="3"/>
    </row>
    <row r="11" spans="1:11" ht="15" customHeight="1" thickBot="1" x14ac:dyDescent="0.35">
      <c r="B11" t="s">
        <v>8</v>
      </c>
      <c r="D11" s="1"/>
      <c r="E11" s="1"/>
      <c r="F11" s="1"/>
      <c r="G11" s="1"/>
      <c r="H11" s="49" t="s">
        <v>200</v>
      </c>
      <c r="K11" s="3"/>
    </row>
    <row r="12" spans="1:11" ht="15" customHeight="1" thickBot="1" x14ac:dyDescent="0.35">
      <c r="B12" t="s">
        <v>28</v>
      </c>
      <c r="D12" s="1"/>
      <c r="E12" s="1"/>
      <c r="F12" s="1"/>
      <c r="G12" s="1"/>
      <c r="H12" s="136" t="s">
        <v>247</v>
      </c>
      <c r="K12" s="3"/>
    </row>
    <row r="13" spans="1:11" ht="15" customHeight="1" thickBot="1" x14ac:dyDescent="0.35">
      <c r="B13" t="s">
        <v>7</v>
      </c>
      <c r="D13" s="1"/>
      <c r="E13" s="1"/>
      <c r="F13" s="1"/>
      <c r="G13" s="1"/>
      <c r="H13" s="50">
        <v>1000000</v>
      </c>
      <c r="K13" s="3"/>
    </row>
    <row r="14" spans="1:11" ht="15" customHeight="1" thickBot="1" x14ac:dyDescent="0.35">
      <c r="B14" t="s">
        <v>70</v>
      </c>
      <c r="D14" s="1"/>
      <c r="E14" s="1"/>
      <c r="F14" s="1"/>
      <c r="G14" s="1"/>
      <c r="H14" s="128" t="s">
        <v>238</v>
      </c>
      <c r="K14" s="3"/>
    </row>
    <row r="15" spans="1:11" ht="15" customHeight="1" thickBot="1" x14ac:dyDescent="0.35">
      <c r="B15" t="s">
        <v>71</v>
      </c>
      <c r="D15" s="1"/>
      <c r="E15" s="1"/>
      <c r="F15" s="1"/>
      <c r="G15" s="1"/>
      <c r="H15" s="128" t="s">
        <v>226</v>
      </c>
      <c r="K15" s="3"/>
    </row>
    <row r="16" spans="1:11" ht="15" customHeight="1" thickBot="1" x14ac:dyDescent="0.35">
      <c r="B16" s="1" t="s">
        <v>78</v>
      </c>
      <c r="D16" s="1"/>
      <c r="E16" s="1"/>
      <c r="F16" s="1"/>
      <c r="G16" s="1"/>
      <c r="H16" s="51"/>
      <c r="K16" s="3"/>
    </row>
    <row r="17" spans="1:11" ht="15" customHeight="1" thickBot="1" x14ac:dyDescent="0.35">
      <c r="B17" t="s">
        <v>81</v>
      </c>
      <c r="D17" s="1"/>
      <c r="E17" s="1"/>
      <c r="F17" s="1"/>
      <c r="G17" s="1"/>
      <c r="H17" s="129" t="s">
        <v>251</v>
      </c>
      <c r="K17" s="3"/>
    </row>
    <row r="18" spans="1:11" ht="15" customHeight="1" thickBot="1" x14ac:dyDescent="0.35">
      <c r="B18" t="s">
        <v>80</v>
      </c>
      <c r="D18" s="1"/>
      <c r="E18" s="1"/>
      <c r="F18" s="1"/>
      <c r="G18" s="1"/>
      <c r="H18" s="51" t="s">
        <v>252</v>
      </c>
      <c r="K18" s="3"/>
    </row>
    <row r="19" spans="1:11" ht="15" customHeight="1" thickBot="1" x14ac:dyDescent="0.35">
      <c r="B19" t="s">
        <v>79</v>
      </c>
      <c r="D19" s="1"/>
      <c r="E19" s="1"/>
      <c r="F19" s="1"/>
      <c r="G19" s="1"/>
      <c r="H19" s="51" t="s">
        <v>253</v>
      </c>
      <c r="K19" s="3"/>
    </row>
    <row r="20" spans="1:11" ht="15" customHeight="1" thickBot="1" x14ac:dyDescent="0.35">
      <c r="B20" t="s">
        <v>82</v>
      </c>
      <c r="D20" s="1"/>
      <c r="E20" s="1"/>
      <c r="F20" s="1"/>
      <c r="G20" s="1"/>
      <c r="H20" s="52">
        <v>37200</v>
      </c>
      <c r="K20" s="3"/>
    </row>
    <row r="21" spans="1:11" ht="24" customHeight="1" thickBot="1" x14ac:dyDescent="0.35">
      <c r="B21" s="1" t="s">
        <v>6</v>
      </c>
      <c r="D21" s="1"/>
      <c r="E21" s="113"/>
      <c r="F21" s="112"/>
      <c r="G21" s="1"/>
      <c r="H21" s="41" t="s">
        <v>225</v>
      </c>
      <c r="K21" s="3"/>
    </row>
    <row r="22" spans="1:11" s="3" customFormat="1" ht="28.5" customHeight="1" thickBot="1" x14ac:dyDescent="0.35">
      <c r="B22" s="2" t="s">
        <v>39</v>
      </c>
      <c r="E22" s="11"/>
      <c r="F22" s="111"/>
      <c r="H22" s="114" t="s">
        <v>246</v>
      </c>
      <c r="I22" s="20"/>
    </row>
    <row r="23" spans="1:11" s="3" customFormat="1" ht="28.5" customHeight="1" thickBot="1" x14ac:dyDescent="0.35">
      <c r="E23" s="2" t="s">
        <v>20</v>
      </c>
      <c r="F23" s="111"/>
      <c r="H23" s="115"/>
      <c r="I23" s="20"/>
    </row>
    <row r="24" spans="1:11" s="3" customFormat="1" ht="15" customHeight="1" thickBot="1" x14ac:dyDescent="0.35">
      <c r="B24" s="2" t="s">
        <v>37</v>
      </c>
      <c r="E24" s="11"/>
      <c r="F24" s="111"/>
      <c r="H24" s="53" t="s">
        <v>83</v>
      </c>
      <c r="I24" s="137" t="s">
        <v>250</v>
      </c>
    </row>
    <row r="25" spans="1:11" s="3" customFormat="1" ht="15" customHeight="1" x14ac:dyDescent="0.3">
      <c r="B25" s="2"/>
      <c r="E25" s="11"/>
      <c r="F25" s="111"/>
      <c r="H25" s="116"/>
      <c r="I25" s="20"/>
    </row>
    <row r="26" spans="1:11" s="4" customFormat="1" ht="28.5" customHeight="1" thickBot="1" x14ac:dyDescent="0.35">
      <c r="A26" s="180" t="s">
        <v>54</v>
      </c>
      <c r="B26" s="180"/>
      <c r="C26" s="180"/>
      <c r="D26" s="180"/>
      <c r="E26" s="180"/>
      <c r="F26" s="180"/>
      <c r="G26" s="180"/>
      <c r="H26" s="180"/>
      <c r="I26" s="22"/>
      <c r="K26" s="3"/>
    </row>
    <row r="27" spans="1:11" s="4" customFormat="1" ht="15" customHeight="1" thickBot="1" x14ac:dyDescent="0.35">
      <c r="A27" s="5"/>
      <c r="B27" t="s">
        <v>18</v>
      </c>
      <c r="H27" s="117">
        <v>44489</v>
      </c>
      <c r="I27" s="22"/>
      <c r="K27" s="3"/>
    </row>
    <row r="28" spans="1:11" ht="15" customHeight="1" thickBot="1" x14ac:dyDescent="0.35">
      <c r="A28" s="181" t="s">
        <v>55</v>
      </c>
      <c r="B28" t="s">
        <v>56</v>
      </c>
      <c r="H28" s="118"/>
      <c r="I28" s="17"/>
    </row>
    <row r="29" spans="1:11" ht="15" customHeight="1" thickBot="1" x14ac:dyDescent="0.35">
      <c r="A29" s="181"/>
      <c r="B29" t="s">
        <v>57</v>
      </c>
      <c r="H29" s="118">
        <v>44926</v>
      </c>
      <c r="I29" s="22"/>
    </row>
    <row r="30" spans="1:11" ht="29.25" customHeight="1" thickBot="1" x14ac:dyDescent="0.35">
      <c r="B30" s="2" t="s">
        <v>10</v>
      </c>
      <c r="H30" s="55"/>
    </row>
    <row r="31" spans="1:11" ht="15" customHeight="1" thickBot="1" x14ac:dyDescent="0.35">
      <c r="B31" t="s">
        <v>38</v>
      </c>
      <c r="F31" s="10"/>
      <c r="H31" s="119" t="s">
        <v>235</v>
      </c>
    </row>
    <row r="32" spans="1:11" ht="15" customHeight="1" thickBot="1" x14ac:dyDescent="0.35">
      <c r="B32" t="s">
        <v>92</v>
      </c>
      <c r="F32" s="10"/>
      <c r="H32" s="119" t="s">
        <v>83</v>
      </c>
    </row>
    <row r="33" spans="2:9" ht="15" customHeight="1" thickBot="1" x14ac:dyDescent="0.35">
      <c r="B33" t="s">
        <v>3</v>
      </c>
      <c r="H33" s="120" t="s">
        <v>235</v>
      </c>
      <c r="I33" s="121"/>
    </row>
    <row r="34" spans="2:9" ht="13.5" thickBot="1" x14ac:dyDescent="0.35">
      <c r="B34" s="125" t="s">
        <v>202</v>
      </c>
      <c r="C34" s="3"/>
      <c r="D34" s="3"/>
      <c r="E34" s="3"/>
      <c r="F34" s="11"/>
      <c r="G34" s="3"/>
      <c r="H34" s="53" t="s">
        <v>83</v>
      </c>
      <c r="I34" s="122"/>
    </row>
    <row r="35" spans="2:9" ht="13.5" thickBot="1" x14ac:dyDescent="0.35">
      <c r="B35" s="3" t="s">
        <v>121</v>
      </c>
      <c r="C35" s="3"/>
      <c r="D35" s="3"/>
      <c r="E35" s="3"/>
      <c r="F35" s="11"/>
      <c r="G35" s="3"/>
      <c r="H35" s="120" t="s">
        <v>83</v>
      </c>
      <c r="I35" s="122"/>
    </row>
    <row r="36" spans="2:9" ht="15" customHeight="1" thickBot="1" x14ac:dyDescent="0.4">
      <c r="B36" t="s">
        <v>4</v>
      </c>
      <c r="F36" s="10"/>
      <c r="H36" s="54" t="s">
        <v>122</v>
      </c>
    </row>
    <row r="37" spans="2:9" ht="15" customHeight="1" thickBot="1" x14ac:dyDescent="0.35">
      <c r="B37" t="s">
        <v>5</v>
      </c>
      <c r="H37" s="119" t="s">
        <v>83</v>
      </c>
    </row>
    <row r="38" spans="2:9" ht="15" customHeight="1" thickBot="1" x14ac:dyDescent="0.35">
      <c r="B38" s="34" t="s">
        <v>139</v>
      </c>
      <c r="H38" s="119" t="s">
        <v>83</v>
      </c>
    </row>
    <row r="39" spans="2:9" ht="15" customHeight="1" thickBot="1" x14ac:dyDescent="0.35">
      <c r="B39" t="s">
        <v>9</v>
      </c>
      <c r="H39" s="40" t="s">
        <v>122</v>
      </c>
    </row>
    <row r="40" spans="2:9" ht="15" customHeight="1" thickBot="1" x14ac:dyDescent="0.35">
      <c r="B40" t="s">
        <v>16</v>
      </c>
      <c r="H40" s="119" t="s">
        <v>83</v>
      </c>
      <c r="I40" s="21" t="s">
        <v>151</v>
      </c>
    </row>
    <row r="41" spans="2:9" ht="26.5" thickBot="1" x14ac:dyDescent="0.35">
      <c r="B41" s="34" t="s">
        <v>150</v>
      </c>
      <c r="H41" s="191" t="str">
        <f>'Nouveau référentiel R12'!K3</f>
        <v>GK1530819S</v>
      </c>
      <c r="I41" s="123" t="s">
        <v>149</v>
      </c>
    </row>
    <row r="42" spans="2:9" ht="15" customHeight="1" thickBot="1" x14ac:dyDescent="0.35">
      <c r="B42" t="s">
        <v>40</v>
      </c>
      <c r="H42" s="124" t="s">
        <v>83</v>
      </c>
    </row>
    <row r="43" spans="2:9" ht="15" customHeight="1" thickBot="1" x14ac:dyDescent="0.35">
      <c r="B43" t="s">
        <v>19</v>
      </c>
      <c r="H43" s="56"/>
      <c r="I43" s="34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40"/>
      <c r="I44" s="125"/>
    </row>
    <row r="45" spans="2:9" ht="13.5" customHeight="1" thickBot="1" x14ac:dyDescent="0.35">
      <c r="B45" t="s">
        <v>89</v>
      </c>
      <c r="C45" s="3"/>
      <c r="D45" s="3"/>
      <c r="E45" s="3"/>
      <c r="F45" s="3"/>
      <c r="G45" s="3"/>
      <c r="H45" s="119" t="s">
        <v>83</v>
      </c>
      <c r="I45" s="46"/>
    </row>
    <row r="46" spans="2:9" ht="30" customHeight="1" thickBot="1" x14ac:dyDescent="0.35">
      <c r="B46" s="182" t="s">
        <v>76</v>
      </c>
      <c r="C46" s="182"/>
      <c r="D46" s="182"/>
      <c r="E46" s="182"/>
      <c r="F46" s="182"/>
      <c r="G46" s="183"/>
      <c r="H46" s="40" t="s">
        <v>122</v>
      </c>
    </row>
    <row r="47" spans="2:9" ht="32.25" customHeight="1" thickBot="1" x14ac:dyDescent="0.35">
      <c r="B47" s="178" t="s">
        <v>120</v>
      </c>
      <c r="C47" s="178"/>
      <c r="D47" s="178"/>
      <c r="E47" s="178"/>
      <c r="F47" s="178"/>
      <c r="G47" s="179"/>
      <c r="H47" s="119" t="s">
        <v>122</v>
      </c>
      <c r="I47" s="21" t="s">
        <v>219</v>
      </c>
    </row>
    <row r="48" spans="2:9" ht="15" customHeight="1" thickBot="1" x14ac:dyDescent="0.35">
      <c r="B48" t="s">
        <v>21</v>
      </c>
      <c r="H48" s="40" t="s">
        <v>122</v>
      </c>
    </row>
    <row r="49" spans="1:9" ht="15" customHeight="1" thickBot="1" x14ac:dyDescent="0.35">
      <c r="B49" t="s">
        <v>32</v>
      </c>
      <c r="H49" s="40" t="s">
        <v>223</v>
      </c>
      <c r="I49" s="21" t="s">
        <v>222</v>
      </c>
    </row>
    <row r="50" spans="1:9" ht="15" customHeight="1" thickBot="1" x14ac:dyDescent="0.35">
      <c r="B50" t="s">
        <v>69</v>
      </c>
      <c r="F50" t="s">
        <v>33</v>
      </c>
      <c r="H50" s="57">
        <v>30004</v>
      </c>
    </row>
    <row r="51" spans="1:9" ht="15" customHeight="1" thickBot="1" x14ac:dyDescent="0.35">
      <c r="F51" t="s">
        <v>34</v>
      </c>
      <c r="H51" s="42" t="s">
        <v>201</v>
      </c>
      <c r="I51" s="71" t="s">
        <v>221</v>
      </c>
    </row>
    <row r="52" spans="1:9" ht="15" customHeight="1" thickBot="1" x14ac:dyDescent="0.35">
      <c r="F52" t="s">
        <v>35</v>
      </c>
      <c r="H52" s="43" t="s">
        <v>224</v>
      </c>
      <c r="I52" s="71"/>
    </row>
    <row r="53" spans="1:9" ht="15" customHeight="1" thickBot="1" x14ac:dyDescent="0.35">
      <c r="F53" t="s">
        <v>36</v>
      </c>
      <c r="H53" s="58">
        <v>76</v>
      </c>
      <c r="I53" s="34"/>
    </row>
    <row r="54" spans="1:9" ht="15" customHeight="1" thickBot="1" x14ac:dyDescent="0.35">
      <c r="B54" t="s">
        <v>45</v>
      </c>
      <c r="H54" s="40" t="s">
        <v>122</v>
      </c>
      <c r="I54" s="105"/>
    </row>
    <row r="55" spans="1:9" ht="15" customHeight="1" thickBot="1" x14ac:dyDescent="0.35">
      <c r="B55" t="s">
        <v>46</v>
      </c>
      <c r="H55" s="44" t="s">
        <v>122</v>
      </c>
      <c r="I55" s="105"/>
    </row>
    <row r="56" spans="1:9" ht="15" customHeight="1" x14ac:dyDescent="0.3">
      <c r="H56" s="111"/>
    </row>
    <row r="57" spans="1:9" s="3" customFormat="1" ht="14.25" customHeight="1" x14ac:dyDescent="0.3">
      <c r="A57" s="3" t="s">
        <v>30</v>
      </c>
      <c r="D57" s="33">
        <v>45775</v>
      </c>
      <c r="E57" s="23"/>
      <c r="H57" s="112"/>
      <c r="I57" s="20"/>
    </row>
    <row r="58" spans="1:9" ht="15" customHeight="1" x14ac:dyDescent="0.3">
      <c r="A58" t="s">
        <v>31</v>
      </c>
      <c r="H58" s="112"/>
    </row>
    <row r="59" spans="1:9" ht="15" customHeight="1" x14ac:dyDescent="0.3">
      <c r="D59" s="34" t="s">
        <v>125</v>
      </c>
      <c r="H59" s="112"/>
    </row>
    <row r="60" spans="1:9" ht="15" customHeight="1" x14ac:dyDescent="0.3">
      <c r="D60" s="34"/>
      <c r="H60" s="112"/>
    </row>
    <row r="77" spans="9:9" ht="15" customHeight="1" x14ac:dyDescent="0.3">
      <c r="I77"/>
    </row>
    <row r="78" spans="9:9" ht="15" customHeight="1" x14ac:dyDescent="0.3">
      <c r="I78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topLeftCell="A7" zoomScale="120" zoomScaleNormal="120" workbookViewId="0">
      <selection activeCell="E21" sqref="E21"/>
    </sheetView>
  </sheetViews>
  <sheetFormatPr baseColWidth="10" defaultColWidth="11.453125" defaultRowHeight="12.5" x14ac:dyDescent="0.25"/>
  <cols>
    <col min="1" max="1" width="9.26953125" style="25" bestFit="1" customWidth="1"/>
    <col min="2" max="2" width="13.81640625" style="25" bestFit="1" customWidth="1"/>
    <col min="3" max="3" width="14" style="25" customWidth="1"/>
    <col min="4" max="4" width="7.453125" style="25" customWidth="1"/>
    <col min="5" max="6" width="5" style="25" customWidth="1"/>
    <col min="7" max="7" width="10.54296875" style="25" bestFit="1" customWidth="1"/>
    <col min="8" max="8" width="5" style="25" customWidth="1"/>
    <col min="9" max="16384" width="11.453125" style="25"/>
  </cols>
  <sheetData>
    <row r="1" spans="1:19" s="24" customFormat="1" ht="234.75" customHeight="1" x14ac:dyDescent="0.3">
      <c r="A1" s="24" t="s">
        <v>41</v>
      </c>
      <c r="B1" s="24" t="s">
        <v>42</v>
      </c>
      <c r="C1" s="24" t="s">
        <v>43</v>
      </c>
      <c r="D1" s="24" t="s">
        <v>44</v>
      </c>
      <c r="E1" s="45" t="s">
        <v>60</v>
      </c>
      <c r="F1" s="45" t="s">
        <v>126</v>
      </c>
      <c r="G1" s="45" t="s">
        <v>127</v>
      </c>
      <c r="H1" s="45" t="s">
        <v>128</v>
      </c>
      <c r="I1" s="45" t="s">
        <v>129</v>
      </c>
      <c r="J1" s="45" t="s">
        <v>130</v>
      </c>
      <c r="K1" s="45" t="s">
        <v>131</v>
      </c>
      <c r="L1" s="45" t="s">
        <v>131</v>
      </c>
      <c r="M1" s="35" t="s">
        <v>132</v>
      </c>
      <c r="N1" s="35" t="s">
        <v>133</v>
      </c>
      <c r="O1" s="35" t="s">
        <v>134</v>
      </c>
      <c r="P1" s="35" t="s">
        <v>135</v>
      </c>
      <c r="Q1" s="35" t="s">
        <v>136</v>
      </c>
      <c r="R1" s="35" t="s">
        <v>137</v>
      </c>
      <c r="S1" s="35" t="s">
        <v>138</v>
      </c>
    </row>
    <row r="2" spans="1:19" ht="14.5" x14ac:dyDescent="0.35">
      <c r="A2" s="135"/>
      <c r="B2" s="38"/>
      <c r="C2" s="38"/>
      <c r="D2" s="36"/>
      <c r="E2" s="37" t="s">
        <v>218</v>
      </c>
      <c r="F2" s="133"/>
      <c r="G2" s="133"/>
      <c r="H2" s="133"/>
      <c r="I2" s="133"/>
      <c r="J2" s="133"/>
      <c r="K2" s="133"/>
      <c r="L2" s="133"/>
      <c r="M2" s="37"/>
      <c r="N2" s="37"/>
      <c r="O2" s="37"/>
      <c r="P2" s="37"/>
      <c r="Q2" s="37"/>
      <c r="R2" s="37" t="s">
        <v>218</v>
      </c>
      <c r="S2" s="37"/>
    </row>
    <row r="3" spans="1:19" x14ac:dyDescent="0.25">
      <c r="A3" s="36"/>
      <c r="B3" s="36"/>
      <c r="C3" s="36"/>
      <c r="D3" s="36"/>
      <c r="E3" s="37"/>
      <c r="F3" s="133"/>
      <c r="G3" s="133"/>
      <c r="H3" s="133"/>
      <c r="I3" s="133"/>
      <c r="J3" s="133"/>
      <c r="K3" s="133"/>
      <c r="L3" s="133"/>
      <c r="M3" s="37"/>
      <c r="N3" s="37"/>
      <c r="O3" s="37"/>
      <c r="P3" s="37"/>
      <c r="Q3" s="37"/>
      <c r="R3" s="37"/>
      <c r="S3" s="37"/>
    </row>
    <row r="4" spans="1:19" ht="13" x14ac:dyDescent="0.3">
      <c r="A4" s="87"/>
      <c r="B4" s="36"/>
      <c r="C4" s="36"/>
      <c r="D4" s="36"/>
      <c r="E4" s="37"/>
      <c r="F4" s="133"/>
      <c r="G4" s="133"/>
      <c r="H4" s="133"/>
      <c r="I4" s="133"/>
      <c r="J4" s="133"/>
      <c r="K4" s="133"/>
      <c r="L4" s="133"/>
      <c r="M4" s="37"/>
      <c r="N4" s="37"/>
      <c r="O4" s="37"/>
      <c r="P4" s="37"/>
      <c r="Q4" s="37"/>
      <c r="R4" s="37"/>
      <c r="S4" s="37"/>
    </row>
    <row r="5" spans="1:19" x14ac:dyDescent="0.25">
      <c r="A5" s="38"/>
      <c r="B5" s="38"/>
      <c r="C5" s="38"/>
      <c r="D5" s="36"/>
      <c r="E5" s="38"/>
      <c r="F5" s="134"/>
      <c r="G5" s="134"/>
      <c r="H5" s="134"/>
      <c r="I5" s="134"/>
      <c r="J5" s="134"/>
      <c r="K5" s="134"/>
      <c r="L5" s="134"/>
      <c r="M5" s="37"/>
      <c r="N5" s="38"/>
      <c r="O5" s="38"/>
      <c r="P5" s="38"/>
      <c r="Q5" s="38"/>
      <c r="R5" s="38"/>
      <c r="S5" s="38"/>
    </row>
    <row r="6" spans="1:19" x14ac:dyDescent="0.25">
      <c r="A6" s="38"/>
      <c r="B6" s="38"/>
      <c r="C6" s="38"/>
      <c r="D6" s="36"/>
      <c r="E6" s="38"/>
      <c r="F6" s="134"/>
      <c r="G6" s="134"/>
      <c r="H6" s="134"/>
      <c r="I6" s="134"/>
      <c r="J6" s="134"/>
      <c r="K6" s="134"/>
      <c r="L6" s="134"/>
      <c r="M6" s="38"/>
      <c r="N6" s="38"/>
      <c r="O6" s="38"/>
      <c r="P6" s="38"/>
      <c r="Q6" s="38"/>
      <c r="R6" s="38"/>
      <c r="S6" s="38"/>
    </row>
    <row r="7" spans="1:19" x14ac:dyDescent="0.25">
      <c r="A7" s="38"/>
      <c r="B7" s="38"/>
      <c r="C7" s="38"/>
      <c r="D7" s="36"/>
      <c r="E7" s="38"/>
      <c r="F7" s="134"/>
      <c r="G7" s="134"/>
      <c r="H7" s="134"/>
      <c r="I7" s="134"/>
      <c r="J7" s="134"/>
      <c r="K7" s="134"/>
      <c r="L7" s="134"/>
      <c r="M7" s="38"/>
      <c r="N7" s="38"/>
      <c r="O7" s="38"/>
      <c r="P7" s="38"/>
      <c r="Q7" s="38"/>
      <c r="R7" s="38"/>
      <c r="S7" s="38"/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3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M17"/>
  <sheetViews>
    <sheetView workbookViewId="0">
      <selection activeCell="F30" sqref="F30"/>
    </sheetView>
  </sheetViews>
  <sheetFormatPr baseColWidth="10" defaultRowHeight="13" x14ac:dyDescent="0.3"/>
  <cols>
    <col min="1" max="1" width="21" bestFit="1" customWidth="1"/>
    <col min="2" max="2" width="12.453125" bestFit="1" customWidth="1"/>
    <col min="3" max="3" width="15.54296875" bestFit="1" customWidth="1"/>
    <col min="4" max="4" width="18.453125" customWidth="1"/>
    <col min="5" max="5" width="20" bestFit="1" customWidth="1"/>
    <col min="6" max="6" width="19.81640625" bestFit="1" customWidth="1"/>
    <col min="7" max="7" width="22" bestFit="1" customWidth="1"/>
    <col min="8" max="8" width="7.26953125" bestFit="1" customWidth="1"/>
    <col min="9" max="9" width="9.54296875" bestFit="1" customWidth="1"/>
    <col min="10" max="10" width="37.81640625" bestFit="1" customWidth="1"/>
    <col min="11" max="12" width="19.54296875" bestFit="1" customWidth="1"/>
    <col min="13" max="13" width="20" bestFit="1" customWidth="1"/>
    <col min="14" max="14" width="21.7265625" bestFit="1" customWidth="1"/>
  </cols>
  <sheetData>
    <row r="1" spans="1:13" x14ac:dyDescent="0.3">
      <c r="A1" s="1" t="s">
        <v>257</v>
      </c>
    </row>
    <row r="2" spans="1:13" x14ac:dyDescent="0.3">
      <c r="A2" s="48" t="s">
        <v>140</v>
      </c>
      <c r="B2" s="48" t="s">
        <v>141</v>
      </c>
      <c r="C2" s="48" t="s">
        <v>142</v>
      </c>
      <c r="D2" s="48" t="s">
        <v>143</v>
      </c>
      <c r="E2" s="48" t="s">
        <v>144</v>
      </c>
      <c r="F2" s="48" t="s">
        <v>209</v>
      </c>
      <c r="G2" s="48" t="s">
        <v>210</v>
      </c>
      <c r="H2" s="48" t="s">
        <v>145</v>
      </c>
      <c r="I2" s="48" t="s">
        <v>146</v>
      </c>
      <c r="J2" s="48" t="s">
        <v>147</v>
      </c>
      <c r="K2" s="59" t="s">
        <v>148</v>
      </c>
      <c r="L2" s="59" t="s">
        <v>211</v>
      </c>
      <c r="M2" s="59" t="s">
        <v>212</v>
      </c>
    </row>
    <row r="3" spans="1:13" ht="15.5" x14ac:dyDescent="0.35">
      <c r="A3" s="60" t="s">
        <v>245</v>
      </c>
      <c r="B3" s="61" t="s">
        <v>225</v>
      </c>
      <c r="C3" s="62"/>
      <c r="D3" s="63"/>
      <c r="E3" s="189" t="str">
        <f>F17</f>
        <v>FB0089908T</v>
      </c>
      <c r="F3" s="63" t="s">
        <v>254</v>
      </c>
      <c r="G3" s="63" t="s">
        <v>213</v>
      </c>
      <c r="H3" s="60" t="s">
        <v>235</v>
      </c>
      <c r="I3" s="60" t="s">
        <v>233</v>
      </c>
      <c r="J3" s="60" t="s">
        <v>256</v>
      </c>
      <c r="K3" s="190" t="str">
        <f>A17</f>
        <v>GK1530819S</v>
      </c>
      <c r="L3" s="130" t="s">
        <v>255</v>
      </c>
      <c r="M3" s="63" t="s">
        <v>214</v>
      </c>
    </row>
    <row r="4" spans="1:13" x14ac:dyDescent="0.3">
      <c r="B4" s="39"/>
      <c r="C4" s="39"/>
    </row>
    <row r="5" spans="1:13" x14ac:dyDescent="0.3">
      <c r="B5" s="39"/>
      <c r="C5" s="39"/>
    </row>
    <row r="7" spans="1:13" x14ac:dyDescent="0.3">
      <c r="A7" s="34" t="s">
        <v>153</v>
      </c>
    </row>
    <row r="8" spans="1:13" x14ac:dyDescent="0.3">
      <c r="A8" s="47" t="s">
        <v>152</v>
      </c>
    </row>
    <row r="9" spans="1:13" x14ac:dyDescent="0.3">
      <c r="A9" s="126"/>
    </row>
    <row r="11" spans="1:13" x14ac:dyDescent="0.3">
      <c r="B11" s="39"/>
      <c r="C11" s="39"/>
    </row>
    <row r="12" spans="1:13" x14ac:dyDescent="0.3">
      <c r="A12" s="131"/>
      <c r="B12" s="131" t="s">
        <v>215</v>
      </c>
      <c r="C12" s="131" t="s">
        <v>161</v>
      </c>
      <c r="D12" s="131" t="s">
        <v>216</v>
      </c>
      <c r="E12" s="131" t="s">
        <v>217</v>
      </c>
    </row>
    <row r="13" spans="1:13" x14ac:dyDescent="0.3">
      <c r="A13" s="138" t="s">
        <v>245</v>
      </c>
      <c r="B13" s="138"/>
      <c r="C13" s="138" t="s">
        <v>227</v>
      </c>
      <c r="D13" s="132" t="s">
        <v>225</v>
      </c>
      <c r="E13" s="138" t="s">
        <v>246</v>
      </c>
    </row>
    <row r="16" spans="1:13" s="185" customFormat="1" ht="14.5" x14ac:dyDescent="0.35">
      <c r="A16" s="187" t="s">
        <v>258</v>
      </c>
      <c r="B16" s="187" t="s">
        <v>259</v>
      </c>
      <c r="C16" s="187" t="s">
        <v>146</v>
      </c>
      <c r="D16" s="187" t="s">
        <v>260</v>
      </c>
      <c r="E16" s="187" t="s">
        <v>261</v>
      </c>
      <c r="F16" s="187" t="s">
        <v>262</v>
      </c>
      <c r="G16" s="187" t="s">
        <v>263</v>
      </c>
      <c r="H16" s="184" t="s">
        <v>264</v>
      </c>
      <c r="I16" s="184" t="s">
        <v>265</v>
      </c>
      <c r="J16" s="184" t="s">
        <v>266</v>
      </c>
    </row>
    <row r="17" spans="1:10" s="185" customFormat="1" x14ac:dyDescent="0.3">
      <c r="A17" s="188" t="s">
        <v>269</v>
      </c>
      <c r="B17" s="188" t="s">
        <v>267</v>
      </c>
      <c r="C17" s="188" t="s">
        <v>270</v>
      </c>
      <c r="D17" s="188" t="s">
        <v>255</v>
      </c>
      <c r="E17" s="188" t="s">
        <v>271</v>
      </c>
      <c r="F17" s="188" t="s">
        <v>272</v>
      </c>
      <c r="G17" s="188" t="s">
        <v>225</v>
      </c>
      <c r="H17" s="186" t="s">
        <v>273</v>
      </c>
      <c r="J17" s="186" t="s">
        <v>268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scale="60" orientation="landscape" r:id="rId1"/>
  <headerFooter>
    <oddFooter>&amp;L&amp;D&amp;T&amp;C&amp;P&amp;R&amp;F&amp;A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3"/>
  <sheetViews>
    <sheetView workbookViewId="0">
      <selection activeCell="D14" sqref="D14"/>
    </sheetView>
  </sheetViews>
  <sheetFormatPr baseColWidth="10" defaultRowHeight="13" x14ac:dyDescent="0.3"/>
  <cols>
    <col min="1" max="1" width="28.81640625" bestFit="1" customWidth="1"/>
    <col min="2" max="2" width="32.54296875" bestFit="1" customWidth="1"/>
    <col min="3" max="3" width="16.54296875" bestFit="1" customWidth="1"/>
    <col min="4" max="4" width="19.54296875" bestFit="1" customWidth="1"/>
    <col min="5" max="5" width="7" bestFit="1" customWidth="1"/>
    <col min="6" max="6" width="13" bestFit="1" customWidth="1"/>
  </cols>
  <sheetData>
    <row r="1" spans="1:7" ht="26" x14ac:dyDescent="0.3">
      <c r="A1" s="139" t="s">
        <v>146</v>
      </c>
      <c r="B1" s="140" t="s">
        <v>228</v>
      </c>
      <c r="C1" s="140" t="s">
        <v>229</v>
      </c>
      <c r="D1" s="140" t="s">
        <v>230</v>
      </c>
      <c r="E1" s="140" t="s">
        <v>231</v>
      </c>
      <c r="F1" s="140" t="s">
        <v>24</v>
      </c>
      <c r="G1" s="141" t="s">
        <v>232</v>
      </c>
    </row>
    <row r="2" spans="1:7" ht="25.5" x14ac:dyDescent="0.3">
      <c r="A2" s="142" t="s">
        <v>233</v>
      </c>
      <c r="B2" s="143" t="str">
        <f>B10</f>
        <v>ESTER (46444)</v>
      </c>
      <c r="C2" s="143" t="str">
        <f>C10</f>
        <v>TSA 45506</v>
      </c>
      <c r="D2" s="143"/>
      <c r="E2" s="143">
        <v>59784</v>
      </c>
      <c r="F2" s="143" t="s">
        <v>234</v>
      </c>
      <c r="G2" s="144" t="s">
        <v>109</v>
      </c>
    </row>
    <row r="3" spans="1:7" ht="14.5" x14ac:dyDescent="0.35">
      <c r="A3" s="145"/>
      <c r="B3" s="145"/>
      <c r="C3" s="145"/>
      <c r="D3" s="145"/>
      <c r="E3" s="145"/>
      <c r="F3" s="145"/>
    </row>
    <row r="4" spans="1:7" ht="14.5" x14ac:dyDescent="0.35">
      <c r="A4" s="145"/>
      <c r="B4" s="145"/>
      <c r="C4" s="145"/>
      <c r="D4" s="145"/>
      <c r="E4" s="145"/>
      <c r="F4" s="145"/>
    </row>
    <row r="5" spans="1:7" ht="14.5" x14ac:dyDescent="0.35">
      <c r="A5" s="145"/>
      <c r="B5" s="145"/>
      <c r="C5" s="145"/>
      <c r="D5" s="145"/>
      <c r="E5" s="145"/>
      <c r="F5" s="145"/>
    </row>
    <row r="6" spans="1:7" ht="14.5" x14ac:dyDescent="0.35">
      <c r="A6" s="146" t="s">
        <v>44</v>
      </c>
      <c r="B6" s="147" t="s">
        <v>154</v>
      </c>
      <c r="C6" s="145"/>
      <c r="D6" s="145"/>
      <c r="E6" s="145"/>
      <c r="F6" s="145"/>
    </row>
    <row r="7" spans="1:7" ht="14.5" x14ac:dyDescent="0.35">
      <c r="A7" s="148" t="s">
        <v>235</v>
      </c>
      <c r="B7" s="149" t="s">
        <v>225</v>
      </c>
      <c r="C7" s="145"/>
      <c r="D7" s="145"/>
      <c r="E7" s="145"/>
      <c r="F7" s="145"/>
    </row>
    <row r="8" spans="1:7" ht="14.5" x14ac:dyDescent="0.35">
      <c r="A8" s="145"/>
      <c r="B8" s="145"/>
      <c r="C8" s="145"/>
      <c r="D8" s="145"/>
      <c r="E8" s="145"/>
      <c r="F8" s="145"/>
    </row>
    <row r="9" spans="1:7" ht="13.5" thickBot="1" x14ac:dyDescent="0.35">
      <c r="A9" s="150" t="s">
        <v>155</v>
      </c>
      <c r="B9" s="151" t="s">
        <v>147</v>
      </c>
      <c r="C9" s="151" t="s">
        <v>156</v>
      </c>
      <c r="D9" s="151" t="s">
        <v>157</v>
      </c>
      <c r="E9" s="151" t="s">
        <v>108</v>
      </c>
      <c r="F9" s="151" t="s">
        <v>158</v>
      </c>
    </row>
    <row r="10" spans="1:7" ht="13.5" thickBot="1" x14ac:dyDescent="0.35">
      <c r="A10" s="148" t="s">
        <v>235</v>
      </c>
      <c r="B10" s="152" t="s">
        <v>236</v>
      </c>
      <c r="C10" s="148" t="s">
        <v>237</v>
      </c>
      <c r="D10" s="153" t="s">
        <v>159</v>
      </c>
      <c r="E10" s="153" t="s">
        <v>160</v>
      </c>
      <c r="F10" s="153" t="s">
        <v>235</v>
      </c>
    </row>
    <row r="11" spans="1:7" ht="14.5" x14ac:dyDescent="0.35">
      <c r="A11" s="145"/>
      <c r="B11" s="145"/>
      <c r="C11" s="145"/>
      <c r="D11" s="145"/>
      <c r="E11" s="145"/>
      <c r="F11" s="145"/>
    </row>
    <row r="12" spans="1:7" ht="14.5" x14ac:dyDescent="0.35">
      <c r="A12" s="145"/>
      <c r="B12" s="145"/>
      <c r="C12" s="145"/>
      <c r="D12" s="145"/>
      <c r="E12" s="145"/>
      <c r="F12" s="145"/>
    </row>
    <row r="13" spans="1:7" ht="15" thickBot="1" x14ac:dyDescent="0.4">
      <c r="A13" s="145"/>
      <c r="B13" s="145"/>
      <c r="C13" s="145"/>
      <c r="D13" s="145"/>
      <c r="E13" s="145"/>
      <c r="F13" s="145"/>
    </row>
    <row r="14" spans="1:7" ht="15" thickBot="1" x14ac:dyDescent="0.4">
      <c r="A14" s="145" t="s">
        <v>198</v>
      </c>
      <c r="B14" s="154" t="s">
        <v>238</v>
      </c>
      <c r="C14" s="145"/>
      <c r="D14" s="145"/>
      <c r="E14" s="145"/>
      <c r="F14" s="145"/>
    </row>
    <row r="15" spans="1:7" ht="15" thickBot="1" x14ac:dyDescent="0.4">
      <c r="A15" s="145" t="s">
        <v>199</v>
      </c>
      <c r="B15" s="155" t="s">
        <v>226</v>
      </c>
      <c r="C15" s="145"/>
      <c r="D15" s="145"/>
      <c r="E15" s="145"/>
      <c r="F15" s="145"/>
    </row>
    <row r="16" spans="1:7" ht="14.5" x14ac:dyDescent="0.35">
      <c r="A16" s="145"/>
      <c r="B16" s="145"/>
      <c r="C16" s="145"/>
      <c r="D16" s="145"/>
      <c r="E16" s="145"/>
      <c r="F16" s="145"/>
    </row>
    <row r="17" spans="1:6" ht="14.5" x14ac:dyDescent="0.35">
      <c r="A17" s="145"/>
      <c r="B17" s="145"/>
      <c r="C17" s="145"/>
      <c r="D17" s="145"/>
      <c r="E17" s="145"/>
      <c r="F17" s="145"/>
    </row>
    <row r="18" spans="1:6" ht="14.5" x14ac:dyDescent="0.35">
      <c r="A18" s="156" t="s">
        <v>239</v>
      </c>
      <c r="B18" s="157" t="s">
        <v>240</v>
      </c>
      <c r="C18" s="145"/>
      <c r="D18" s="145"/>
      <c r="E18" s="145"/>
      <c r="F18" s="145"/>
    </row>
    <row r="19" spans="1:6" ht="14.5" x14ac:dyDescent="0.35">
      <c r="A19" s="145"/>
      <c r="B19" s="145"/>
      <c r="C19" s="145"/>
      <c r="D19" s="145"/>
      <c r="E19" s="145"/>
      <c r="F19" s="145"/>
    </row>
    <row r="20" spans="1:6" ht="14.5" x14ac:dyDescent="0.35">
      <c r="A20" s="158" t="s">
        <v>241</v>
      </c>
      <c r="B20" s="159" t="s">
        <v>242</v>
      </c>
      <c r="C20" s="145"/>
      <c r="D20" s="145"/>
      <c r="E20" s="145"/>
      <c r="F20" s="145"/>
    </row>
    <row r="21" spans="1:6" ht="14.5" x14ac:dyDescent="0.35">
      <c r="A21" s="145"/>
      <c r="B21" s="145"/>
      <c r="C21" s="145"/>
      <c r="D21" s="145"/>
      <c r="E21" s="145"/>
      <c r="F21" s="145"/>
    </row>
    <row r="22" spans="1:6" ht="15.5" x14ac:dyDescent="0.35">
      <c r="A22" s="145"/>
      <c r="B22" s="160"/>
      <c r="C22" s="145"/>
      <c r="D22" s="145"/>
      <c r="E22" s="145"/>
      <c r="F22" s="145"/>
    </row>
    <row r="23" spans="1:6" ht="23" x14ac:dyDescent="0.35">
      <c r="A23" s="145" t="s">
        <v>243</v>
      </c>
      <c r="B23" s="161" t="s">
        <v>244</v>
      </c>
      <c r="C23" s="145"/>
      <c r="D23" s="145"/>
      <c r="E23" s="145"/>
      <c r="F23" s="145"/>
    </row>
  </sheetData>
  <hyperlinks>
    <hyperlink ref="B18" r:id="rId1" display="mailto:facturepdf.dalkia@csp.dalkia.fr"/>
  </hyperlinks>
  <printOptions gridLines="1"/>
  <pageMargins left="0.11811023622047245" right="0.11811023622047245" top="0.74803149606299213" bottom="0.74803149606299213" header="0.31496062992125984" footer="0.31496062992125984"/>
  <pageSetup paperSize="9" orientation="landscape" r:id="rId2"/>
  <headerFooter>
    <oddFooter>&amp;L&amp;D&amp;T&amp;C&amp;P&amp;R&amp;F&amp;A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topLeftCell="A34" workbookViewId="0">
      <selection activeCell="G3" sqref="G3"/>
    </sheetView>
  </sheetViews>
  <sheetFormatPr baseColWidth="10" defaultColWidth="11.453125" defaultRowHeight="12.5" x14ac:dyDescent="0.25"/>
  <cols>
    <col min="1" max="1" width="16.7265625" style="7" customWidth="1"/>
    <col min="2" max="2" width="11.453125" style="7"/>
    <col min="3" max="3" width="7.1796875" style="8" customWidth="1"/>
    <col min="4" max="4" width="30.7265625" style="7" customWidth="1"/>
    <col min="5" max="5" width="6" style="7" customWidth="1"/>
    <col min="6" max="6" width="5.81640625" style="7" customWidth="1"/>
    <col min="7" max="16384" width="11.453125" style="7"/>
  </cols>
  <sheetData>
    <row r="1" spans="1:9" ht="13" x14ac:dyDescent="0.3">
      <c r="A1" s="15" t="s">
        <v>99</v>
      </c>
    </row>
    <row r="2" spans="1:9" ht="13" x14ac:dyDescent="0.3">
      <c r="B2" s="13"/>
      <c r="C2" s="8" t="s">
        <v>11</v>
      </c>
      <c r="G2" s="15" t="str">
        <f>code</f>
        <v>0444</v>
      </c>
    </row>
    <row r="3" spans="1:9" ht="13" x14ac:dyDescent="0.3">
      <c r="B3" s="13"/>
      <c r="C3" s="14" t="s">
        <v>96</v>
      </c>
      <c r="G3" s="15" t="str">
        <f>+sigle</f>
        <v>ESTER</v>
      </c>
    </row>
    <row r="4" spans="1:9" ht="13" x14ac:dyDescent="0.3">
      <c r="B4" s="13"/>
      <c r="C4" s="14" t="s">
        <v>97</v>
      </c>
      <c r="G4" s="32">
        <f>'BD STE ET AUTRES'!H7</f>
        <v>0</v>
      </c>
    </row>
    <row r="5" spans="1:9" x14ac:dyDescent="0.25">
      <c r="C5" s="14" t="s">
        <v>95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93</v>
      </c>
      <c r="H6" s="9"/>
    </row>
    <row r="7" spans="1:9" x14ac:dyDescent="0.25">
      <c r="C7" s="14" t="s">
        <v>94</v>
      </c>
      <c r="H7" s="9"/>
    </row>
    <row r="8" spans="1:9" x14ac:dyDescent="0.25">
      <c r="C8" s="14" t="s">
        <v>115</v>
      </c>
    </row>
    <row r="9" spans="1:9" x14ac:dyDescent="0.25">
      <c r="C9" s="14" t="s">
        <v>116</v>
      </c>
    </row>
    <row r="10" spans="1:9" x14ac:dyDescent="0.25">
      <c r="C10" s="14" t="s">
        <v>117</v>
      </c>
      <c r="G10" s="12" t="s">
        <v>118</v>
      </c>
      <c r="H10" s="12" t="s">
        <v>119</v>
      </c>
    </row>
    <row r="11" spans="1:9" x14ac:dyDescent="0.25">
      <c r="C11" s="8" t="s">
        <v>12</v>
      </c>
      <c r="G11" s="7" t="str">
        <f>conso</f>
        <v>S2015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100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DLS</v>
      </c>
    </row>
    <row r="16" spans="1:9" x14ac:dyDescent="0.25">
      <c r="C16" s="14" t="s">
        <v>101</v>
      </c>
      <c r="H16" s="7" t="str">
        <f>lieudetenue</f>
        <v>DLS</v>
      </c>
      <c r="I16" s="12" t="s">
        <v>87</v>
      </c>
    </row>
    <row r="17" spans="2:8" x14ac:dyDescent="0.25">
      <c r="C17" s="14" t="s">
        <v>102</v>
      </c>
      <c r="H17" s="12" t="s">
        <v>103</v>
      </c>
    </row>
    <row r="18" spans="2:8" x14ac:dyDescent="0.25">
      <c r="C18" s="14" t="s">
        <v>104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105</v>
      </c>
      <c r="D21" s="12"/>
      <c r="G21" s="7" t="str">
        <f>adressesiege</f>
        <v>40, RUE JAMES WATT - ACTICAMPUS</v>
      </c>
      <c r="H21" s="12"/>
    </row>
    <row r="22" spans="2:8" x14ac:dyDescent="0.25">
      <c r="B22" s="13"/>
      <c r="C22" s="14" t="s">
        <v>106</v>
      </c>
      <c r="D22" s="12"/>
      <c r="H22" s="12"/>
    </row>
    <row r="23" spans="2:8" x14ac:dyDescent="0.25">
      <c r="B23" s="13"/>
      <c r="C23" s="14" t="s">
        <v>107</v>
      </c>
      <c r="D23" s="12"/>
      <c r="H23" s="12"/>
    </row>
    <row r="24" spans="2:8" x14ac:dyDescent="0.25">
      <c r="B24" s="13"/>
      <c r="C24" s="14" t="s">
        <v>23</v>
      </c>
      <c r="D24" s="12"/>
      <c r="G24" s="7">
        <f>cp</f>
        <v>37200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TOURS</v>
      </c>
      <c r="H25" s="12"/>
    </row>
    <row r="26" spans="2:8" x14ac:dyDescent="0.25">
      <c r="B26" s="13"/>
      <c r="C26" s="14" t="s">
        <v>108</v>
      </c>
      <c r="D26" s="12"/>
      <c r="G26" s="12" t="s">
        <v>109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904677234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00026</v>
      </c>
      <c r="H29" s="12"/>
    </row>
    <row r="30" spans="2:8" x14ac:dyDescent="0.25">
      <c r="B30" s="13"/>
      <c r="C30" s="14" t="s">
        <v>27</v>
      </c>
      <c r="D30" s="12"/>
      <c r="G30" s="7">
        <f>capital</f>
        <v>1000000</v>
      </c>
      <c r="H30" s="12"/>
    </row>
    <row r="31" spans="2:8" x14ac:dyDescent="0.25">
      <c r="B31" s="13"/>
      <c r="C31" s="14" t="s">
        <v>110</v>
      </c>
      <c r="D31" s="12"/>
      <c r="G31" s="7" t="str">
        <f>naf</f>
        <v>3530Z</v>
      </c>
      <c r="H31" s="12"/>
    </row>
    <row r="32" spans="2:8" x14ac:dyDescent="0.25">
      <c r="B32" s="13"/>
      <c r="C32" s="14" t="s">
        <v>111</v>
      </c>
      <c r="D32" s="12"/>
      <c r="G32" s="12" t="s">
        <v>112</v>
      </c>
      <c r="H32" s="12"/>
    </row>
    <row r="33" spans="1:9" x14ac:dyDescent="0.25">
      <c r="B33" s="13"/>
      <c r="C33" s="14" t="s">
        <v>113</v>
      </c>
      <c r="D33" s="12"/>
      <c r="G33" s="7" t="str">
        <f>villedepot</f>
        <v>TOURS</v>
      </c>
      <c r="H33" s="12"/>
    </row>
    <row r="34" spans="1:9" x14ac:dyDescent="0.25">
      <c r="B34" s="13"/>
      <c r="C34" s="14" t="s">
        <v>114</v>
      </c>
      <c r="D34" s="12"/>
      <c r="G34" s="7" t="str">
        <f>intracom</f>
        <v>FR38904677234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6"/>
      <c r="B39" s="12" t="s">
        <v>59</v>
      </c>
    </row>
    <row r="40" spans="1:9" x14ac:dyDescent="0.25">
      <c r="B40" s="12"/>
      <c r="D40" s="12" t="s">
        <v>58</v>
      </c>
    </row>
    <row r="41" spans="1:9" x14ac:dyDescent="0.25">
      <c r="D41" s="12" t="s">
        <v>47</v>
      </c>
    </row>
    <row r="42" spans="1:9" x14ac:dyDescent="0.25">
      <c r="D42" s="12" t="s">
        <v>48</v>
      </c>
    </row>
    <row r="44" spans="1:9" x14ac:dyDescent="0.25">
      <c r="C44" s="12" t="s">
        <v>91</v>
      </c>
    </row>
    <row r="45" spans="1:9" x14ac:dyDescent="0.25">
      <c r="C45" s="14" t="s">
        <v>90</v>
      </c>
      <c r="D45" s="30"/>
      <c r="E45" s="31"/>
      <c r="F45" s="31"/>
      <c r="G45" s="31"/>
      <c r="H45" s="31"/>
      <c r="I45" s="31"/>
    </row>
    <row r="46" spans="1:9" hidden="1" x14ac:dyDescent="0.25">
      <c r="D46" s="12" t="s">
        <v>84</v>
      </c>
    </row>
    <row r="47" spans="1:9" x14ac:dyDescent="0.25">
      <c r="C47" s="8" t="s">
        <v>85</v>
      </c>
      <c r="D47" s="12"/>
    </row>
    <row r="48" spans="1:9" hidden="1" x14ac:dyDescent="0.25">
      <c r="D48" s="12" t="s">
        <v>86</v>
      </c>
    </row>
    <row r="49" spans="1:4" x14ac:dyDescent="0.25">
      <c r="D49" s="12" t="s">
        <v>77</v>
      </c>
    </row>
    <row r="50" spans="1:4" x14ac:dyDescent="0.25">
      <c r="B50" s="12" t="s">
        <v>75</v>
      </c>
      <c r="D50" s="12"/>
    </row>
    <row r="51" spans="1:4" x14ac:dyDescent="0.25">
      <c r="B51" s="12" t="s">
        <v>88</v>
      </c>
      <c r="D51" s="12"/>
    </row>
    <row r="52" spans="1:4" x14ac:dyDescent="0.25">
      <c r="A52" s="12" t="s">
        <v>49</v>
      </c>
    </row>
    <row r="53" spans="1:4" x14ac:dyDescent="0.25">
      <c r="A53" s="12" t="s">
        <v>61</v>
      </c>
    </row>
    <row r="54" spans="1:4" x14ac:dyDescent="0.25">
      <c r="A54" s="12" t="s">
        <v>63</v>
      </c>
    </row>
    <row r="55" spans="1:4" x14ac:dyDescent="0.25">
      <c r="A55" s="12" t="s">
        <v>62</v>
      </c>
    </row>
    <row r="56" spans="1:4" x14ac:dyDescent="0.25">
      <c r="A56" s="12" t="s">
        <v>64</v>
      </c>
    </row>
    <row r="57" spans="1:4" x14ac:dyDescent="0.25">
      <c r="A57" s="12" t="s">
        <v>65</v>
      </c>
    </row>
    <row r="58" spans="1:4" x14ac:dyDescent="0.25">
      <c r="A58" s="12" t="s">
        <v>50</v>
      </c>
    </row>
    <row r="59" spans="1:4" x14ac:dyDescent="0.25">
      <c r="A59" s="12" t="s">
        <v>51</v>
      </c>
    </row>
    <row r="60" spans="1:4" x14ac:dyDescent="0.25">
      <c r="A60" s="12" t="s">
        <v>66</v>
      </c>
    </row>
    <row r="61" spans="1:4" x14ac:dyDescent="0.25">
      <c r="A61" s="12" t="s">
        <v>52</v>
      </c>
    </row>
    <row r="62" spans="1:4" x14ac:dyDescent="0.25">
      <c r="A62" s="12" t="s">
        <v>67</v>
      </c>
    </row>
    <row r="63" spans="1:4" x14ac:dyDescent="0.25">
      <c r="A63" s="12" t="s">
        <v>53</v>
      </c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23</vt:i4>
      </vt:variant>
    </vt:vector>
  </HeadingPairs>
  <TitlesOfParts>
    <vt:vector size="29" baseType="lpstr">
      <vt:lpstr>513517 - banque</vt:lpstr>
      <vt:lpstr>INITSOC- Oracle R12</vt:lpstr>
      <vt:lpstr>Attributions Responsabilités</vt:lpstr>
      <vt:lpstr>Nouveau référentiel R12</vt:lpstr>
      <vt:lpstr>ADRESSE TSA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'ADRESSE TSA'!Zone_d_impression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2025-04-25T06:05:15Z</cp:lastPrinted>
  <dcterms:created xsi:type="dcterms:W3CDTF">1999-03-09T10:58:01Z</dcterms:created>
  <dcterms:modified xsi:type="dcterms:W3CDTF">2025-04-25T06:05:31Z</dcterms:modified>
</cp:coreProperties>
</file>