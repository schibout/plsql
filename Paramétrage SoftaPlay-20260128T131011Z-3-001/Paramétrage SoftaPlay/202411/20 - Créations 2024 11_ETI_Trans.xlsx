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411\"/>
    </mc:Choice>
  </mc:AlternateContent>
  <bookViews>
    <workbookView xWindow="290" yWindow="50" windowWidth="15870" windowHeight="5840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11" i="5" l="1"/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<sst xmlns="http://schemas.openxmlformats.org/spreadsheetml/2006/main" count="565" uniqueCount="148">
  <si>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</si>
  <si>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</si>
  <si>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</si>
  <si>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</si>
  <si>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</si>
  <si>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</si>
  <si>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</si>
  <si>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</si>
  <si>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</si>
  <si>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</si>
  <si>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</si>
  <si>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</si>
  <si>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</si>
  <si>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</si>
  <si>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</si>
  <si>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</si>
  <si>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</si>
  <si>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</si>
  <si>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</si>
  <si>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</si>
  <si>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</si>
  <si>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</si>
  <si>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</si>
  <si>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</si>
  <si>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</si>
  <si>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</si>
  <si>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</si>
  <si>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</si>
  <si>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</si>
  <si>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</si>
  <si>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</si>
  <si>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</si>
  <si>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</si>
  <si>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</si>
  <si>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</si>
  <si>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</si>
  <si>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</si>
  <si>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</si>
  <si>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</si>
  <si>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</si>
  <si>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</si>
  <si>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</si>
  <si>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</si>
  <si>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</si>
  <si>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</si>
  <si>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</si>
  <si>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</si>
  <si>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</si>
  <si>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</si>
  <si>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</si>
  <si>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</si>
  <si>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</si>
  <si>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</si>
  <si>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</si>
  <si>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</si>
  <si>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</si>
  <si>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</si>
  <si>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</si>
  <si>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</si>
  <si>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</si>
  <si>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</si>
  <si>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</si>
  <si>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</si>
  <si>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</si>
  <si>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</si>
  <si>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</si>
  <si>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</si>
  <si>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</si>
  <si>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</si>
  <si>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</si>
  <si>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</si>
  <si>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</si>
  <si>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</si>
  <si>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</si>
  <si>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</si>
  <si>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</si>
  <si>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</si>
  <si>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</si>
  <si>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</si>
  <si>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</si>
  <si>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</si>
  <si>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</si>
  <si>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</si>
  <si>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</si>
  <si>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</si>
  <si>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</si>
  <si>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</si>
  <si>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</si>
  <si>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</si>
  <si>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</si>
  <si>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</si>
  <si>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</si>
  <si>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</si>
  <si>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</si>
  <si>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</si>
  <si>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</si>
  <si>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</si>
  <si>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</si>
  <si>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</si>
  <si>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</si>
  <si>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</si>
  <si>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DK 27</t>
  </si>
  <si>
    <t>0513</t>
  </si>
  <si>
    <t>S2327</t>
  </si>
  <si>
    <t xml:space="preserve">33, Place des Corolles TOUR EUROPE </t>
  </si>
  <si>
    <t>92400</t>
  </si>
  <si>
    <t>COURBEVOIE</t>
  </si>
  <si>
    <t>TSA 85501</t>
  </si>
  <si>
    <t>BNP PARIBAS</t>
  </si>
  <si>
    <t>FB0084715S</t>
  </si>
  <si>
    <t>SOCIETE VALMY DEFENSE 108</t>
  </si>
  <si>
    <t>0412</t>
  </si>
  <si>
    <t>S2008</t>
  </si>
  <si>
    <t>XXXXX</t>
  </si>
  <si>
    <t>TSA 55507</t>
  </si>
  <si>
    <t>FB0084874Y</t>
  </si>
  <si>
    <t>0505</t>
  </si>
  <si>
    <t>MONTCHOVET ENERGIES</t>
  </si>
  <si>
    <t>YS2121</t>
  </si>
  <si>
    <t>15, AV ALBERT EINSTEIN TOUR EUROPE - TSA 77655</t>
  </si>
  <si>
    <t>VILLEURBANNE</t>
  </si>
  <si>
    <t>TSA 35505</t>
  </si>
  <si>
    <t>FB0084664J</t>
  </si>
  <si>
    <t>0450</t>
  </si>
  <si>
    <t>REMIREMONT ENERGIE</t>
  </si>
  <si>
    <t>YS2018</t>
  </si>
  <si>
    <t>6, rue des Trezelots</t>
  </si>
  <si>
    <t>PULNOY</t>
  </si>
  <si>
    <t>TSA 15503</t>
  </si>
  <si>
    <t>FB0085324J</t>
  </si>
  <si>
    <t>0506</t>
  </si>
  <si>
    <t>MONTROUGE ER</t>
  </si>
  <si>
    <t>MONTROUGE ENERGIE RENOUVELABLE</t>
  </si>
  <si>
    <t>YS2122</t>
  </si>
  <si>
    <t>33, Place des Corolles TOUR EUROPE</t>
  </si>
  <si>
    <t>FB0085873H</t>
  </si>
  <si>
    <t>ECOME</t>
  </si>
  <si>
    <t>S2126</t>
  </si>
  <si>
    <t>0512</t>
  </si>
  <si>
    <t>SARAN</t>
  </si>
  <si>
    <t>33, rue de l'Olivier - Zac des Vergers - Pôle 45</t>
  </si>
  <si>
    <t>TSA 45506</t>
  </si>
  <si>
    <t>FB0087364C</t>
  </si>
  <si>
    <t>0515</t>
  </si>
  <si>
    <t>SFT</t>
  </si>
  <si>
    <t>S2328</t>
  </si>
  <si>
    <t>15A, Avenue Albert Einstein</t>
  </si>
  <si>
    <t>FB0087894E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</si>
</sst>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Normal="100" workbookViewId="0">
      <pane xSplit="6" ySplit="1" topLeftCell="G2" activePane="bottomRight" state="frozenSplit"/>
      <selection activeCell="F50" sqref="F50"/>
      <selection pane="topRight" activeCell="F50" sqref="F50"/>
      <selection pane="bottomLeft" activeCell="F50" sqref="F50"/>
      <selection pane="bottomRight" activeCell="J9" sqref="J9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30.1796875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9.81640625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102</v>
      </c>
      <c r="B2" s="6" t="s">
        <v>41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41</v>
      </c>
      <c r="I2" s="17" t="s">
        <v>101</v>
      </c>
      <c r="J2" s="6" t="s">
        <v>104</v>
      </c>
      <c r="K2" s="18" t="s">
        <v>105</v>
      </c>
      <c r="L2" s="16" t="s">
        <v>106</v>
      </c>
      <c r="M2" s="6">
        <v>18513</v>
      </c>
      <c r="N2" s="6" t="s">
        <v>107</v>
      </c>
      <c r="O2" s="10" t="s">
        <v>99</v>
      </c>
      <c r="P2" s="19">
        <v>513570</v>
      </c>
      <c r="Q2" s="6" t="s">
        <v>108</v>
      </c>
      <c r="R2" s="23" t="s">
        <v>109</v>
      </c>
    </row>
    <row r="3" spans="1:19" s="6" customFormat="1" ht="16" thickBot="1" x14ac:dyDescent="0.4">
      <c r="A3" s="1" t="s">
        <v>111</v>
      </c>
      <c r="B3" s="6" t="s">
        <v>44</v>
      </c>
      <c r="C3" s="15" t="s">
        <v>110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44</v>
      </c>
      <c r="I3" s="17" t="s">
        <v>110</v>
      </c>
      <c r="J3" s="6" t="s">
        <v>97</v>
      </c>
      <c r="K3" s="18">
        <v>59350</v>
      </c>
      <c r="L3" s="16" t="s">
        <v>98</v>
      </c>
      <c r="M3" s="6" t="s">
        <v>113</v>
      </c>
      <c r="N3" s="6" t="s">
        <v>114</v>
      </c>
      <c r="O3" s="10" t="s">
        <v>99</v>
      </c>
      <c r="P3" s="19">
        <v>513479</v>
      </c>
      <c r="Q3" s="6" t="s">
        <v>100</v>
      </c>
      <c r="R3" s="22" t="s">
        <v>115</v>
      </c>
    </row>
    <row r="4" spans="1:19" s="6" customFormat="1" ht="16" thickBot="1" x14ac:dyDescent="0.4">
      <c r="A4" s="1" t="s">
        <v>116</v>
      </c>
      <c r="B4" s="6" t="s">
        <v>40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40</v>
      </c>
      <c r="I4" s="17" t="s">
        <v>117</v>
      </c>
      <c r="J4" s="6" t="s">
        <v>119</v>
      </c>
      <c r="K4" s="18">
        <v>69100</v>
      </c>
      <c r="L4" s="16" t="s">
        <v>120</v>
      </c>
      <c r="M4" s="6">
        <v>53505</v>
      </c>
      <c r="N4" s="6" t="s">
        <v>121</v>
      </c>
      <c r="O4" s="10" t="s">
        <v>99</v>
      </c>
      <c r="P4" s="19">
        <v>513564</v>
      </c>
      <c r="Q4" s="6" t="s">
        <v>108</v>
      </c>
      <c r="R4" s="21" t="s">
        <v>122</v>
      </c>
    </row>
    <row r="5" spans="1:19" s="6" customFormat="1" ht="16" thickBot="1" x14ac:dyDescent="0.4">
      <c r="A5" s="1"/>
      <c r="C5" s="15"/>
      <c r="H5" s="20"/>
      <c r="I5" s="17"/>
      <c r="J5" s="20"/>
      <c r="K5" s="18"/>
      <c r="L5" s="16"/>
      <c r="O5" s="10"/>
      <c r="P5" s="19"/>
      <c r="Q5" s="20"/>
      <c r="R5" s="23"/>
    </row>
    <row r="6" spans="1:19" s="6" customFormat="1" ht="16" thickBot="1" x14ac:dyDescent="0.4">
      <c r="A6" s="1" t="s">
        <v>123</v>
      </c>
      <c r="B6" s="6" t="s">
        <v>38</v>
      </c>
      <c r="C6" s="15" t="s">
        <v>124</v>
      </c>
      <c r="D6" s="6" t="s">
        <v>74</v>
      </c>
      <c r="E6" s="6" t="s">
        <v>34</v>
      </c>
      <c r="F6" s="6" t="s">
        <v>34</v>
      </c>
      <c r="G6" s="6" t="s">
        <v>125</v>
      </c>
      <c r="H6" s="20" t="s">
        <v>38</v>
      </c>
      <c r="I6" s="17" t="s">
        <v>124</v>
      </c>
      <c r="J6" s="6" t="s">
        <v>126</v>
      </c>
      <c r="K6" s="18">
        <v>54425</v>
      </c>
      <c r="L6" s="16" t="s">
        <v>127</v>
      </c>
      <c r="M6" s="6">
        <v>13450</v>
      </c>
      <c r="N6" s="6" t="s">
        <v>128</v>
      </c>
      <c r="O6" s="10" t="s">
        <v>99</v>
      </c>
      <c r="P6" s="19">
        <v>513520</v>
      </c>
      <c r="Q6" s="6" t="s">
        <v>108</v>
      </c>
      <c r="R6" s="23" t="s">
        <v>129</v>
      </c>
    </row>
    <row r="7" spans="1:19" s="6" customFormat="1" ht="16" thickBot="1" x14ac:dyDescent="0.4">
      <c r="A7" s="1" t="s">
        <v>130</v>
      </c>
      <c r="B7" s="6" t="s">
        <v>41</v>
      </c>
      <c r="C7" s="15" t="s">
        <v>132</v>
      </c>
      <c r="D7" s="6" t="s">
        <v>74</v>
      </c>
      <c r="E7" s="6" t="s">
        <v>34</v>
      </c>
      <c r="F7" s="6" t="s">
        <v>34</v>
      </c>
      <c r="G7" s="6" t="s">
        <v>133</v>
      </c>
      <c r="H7" s="4" t="s">
        <v>41</v>
      </c>
      <c r="I7" s="17" t="s">
        <v>131</v>
      </c>
      <c r="J7" s="6" t="s">
        <v>134</v>
      </c>
      <c r="K7" s="18">
        <v>92400</v>
      </c>
      <c r="L7" s="16" t="s">
        <v>106</v>
      </c>
      <c r="M7" s="6">
        <v>18506</v>
      </c>
      <c r="N7" s="6" t="s">
        <v>107</v>
      </c>
      <c r="O7" s="10" t="s">
        <v>99</v>
      </c>
      <c r="P7" s="19">
        <v>513565</v>
      </c>
      <c r="Q7" s="6" t="s">
        <v>108</v>
      </c>
      <c r="R7" s="23" t="s">
        <v>135</v>
      </c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3"/>
    </row>
    <row r="9" spans="1:19" s="6" customFormat="1" ht="16" thickBot="1" x14ac:dyDescent="0.4">
      <c r="A9" s="1" t="s">
        <v>138</v>
      </c>
      <c r="B9" s="6" t="s">
        <v>39</v>
      </c>
      <c r="C9" s="15" t="s">
        <v>136</v>
      </c>
      <c r="D9" s="6" t="s">
        <v>74</v>
      </c>
      <c r="E9" s="6" t="s">
        <v>34</v>
      </c>
      <c r="F9" s="4" t="s">
        <v>34</v>
      </c>
      <c r="G9" s="6" t="s">
        <v>137</v>
      </c>
      <c r="H9" s="4" t="s">
        <v>39</v>
      </c>
      <c r="I9" s="17" t="s">
        <v>136</v>
      </c>
      <c r="J9" s="20" t="s">
        <v>140</v>
      </c>
      <c r="K9" s="18">
        <v>45770</v>
      </c>
      <c r="L9" s="16" t="s">
        <v>139</v>
      </c>
      <c r="M9" s="6">
        <v>46512</v>
      </c>
      <c r="N9" s="6" t="s">
        <v>141</v>
      </c>
      <c r="O9" s="10" t="s">
        <v>99</v>
      </c>
      <c r="P9" s="19">
        <v>513569</v>
      </c>
      <c r="Q9" s="6" t="s">
        <v>108</v>
      </c>
      <c r="R9" s="23" t="s">
        <v>142</v>
      </c>
    </row>
    <row r="10" spans="1:19" ht="16" thickBot="1" x14ac:dyDescent="0.4">
      <c r="A10" s="1" t="s">
        <v>143</v>
      </c>
      <c r="B10" s="6" t="s">
        <v>40</v>
      </c>
      <c r="C10" s="15" t="s">
        <v>144</v>
      </c>
      <c r="D10" s="6" t="s">
        <v>74</v>
      </c>
      <c r="E10" s="6" t="s">
        <v>34</v>
      </c>
      <c r="F10" s="4" t="s">
        <v>34</v>
      </c>
      <c r="G10" s="6" t="s">
        <v>145</v>
      </c>
      <c r="H10" s="4" t="s">
        <v>40</v>
      </c>
      <c r="I10" s="17" t="s">
        <v>144</v>
      </c>
      <c r="J10" s="6" t="s">
        <v>146</v>
      </c>
      <c r="K10" s="18">
        <v>69100</v>
      </c>
      <c r="L10" s="16" t="s">
        <v>120</v>
      </c>
      <c r="M10" s="6">
        <v>53515</v>
      </c>
      <c r="N10" s="6" t="s">
        <v>121</v>
      </c>
      <c r="O10" s="10" t="s">
        <v>99</v>
      </c>
      <c r="P10" s="19">
        <v>513573</v>
      </c>
      <c r="Q10" s="6" t="s">
        <v>100</v>
      </c>
      <c r="R10" s="23" t="s">
        <v>147</v>
      </c>
      <c r="S10" s="6"/>
    </row>
    <row r="11" spans="1:19" ht="16" thickBot="1" x14ac:dyDescent="0.4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3"/>
      <c r="S11" s="6"/>
    </row>
    <row r="12" spans="1:19" ht="16" thickBot="1" x14ac:dyDescent="0.4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3"/>
      <c r="S12" s="6"/>
    </row>
    <row r="13" spans="1:19" ht="16" thickBot="1" x14ac:dyDescent="0.4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3"/>
      <c r="S13" s="6"/>
    </row>
    <row r="14" spans="1:19" ht="16" thickBot="1" x14ac:dyDescent="0.4">
      <c r="A14" s="1"/>
      <c r="D14" s="6"/>
      <c r="E14" s="6"/>
      <c r="F14" s="6"/>
      <c r="H14" s="20"/>
      <c r="I14" s="20"/>
      <c r="J14" s="20"/>
      <c r="K14" s="18"/>
      <c r="L14" s="16"/>
      <c r="R14" s="23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activeCell="F50" sqref="F50"/>
      <selection pane="bottomLeft" activeCell="F50" sqref="F50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30"/>
  <sheetViews>
    <sheetView zoomScaleNormal="100" workbookViewId="0">
      <pane ySplit="1" topLeftCell="A2" activePane="bottomLeft" state="frozenSplit"/>
      <selection activeCell="F50" sqref="F50"/>
      <selection pane="bottomLeft" activeCell="B10" sqref="B10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S2327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S2008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108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YS2121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MONTCHOVET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YS2018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REMIREMONT ENERGIE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YS2122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MONTROUGE ENERGIE RENOUVELABLE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>*FN</v>
      </c>
      <c r="B9" s="6" t="str">
        <f>IF(LEN('A créer'!G9)=0,"",'A créer'!G9)</f>
        <v>S2126</v>
      </c>
      <c r="C9" s="2" t="str">
        <f>IF(LEN('A créer'!G9)=0,"","Tab")</f>
        <v>Tab</v>
      </c>
      <c r="D9" s="6" t="str">
        <f>IF(LEN('A créer'!G9)=0,IF(LEN('A créer'!G9)&gt;0,CONCATENATE('A créer'!C9," ",'A créer'!B9),""),'A créer'!C9)</f>
        <v>ECOME</v>
      </c>
      <c r="E9" s="2" t="str">
        <f>IF(LEN('A créer'!G9)=0,"","Tab")</f>
        <v>Tab</v>
      </c>
      <c r="F9" s="2" t="str">
        <f>IF(LEN('A créer'!G9)=0,"","*SAVE")</f>
        <v>*SAVE</v>
      </c>
    </row>
    <row r="10" spans="1:6" x14ac:dyDescent="0.35">
      <c r="A10" s="2" t="str">
        <f>IF(LEN('A créer'!G10)=0,"","*FN")</f>
        <v>*FN</v>
      </c>
      <c r="B10" s="6" t="str">
        <f>IF(LEN('A créer'!G10)=0,"",'A créer'!G10)</f>
        <v>S2328</v>
      </c>
      <c r="C10" s="2" t="str">
        <f>IF(LEN('A créer'!G10)=0,"","Tab")</f>
        <v>Tab</v>
      </c>
      <c r="D10" s="6" t="str">
        <f>IF(LEN('A créer'!G10)=0,IF(LEN('A créer'!G10)&gt;0,CONCATENATE('A créer'!C10," ",'A créer'!B10),""),'A créer'!C10)</f>
        <v>SFT</v>
      </c>
      <c r="E10" s="2" t="str">
        <f>IF(LEN('A créer'!G10)=0,"","Tab")</f>
        <v>Tab</v>
      </c>
      <c r="F10" s="2" t="str">
        <f>IF(LEN('A créer'!G10)=0,"","*SAVE")</f>
        <v>*SAVE</v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C30"/>
  <sheetViews>
    <sheetView zoomScaleNormal="100" workbookViewId="0">
      <pane xSplit="1" ySplit="1" topLeftCell="AC2" activePane="bottomRight" state="frozenSplit"/>
      <selection activeCell="F50" sqref="F50"/>
      <selection pane="topRight" activeCell="F50" sqref="F50"/>
      <selection pane="bottomLeft" activeCell="F50" sqref="F50"/>
      <selection pane="bottomRight" activeCell="F50" sqref="F50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Z30"/>
  <sheetViews>
    <sheetView zoomScaleNormal="100" workbookViewId="0">
      <pane xSplit="1" ySplit="1" topLeftCell="B2" activePane="bottomRight" state="frozenSplit"/>
      <selection activeCell="D11" sqref="D11"/>
      <selection pane="topRight" activeCell="D11" sqref="D11"/>
      <selection pane="bottomLeft" activeCell="D11" sqref="D11"/>
      <selection pane="bottomRight" activeCell="F50" sqref="F50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 t="str">
        <f>IF('A créer'!D6="Oui",IF(AND(LEN('A créer'!B6)&gt;0,'A créer'!B6&lt;&gt;'A créer'!H6)=TRUE,'A créer'!G6,""),'A créer'!G6)</f>
        <v/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 t="str">
        <f>IF('A créer'!D7="Oui",IF(AND(LEN('A créer'!B7)&gt;0,'A créer'!B7&lt;&gt;'A créer'!H7)=TRUE,'A créer'!G7,""),'A créer'!G7)</f>
        <v/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 t="str">
        <f>IF('A créer'!D9="Oui",IF(AND(LEN('A créer'!B9)&gt;0,'A créer'!B9&lt;&gt;'A créer'!H9)=TRUE,'A créer'!G9,""),'A créer'!G9)</f>
        <v/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 t="str">
        <f>IF('A créer'!D10="Oui",IF(AND(LEN('A créer'!B10)&gt;0,'A créer'!B10&lt;&gt;'A créer'!H10)=TRUE,'A créer'!G10,""),'A créer'!G10)</f>
        <v/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Y30"/>
  <sheetViews>
    <sheetView zoomScaleNormal="100" workbookViewId="0">
      <pane ySplit="1" topLeftCell="A2" activePane="bottomLeft" state="frozenSplit"/>
      <selection activeCell="F50" sqref="F50"/>
      <selection pane="bottomLeft" activeCell="B10" sqref="B10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6.7265625" bestFit="1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0513 DK 27/DRW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513479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0412 SOCIETE VALMY DEFENSE 108/DNA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513564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BNP PARIBAS 0505 MONTCHOVET ENERGIES/DMS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513520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BNP PARIBAS 0450 REMIREMONT ENERGIE/DCW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513565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BNP PARIBAS 0506 MONTROUGE ENERGIE RENOUVELABLE/DRW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>*FN</v>
      </c>
      <c r="B9" s="6">
        <f>IF(AND(LEN('A créer'!P9)=0,OR('A créer'!D9="Oui",LEN('A créer'!D9)=0))=TRUE,"",'A créer'!P9)</f>
        <v>513569</v>
      </c>
      <c r="C9" s="2" t="str">
        <f>IF(AND(LEN('A créer'!P9)=0,OR('A créer'!D9="Oui",LEN('A créer'!D9)=0))=TRUE,"","Tab")</f>
        <v>Tab</v>
      </c>
      <c r="D9" s="6" t="str">
        <f>IF(AND(LEN('A créer'!P9)=0,OR('A créer'!D9="Oui",LEN('A créer'!D9)=0))=TRUE,"",CONCATENATE('A créer'!Q9," ",'A créer'!A9," ",'A créer'!C9,"/",'A créer'!B9))</f>
        <v>BNP PARIBAS 0512 ECOME/DLS</v>
      </c>
      <c r="E9" s="2" t="str">
        <f>IF(AND(LEN('A créer'!P9)=0,OR('A créer'!D9="Oui",LEN('A créer'!D9)=0))=TRUE,"","Tab 4")</f>
        <v>Tab 4</v>
      </c>
      <c r="F9" s="2" t="str">
        <f>IF(AND(LEN('A créer'!P9)=0,OR('A créer'!D9="Oui",LEN('A créer'!D9)=0))=TRUE,"","Tab")</f>
        <v>Tab</v>
      </c>
      <c r="G9" s="2" t="str">
        <f>IF(AND(LEN('A créer'!P9)=0,OR('A créer'!D9="Oui",LEN('A créer'!D9)=0))=TRUE,"","Tab")</f>
        <v>Tab</v>
      </c>
      <c r="H9" s="6" t="str">
        <f>IF(AND(LEN('A créer'!P9)=0,OR('A créer'!D9="Oui",LEN('A créer'!D9)=0))=TRUE,"","Non")</f>
        <v>Non</v>
      </c>
      <c r="I9" s="2" t="str">
        <f>IF(AND(LEN('A créer'!P9)=0,OR('A créer'!D9="Oui",LEN('A créer'!D9)=0))=TRUE,"","Tab")</f>
        <v>Tab</v>
      </c>
      <c r="J9" s="6" t="str">
        <f>IF(AND(LEN('A créer'!P9)=0,OR('A créer'!D9="Oui",LEN('A créer'!D9)=0))=TRUE,"","Oui")</f>
        <v>Oui</v>
      </c>
      <c r="K9" s="2" t="str">
        <f>IF(AND(LEN('A créer'!P9)=0,OR('A créer'!D9="Oui",LEN('A créer'!D9)=0))=TRUE,"","Tab")</f>
        <v>Tab</v>
      </c>
      <c r="L9" s="6" t="str">
        <f>IF(AND(LEN('A créer'!P9)=0,OR('A créer'!D9="Oui",LEN('A créer'!D9)=0))=TRUE,"","Actif")</f>
        <v>Actif</v>
      </c>
      <c r="M9" s="2" t="str">
        <f>IF(AND(LEN('A créer'!P9)=0,OR('A créer'!D9="Oui",LEN('A créer'!D9)=0))=TRUE,"","Tab")</f>
        <v>Tab</v>
      </c>
      <c r="N9" s="6" t="str">
        <f>IF(AND(LEN('A créer'!P9)=0,OR('A créer'!D9="Oui",LEN('A créer'!D9)=0))=TRUE,"","Non")</f>
        <v>Non</v>
      </c>
      <c r="O9" s="2" t="str">
        <f>IF(AND(LEN('A créer'!P9)=0,OR('A créer'!D9="Oui",LEN('A créer'!D9)=0))=TRUE,"","Tab")</f>
        <v>Tab</v>
      </c>
      <c r="P9" s="6" t="str">
        <f>IF(AND(LEN('A créer'!P9)=0,OR('A créer'!D9="Oui",LEN('A créer'!D9)=0))=TRUE,"","Non")</f>
        <v>Non</v>
      </c>
      <c r="Q9" s="2" t="str">
        <f>IF(AND(LEN('A créer'!P9)=0,OR('A créer'!D9="Oui",LEN('A créer'!D9)=0))=TRUE,"","Tab")</f>
        <v>Tab</v>
      </c>
      <c r="R9" s="2" t="str">
        <f>IF(AND(LEN('A créer'!P9)=0,OR('A créer'!D9="Oui",LEN('A créer'!D9)=0))=TRUE,"","ENT")</f>
        <v>ENT</v>
      </c>
      <c r="S9" s="2" t="s">
        <v>94</v>
      </c>
      <c r="T9" s="2" t="str">
        <f>IF(AND(LEN('A créer'!P9)=0,OR('A créer'!D9="Oui",LEN('A créer'!D9)=0))=TRUE,"","Tab")</f>
        <v>Tab</v>
      </c>
      <c r="U9" s="2" t="str">
        <f>IF(AND(LEN('A créer'!P9)=0,OR('A créer'!D9="Oui",LEN('A créer'!D9)=0))=TRUE,"","Tab")</f>
        <v>Tab</v>
      </c>
      <c r="V9" s="2" t="str">
        <f>IF(AND(LEN('A créer'!P9)=0,OR('A créer'!D9="Oui",LEN('A créer'!D9)=0))=TRUE,"","Tab")</f>
        <v>Tab</v>
      </c>
      <c r="W9" s="4" t="str">
        <f>IF(AND(LEN('A créer'!P9)=0,OR('A créer'!D9="Oui",LEN('A créer'!D9)=0))=TRUE,"","Non")</f>
        <v>Non</v>
      </c>
      <c r="X9" s="2" t="str">
        <f>IF(AND(LEN('A créer'!P9)=0,OR('A créer'!D9="Oui",LEN('A créer'!D9)=0))=TRUE,"","ENT")</f>
        <v>ENT</v>
      </c>
      <c r="Y9" s="2" t="str">
        <f>IF(AND(LEN('A créer'!P9)=0,OR('A créer'!D9="Oui",LEN('A créer'!D9)=0))=TRUE,"","*SAVE")</f>
        <v>*SAVE</v>
      </c>
    </row>
    <row r="10" spans="1:25" x14ac:dyDescent="0.35">
      <c r="A10" s="2" t="str">
        <f>IF(AND(LEN('A créer'!P10)=0,OR('A créer'!D10="Oui",LEN('A créer'!D10)=0))=TRUE,"","*FN")</f>
        <v>*FN</v>
      </c>
      <c r="B10" s="6">
        <f>IF(AND(LEN('A créer'!P10)=0,OR('A créer'!D10="Oui",LEN('A créer'!D10)=0))=TRUE,"",'A créer'!P10)</f>
        <v>513573</v>
      </c>
      <c r="C10" s="2" t="str">
        <f>IF(AND(LEN('A créer'!P10)=0,OR('A créer'!D10="Oui",LEN('A créer'!D10)=0))=TRUE,"","Tab")</f>
        <v>Tab</v>
      </c>
      <c r="D10" s="6" t="str">
        <f>IF(AND(LEN('A créer'!P10)=0,OR('A créer'!D10="Oui",LEN('A créer'!D10)=0))=TRUE,"",CONCATENATE('A créer'!Q10," ",'A créer'!A10," ",'A créer'!C10,"/",'A créer'!B10))</f>
        <v>SOCIETE GENERALE 0515 SFT/DMS</v>
      </c>
      <c r="E10" s="2" t="str">
        <f>IF(AND(LEN('A créer'!P10)=0,OR('A créer'!D10="Oui",LEN('A créer'!D10)=0))=TRUE,"","Tab 4")</f>
        <v>Tab 4</v>
      </c>
      <c r="F10" s="2" t="str">
        <f>IF(AND(LEN('A créer'!P10)=0,OR('A créer'!D10="Oui",LEN('A créer'!D10)=0))=TRUE,"","Tab")</f>
        <v>Tab</v>
      </c>
      <c r="G10" s="2" t="str">
        <f>IF(AND(LEN('A créer'!P10)=0,OR('A créer'!D10="Oui",LEN('A créer'!D10)=0))=TRUE,"","Tab")</f>
        <v>Tab</v>
      </c>
      <c r="H10" s="6" t="str">
        <f>IF(AND(LEN('A créer'!P10)=0,OR('A créer'!D10="Oui",LEN('A créer'!D10)=0))=TRUE,"","Non")</f>
        <v>Non</v>
      </c>
      <c r="I10" s="2" t="str">
        <f>IF(AND(LEN('A créer'!P10)=0,OR('A créer'!D10="Oui",LEN('A créer'!D10)=0))=TRUE,"","Tab")</f>
        <v>Tab</v>
      </c>
      <c r="J10" s="6" t="str">
        <f>IF(AND(LEN('A créer'!P10)=0,OR('A créer'!D10="Oui",LEN('A créer'!D10)=0))=TRUE,"","Oui")</f>
        <v>Oui</v>
      </c>
      <c r="K10" s="2" t="str">
        <f>IF(AND(LEN('A créer'!P10)=0,OR('A créer'!D10="Oui",LEN('A créer'!D10)=0))=TRUE,"","Tab")</f>
        <v>Tab</v>
      </c>
      <c r="L10" s="6" t="str">
        <f>IF(AND(LEN('A créer'!P10)=0,OR('A créer'!D10="Oui",LEN('A créer'!D10)=0))=TRUE,"","Actif")</f>
        <v>Actif</v>
      </c>
      <c r="M10" s="2" t="str">
        <f>IF(AND(LEN('A créer'!P10)=0,OR('A créer'!D10="Oui",LEN('A créer'!D10)=0))=TRUE,"","Tab")</f>
        <v>Tab</v>
      </c>
      <c r="N10" s="6" t="str">
        <f>IF(AND(LEN('A créer'!P10)=0,OR('A créer'!D10="Oui",LEN('A créer'!D10)=0))=TRUE,"","Non")</f>
        <v>Non</v>
      </c>
      <c r="O10" s="2" t="str">
        <f>IF(AND(LEN('A créer'!P10)=0,OR('A créer'!D10="Oui",LEN('A créer'!D10)=0))=TRUE,"","Tab")</f>
        <v>Tab</v>
      </c>
      <c r="P10" s="6" t="str">
        <f>IF(AND(LEN('A créer'!P10)=0,OR('A créer'!D10="Oui",LEN('A créer'!D10)=0))=TRUE,"","Non")</f>
        <v>Non</v>
      </c>
      <c r="Q10" s="2" t="str">
        <f>IF(AND(LEN('A créer'!P10)=0,OR('A créer'!D10="Oui",LEN('A créer'!D10)=0))=TRUE,"","Tab")</f>
        <v>Tab</v>
      </c>
      <c r="R10" s="2" t="str">
        <f>IF(AND(LEN('A créer'!P10)=0,OR('A créer'!D10="Oui",LEN('A créer'!D10)=0))=TRUE,"","ENT")</f>
        <v>ENT</v>
      </c>
      <c r="S10" s="2" t="s">
        <v>94</v>
      </c>
      <c r="T10" s="2" t="str">
        <f>IF(AND(LEN('A créer'!P10)=0,OR('A créer'!D10="Oui",LEN('A créer'!D10)=0))=TRUE,"","Tab")</f>
        <v>Tab</v>
      </c>
      <c r="U10" s="2" t="str">
        <f>IF(AND(LEN('A créer'!P10)=0,OR('A créer'!D10="Oui",LEN('A créer'!D10)=0))=TRUE,"","Tab")</f>
        <v>Tab</v>
      </c>
      <c r="V10" s="2" t="str">
        <f>IF(AND(LEN('A créer'!P10)=0,OR('A créer'!D10="Oui",LEN('A créer'!D10)=0))=TRUE,"","Tab")</f>
        <v>Tab</v>
      </c>
      <c r="W10" s="4" t="str">
        <f>IF(AND(LEN('A créer'!P10)=0,OR('A créer'!D10="Oui",LEN('A créer'!D10)=0))=TRUE,"","Non")</f>
        <v>Non</v>
      </c>
      <c r="X10" s="2" t="str">
        <f>IF(AND(LEN('A créer'!P10)=0,OR('A créer'!D10="Oui",LEN('A créer'!D10)=0))=TRUE,"","ENT")</f>
        <v>ENT</v>
      </c>
      <c r="Y10" s="2" t="str">
        <f>IF(AND(LEN('A créer'!P10)=0,OR('A créer'!D10="Oui",LEN('A créer'!D10)=0))=TRUE,"","*SAVE")</f>
        <v>*SAVE</v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R30"/>
  <sheetViews>
    <sheetView zoomScaleNormal="100" workbookViewId="0">
      <pane ySplit="1" topLeftCell="A2" activePane="bottomLeft" state="frozenSplit"/>
      <selection activeCell="F50" sqref="F50"/>
      <selection pane="bottomLeft" activeCell="A9" sqref="A9:R10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69.453125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DRW0513</v>
      </c>
      <c r="C2" s="2" t="str">
        <f>IF(LEN('A créer'!C2)=0,"","Tab")</f>
        <v>Tab</v>
      </c>
      <c r="D2" t="str">
        <f>IF(LEN('A créer'!C2)=0,"",CONCATENATE(,'A créer'!B2,'A créer'!A2,"-",'A créer'!C2))</f>
        <v>DRW0513-DK 27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FB0084715S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DRW_0513PF FPS 0513 DK 27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DNA0412</v>
      </c>
      <c r="C3" s="2" t="str">
        <f>IF(LEN('A créer'!C3)=0,"","Tab")</f>
        <v>Tab</v>
      </c>
      <c r="D3" t="str">
        <f>IF(LEN('A créer'!C3)=0,"",CONCATENATE(,'A créer'!B3,'A créer'!A3,"-",'A créer'!C3))</f>
        <v>DNA0412-SOCIETE VALMY DEFENSE 108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FB0084874Y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DNA_0412PF FPS 0412 SOCIETE VALMY DEFENSE 108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DMS0505</v>
      </c>
      <c r="C4" s="2" t="str">
        <f>IF(LEN('A créer'!C4)=0,"","Tab")</f>
        <v>Tab</v>
      </c>
      <c r="D4" t="str">
        <f>IF(LEN('A créer'!C4)=0,"",CONCATENATE(,'A créer'!B4,'A créer'!A4,"-",'A créer'!C4))</f>
        <v>DMS0505-MONTCHOVET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FB0084664J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DMS_0505PF FPS 0505 MONTCHOVET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DCW0450</v>
      </c>
      <c r="C6" s="2" t="str">
        <f>IF(LEN('A créer'!C6)=0,"","Tab")</f>
        <v>Tab</v>
      </c>
      <c r="D6" t="str">
        <f>IF(LEN('A créer'!C6)=0,"",CONCATENATE(,'A créer'!B6,'A créer'!A6,"-",'A créer'!C6))</f>
        <v>DCW0450-REMIREMONT ENERGIE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FB0085324J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DCW_0450PF FPS 0450 REMIREMONT ENERGIE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DRW0506</v>
      </c>
      <c r="C7" s="2" t="str">
        <f>IF(LEN('A créer'!C7)=0,"","Tab")</f>
        <v>Tab</v>
      </c>
      <c r="D7" t="str">
        <f>IF(LEN('A créer'!C7)=0,"",CONCATENATE(,'A créer'!B7,'A créer'!A7,"-",'A créer'!C7))</f>
        <v>DRW0506-MONTROUGE ENERGIE RENOUVELABLE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FB0085873H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DRW_0506PF FPS 0506 MONTROUGE ENERGIE RENOUVELABLE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>*FN</v>
      </c>
      <c r="B9" t="str">
        <f>IF(LEN('A créer'!C9)=0,"",CONCATENATE(,'A créer'!B9,'A créer'!A9))</f>
        <v>DLS0512</v>
      </c>
      <c r="C9" s="2" t="str">
        <f>IF(LEN('A créer'!C9)=0,"","Tab")</f>
        <v>Tab</v>
      </c>
      <c r="D9" t="str">
        <f>IF(LEN('A créer'!C9)=0,"",CONCATENATE(,'A créer'!B9,'A créer'!A9,"-",'A créer'!C9))</f>
        <v>DLS0512-ECOME</v>
      </c>
      <c r="E9" s="2" t="str">
        <f>IF(LEN('A créer'!C9)=0,"","Tab 4")</f>
        <v>Tab 4</v>
      </c>
      <c r="F9" s="2" t="str">
        <f>IF(LEN('A créer'!C9)=0,"","Tab")</f>
        <v>Tab</v>
      </c>
      <c r="G9" s="2" t="str">
        <f>IF(LEN('A créer'!C9)=0,"","Tab")</f>
        <v>Tab</v>
      </c>
      <c r="H9" s="2" t="str">
        <f>IF(LEN('A créer'!C9)=0,"","ENT")</f>
        <v>ENT</v>
      </c>
      <c r="I9" s="2" t="str">
        <f>IF(LEN('A créer'!C9)=0,"","*SAVE")</f>
        <v>*SAVE</v>
      </c>
      <c r="J9" s="2" t="str">
        <f>IF(LEN('A créer'!R9)=0,"","*FN")</f>
        <v>*FN</v>
      </c>
      <c r="K9" t="str">
        <f>IF(LEN('A créer'!R9)=0,"",'A créer'!R9)</f>
        <v>FB0087364C</v>
      </c>
      <c r="L9" s="2" t="str">
        <f>IF(LEN('A créer'!R9)=0,"","Tab")</f>
        <v>Tab</v>
      </c>
      <c r="M9" t="str">
        <f>IF(LEN('A créer'!R9)=0,"",CONCATENATE(,'A créer'!B9,"_",'A créer'!A9,"PF FPS ",'A créer'!A9," ",'A créer'!C9))</f>
        <v>DLS_0512PF FPS 0512 ECOME</v>
      </c>
      <c r="N9" s="2" t="str">
        <f>IF(LEN('A créer'!R9)=0,"","Tab 4")</f>
        <v>Tab 4</v>
      </c>
      <c r="O9" s="2" t="str">
        <f>IF(LEN('A créer'!R9)=0,"","Tab")</f>
        <v>Tab</v>
      </c>
      <c r="P9" s="2" t="str">
        <f>IF(LEN('A créer'!R9)=0,"","Tab")</f>
        <v>Tab</v>
      </c>
      <c r="Q9" s="2" t="str">
        <f>IF(LEN('A créer'!R9)=0,"","ENT")</f>
        <v>ENT</v>
      </c>
      <c r="R9" s="2" t="str">
        <f>IF(LEN('A créer'!R9)=0,"","*SAVE")</f>
        <v>*SAVE</v>
      </c>
    </row>
    <row r="10" spans="1:18" x14ac:dyDescent="0.35">
      <c r="A10" s="2" t="str">
        <f>IF(LEN('A créer'!C10)=0,"","*FN")</f>
        <v>*FN</v>
      </c>
      <c r="B10" t="str">
        <f>IF(LEN('A créer'!C10)=0,"",CONCATENATE(,'A créer'!B10,'A créer'!A10))</f>
        <v>DMS0515</v>
      </c>
      <c r="C10" s="2" t="str">
        <f>IF(LEN('A créer'!C10)=0,"","Tab")</f>
        <v>Tab</v>
      </c>
      <c r="D10" t="str">
        <f>IF(LEN('A créer'!C10)=0,"",CONCATENATE(,'A créer'!B10,'A créer'!A10,"-",'A créer'!C10))</f>
        <v>DMS0515-SFT</v>
      </c>
      <c r="E10" s="2" t="str">
        <f>IF(LEN('A créer'!C10)=0,"","Tab 4")</f>
        <v>Tab 4</v>
      </c>
      <c r="F10" s="2" t="str">
        <f>IF(LEN('A créer'!C10)=0,"","Tab")</f>
        <v>Tab</v>
      </c>
      <c r="G10" s="2" t="str">
        <f>IF(LEN('A créer'!C10)=0,"","Tab")</f>
        <v>Tab</v>
      </c>
      <c r="H10" s="2" t="str">
        <f>IF(LEN('A créer'!C10)=0,"","ENT")</f>
        <v>ENT</v>
      </c>
      <c r="I10" s="2" t="str">
        <f>IF(LEN('A créer'!C10)=0,"","*SAVE")</f>
        <v>*SAVE</v>
      </c>
      <c r="J10" s="2" t="str">
        <f>IF(LEN('A créer'!R10)=0,"","*FN")</f>
        <v>*FN</v>
      </c>
      <c r="K10" t="str">
        <f>IF(LEN('A créer'!R10)=0,"",'A créer'!R10)</f>
        <v>FB0087894E</v>
      </c>
      <c r="L10" s="2" t="str">
        <f>IF(LEN('A créer'!R10)=0,"","Tab")</f>
        <v>Tab</v>
      </c>
      <c r="M10" t="str">
        <f>IF(LEN('A créer'!R10)=0,"",CONCATENATE(,'A créer'!B10,"_",'A créer'!A10,"PF FPS ",'A créer'!A10," ",'A créer'!C10))</f>
        <v>DMS_0515PF FPS 0515 SFT</v>
      </c>
      <c r="N10" s="2" t="str">
        <f>IF(LEN('A créer'!R10)=0,"","Tab 4")</f>
        <v>Tab 4</v>
      </c>
      <c r="O10" s="2" t="str">
        <f>IF(LEN('A créer'!R10)=0,"","Tab")</f>
        <v>Tab</v>
      </c>
      <c r="P10" s="2" t="str">
        <f>IF(LEN('A créer'!R10)=0,"","Tab")</f>
        <v>Tab</v>
      </c>
      <c r="Q10" s="2" t="str">
        <f>IF(LEN('A créer'!R10)=0,"","ENT")</f>
        <v>ENT</v>
      </c>
      <c r="R10" s="2" t="str">
        <f>IF(LEN('A créer'!R10)=0,"","*SAVE")</f>
        <v>*SAVE</v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Normal="100" workbookViewId="0">
      <pane xSplit="1" ySplit="1" topLeftCell="B2" activePane="bottomRight" state="frozenSplit"/>
      <selection activeCell="F50" sqref="F50"/>
      <selection pane="topRight" activeCell="F50" sqref="F50"/>
      <selection pane="bottomLeft" activeCell="F50" sqref="F50"/>
      <selection pane="bottomRight" activeCell="Y39" sqref="Y39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DRW0513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DNA0412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0505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DMS0505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0450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DCW0450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0506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DRW0506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>*FN</v>
      </c>
      <c r="B9" s="3" t="str">
        <f>IF(LEN('A créer'!C9)=0,"","\E")</f>
        <v>\E</v>
      </c>
      <c r="C9" s="2" t="str">
        <f>IF(LEN('A créer'!C9)=0,"","Tab")</f>
        <v>Tab</v>
      </c>
      <c r="D9" s="6" t="str">
        <f>IF(LEN('A créer'!C9)=0,"",'A créer'!A9)</f>
        <v>0512</v>
      </c>
      <c r="E9" s="2" t="str">
        <f>IF(LEN('A créer'!C9)=0,"","Tab")</f>
        <v>Tab</v>
      </c>
      <c r="F9" s="6">
        <f>IF(LEN('A créer'!C9)=0,"",0)</f>
        <v>0</v>
      </c>
      <c r="G9" s="2" t="str">
        <f>IF(LEN('A créer'!C9)=0,"","Tab")</f>
        <v>Tab</v>
      </c>
      <c r="H9" s="6" t="str">
        <f>IF(LEN('A créer'!C9)=0,"","ZZZ")</f>
        <v>ZZZ</v>
      </c>
      <c r="I9" s="6" t="str">
        <f>IF(LEN('A créer'!C9)=0,"","0")</f>
        <v>0</v>
      </c>
      <c r="J9" s="2" t="str">
        <f>IF(LEN('A créer'!C9)=0,"","Tab")</f>
        <v>Tab</v>
      </c>
      <c r="K9" s="6" t="str">
        <f>IF(LEN('A créer'!C9)=0,"","ZZZZZZ")</f>
        <v>ZZZZZZ</v>
      </c>
      <c r="L9" s="6" t="str">
        <f>IF(LEN('A créer'!C9)=0,"","0")</f>
        <v>0</v>
      </c>
      <c r="M9" s="2" t="str">
        <f>IF(LEN('A créer'!C9)=0,"","Tab")</f>
        <v>Tab</v>
      </c>
      <c r="N9" s="6" t="str">
        <f>IF(LEN('A créer'!C9)=0,"","ZZZZZ")</f>
        <v>ZZZZZ</v>
      </c>
      <c r="O9" s="6" t="str">
        <f>IF(LEN('A créer'!C9)=0,"",CONCATENATE('A créer'!B9,'A créer'!A9))</f>
        <v>DLS0512</v>
      </c>
      <c r="P9" s="2" t="str">
        <f>IF(LEN('A créer'!C9)=0,"","Tab")</f>
        <v>Tab</v>
      </c>
      <c r="Q9" s="6" t="str">
        <f>IF(LEN('A créer'!C9)=0,"","0")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 t="str">
        <f>IF(LEN('A créer'!C9)=0,"","0")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 t="str">
        <f>IF(LEN('A créer'!C9)=0,"","0")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 t="str">
        <f>IF(LEN('A créer'!C9)=0,"","0")</f>
        <v>0</v>
      </c>
      <c r="AA9" s="2" t="str">
        <f>IF(LEN('A créer'!C9)=0,"","Tab")</f>
        <v>Tab</v>
      </c>
      <c r="AB9" s="6" t="str">
        <f>IF(LEN('A créer'!C9)=0,"","ZZZ")</f>
        <v>ZZZ</v>
      </c>
      <c r="AC9" s="6" t="str">
        <f>IF(LEN('A créer'!C9)=0,"","0")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 t="str">
        <f>IF(LEN('A créer'!C9)=0,"","0")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 t="str">
        <f>IF(LEN('A créer'!C9)=0,"","0")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>*FN</v>
      </c>
      <c r="B10" s="3" t="str">
        <f>IF(LEN('A créer'!C10)=0,"","\E")</f>
        <v>\E</v>
      </c>
      <c r="C10" s="2" t="str">
        <f>IF(LEN('A créer'!C10)=0,"","Tab")</f>
        <v>Tab</v>
      </c>
      <c r="D10" s="6" t="str">
        <f>IF(LEN('A créer'!C10)=0,"",'A créer'!A10)</f>
        <v>0515</v>
      </c>
      <c r="E10" s="2" t="str">
        <f>IF(LEN('A créer'!C10)=0,"","Tab")</f>
        <v>Tab</v>
      </c>
      <c r="F10" s="6">
        <f>IF(LEN('A créer'!C10)=0,"",0)</f>
        <v>0</v>
      </c>
      <c r="G10" s="2" t="str">
        <f>IF(LEN('A créer'!C10)=0,"","Tab")</f>
        <v>Tab</v>
      </c>
      <c r="H10" s="6" t="str">
        <f>IF(LEN('A créer'!C10)=0,"","ZZZ")</f>
        <v>ZZZ</v>
      </c>
      <c r="I10" s="6" t="str">
        <f>IF(LEN('A créer'!C10)=0,"","0")</f>
        <v>0</v>
      </c>
      <c r="J10" s="2" t="str">
        <f>IF(LEN('A créer'!C10)=0,"","Tab")</f>
        <v>Tab</v>
      </c>
      <c r="K10" s="6" t="str">
        <f>IF(LEN('A créer'!C10)=0,"","ZZZZZZ")</f>
        <v>ZZZZZZ</v>
      </c>
      <c r="L10" s="6" t="str">
        <f>IF(LEN('A créer'!C10)=0,"","0")</f>
        <v>0</v>
      </c>
      <c r="M10" s="2" t="str">
        <f>IF(LEN('A créer'!C10)=0,"","Tab")</f>
        <v>Tab</v>
      </c>
      <c r="N10" s="6" t="str">
        <f>IF(LEN('A créer'!C10)=0,"","ZZZZZ")</f>
        <v>ZZZZZ</v>
      </c>
      <c r="O10" s="6" t="str">
        <f>IF(LEN('A créer'!C10)=0,"",CONCATENATE('A créer'!B10,'A créer'!A10))</f>
        <v>DMS0515</v>
      </c>
      <c r="P10" s="2" t="str">
        <f>IF(LEN('A créer'!C10)=0,"","Tab")</f>
        <v>Tab</v>
      </c>
      <c r="Q10" s="6" t="str">
        <f>IF(LEN('A créer'!C10)=0,"","0")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 t="str">
        <f>IF(LEN('A créer'!C10)=0,"","0")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 t="str">
        <f>IF(LEN('A créer'!C10)=0,"","0")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 t="str">
        <f>IF(LEN('A créer'!C10)=0,"","0")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 t="str">
        <f>IF(LEN('A créer'!C10)=0,"","0")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 t="str">
        <f>IF(LEN('A créer'!C10)=0,"","0")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 t="str">
        <f>IF(LEN('A créer'!C10)=0,"","0")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Normal="100" workbookViewId="0">
      <pane xSplit="1" ySplit="1" topLeftCell="B2" activePane="bottomRight" state="frozenSplit"/>
      <selection activeCell="F50" sqref="F50"/>
      <selection pane="topRight" activeCell="F50" sqref="F50"/>
      <selection pane="bottomLeft" activeCell="F50" sqref="F50"/>
      <selection pane="bottomRight" activeCell="F50" sqref="F50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 t="str">
        <f>IF(LEN('A créer'!C2)=0,"",'A créer'!B2)</f>
        <v>DRW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0412</v>
      </c>
      <c r="E3" s="2" t="str">
        <f>IF(LEN('A créer'!C3)=0,"","Tab")</f>
        <v>Tab</v>
      </c>
      <c r="F3" t="str">
        <f>IF(LEN('A créer'!C3)=0,"",'A créer'!B3)</f>
        <v>DNA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0505</v>
      </c>
      <c r="E4" s="2" t="str">
        <f>IF(LEN('A créer'!C4)=0,"","Tab")</f>
        <v>Tab</v>
      </c>
      <c r="F4" t="str">
        <f>IF(LEN('A créer'!C4)=0,"",'A créer'!B4)</f>
        <v>DMS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0450</v>
      </c>
      <c r="E6" s="2" t="str">
        <f>IF(LEN('A créer'!C6)=0,"","Tab")</f>
        <v>Tab</v>
      </c>
      <c r="F6" t="str">
        <f>IF(LEN('A créer'!C6)=0,"",'A créer'!B6)</f>
        <v>DCW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0506</v>
      </c>
      <c r="E7" s="2" t="str">
        <f>IF(LEN('A créer'!C7)=0,"","Tab")</f>
        <v>Tab</v>
      </c>
      <c r="F7" t="str">
        <f>IF(LEN('A créer'!C7)=0,"",'A créer'!B7)</f>
        <v>DRW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>*FN</v>
      </c>
      <c r="B9" s="3" t="str">
        <f>IF(LEN('A créer'!C9)=0,"","\I")</f>
        <v>\I</v>
      </c>
      <c r="C9" s="2" t="str">
        <f>IF(LEN('A créer'!C9)=0,"","Tab")</f>
        <v>Tab</v>
      </c>
      <c r="D9" t="str">
        <f>IF(LEN('A créer'!C9)=0,"",'A créer'!A9)</f>
        <v>0512</v>
      </c>
      <c r="E9" s="2" t="str">
        <f>IF(LEN('A créer'!C9)=0,"","Tab")</f>
        <v>Tab</v>
      </c>
      <c r="F9" t="str">
        <f>IF(LEN('A créer'!C9)=0,"",'A créer'!B9)</f>
        <v>DLS</v>
      </c>
      <c r="G9" s="2" t="str">
        <f>IF(LEN('A créer'!C9)=0,"","Tab")</f>
        <v>Tab</v>
      </c>
      <c r="H9">
        <f>IF(LEN('A créer'!C9)=0,"",0)</f>
        <v>0</v>
      </c>
      <c r="I9" s="2" t="str">
        <f>IF(LEN('A créer'!C9)=0,"","Tab")</f>
        <v>Tab</v>
      </c>
      <c r="J9" t="str">
        <f>IF(LEN('A créer'!C9)=0,"","ZZZZZZ")</f>
        <v>ZZZZZZ</v>
      </c>
      <c r="K9">
        <f>IF(LEN('A créer'!C9)=0,"",0)</f>
        <v>0</v>
      </c>
      <c r="L9" s="2" t="str">
        <f>IF(LEN('A créer'!C9)=0,"","Tab")</f>
        <v>Tab</v>
      </c>
      <c r="M9" s="6" t="str">
        <f>IF(LEN('A créer'!C9)=0,"","ZZZZZ")</f>
        <v>ZZZZZ</v>
      </c>
      <c r="N9" s="6">
        <f>IF(LEN('A créer'!C9)=0,"",0)</f>
        <v>0</v>
      </c>
      <c r="O9" s="2" t="str">
        <f>IF(LEN('A créer'!C9)=0,"","Tab")</f>
        <v>Tab</v>
      </c>
      <c r="P9" s="6" t="str">
        <f>IF(LEN('A créer'!C9)=0,"","ZZZZZZZ")</f>
        <v>ZZZZZZZ</v>
      </c>
      <c r="Q9" s="6">
        <f>IF(LEN('A créer'!C9)=0,"",0)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>
        <f>IF(LEN('A créer'!C9)=0,"",0)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>
        <f>IF(LEN('A créer'!C9)=0,"",0)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>
        <f>IF(LEN('A créer'!C9)=0,"",0)</f>
        <v>0</v>
      </c>
      <c r="AA9" s="2" t="str">
        <f>IF(LEN('A créer'!C9)=0,"","Tab")</f>
        <v>Tab</v>
      </c>
      <c r="AB9" s="6" t="str">
        <f>IF(LEN('A créer'!C9)=0,"","ZZZ")</f>
        <v>ZZZ</v>
      </c>
      <c r="AC9" s="6">
        <f>IF(LEN('A créer'!C9)=0,"",0)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>
        <f>IF(LEN('A créer'!C9)=0,"",0)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>
        <f>IF(LEN('A créer'!C9)=0,"",0)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</row>
    <row r="10" spans="1:39" x14ac:dyDescent="0.35">
      <c r="A10" s="2" t="str">
        <f>IF(LEN('A créer'!C10)=0,"","*FN")</f>
        <v>*FN</v>
      </c>
      <c r="B10" s="3" t="str">
        <f>IF(LEN('A créer'!C10)=0,"","\I")</f>
        <v>\I</v>
      </c>
      <c r="C10" s="2" t="str">
        <f>IF(LEN('A créer'!C10)=0,"","Tab")</f>
        <v>Tab</v>
      </c>
      <c r="D10" t="str">
        <f>IF(LEN('A créer'!C10)=0,"",'A créer'!A10)</f>
        <v>0515</v>
      </c>
      <c r="E10" s="2" t="str">
        <f>IF(LEN('A créer'!C10)=0,"","Tab")</f>
        <v>Tab</v>
      </c>
      <c r="F10" t="str">
        <f>IF(LEN('A créer'!C10)=0,"",'A créer'!B10)</f>
        <v>DMS</v>
      </c>
      <c r="G10" s="2" t="str">
        <f>IF(LEN('A créer'!C10)=0,"","Tab")</f>
        <v>Tab</v>
      </c>
      <c r="H10">
        <f>IF(LEN('A créer'!C10)=0,"",0)</f>
        <v>0</v>
      </c>
      <c r="I10" s="2" t="str">
        <f>IF(LEN('A créer'!C10)=0,"","Tab")</f>
        <v>Tab</v>
      </c>
      <c r="J10" t="str">
        <f>IF(LEN('A créer'!C10)=0,"","ZZZZZZ")</f>
        <v>ZZZZZZ</v>
      </c>
      <c r="K10">
        <f>IF(LEN('A créer'!C10)=0,"",0)</f>
        <v>0</v>
      </c>
      <c r="L10" s="2" t="str">
        <f>IF(LEN('A créer'!C10)=0,"","Tab")</f>
        <v>Tab</v>
      </c>
      <c r="M10" s="6" t="str">
        <f>IF(LEN('A créer'!C10)=0,"","ZZZZZ")</f>
        <v>ZZZZZ</v>
      </c>
      <c r="N10" s="6">
        <f>IF(LEN('A créer'!C10)=0,"",0)</f>
        <v>0</v>
      </c>
      <c r="O10" s="2" t="str">
        <f>IF(LEN('A créer'!C10)=0,"","Tab")</f>
        <v>Tab</v>
      </c>
      <c r="P10" s="6" t="str">
        <f>IF(LEN('A créer'!C10)=0,"","ZZZZZZZ")</f>
        <v>ZZZZZZZ</v>
      </c>
      <c r="Q10" s="6">
        <f>IF(LEN('A créer'!C10)=0,"",0)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>
        <f>IF(LEN('A créer'!C10)=0,"",0)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>
        <f>IF(LEN('A créer'!C10)=0,"",0)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>
        <f>IF(LEN('A créer'!C10)=0,"",0)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>
        <f>IF(LEN('A créer'!C10)=0,"",0)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>
        <f>IF(LEN('A créer'!C10)=0,"",0)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>
        <f>IF(LEN('A créer'!C10)=0,"",0)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Normal="100" workbookViewId="0">
      <pane xSplit="1" ySplit="1" topLeftCell="N2" activePane="bottomRight" state="frozenSplit"/>
      <selection activeCell="F50" sqref="F50"/>
      <selection pane="topRight" activeCell="F50" sqref="F50"/>
      <selection pane="bottomLeft" activeCell="F50" sqref="F50"/>
      <selection pane="bottomRight" activeCell="F50" sqref="F5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41.7265625" bestFit="1" customWidth="1"/>
    <col min="22" max="22" width="5.453125" customWidth="1"/>
    <col min="23" max="23" width="4" bestFit="1" customWidth="1"/>
    <col min="24" max="24" width="4.81640625" customWidth="1"/>
    <col min="25" max="25" width="12.8164062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DRW0513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27 (18513)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85501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DNA0412</v>
      </c>
      <c r="T3" s="2" t="s">
        <v>4</v>
      </c>
      <c r="U3" s="6" t="str">
        <f>IF('A créer'!F3="Oui",'A créer'!C3,IF(LEN('A créer'!F3)=0,"",CONCATENATE('A créer'!C3," (",'A créer'!M3,")")))</f>
        <v>SOCIETE VALMY DEFENSE 108 (XXXXX)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55507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DMS0505</v>
      </c>
      <c r="T4" s="2" t="s">
        <v>4</v>
      </c>
      <c r="U4" s="6" t="str">
        <f>IF('A créer'!F4="Oui",'A créer'!C4,IF(LEN('A créer'!F4)=0,"",CONCATENATE('A créer'!C4," (",'A créer'!M4,")")))</f>
        <v>MONTCHOVET ENERGIES (53505)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35505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DCW0450</v>
      </c>
      <c r="T6" s="2" t="s">
        <v>4</v>
      </c>
      <c r="U6" s="6" t="str">
        <f>IF('A créer'!F6="Oui",'A créer'!C6,IF(LEN('A créer'!F6)=0,"",CONCATENATE('A créer'!C6," (",'A créer'!M6,")")))</f>
        <v>REMIREMONT ENERGIE (13450)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 t="str">
        <f>IF('A créer'!F6="Oui",'A créer'!J6,IF(LEN('A créer'!F6)=0,"",'A créer'!N6))</f>
        <v>TSA 15503</v>
      </c>
      <c r="Z6" s="2" t="str">
        <f>IF(LEN('A créer'!D6)=0,"","Tab")</f>
        <v>Tab</v>
      </c>
      <c r="AA6" s="4" t="str">
        <f>IF('A créer'!F6="Oui","",IF(LEN('A créer'!F6)=0,"",'A créer'!O6))</f>
        <v>59784 LILLE CEDEX 9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/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DRW0506</v>
      </c>
      <c r="T7" s="2" t="s">
        <v>4</v>
      </c>
      <c r="U7" s="6" t="str">
        <f>IF('A créer'!F7="Oui",'A créer'!C7,IF(LEN('A créer'!F7)=0,"",CONCATENATE('A créer'!C7," (",'A créer'!M7,")")))</f>
        <v>MONTROUGE ENERGIE RENOUVELABLE (18506)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 t="str">
        <f>IF('A créer'!F7="Oui",'A créer'!J7,IF(LEN('A créer'!F7)=0,"",'A créer'!N7))</f>
        <v>TSA 85501</v>
      </c>
      <c r="Z7" s="2" t="str">
        <f>IF(LEN('A créer'!D7)=0,"","Tab")</f>
        <v>Tab</v>
      </c>
      <c r="AA7" s="4" t="str">
        <f>IF('A créer'!F7="Oui","",IF(LEN('A créer'!F7)=0,"",'A créer'!O7))</f>
        <v>59784 LILLE CEDEX 9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/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>*FN</v>
      </c>
      <c r="R9" s="2" t="str">
        <f>IF(LEN('A créer'!D9)=0,"","Tab")</f>
        <v>Tab</v>
      </c>
      <c r="S9" s="6" t="str">
        <f>IF(LEN('A créer'!D9)=0,"",CONCATENATE('A créer'!B9,'A créer'!A9))</f>
        <v>DLS0512</v>
      </c>
      <c r="T9" s="2" t="s">
        <v>4</v>
      </c>
      <c r="U9" s="6" t="str">
        <f>IF('A créer'!F9="Oui",'A créer'!C9,IF(LEN('A créer'!F9)=0,"",CONCATENATE('A créer'!C9," (",'A créer'!M9,")")))</f>
        <v>ECOME (46512)</v>
      </c>
      <c r="V9" s="2" t="str">
        <f>IF(LEN('A créer'!D9)=0,"","Tab")</f>
        <v>Tab</v>
      </c>
      <c r="W9" s="2" t="str">
        <f>IF(LEN('A créer'!D9)=0,"","Tab")</f>
        <v>Tab</v>
      </c>
      <c r="X9" s="2" t="str">
        <f>IF(LEN('A créer'!D9)=0,"","Tab")</f>
        <v>Tab</v>
      </c>
      <c r="Y9" s="6" t="str">
        <f>IF('A créer'!F9="Oui",'A créer'!J9,IF(LEN('A créer'!F9)=0,"",'A créer'!N9))</f>
        <v>TSA 45506</v>
      </c>
      <c r="Z9" s="2" t="str">
        <f>IF(LEN('A créer'!D9)=0,"","Tab")</f>
        <v>Tab</v>
      </c>
      <c r="AA9" s="4" t="str">
        <f>IF('A créer'!F9="Oui","",IF(LEN('A créer'!F9)=0,"",'A créer'!O9))</f>
        <v>59784 LILLE CEDEX 9</v>
      </c>
      <c r="AB9" s="2" t="str">
        <f>IF(LEN('A créer'!D9)=0,"","Tab")</f>
        <v>Tab</v>
      </c>
      <c r="AC9" s="4" t="str">
        <f>IF('A créer'!F9="Oui","",IF(LEN('A créer'!F9)=0,"","contactfournisseur@csp.dalkia.fr"))</f>
        <v>contactfournisseur@csp.dalkia.fr</v>
      </c>
      <c r="AD9" s="2" t="str">
        <f>IF(LEN('A créer'!D9)=0,"","Tab")</f>
        <v>Tab</v>
      </c>
      <c r="AE9" s="2" t="str">
        <f>IF(LEN('A créer'!D9)=0,"","Tab")</f>
        <v>Tab</v>
      </c>
      <c r="AF9" s="6" t="str">
        <f>IF('A créer'!F9="Oui","",IF(LEN('A créer'!F9)=0,"","ATTENTION adresse UNIQUEMENT pour la comptabilité fournisseurs"))</f>
        <v>ATTENTION adresse UNIQUEMENT pour la comptabilité fournisseurs</v>
      </c>
      <c r="AG9" s="2" t="str">
        <f>IF(LEN('A créer'!D9)=0,"","Tab")</f>
        <v>Tab</v>
      </c>
      <c r="AH9" s="4" t="str">
        <f>IF('A créer'!F9="Oui",'A créer'!K9,IF(LEN('A créer'!F9)=0,"",""))</f>
        <v/>
      </c>
      <c r="AI9" s="2" t="str">
        <f>IF(OR(LEN('A créer'!D9)=0,LEN(AH9)&gt;0),"","Tab")</f>
        <v>Tab</v>
      </c>
      <c r="AJ9" s="6" t="str">
        <f>IF('A créer'!F9="Oui",'A créer'!L9,IF(LEN('A créer'!F9)=0,"","NOUVELLE ADRESSE FACTURATION"))</f>
        <v>NOUVELLE ADRESSE FACTURATION</v>
      </c>
      <c r="AK9" s="2" t="str">
        <f>IF(LEN('A créer'!D9)=0,"","Tab")</f>
        <v>Tab</v>
      </c>
      <c r="AL9" s="2" t="str">
        <f>IF(LEN('A créer'!D9)=0,"","ENT")</f>
        <v>ENT</v>
      </c>
      <c r="AM9" s="2" t="str">
        <f>IF(LEN('A créer'!D9)=0,"","Tab 4")</f>
        <v>Tab 4</v>
      </c>
      <c r="AN9" s="2" t="str">
        <f>IF(LEN('A créer'!D9)=0,"","Tab 4")</f>
        <v>Tab 4</v>
      </c>
      <c r="AO9" s="2" t="str">
        <f>IF(LEN('A créer'!D9)=0,"","Tab")</f>
        <v>Tab</v>
      </c>
      <c r="AP9" s="2" t="str">
        <f>IF(LEN('A créer'!D9)=0,"","Tab")</f>
        <v>Tab</v>
      </c>
      <c r="AQ9" s="2" t="str">
        <f>IF(LEN('A créer'!D9)=0,"","Tab")</f>
        <v>Tab</v>
      </c>
      <c r="AR9" s="4" t="str">
        <f>IF(OR('A créer'!D9="Oui",LEN('A créer'!D9)=0),"",IF(LEN('A créer'!F9)=0,"",'A créer'!B9))</f>
        <v/>
      </c>
      <c r="AS9" s="2" t="str">
        <f>IF(LEN('A créer'!D9)=0,"","Tab")</f>
        <v>Tab</v>
      </c>
      <c r="AT9" s="2" t="str">
        <f>IF(LEN('A créer'!D9)=0,"","ENT")</f>
        <v>ENT</v>
      </c>
      <c r="AU9" s="2" t="str">
        <f>IF(LEN('A créer'!D9)=0,"","*SAVE")</f>
        <v>*SAVE</v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>*FN</v>
      </c>
      <c r="R10" s="2" t="str">
        <f>IF(LEN('A créer'!D10)=0,"","Tab")</f>
        <v>Tab</v>
      </c>
      <c r="S10" s="6" t="str">
        <f>IF(LEN('A créer'!D10)=0,"",CONCATENATE('A créer'!B10,'A créer'!A10))</f>
        <v>DMS0515</v>
      </c>
      <c r="T10" s="2" t="s">
        <v>4</v>
      </c>
      <c r="U10" s="6" t="str">
        <f>IF('A créer'!F10="Oui",'A créer'!C10,IF(LEN('A créer'!F10)=0,"",CONCATENATE('A créer'!C10," (",'A créer'!M10,")")))</f>
        <v>SFT (53515)</v>
      </c>
      <c r="V10" s="2" t="str">
        <f>IF(LEN('A créer'!D10)=0,"","Tab")</f>
        <v>Tab</v>
      </c>
      <c r="W10" s="2" t="str">
        <f>IF(LEN('A créer'!D10)=0,"","Tab")</f>
        <v>Tab</v>
      </c>
      <c r="X10" s="2" t="str">
        <f>IF(LEN('A créer'!D10)=0,"","Tab")</f>
        <v>Tab</v>
      </c>
      <c r="Y10" s="6" t="str">
        <f>IF('A créer'!F10="Oui",'A créer'!J10,IF(LEN('A créer'!F10)=0,"",'A créer'!N10))</f>
        <v>TSA 35505</v>
      </c>
      <c r="Z10" s="2" t="str">
        <f>IF(LEN('A créer'!D10)=0,"","Tab")</f>
        <v>Tab</v>
      </c>
      <c r="AA10" s="4" t="str">
        <f>IF('A créer'!F10="Oui","",IF(LEN('A créer'!F10)=0,"",'A créer'!O10))</f>
        <v>59784 LILLE CEDEX 9</v>
      </c>
      <c r="AB10" s="2" t="str">
        <f>IF(LEN('A créer'!D10)=0,"","Tab")</f>
        <v>Tab</v>
      </c>
      <c r="AC10" s="4" t="str">
        <f>IF('A créer'!F10="Oui","",IF(LEN('A créer'!F10)=0,"","contactfournisseur@csp.dalkia.fr"))</f>
        <v>contactfournisseur@csp.dalkia.fr</v>
      </c>
      <c r="AD10" s="2" t="str">
        <f>IF(LEN('A créer'!D10)=0,"","Tab")</f>
        <v>Tab</v>
      </c>
      <c r="AE10" s="2" t="str">
        <f>IF(LEN('A créer'!D10)=0,"","Tab")</f>
        <v>Tab</v>
      </c>
      <c r="AF10" s="6" t="str">
        <f>IF('A créer'!F10="Oui","",IF(LEN('A créer'!F10)=0,"","ATTENTION adresse UNIQUEMENT pour la comptabilité fournisseurs"))</f>
        <v>ATTENTION adresse UNIQUEMENT pour la comptabilité fournisseurs</v>
      </c>
      <c r="AG10" s="2" t="str">
        <f>IF(LEN('A créer'!D10)=0,"","Tab")</f>
        <v>Tab</v>
      </c>
      <c r="AH10" s="4" t="str">
        <f>IF('A créer'!F10="Oui",'A créer'!K10,IF(LEN('A créer'!F10)=0,"",""))</f>
        <v/>
      </c>
      <c r="AI10" s="2" t="str">
        <f>IF(OR(LEN('A créer'!D10)=0,LEN(AH10)&gt;0),"","Tab")</f>
        <v>Tab</v>
      </c>
      <c r="AJ10" s="6" t="str">
        <f>IF('A créer'!F10="Oui",'A créer'!L10,IF(LEN('A créer'!F10)=0,"","NOUVELLE ADRESSE FACTURATION"))</f>
        <v>NOUVELLE ADRESSE FACTURATION</v>
      </c>
      <c r="AK10" s="2" t="str">
        <f>IF(LEN('A créer'!D10)=0,"","Tab")</f>
        <v>Tab</v>
      </c>
      <c r="AL10" s="2" t="str">
        <f>IF(LEN('A créer'!D10)=0,"","ENT")</f>
        <v>ENT</v>
      </c>
      <c r="AM10" s="2" t="str">
        <f>IF(LEN('A créer'!D10)=0,"","Tab 4")</f>
        <v>Tab 4</v>
      </c>
      <c r="AN10" s="2" t="str">
        <f>IF(LEN('A créer'!D10)=0,"","Tab 4")</f>
        <v>Tab 4</v>
      </c>
      <c r="AO10" s="2" t="str">
        <f>IF(LEN('A créer'!D10)=0,"","Tab")</f>
        <v>Tab</v>
      </c>
      <c r="AP10" s="2" t="str">
        <f>IF(LEN('A créer'!D10)=0,"","Tab")</f>
        <v>Tab</v>
      </c>
      <c r="AQ10" s="2" t="str">
        <f>IF(LEN('A créer'!D10)=0,"","Tab")</f>
        <v>Tab</v>
      </c>
      <c r="AR10" s="4" t="str">
        <f>IF(OR('A créer'!D10="Oui",LEN('A créer'!D10)=0),"",IF(LEN('A créer'!F10)=0,"",'A créer'!B10))</f>
        <v/>
      </c>
      <c r="AS10" s="2" t="str">
        <f>IF(LEN('A créer'!D10)=0,"","Tab")</f>
        <v>Tab</v>
      </c>
      <c r="AT10" s="2" t="str">
        <f>IF(LEN('A créer'!D10)=0,"","ENT")</f>
        <v>ENT</v>
      </c>
      <c r="AU10" s="2" t="str">
        <f>IF(LEN('A créer'!D10)=0,"","*SAVE")</f>
        <v>*SAVE</v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Split"/>
      <selection activeCell="F50" sqref="F50"/>
      <selection pane="bottomLeft" activeCell="G10" sqref="G1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0513</v>
      </c>
      <c r="D2" s="2" t="str">
        <f>IF(LEN('A créer'!C2)=0,"","Tab")</f>
        <v>Tab</v>
      </c>
      <c r="E2" t="str">
        <f>IF(LEN('A créer'!C2)=0,"",'A créer'!B2)</f>
        <v>DRW</v>
      </c>
      <c r="F2" s="2" t="str">
        <f>IF(LEN('A créer'!C2)=0,"","Tab")</f>
        <v>Tab</v>
      </c>
      <c r="G2" t="str">
        <f>IF(LEN('A créer'!C2)=0,"",'A créer'!G2)</f>
        <v>S2327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0412</v>
      </c>
      <c r="D3" s="2" t="str">
        <f>IF(LEN('A créer'!C3)=0,"","Tab")</f>
        <v>Tab</v>
      </c>
      <c r="E3" t="str">
        <f>IF(LEN('A créer'!C3)=0,"",'A créer'!B3)</f>
        <v>DNA</v>
      </c>
      <c r="F3" s="2" t="str">
        <f>IF(LEN('A créer'!C3)=0,"","Tab")</f>
        <v>Tab</v>
      </c>
      <c r="G3" t="str">
        <f>IF(LEN('A créer'!C3)=0,"",'A créer'!G3)</f>
        <v>S2008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0505</v>
      </c>
      <c r="D4" s="2" t="str">
        <f>IF(LEN('A créer'!C4)=0,"","Tab")</f>
        <v>Tab</v>
      </c>
      <c r="E4" t="str">
        <f>IF(LEN('A créer'!C4)=0,"",'A créer'!B4)</f>
        <v>DMS</v>
      </c>
      <c r="F4" s="2" t="str">
        <f>IF(LEN('A créer'!C4)=0,"","Tab")</f>
        <v>Tab</v>
      </c>
      <c r="G4" t="str">
        <f>IF(LEN('A créer'!C4)=0,"",'A créer'!G4)</f>
        <v>YS2121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0450</v>
      </c>
      <c r="D6" s="2" t="str">
        <f>IF(LEN('A créer'!C6)=0,"","Tab")</f>
        <v>Tab</v>
      </c>
      <c r="E6" t="str">
        <f>IF(LEN('A créer'!C6)=0,"",'A créer'!B6)</f>
        <v>DCW</v>
      </c>
      <c r="F6" s="2" t="str">
        <f>IF(LEN('A créer'!C6)=0,"","Tab")</f>
        <v>Tab</v>
      </c>
      <c r="G6" t="str">
        <f>IF(LEN('A créer'!C6)=0,"",'A créer'!G6)</f>
        <v>YS2018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0506</v>
      </c>
      <c r="D7" s="2" t="str">
        <f>IF(LEN('A créer'!C7)=0,"","Tab")</f>
        <v>Tab</v>
      </c>
      <c r="E7" t="str">
        <f>IF(LEN('A créer'!C7)=0,"",'A créer'!B7)</f>
        <v>DRW</v>
      </c>
      <c r="F7" s="2" t="str">
        <f>IF(LEN('A créer'!C7)=0,"","Tab")</f>
        <v>Tab</v>
      </c>
      <c r="G7" t="str">
        <f>IF(LEN('A créer'!C7)=0,"",'A créer'!G7)</f>
        <v>YS2122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>*FN</v>
      </c>
      <c r="B9" s="2" t="str">
        <f>IF(LEN('A créer'!A9)=0,"","Tab")</f>
        <v>Tab</v>
      </c>
      <c r="C9" t="str">
        <f>IF(LEN('A créer'!C9)=0,"",'A créer'!A9)</f>
        <v>0512</v>
      </c>
      <c r="D9" s="2" t="str">
        <f>IF(LEN('A créer'!C9)=0,"","Tab")</f>
        <v>Tab</v>
      </c>
      <c r="E9" t="str">
        <f>IF(LEN('A créer'!C9)=0,"",'A créer'!B9)</f>
        <v>DLS</v>
      </c>
      <c r="F9" s="2" t="str">
        <f>IF(LEN('A créer'!C9)=0,"","Tab")</f>
        <v>Tab</v>
      </c>
      <c r="G9" t="str">
        <f>IF(LEN('A créer'!C9)=0,"",'A créer'!G9)</f>
        <v>S2126</v>
      </c>
      <c r="H9" s="2" t="str">
        <f>IF(LEN('A créer'!C9)=0,"","Tab")</f>
        <v>Tab</v>
      </c>
      <c r="I9" s="2" t="str">
        <f>IF(LEN('A créer'!C9)=0,"","*SAVE")</f>
        <v>*SAVE</v>
      </c>
    </row>
    <row r="10" spans="1:9" x14ac:dyDescent="0.35">
      <c r="A10" s="2" t="str">
        <f>IF(LEN('A créer'!C10)=0,"","*FN")</f>
        <v>*FN</v>
      </c>
      <c r="B10" s="2" t="str">
        <f>IF(LEN('A créer'!A10)=0,"","Tab")</f>
        <v>Tab</v>
      </c>
      <c r="C10" t="str">
        <f>IF(LEN('A créer'!C10)=0,"",'A créer'!A10)</f>
        <v>0515</v>
      </c>
      <c r="D10" s="2" t="str">
        <f>IF(LEN('A créer'!C10)=0,"","Tab")</f>
        <v>Tab</v>
      </c>
      <c r="E10" t="str">
        <f>IF(LEN('A créer'!C10)=0,"",'A créer'!B10)</f>
        <v>DMS</v>
      </c>
      <c r="F10" s="2" t="str">
        <f>IF(LEN('A créer'!C10)=0,"","Tab")</f>
        <v>Tab</v>
      </c>
      <c r="G10" t="str">
        <f>IF(LEN('A créer'!C10)=0,"",'A créer'!G10)</f>
        <v>S2328</v>
      </c>
      <c r="H10" s="2" t="str">
        <f>IF(LEN('A créer'!C10)=0,"","Tab")</f>
        <v>Tab</v>
      </c>
      <c r="I10" s="2" t="str">
        <f>IF(LEN('A créer'!C10)=0,"","*SAVE")</f>
        <v>*SAVE</v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activeCell="F50" sqref="F50"/>
      <selection pane="bottomLeft" activeCell="F50" sqref="F5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513479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513564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513520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513565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>*FN</v>
      </c>
      <c r="B9" s="2" t="str">
        <f>IF(LEN('A créer'!A9)=0,"","Tab")</f>
        <v>Tab</v>
      </c>
      <c r="C9">
        <f>IF(LEN('A créer'!P9)=0,"",'A créer'!P9)</f>
        <v>513569</v>
      </c>
      <c r="D9" s="2" t="str">
        <f>IF(LEN('A créer'!C9)=0,"","Tab")</f>
        <v>Tab</v>
      </c>
      <c r="E9" t="str">
        <f>IF(LEN('A créer'!P9)=0,"","17060")</f>
        <v>17060</v>
      </c>
      <c r="F9" s="2" t="str">
        <f>IF(LEN('A créer'!C9)=0,"","Tab")</f>
        <v>Tab</v>
      </c>
      <c r="G9" t="str">
        <f>IF(LEN('A créer'!P9)=0,"","01/01/2002")</f>
        <v>01/01/2002</v>
      </c>
      <c r="H9" s="2" t="str">
        <f>IF(LEN('A créer'!C9)=0,"","*SAVE")</f>
        <v>*SAVE</v>
      </c>
    </row>
    <row r="10" spans="1:8" x14ac:dyDescent="0.35">
      <c r="A10" s="2" t="str">
        <f>IF(LEN('A créer'!C10)=0,"","*FN")</f>
        <v>*FN</v>
      </c>
      <c r="B10" s="2" t="str">
        <f>IF(LEN('A créer'!A10)=0,"","Tab")</f>
        <v>Tab</v>
      </c>
      <c r="C10">
        <f>IF(LEN('A créer'!P10)=0,"",'A créer'!P10)</f>
        <v>513573</v>
      </c>
      <c r="D10" s="2" t="str">
        <f>IF(LEN('A créer'!C10)=0,"","Tab")</f>
        <v>Tab</v>
      </c>
      <c r="E10" t="str">
        <f>IF(LEN('A créer'!P10)=0,"","17060")</f>
        <v>17060</v>
      </c>
      <c r="F10" s="2" t="str">
        <f>IF(LEN('A créer'!C10)=0,"","Tab")</f>
        <v>Tab</v>
      </c>
      <c r="G10" t="str">
        <f>IF(LEN('A créer'!P10)=0,"","01/01/2002")</f>
        <v>01/01/2002</v>
      </c>
      <c r="H10" s="2" t="str">
        <f>IF(LEN('A créer'!C10)=0,"","*SAVE")</f>
        <v>*SAVE</v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activeCell="F50" sqref="F50"/>
      <selection pane="bottomLeft" activeCell="F50" sqref="F50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DRW0513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DNA0412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DMS0505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DCW0450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DRW0506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>TAB</v>
      </c>
      <c r="B9" s="6" t="str">
        <f>CONCATENATE('A créer'!B9,'A créer'!A9)</f>
        <v>DLS0512</v>
      </c>
      <c r="C9" s="2" t="str">
        <f>IF(LEN('A créer'!$C9)=0,"","TAB")</f>
        <v>TAB</v>
      </c>
      <c r="D9" s="2" t="str">
        <f>IF(LEN('A créer'!$C9)=0,"","ENT")</f>
        <v>ENT</v>
      </c>
      <c r="E9" s="2" t="str">
        <f>IF(LEN('A créer'!$C9)=0,"","TAB")</f>
        <v>TAB</v>
      </c>
      <c r="F9" s="2" t="str">
        <f>IF(LEN('A créer'!$C9)=0,"","TAB")</f>
        <v>TAB</v>
      </c>
      <c r="G9" s="2" t="str">
        <f>IF(LEN('A créer'!$C9)=0,"","ENT")</f>
        <v>ENT</v>
      </c>
      <c r="H9" s="2" t="str">
        <f>IF(LEN('A créer'!$C9)=0,"","ENT")</f>
        <v>ENT</v>
      </c>
    </row>
    <row r="10" spans="1:8" x14ac:dyDescent="0.35">
      <c r="A10" s="2" t="str">
        <f>IF(LEN('A créer'!$C10)=0,"","TAB")</f>
        <v>TAB</v>
      </c>
      <c r="B10" s="6" t="str">
        <f>CONCATENATE('A créer'!B10,'A créer'!A10)</f>
        <v>DMS0515</v>
      </c>
      <c r="C10" s="2" t="str">
        <f>IF(LEN('A créer'!$C10)=0,"","TAB")</f>
        <v>TAB</v>
      </c>
      <c r="D10" s="2" t="str">
        <f>IF(LEN('A créer'!$C10)=0,"","ENT")</f>
        <v>ENT</v>
      </c>
      <c r="E10" s="2" t="str">
        <f>IF(LEN('A créer'!$C10)=0,"","TAB")</f>
        <v>TAB</v>
      </c>
      <c r="F10" s="2" t="str">
        <f>IF(LEN('A créer'!$C10)=0,"","TAB")</f>
        <v>TAB</v>
      </c>
      <c r="G10" s="2" t="str">
        <f>IF(LEN('A créer'!$C10)=0,"","ENT")</f>
        <v>ENT</v>
      </c>
      <c r="H10" s="2" t="str">
        <f>IF(LEN('A créer'!$C10)=0,"","ENT")</f>
        <v>ENT</v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Normal="100" workbookViewId="0">
      <pane ySplit="1" topLeftCell="A2" activePane="bottomLeft" state="frozenSplit"/>
      <selection activeCell="F50" sqref="F50"/>
      <selection pane="bottomLeft" activeCell="F50" sqref="F5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DRW0513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DNA0412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DMS0505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DCW0450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DRW0506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>*FN</v>
      </c>
      <c r="B9" s="2" t="str">
        <f>IF(LEN('A créer'!C9)=0,"","Tab")</f>
        <v>Tab</v>
      </c>
      <c r="C9" s="8" t="str">
        <f>CONCATENATE('A créer'!B9,'A créer'!A9)</f>
        <v>DLS0512</v>
      </c>
      <c r="D9" s="2" t="str">
        <f>IF(LEN('A créer'!C9)=0,"","Tab")</f>
        <v>Tab</v>
      </c>
      <c r="E9" s="2" t="str">
        <f>IF(LEN('A créer'!C9)=0,"","*SAVE")</f>
        <v>*SAVE</v>
      </c>
    </row>
    <row r="10" spans="1:5" x14ac:dyDescent="0.35">
      <c r="A10" s="2" t="str">
        <f>IF(LEN('A créer'!C10)=0,"","*FN")</f>
        <v>*FN</v>
      </c>
      <c r="B10" s="2" t="str">
        <f>IF(LEN('A créer'!C10)=0,"","Tab")</f>
        <v>Tab</v>
      </c>
      <c r="C10" s="8" t="str">
        <f>CONCATENATE('A créer'!B10,'A créer'!A10)</f>
        <v>DMS0515</v>
      </c>
      <c r="D10" s="2" t="str">
        <f>IF(LEN('A créer'!C10)=0,"","Tab")</f>
        <v>Tab</v>
      </c>
      <c r="E10" s="2" t="str">
        <f>IF(LEN('A créer'!C10)=0,"","*SAVE")</f>
        <v>*SAVE</v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Normal="100" workbookViewId="0">
      <pane xSplit="1" ySplit="1" topLeftCell="B2" activePane="bottomRight" state="frozenSplit"/>
      <selection activeCell="F50" sqref="F50"/>
      <selection pane="topRight" activeCell="F50" sqref="F50"/>
      <selection pane="bottomLeft" activeCell="F50" sqref="F50"/>
      <selection pane="bottomRight" activeCell="F50" sqref="F50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DRW0513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DRW0513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DRW0513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>*FN</v>
      </c>
      <c r="B3" s="24" t="str">
        <f>IF(AND(LEN('A créer'!$C3)=0,LEN('A créer'!$E3&gt;0)),"",CONCATENATE('A créer'!B3,'A créer'!A3))</f>
        <v>DNA0412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DNA0412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DNA0412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35">
      <c r="A4" s="2" t="str">
        <f>IF(AND(LEN('A créer'!$C4)=0,LEN('A créer'!$E4&gt;0)),"","*FN")</f>
        <v>*FN</v>
      </c>
      <c r="B4" s="24" t="str">
        <f>IF(AND(LEN('A créer'!$C4)=0,LEN('A créer'!$E4&gt;0)),"",CONCATENATE('A créer'!B4,'A créer'!A4))</f>
        <v>DMS0505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DMS0505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0505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DMS0505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35">
      <c r="A6" s="2" t="str">
        <f>IF(AND(LEN('A créer'!$C6)=0,LEN('A créer'!$E6&gt;0)),"","*FN")</f>
        <v>*FN</v>
      </c>
      <c r="B6" s="3" t="str">
        <f>IF(AND(LEN('A créer'!$C6)=0,LEN('A créer'!$E6&gt;0)),"",CONCATENATE('A créer'!B6,'A créer'!A6))</f>
        <v>DCW0450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DCW0450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créer'!$E6&gt;0)),"","*ML(103,118)")</f>
        <v>*ML(103,118)</v>
      </c>
      <c r="P6" s="2" t="str">
        <f>IF(OR(LEN('A créer'!$C6)=0,'A créer'!$E6="Oui"),"","*FN")</f>
        <v>*FN</v>
      </c>
      <c r="Q6" s="6" t="str">
        <f>IF(OR(LEN('A créer'!$C6)=0,'A créer'!$E6="Oui"),"",'A créer'!A6)</f>
        <v>0450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DCW0450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créer'!$E6="Oui"),"","*ML(118,110)")</f>
        <v>*ML(118,110)</v>
      </c>
    </row>
    <row r="7" spans="1:30" x14ac:dyDescent="0.35">
      <c r="A7" s="2" t="str">
        <f>IF(AND(LEN('A créer'!$C7)=0,LEN('A créer'!$E7&gt;0)),"","*FN")</f>
        <v>*FN</v>
      </c>
      <c r="B7" s="24" t="str">
        <f>IF(AND(LEN('A créer'!$C7)=0,LEN('A créer'!$E7&gt;0)),"",CONCATENATE('A créer'!B7,'A créer'!A7))</f>
        <v>DRW0506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DRW0506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créer'!$E7&gt;0)),"","*ML(103,118)")</f>
        <v>*ML(103,118)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0506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DRW0506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créer'!$E7="Oui"),"","*ML(118,110)")</f>
        <v>*ML(118,110)</v>
      </c>
    </row>
    <row r="8" spans="1:30" x14ac:dyDescent="0.35">
      <c r="A8" s="2" t="str">
        <f>IF(AND(LEN('A créer'!$C8)=0,LEN('A créer'!$E8&gt;0)),"","*FN")</f>
        <v/>
      </c>
      <c r="B8" s="24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35">
      <c r="A9" s="2" t="str">
        <f>IF(AND(LEN('A créer'!$C9)=0,LEN('A créer'!$E9&gt;0)),"","*FN")</f>
        <v>*FN</v>
      </c>
      <c r="B9" s="6" t="str">
        <f>IF(AND(LEN('A créer'!$C9)=0,LEN('A créer'!$E9&gt;0)),"",CONCATENATE('A créer'!B9,'A créer'!A9))</f>
        <v>DLS0512</v>
      </c>
      <c r="C9" s="2" t="str">
        <f>IF(AND(LEN('A créer'!$C9)=0,LEN('A créer'!$E9&gt;0)),"","TAB")</f>
        <v>TAB</v>
      </c>
      <c r="D9" s="6" t="str">
        <f>IF(AND(LEN('A créer'!$C9)=0,LEN('A créer'!$E9&gt;0)),"","Setup Business Group")</f>
        <v>Setup Business Group</v>
      </c>
      <c r="E9" s="2" t="str">
        <f>IF(AND(LEN('A créer'!$C9)=0,LEN('A créer'!$E9&gt;0)),"","TAB 4")</f>
        <v>TAB 4</v>
      </c>
      <c r="F9" s="2" t="str">
        <f>IF(AND(LEN('A créer'!$C9)=0,LEN('A créer'!$E9&gt;0)),"","TAB 4")</f>
        <v>TAB 4</v>
      </c>
      <c r="G9" s="2" t="str">
        <f>IF(AND(LEN('A créer'!$C9)=0,LEN('A créer'!$E9&gt;0)),"","TAB")</f>
        <v>TAB</v>
      </c>
      <c r="H9" s="2" t="str">
        <f>IF(AND(LEN('A créer'!$C9)=0,LEN('A créer'!$E9&gt;0)),"","TAB")</f>
        <v>TAB</v>
      </c>
      <c r="I9" s="2" t="str">
        <f>IF(AND(LEN('A créer'!$C9)=0,LEN('A créer'!$E9&gt;0)),"","TAB")</f>
        <v>TAB</v>
      </c>
      <c r="J9" s="6" t="str">
        <f>IF(AND(LEN('A créer'!$C9)=0,LEN('A créer'!$E9&gt;0)),"","\Sécuriser les organisations par hiérarchie")</f>
        <v>\Sécuriser les organisations par hiérarchie</v>
      </c>
      <c r="K9" s="2" t="str">
        <f>IF(AND(LEN('A créer'!$C9)=0,LEN('A créer'!$E9&gt;0)),"","TAB 4")</f>
        <v>TAB 4</v>
      </c>
      <c r="L9" s="6" t="str">
        <f>IF(AND(LEN('A créer'!$C9)=0,LEN('A créer'!$E9&gt;0)),"",CONCATENATE('A créer'!B9,'A créer'!A9))</f>
        <v>DLS0512</v>
      </c>
      <c r="M9" s="2" t="str">
        <f>IF(AND(LEN('A créer'!$C9)=0,LEN('A créer'!$E9&gt;0)),"","TAB")</f>
        <v>TAB</v>
      </c>
      <c r="N9" s="2" t="str">
        <f>IF(AND(LEN('A créer'!$C9)=0,LEN('A créer'!$E9&gt;0)),"","*SAVE")</f>
        <v>*SAVE</v>
      </c>
      <c r="O9" s="2" t="str">
        <f>IF(AND(LEN('A créer'!$C9)=0,LEN('A créer'!$E9&gt;0)),"","*ML(103,118)")</f>
        <v>*ML(103,118)</v>
      </c>
      <c r="P9" s="2" t="str">
        <f>IF(OR(LEN('A créer'!$C9)=0,'A créer'!$E9="Oui"),"","*FN")</f>
        <v>*FN</v>
      </c>
      <c r="Q9" s="6" t="str">
        <f>IF(OR(LEN('A créer'!$C9)=0,'A créer'!$E9="Oui"),"",'A créer'!A9)</f>
        <v>0512</v>
      </c>
      <c r="R9" s="2" t="str">
        <f>IF(OR(LEN('A créer'!$C9)=0,'A créer'!$E9="Oui"),"","TAB")</f>
        <v>TAB</v>
      </c>
      <c r="S9" s="6" t="str">
        <f>IF(OR(LEN('A créer'!$C9)=0,'A créer'!$E9="Oui"),"","Setup Business Group")</f>
        <v>Setup Business Group</v>
      </c>
      <c r="T9" s="2" t="str">
        <f>IF(OR(LEN('A créer'!$C9)=0,'A créer'!$E9="Oui"),"","TAB 4")</f>
        <v>TAB 4</v>
      </c>
      <c r="U9" s="2" t="str">
        <f>IF(OR(LEN('A créer'!$C9)=0,'A créer'!$E9="Oui"),"","TAB 4")</f>
        <v>TAB 4</v>
      </c>
      <c r="V9" s="2" t="str">
        <f>IF(OR(LEN('A créer'!$C9)=0,'A créer'!$E9="Oui"),"","TAB")</f>
        <v>TAB</v>
      </c>
      <c r="W9" s="2" t="str">
        <f>IF(OR(LEN('A créer'!$C9)=0,'A créer'!$E9="Oui"),"","TAB")</f>
        <v>TAB</v>
      </c>
      <c r="X9" s="2" t="str">
        <f>IF(OR(LEN('A créer'!$C9)=0,'A créer'!$E9="Oui"),"","TAB")</f>
        <v>TAB</v>
      </c>
      <c r="Y9" s="6" t="str">
        <f>IF(OR(LEN('A créer'!$C9)=0,'A créer'!$E9="Oui"),"","\Sécuriser les organisations par hiérarchie")</f>
        <v>\Sécuriser les organisations par hiérarchie</v>
      </c>
      <c r="Z9" s="2" t="str">
        <f>IF(OR(LEN('A créer'!$C9)=0,'A créer'!$E9="Oui"),"","TAB 4")</f>
        <v>TAB 4</v>
      </c>
      <c r="AA9" s="6" t="str">
        <f>IF(OR(LEN('A créer'!$C9)=0,'A créer'!$E9="Oui"),"",CONCATENATE('A créer'!B9,'A créer'!A9))</f>
        <v>DLS0512</v>
      </c>
      <c r="AB9" s="2" t="str">
        <f>IF(OR(LEN('A créer'!$C9)=0,'A créer'!$E9="Oui"),"","TAB")</f>
        <v>TAB</v>
      </c>
      <c r="AC9" s="2" t="str">
        <f>IF(OR(LEN('A créer'!$C9)=0,'A créer'!$E9="Oui"),"","*SAVE")</f>
        <v>*SAVE</v>
      </c>
      <c r="AD9" s="2" t="str">
        <f>IF(OR(LEN('A créer'!$C9)=0,'A créer'!$E9="Oui"),"","*ML(237,126)")</f>
        <v>*ML(237,126)</v>
      </c>
    </row>
    <row r="10" spans="1:30" x14ac:dyDescent="0.35">
      <c r="A10" s="2" t="str">
        <f>IF(AND(LEN('A créer'!$C10)=0,LEN('A créer'!$E10&gt;0)),"","*FN")</f>
        <v>*FN</v>
      </c>
      <c r="B10" s="6" t="str">
        <f>IF(AND(LEN('A créer'!$C10)=0,LEN('A créer'!$E10&gt;0)),"",CONCATENATE('A créer'!B10,'A créer'!A10))</f>
        <v>DMS0515</v>
      </c>
      <c r="C10" s="2" t="str">
        <f>IF(AND(LEN('A créer'!$C10)=0,LEN('A créer'!$E10&gt;0)),"","TAB")</f>
        <v>TAB</v>
      </c>
      <c r="D10" s="6" t="str">
        <f>IF(AND(LEN('A créer'!$C10)=0,LEN('A créer'!$E10&gt;0)),"","Setup Business Group")</f>
        <v>Setup Business Group</v>
      </c>
      <c r="E10" s="2" t="str">
        <f>IF(AND(LEN('A créer'!$C10)=0,LEN('A créer'!$E10&gt;0)),"","TAB 4")</f>
        <v>TAB 4</v>
      </c>
      <c r="F10" s="2" t="str">
        <f>IF(AND(LEN('A créer'!$C10)=0,LEN('A créer'!$E10&gt;0)),"","TAB 4")</f>
        <v>TAB 4</v>
      </c>
      <c r="G10" s="2" t="str">
        <f>IF(AND(LEN('A créer'!$C10)=0,LEN('A créer'!$E10&gt;0)),"","TAB")</f>
        <v>TAB</v>
      </c>
      <c r="H10" s="2" t="str">
        <f>IF(AND(LEN('A créer'!$C10)=0,LEN('A créer'!$E10&gt;0)),"","TAB")</f>
        <v>TAB</v>
      </c>
      <c r="I10" s="2" t="str">
        <f>IF(AND(LEN('A créer'!$C10)=0,LEN('A créer'!$E10&gt;0)),"","TAB")</f>
        <v>TAB</v>
      </c>
      <c r="J10" s="6" t="str">
        <f>IF(AND(LEN('A créer'!$C10)=0,LEN('A créer'!$E10&gt;0)),"","\Sécuriser les organisations par hiérarchie")</f>
        <v>\Sécuriser les organisations par hiérarchie</v>
      </c>
      <c r="K10" s="2" t="str">
        <f>IF(AND(LEN('A créer'!$C10)=0,LEN('A créer'!$E10&gt;0)),"","TAB 4")</f>
        <v>TAB 4</v>
      </c>
      <c r="L10" s="6" t="str">
        <f>IF(AND(LEN('A créer'!$C10)=0,LEN('A créer'!$E10&gt;0)),"",CONCATENATE('A créer'!B10,'A créer'!A10))</f>
        <v>DMS0515</v>
      </c>
      <c r="M10" s="2" t="str">
        <f>IF(AND(LEN('A créer'!$C10)=0,LEN('A créer'!$E10&gt;0)),"","TAB")</f>
        <v>TAB</v>
      </c>
      <c r="N10" s="2" t="str">
        <f>IF(AND(LEN('A créer'!$C10)=0,LEN('A créer'!$E10&gt;0)),"","*SAVE")</f>
        <v>*SAVE</v>
      </c>
      <c r="O10" s="2" t="str">
        <f>IF(AND(LEN('A créer'!$C10)=0,LEN('A créer'!$E10&gt;0)),"","*ML(103,118)")</f>
        <v>*ML(103,118)</v>
      </c>
      <c r="P10" s="2" t="str">
        <f>IF(OR(LEN('A créer'!$C10)=0,'A créer'!$E10="Oui"),"","*FN")</f>
        <v>*FN</v>
      </c>
      <c r="Q10" s="6" t="str">
        <f>IF(OR(LEN('A créer'!$C10)=0,'A créer'!$E10="Oui"),"",'A créer'!A10)</f>
        <v>0515</v>
      </c>
      <c r="R10" s="2" t="str">
        <f>IF(OR(LEN('A créer'!$C10)=0,'A créer'!$E10="Oui"),"","TAB")</f>
        <v>TAB</v>
      </c>
      <c r="S10" s="6" t="str">
        <f>IF(OR(LEN('A créer'!$C10)=0,'A créer'!$E10="Oui"),"","Setup Business Group")</f>
        <v>Setup Business Group</v>
      </c>
      <c r="T10" s="2" t="str">
        <f>IF(OR(LEN('A créer'!$C10)=0,'A créer'!$E10="Oui"),"","TAB 4")</f>
        <v>TAB 4</v>
      </c>
      <c r="U10" s="2" t="str">
        <f>IF(OR(LEN('A créer'!$C10)=0,'A créer'!$E10="Oui"),"","TAB 4")</f>
        <v>TAB 4</v>
      </c>
      <c r="V10" s="2" t="str">
        <f>IF(OR(LEN('A créer'!$C10)=0,'A créer'!$E10="Oui"),"","TAB")</f>
        <v>TAB</v>
      </c>
      <c r="W10" s="2" t="str">
        <f>IF(OR(LEN('A créer'!$C10)=0,'A créer'!$E10="Oui"),"","TAB")</f>
        <v>TAB</v>
      </c>
      <c r="X10" s="2" t="str">
        <f>IF(OR(LEN('A créer'!$C10)=0,'A créer'!$E10="Oui"),"","TAB")</f>
        <v>TAB</v>
      </c>
      <c r="Y10" s="6" t="str">
        <f>IF(OR(LEN('A créer'!$C10)=0,'A créer'!$E10="Oui"),"","\Sécuriser les organisations par hiérarchie")</f>
        <v>\Sécuriser les organisations par hiérarchie</v>
      </c>
      <c r="Z10" s="2" t="str">
        <f>IF(OR(LEN('A créer'!$C10)=0,'A créer'!$E10="Oui"),"","TAB 4")</f>
        <v>TAB 4</v>
      </c>
      <c r="AA10" s="6" t="str">
        <f>IF(OR(LEN('A créer'!$C10)=0,'A créer'!$E10="Oui"),"",CONCATENATE('A créer'!B10,'A créer'!A10))</f>
        <v>DMS0515</v>
      </c>
      <c r="AB10" s="2" t="str">
        <f>IF(OR(LEN('A créer'!$C10)=0,'A créer'!$E10="Oui"),"","TAB")</f>
        <v>TAB</v>
      </c>
      <c r="AC10" s="2" t="str">
        <f>IF(OR(LEN('A créer'!$C10)=0,'A créer'!$E10="Oui"),"","*SAVE")</f>
        <v>*SAVE</v>
      </c>
      <c r="AD10" s="2" t="str">
        <f>IF(OR(LEN('A créer'!$C10)=0,'A créer'!$E10="Oui"),"","*ML(237,126)")</f>
        <v>*ML(237,126)</v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24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activeCell="F50" sqref="F50"/>
      <selection pane="bottomLeft" activeCell="F50" sqref="F50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DRW0513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DNA0412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DMS0505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DCW0450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DRW0506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>TAB</v>
      </c>
      <c r="B9" s="2" t="str">
        <f>IF(LEN('A créer'!$C9)=0,"","TAB")</f>
        <v>TAB</v>
      </c>
      <c r="C9" s="6" t="str">
        <f>IF(LEN('A créer'!$C9)=0,"","\Un profil de sécurité nommé")</f>
        <v>\Un profil de sécurité nommé</v>
      </c>
      <c r="D9" s="2" t="str">
        <f>IF(LEN('A créer'!$C9)=0,"","TAB")</f>
        <v>TAB</v>
      </c>
      <c r="E9" s="2" t="str">
        <f>IF(LEN('A créer'!$C9)=0,"","TAB")</f>
        <v>TAB</v>
      </c>
      <c r="F9" s="6" t="str">
        <f>IF(LEN('A créer'!$C9)=0,"",CONCATENATE('A créer'!B9,'A créer'!A9))</f>
        <v>DLS0512</v>
      </c>
      <c r="G9" s="2" t="str">
        <f>IF(LEN('A créer'!$C9)=0,"","TAB")</f>
        <v>TAB</v>
      </c>
      <c r="H9" s="2" t="str">
        <f>IF(LEN('A créer'!$C9)=0,"","ENT")</f>
        <v>ENT</v>
      </c>
      <c r="I9" s="2" t="str">
        <f>IF(LEN('A créer'!$C9)=0,"","TAB")</f>
        <v>TAB</v>
      </c>
      <c r="J9" s="2" t="str">
        <f>IF(LEN('A créer'!$C9)=0,"","TAB")</f>
        <v>TAB</v>
      </c>
      <c r="K9" s="2" t="str">
        <f>IF(LEN('A créer'!$C9)=0,"","ENT")</f>
        <v>ENT</v>
      </c>
      <c r="L9" s="2" t="str">
        <f>IF(LEN('A créer'!$C9)=0,"","ENT")</f>
        <v>ENT</v>
      </c>
    </row>
    <row r="10" spans="1:12" x14ac:dyDescent="0.35">
      <c r="A10" s="2" t="str">
        <f>IF(LEN('A créer'!$C10)=0,"","TAB")</f>
        <v>TAB</v>
      </c>
      <c r="B10" s="2" t="str">
        <f>IF(LEN('A créer'!$C10)=0,"","TAB")</f>
        <v>TAB</v>
      </c>
      <c r="C10" s="6" t="str">
        <f>IF(LEN('A créer'!$C10)=0,"","\Un profil de sécurité nommé")</f>
        <v>\Un profil de sécurité nommé</v>
      </c>
      <c r="D10" s="2" t="str">
        <f>IF(LEN('A créer'!$C10)=0,"","TAB")</f>
        <v>TAB</v>
      </c>
      <c r="E10" s="2" t="str">
        <f>IF(LEN('A créer'!$C10)=0,"","TAB")</f>
        <v>TAB</v>
      </c>
      <c r="F10" s="6" t="str">
        <f>IF(LEN('A créer'!$C10)=0,"",CONCATENATE('A créer'!B10,'A créer'!A10))</f>
        <v>DMS0515</v>
      </c>
      <c r="G10" s="2" t="str">
        <f>IF(LEN('A créer'!$C10)=0,"","TAB")</f>
        <v>TAB</v>
      </c>
      <c r="H10" s="2" t="str">
        <f>IF(LEN('A créer'!$C10)=0,"","ENT")</f>
        <v>ENT</v>
      </c>
      <c r="I10" s="2" t="str">
        <f>IF(LEN('A créer'!$C10)=0,"","TAB")</f>
        <v>TAB</v>
      </c>
      <c r="J10" s="2" t="str">
        <f>IF(LEN('A créer'!$C10)=0,"","TAB")</f>
        <v>TAB</v>
      </c>
      <c r="K10" s="2" t="str">
        <f>IF(LEN('A créer'!$C10)=0,"","ENT")</f>
        <v>ENT</v>
      </c>
      <c r="L10" s="2" t="str">
        <f>IF(LEN('A créer'!$C10)=0,"","ENT")</f>
        <v>ENT</v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15" zoomScaleNormal="115" workbookViewId="0">
      <selection activeCell="F50" sqref="F50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75</v>
      </c>
      <c r="B1" s="12" t="s">
        <v>76</v>
      </c>
      <c r="C1" s="12" t="s">
        <v>77</v>
      </c>
    </row>
    <row r="2" spans="1:3" x14ac:dyDescent="0.35">
      <c r="A2" s="11" t="s">
        <v>80</v>
      </c>
      <c r="B2" s="11" t="s">
        <v>81</v>
      </c>
      <c r="C2" s="13" t="s">
        <v>38</v>
      </c>
    </row>
    <row r="3" spans="1:3" x14ac:dyDescent="0.35">
      <c r="A3" s="11" t="s">
        <v>82</v>
      </c>
      <c r="B3" s="11" t="s">
        <v>83</v>
      </c>
      <c r="C3" s="13" t="s">
        <v>43</v>
      </c>
    </row>
    <row r="4" spans="1:3" x14ac:dyDescent="0.35">
      <c r="A4" s="11" t="s">
        <v>84</v>
      </c>
      <c r="B4" s="11" t="s">
        <v>85</v>
      </c>
      <c r="C4" s="13" t="s">
        <v>39</v>
      </c>
    </row>
    <row r="5" spans="1:3" x14ac:dyDescent="0.35">
      <c r="A5" s="11" t="s">
        <v>86</v>
      </c>
      <c r="B5" s="11" t="s">
        <v>87</v>
      </c>
      <c r="C5" s="13" t="s">
        <v>40</v>
      </c>
    </row>
    <row r="6" spans="1:3" x14ac:dyDescent="0.35">
      <c r="A6" s="11" t="s">
        <v>88</v>
      </c>
      <c r="B6" s="11" t="s">
        <v>89</v>
      </c>
      <c r="C6" s="13" t="s">
        <v>44</v>
      </c>
    </row>
    <row r="7" spans="1:3" x14ac:dyDescent="0.35">
      <c r="A7" s="14" t="s">
        <v>78</v>
      </c>
      <c r="B7" s="13" t="s">
        <v>79</v>
      </c>
      <c r="C7" s="13" t="s">
        <v>3</v>
      </c>
    </row>
    <row r="8" spans="1:3" x14ac:dyDescent="0.35">
      <c r="A8" s="11" t="s">
        <v>90</v>
      </c>
      <c r="B8" s="11" t="s">
        <v>91</v>
      </c>
      <c r="C8" s="13" t="s">
        <v>41</v>
      </c>
    </row>
    <row r="9" spans="1:3" x14ac:dyDescent="0.3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2024-11-14T14:42:46Z</dcterms:modified>
</cp:coreProperties>
</file>