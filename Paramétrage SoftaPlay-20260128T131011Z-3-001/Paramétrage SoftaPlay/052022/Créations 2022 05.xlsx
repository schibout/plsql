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Mai 2022\"/>
    </mc:Choice>
  </mc:AlternateContent>
  <bookViews>
    <workbookView xWindow="285" yWindow="45" windowWidth="15870" windowHeight="5835" tabRatio="723" firstSheet="5" activeTab="9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BC3" i="9" l="1"/>
  <c r="BC4" i="9"/>
  <c r="BC5" i="9"/>
  <c r="BC6" i="9"/>
  <c r="BC7" i="9"/>
  <c r="BC8" i="9"/>
  <c r="BC9" i="9"/>
  <c r="BC10" i="9"/>
  <c r="BC2" i="9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V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P13" i="9" l="1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<sst xmlns="http://schemas.openxmlformats.org/spreadsheetml/2006/main" count="623" uniqueCount="136">
  <si>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</si>
  <si>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</si>
  <si>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</si>
  <si>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</si>
  <si>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</si>
  <si>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</si>
  <si>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</si>
  <si>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</si>
  <si>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</si>
  <si>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</si>
  <si>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</si>
  <si>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</si>
  <si>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</si>
  <si>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</si>
  <si>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</si>
  <si>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</si>
  <si>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</si>
  <si>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</si>
  <si>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</si>
  <si>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</si>
  <si>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</si>
  <si>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</si>
  <si>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</si>
  <si>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</si>
  <si>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</si>
  <si>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</si>
  <si>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</si>
  <si>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</si>
  <si>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</si>
  <si>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</si>
  <si>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</si>
  <si>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</si>
  <si>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</si>
  <si>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</si>
  <si>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</si>
  <si>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</si>
  <si>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</si>
  <si>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</si>
  <si>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</si>
  <si>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</si>
  <si>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</si>
  <si>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</si>
  <si>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</si>
  <si>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</si>
  <si>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</si>
  <si>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</si>
  <si>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</si>
  <si>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</si>
  <si>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</si>
  <si>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</si>
  <si>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</si>
  <si>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</si>
  <si>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</si>
  <si>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</si>
  <si>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</si>
  <si>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</si>
  <si>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</si>
  <si>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</si>
  <si>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</si>
  <si>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</si>
  <si>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</si>
  <si>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</si>
  <si>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</si>
  <si>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</si>
  <si>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</si>
  <si>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</si>
  <si>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</si>
  <si>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</si>
  <si>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</si>
  <si>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</si>
  <si>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</si>
  <si>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</si>
  <si>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</si>
  <si>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</si>
  <si>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</si>
  <si>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</si>
  <si>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</si>
  <si>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</si>
  <si>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</si>
  <si>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</si>
  <si>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</si>
  <si>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</si>
  <si>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</si>
  <si>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</si>
  <si>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</si>
  <si>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</si>
  <si>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</si>
  <si>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</si>
  <si>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</si>
  <si>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</si>
  <si>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</si>
  <si>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</si>
  <si>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</si>
  <si>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</si>
  <si>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PARIS LA DEFENSE CEDEX</t>
  </si>
  <si>
    <t>Tab 4</t>
  </si>
  <si>
    <t>*ML(603,115)</t>
  </si>
  <si>
    <t>SOCIETE GENERALE</t>
  </si>
  <si>
    <t>*ML(602,118)</t>
  </si>
  <si>
    <t>0491</t>
  </si>
  <si>
    <t>CALORIMER</t>
  </si>
  <si>
    <t>S2575</t>
  </si>
  <si>
    <t>33, Place des Corolles - TOUR EUROPE - TSA 11400</t>
  </si>
  <si>
    <t>FB0078088L</t>
  </si>
  <si>
    <t>0492</t>
  </si>
  <si>
    <t>CAMILLE CLAUDEL ENERGIES</t>
  </si>
  <si>
    <t>CAMILLE CLAUDEL</t>
  </si>
  <si>
    <t>YS2572</t>
  </si>
  <si>
    <t>FB0078107H</t>
  </si>
  <si>
    <t>0493</t>
  </si>
  <si>
    <t>EDDAL ECOMANCHE</t>
  </si>
  <si>
    <t>YSV128</t>
  </si>
  <si>
    <t>FB0078156N</t>
  </si>
  <si>
    <t>0498</t>
  </si>
  <si>
    <t>ECO ROC NOIR</t>
  </si>
  <si>
    <t>YS2570</t>
  </si>
  <si>
    <t>CREDIT AGRICOLE</t>
  </si>
  <si>
    <t>FB0078096W</t>
  </si>
  <si>
    <t>0490</t>
  </si>
  <si>
    <t>DALKIA SMART BUILDING</t>
  </si>
  <si>
    <t>S2520C</t>
  </si>
  <si>
    <t>FB0078047P</t>
  </si>
  <si>
    <t>S2520E</t>
  </si>
  <si>
    <t>FB0078087K</t>
  </si>
  <si>
    <t>FB0078093S</t>
  </si>
  <si>
    <t>S2520L</t>
  </si>
  <si>
    <t>S2520A</t>
  </si>
  <si>
    <t>S2520M</t>
  </si>
  <si>
    <t>FB0078095W</t>
  </si>
  <si>
    <t>S2520B</t>
  </si>
  <si>
    <t>FB0078111M</t>
  </si>
  <si>
    <t>S2520I</t>
  </si>
  <si>
    <t>FB0078105F</t>
  </si>
  <si>
    <t>S2520N</t>
  </si>
  <si>
    <t>FB0078155M</t>
  </si>
  <si>
    <t>GK0992688E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</si>
</sst>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35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49" fontId="27" fillId="2" borderId="13" xfId="0" applyNumberFormat="1" applyFont="1" applyFill="1" applyBorder="1" applyAlignment="1">
      <alignment horizontal="center"/>
    </xf>
    <xf numFmtId="49" fontId="23" fillId="0" borderId="13" xfId="0" applyNumberFormat="1" applyFont="1" applyBorder="1" applyAlignment="1">
      <alignment horizontal="center"/>
    </xf>
    <xf numFmtId="0" fontId="0" fillId="0" borderId="0" xfId="0" applyFill="1" applyBorder="1"/>
    <xf numFmtId="0" fontId="26" fillId="2" borderId="12" xfId="0" applyFont="1" applyFill="1" applyBorder="1" applyAlignment="1">
      <alignment horizontal="center"/>
    </xf>
    <xf numFmtId="0" fontId="0" fillId="0" borderId="0" xfId="0" quotePrefix="1" applyFill="1"/>
    <xf numFmtId="0" fontId="24" fillId="0" borderId="0" xfId="0" applyFont="1" applyFill="1"/>
    <xf numFmtId="0" fontId="25" fillId="0" borderId="10" xfId="0" applyFont="1" applyFill="1" applyBorder="1" applyAlignment="1">
      <alignment horizontal="left"/>
    </xf>
    <xf numFmtId="0" fontId="25" fillId="0" borderId="11" xfId="0" quotePrefix="1" applyFont="1" applyFill="1" applyBorder="1" applyAlignment="1">
      <alignment horizontal="center"/>
    </xf>
    <xf numFmtId="0" fontId="25" fillId="0" borderId="10" xfId="0" applyFont="1" applyFill="1" applyBorder="1" applyAlignment="1">
      <alignment horizontal="center"/>
    </xf>
    <xf numFmtId="49" fontId="23" fillId="0" borderId="0" xfId="0" applyNumberFormat="1" applyFont="1" applyFill="1" applyBorder="1" applyAlignment="1">
      <alignment horizontal="center"/>
    </xf>
    <xf numFmtId="49" fontId="29" fillId="0" borderId="13" xfId="0" applyNumberFormat="1" applyFont="1" applyFill="1" applyBorder="1" applyAlignment="1">
      <alignment horizontal="center"/>
    </xf>
    <xf numFmtId="49" fontId="27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A5" sqref="A5:XFD5"/>
    </sheetView>
  </sheetViews>
  <sheetFormatPr baseColWidth="10" defaultRowHeight="15" x14ac:dyDescent="0.25"/>
  <cols>
    <col min="1" max="1" width="7" bestFit="1" customWidth="1"/>
    <col min="2" max="2" width="6.85546875" bestFit="1" customWidth="1"/>
    <col min="3" max="3" width="26" bestFit="1" customWidth="1"/>
    <col min="4" max="4" width="4.42578125" bestFit="1" customWidth="1"/>
    <col min="5" max="5" width="4.42578125" customWidth="1"/>
    <col min="6" max="6" width="10.85546875" customWidth="1"/>
    <col min="7" max="7" width="9.5703125" customWidth="1"/>
    <col min="8" max="8" width="8.85546875" customWidth="1"/>
    <col min="9" max="9" width="25.5703125" customWidth="1"/>
    <col min="10" max="10" width="49.140625" customWidth="1"/>
    <col min="11" max="11" width="7.85546875" bestFit="1" customWidth="1"/>
    <col min="12" max="12" width="37.140625" customWidth="1"/>
    <col min="13" max="13" width="10.42578125" customWidth="1"/>
    <col min="14" max="14" width="9.42578125" bestFit="1" customWidth="1"/>
    <col min="15" max="15" width="20.28515625" bestFit="1" customWidth="1"/>
    <col min="16" max="16" width="9" customWidth="1"/>
    <col min="17" max="17" width="31" customWidth="1"/>
    <col min="18" max="18" width="14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ht="16.5" thickBot="1" x14ac:dyDescent="0.3">
      <c r="A2" s="1" t="s">
        <v>99</v>
      </c>
      <c r="B2" s="6" t="s">
        <v>43</v>
      </c>
      <c r="C2" s="15" t="s">
        <v>100</v>
      </c>
      <c r="D2" s="6" t="s">
        <v>34</v>
      </c>
      <c r="E2" s="6" t="s">
        <v>34</v>
      </c>
      <c r="F2" s="6" t="s">
        <v>74</v>
      </c>
      <c r="G2" s="6" t="s">
        <v>101</v>
      </c>
      <c r="H2" s="6" t="s">
        <v>43</v>
      </c>
      <c r="I2" s="17" t="s">
        <v>100</v>
      </c>
      <c r="J2" s="6" t="s">
        <v>102</v>
      </c>
      <c r="K2" s="18">
        <v>92049</v>
      </c>
      <c r="L2" s="16" t="s">
        <v>94</v>
      </c>
      <c r="M2" s="6"/>
      <c r="N2" s="6"/>
      <c r="O2" s="10"/>
      <c r="P2" s="19"/>
      <c r="Q2" s="6" t="s">
        <v>97</v>
      </c>
      <c r="R2" s="31" t="s">
        <v>103</v>
      </c>
    </row>
    <row r="3" spans="1:19" ht="16.5" thickBot="1" x14ac:dyDescent="0.3">
      <c r="A3" s="1" t="s">
        <v>104</v>
      </c>
      <c r="B3" s="6" t="s">
        <v>41</v>
      </c>
      <c r="C3" s="15" t="s">
        <v>105</v>
      </c>
      <c r="D3" s="6" t="s">
        <v>34</v>
      </c>
      <c r="E3" s="6" t="s">
        <v>34</v>
      </c>
      <c r="F3" s="6" t="s">
        <v>74</v>
      </c>
      <c r="G3" s="6" t="s">
        <v>107</v>
      </c>
      <c r="H3" s="6" t="s">
        <v>41</v>
      </c>
      <c r="I3" s="17" t="s">
        <v>106</v>
      </c>
      <c r="J3" s="6" t="s">
        <v>102</v>
      </c>
      <c r="K3" s="18">
        <v>92049</v>
      </c>
      <c r="L3" s="16" t="s">
        <v>94</v>
      </c>
      <c r="M3" s="6"/>
      <c r="N3" s="6"/>
      <c r="O3" s="10"/>
      <c r="P3" s="19"/>
      <c r="Q3" s="6" t="s">
        <v>97</v>
      </c>
      <c r="R3" s="32" t="s">
        <v>108</v>
      </c>
      <c r="S3" s="6"/>
    </row>
    <row r="4" spans="1:19" s="4" customFormat="1" ht="16.5" thickBot="1" x14ac:dyDescent="0.3">
      <c r="A4" s="24" t="s">
        <v>109</v>
      </c>
      <c r="B4" s="4" t="s">
        <v>42</v>
      </c>
      <c r="C4" s="25" t="s">
        <v>110</v>
      </c>
      <c r="D4" s="4" t="s">
        <v>34</v>
      </c>
      <c r="E4" s="4" t="s">
        <v>34</v>
      </c>
      <c r="F4" s="4" t="s">
        <v>74</v>
      </c>
      <c r="G4" s="4" t="s">
        <v>111</v>
      </c>
      <c r="H4" s="4" t="s">
        <v>42</v>
      </c>
      <c r="I4" s="26" t="s">
        <v>110</v>
      </c>
      <c r="J4" s="4" t="s">
        <v>102</v>
      </c>
      <c r="K4" s="27">
        <v>92049</v>
      </c>
      <c r="L4" s="28" t="s">
        <v>94</v>
      </c>
      <c r="O4" s="29"/>
      <c r="P4" s="23"/>
      <c r="Q4" s="2"/>
      <c r="R4" s="30" t="s">
        <v>112</v>
      </c>
    </row>
    <row r="5" spans="1:19" ht="16.5" thickBot="1" x14ac:dyDescent="0.3">
      <c r="A5" s="1" t="s">
        <v>113</v>
      </c>
      <c r="B5" s="6" t="s">
        <v>40</v>
      </c>
      <c r="C5" s="15" t="s">
        <v>114</v>
      </c>
      <c r="D5" s="6" t="s">
        <v>34</v>
      </c>
      <c r="E5" s="6" t="s">
        <v>34</v>
      </c>
      <c r="F5" s="6" t="s">
        <v>74</v>
      </c>
      <c r="G5" s="6" t="s">
        <v>115</v>
      </c>
      <c r="H5" s="6" t="s">
        <v>40</v>
      </c>
      <c r="I5" s="17" t="s">
        <v>114</v>
      </c>
      <c r="J5" s="6" t="s">
        <v>102</v>
      </c>
      <c r="K5" s="18">
        <v>92049</v>
      </c>
      <c r="L5" s="16" t="s">
        <v>94</v>
      </c>
      <c r="O5" s="10"/>
      <c r="P5" s="19"/>
      <c r="Q5" s="6" t="s">
        <v>116</v>
      </c>
      <c r="R5" s="31" t="s">
        <v>117</v>
      </c>
      <c r="S5" s="6"/>
    </row>
    <row r="6" spans="1:19" ht="16.5" thickBot="1" x14ac:dyDescent="0.3">
      <c r="A6" s="1" t="s">
        <v>118</v>
      </c>
      <c r="B6" s="6" t="s">
        <v>3</v>
      </c>
      <c r="C6" s="15" t="s">
        <v>119</v>
      </c>
      <c r="D6" s="6" t="s">
        <v>34</v>
      </c>
      <c r="E6" s="6" t="s">
        <v>74</v>
      </c>
      <c r="F6" s="6" t="s">
        <v>34</v>
      </c>
      <c r="G6" s="6" t="s">
        <v>120</v>
      </c>
      <c r="H6" s="4" t="s">
        <v>3</v>
      </c>
      <c r="I6" s="17" t="s">
        <v>119</v>
      </c>
      <c r="J6" s="6" t="s">
        <v>102</v>
      </c>
      <c r="K6" s="18">
        <v>92049</v>
      </c>
      <c r="L6" s="16" t="s">
        <v>94</v>
      </c>
      <c r="O6" s="10"/>
      <c r="P6" s="19"/>
      <c r="Q6" s="6" t="s">
        <v>97</v>
      </c>
      <c r="R6" s="33" t="s">
        <v>121</v>
      </c>
      <c r="S6" s="6"/>
    </row>
    <row r="7" spans="1:19" ht="16.5" thickBot="1" x14ac:dyDescent="0.3">
      <c r="A7" s="1" t="s">
        <v>118</v>
      </c>
      <c r="B7" s="6" t="s">
        <v>38</v>
      </c>
      <c r="C7" s="15" t="s">
        <v>119</v>
      </c>
      <c r="D7" s="6" t="s">
        <v>34</v>
      </c>
      <c r="E7" s="6" t="s">
        <v>74</v>
      </c>
      <c r="F7" s="6" t="s">
        <v>34</v>
      </c>
      <c r="G7" s="6" t="s">
        <v>122</v>
      </c>
      <c r="H7" s="4" t="s">
        <v>3</v>
      </c>
      <c r="I7" s="17" t="s">
        <v>119</v>
      </c>
      <c r="J7" s="6" t="s">
        <v>102</v>
      </c>
      <c r="K7" s="18">
        <v>92049</v>
      </c>
      <c r="L7" s="16" t="s">
        <v>94</v>
      </c>
      <c r="O7" s="10"/>
      <c r="P7" s="19"/>
      <c r="Q7" s="6" t="s">
        <v>97</v>
      </c>
      <c r="R7" s="20" t="s">
        <v>135</v>
      </c>
      <c r="S7" s="6"/>
    </row>
    <row r="8" spans="1:19" ht="16.5" thickBot="1" x14ac:dyDescent="0.3">
      <c r="A8" s="1" t="s">
        <v>118</v>
      </c>
      <c r="B8" s="6" t="s">
        <v>43</v>
      </c>
      <c r="C8" s="15" t="s">
        <v>119</v>
      </c>
      <c r="D8" s="6" t="s">
        <v>34</v>
      </c>
      <c r="E8" s="6" t="s">
        <v>74</v>
      </c>
      <c r="F8" s="6" t="s">
        <v>34</v>
      </c>
      <c r="G8" s="6" t="s">
        <v>125</v>
      </c>
      <c r="H8" s="4" t="s">
        <v>3</v>
      </c>
      <c r="I8" s="17" t="s">
        <v>119</v>
      </c>
      <c r="J8" s="6" t="s">
        <v>102</v>
      </c>
      <c r="K8" s="18">
        <v>92049</v>
      </c>
      <c r="L8" s="16" t="s">
        <v>94</v>
      </c>
      <c r="O8" s="10"/>
      <c r="P8" s="19"/>
      <c r="Q8" s="6" t="s">
        <v>97</v>
      </c>
      <c r="R8" s="32" t="s">
        <v>123</v>
      </c>
      <c r="S8" s="6"/>
    </row>
    <row r="9" spans="1:19" ht="16.5" thickBot="1" x14ac:dyDescent="0.3">
      <c r="A9" s="1" t="s">
        <v>118</v>
      </c>
      <c r="B9" s="6" t="s">
        <v>39</v>
      </c>
      <c r="C9" s="15" t="s">
        <v>119</v>
      </c>
      <c r="D9" s="6" t="s">
        <v>34</v>
      </c>
      <c r="E9" s="6" t="s">
        <v>74</v>
      </c>
      <c r="F9" s="6" t="s">
        <v>34</v>
      </c>
      <c r="G9" s="6" t="s">
        <v>126</v>
      </c>
      <c r="H9" s="4" t="s">
        <v>3</v>
      </c>
      <c r="I9" s="17" t="s">
        <v>119</v>
      </c>
      <c r="J9" s="6" t="s">
        <v>102</v>
      </c>
      <c r="K9" s="18">
        <v>92049</v>
      </c>
      <c r="L9" s="16" t="s">
        <v>94</v>
      </c>
      <c r="O9" s="10"/>
      <c r="P9" s="19"/>
      <c r="Q9" s="6" t="s">
        <v>97</v>
      </c>
      <c r="R9" s="32" t="s">
        <v>124</v>
      </c>
      <c r="S9" s="6"/>
    </row>
    <row r="10" spans="1:19" ht="16.5" thickBot="1" x14ac:dyDescent="0.3">
      <c r="A10" s="1" t="s">
        <v>118</v>
      </c>
      <c r="B10" s="6" t="s">
        <v>40</v>
      </c>
      <c r="C10" s="15" t="s">
        <v>119</v>
      </c>
      <c r="D10" s="6" t="s">
        <v>34</v>
      </c>
      <c r="E10" s="6" t="s">
        <v>74</v>
      </c>
      <c r="F10" s="6" t="s">
        <v>34</v>
      </c>
      <c r="G10" s="6" t="s">
        <v>127</v>
      </c>
      <c r="H10" s="4" t="s">
        <v>3</v>
      </c>
      <c r="I10" s="17" t="s">
        <v>119</v>
      </c>
      <c r="J10" s="6" t="s">
        <v>102</v>
      </c>
      <c r="K10" s="18">
        <v>92049</v>
      </c>
      <c r="L10" s="16" t="s">
        <v>94</v>
      </c>
      <c r="M10" s="6"/>
      <c r="N10" s="21"/>
      <c r="O10" s="21"/>
      <c r="P10" s="19"/>
      <c r="Q10" s="6" t="s">
        <v>97</v>
      </c>
      <c r="R10" s="34" t="s">
        <v>128</v>
      </c>
      <c r="S10" s="6"/>
    </row>
    <row r="11" spans="1:19" ht="16.5" thickBot="1" x14ac:dyDescent="0.3">
      <c r="A11" s="1" t="s">
        <v>118</v>
      </c>
      <c r="B11" s="6" t="s">
        <v>44</v>
      </c>
      <c r="C11" s="15" t="s">
        <v>119</v>
      </c>
      <c r="D11" s="6" t="s">
        <v>34</v>
      </c>
      <c r="E11" s="6" t="s">
        <v>74</v>
      </c>
      <c r="F11" s="6" t="s">
        <v>34</v>
      </c>
      <c r="G11" s="6" t="s">
        <v>129</v>
      </c>
      <c r="H11" s="4" t="s">
        <v>3</v>
      </c>
      <c r="I11" s="17" t="s">
        <v>119</v>
      </c>
      <c r="J11" s="6" t="s">
        <v>102</v>
      </c>
      <c r="K11" s="18">
        <v>92049</v>
      </c>
      <c r="L11" s="16" t="s">
        <v>94</v>
      </c>
      <c r="N11" s="21"/>
      <c r="O11" s="21"/>
      <c r="P11" s="19"/>
      <c r="Q11" s="6" t="s">
        <v>97</v>
      </c>
      <c r="R11" s="30" t="s">
        <v>130</v>
      </c>
      <c r="S11" s="6"/>
    </row>
    <row r="12" spans="1:19" ht="16.5" thickBot="1" x14ac:dyDescent="0.3">
      <c r="A12" s="1" t="s">
        <v>118</v>
      </c>
      <c r="B12" s="6" t="s">
        <v>41</v>
      </c>
      <c r="C12" s="15" t="s">
        <v>119</v>
      </c>
      <c r="D12" s="6" t="s">
        <v>34</v>
      </c>
      <c r="E12" s="6" t="s">
        <v>74</v>
      </c>
      <c r="F12" s="6" t="s">
        <v>34</v>
      </c>
      <c r="G12" t="s">
        <v>131</v>
      </c>
      <c r="H12" s="4" t="s">
        <v>3</v>
      </c>
      <c r="I12" s="17" t="s">
        <v>119</v>
      </c>
      <c r="J12" s="6" t="s">
        <v>102</v>
      </c>
      <c r="K12" s="18">
        <v>92049</v>
      </c>
      <c r="L12" s="16" t="s">
        <v>94</v>
      </c>
      <c r="M12" s="6"/>
      <c r="N12" s="21"/>
      <c r="O12" s="21"/>
      <c r="P12" s="19"/>
      <c r="Q12" s="6" t="s">
        <v>97</v>
      </c>
      <c r="R12" s="34" t="s">
        <v>132</v>
      </c>
      <c r="S12" s="6"/>
    </row>
    <row r="13" spans="1:19" ht="16.5" thickBot="1" x14ac:dyDescent="0.3">
      <c r="A13" s="1" t="s">
        <v>118</v>
      </c>
      <c r="B13" s="6" t="s">
        <v>42</v>
      </c>
      <c r="C13" s="15" t="s">
        <v>119</v>
      </c>
      <c r="D13" s="6" t="s">
        <v>34</v>
      </c>
      <c r="E13" s="6" t="s">
        <v>74</v>
      </c>
      <c r="F13" s="6" t="s">
        <v>34</v>
      </c>
      <c r="G13" t="s">
        <v>133</v>
      </c>
      <c r="H13" s="4" t="s">
        <v>3</v>
      </c>
      <c r="I13" s="17" t="s">
        <v>119</v>
      </c>
      <c r="J13" s="6" t="s">
        <v>102</v>
      </c>
      <c r="K13" s="18">
        <v>92049</v>
      </c>
      <c r="L13" s="16" t="s">
        <v>94</v>
      </c>
      <c r="M13" s="6"/>
      <c r="N13" s="21"/>
      <c r="O13" s="21"/>
      <c r="P13" s="19"/>
      <c r="Q13" s="6" t="s">
        <v>97</v>
      </c>
      <c r="R13" s="34" t="s">
        <v>134</v>
      </c>
      <c r="S13" s="6"/>
    </row>
    <row r="14" spans="1:19" ht="16.5" thickBot="1" x14ac:dyDescent="0.3">
      <c r="A14" s="1"/>
      <c r="D14" s="6"/>
      <c r="E14" s="6"/>
      <c r="F14" s="6"/>
      <c r="H14" s="22"/>
      <c r="I14" s="22"/>
      <c r="J14" s="22"/>
      <c r="K14" s="18"/>
      <c r="L14" s="16"/>
      <c r="R14" s="34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B3" sqref="B3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>*FN</v>
      </c>
      <c r="B2" t="str">
        <f>IF(OR('A créer'!D2="Oui",LEN('A créer'!D2)=0),"",CONCATENATE("A",'A créer'!A2))</f>
        <v>A0491</v>
      </c>
      <c r="C2" s="2" t="str">
        <f>IF(OR('A créer'!D2="Oui",LEN('A créer'!D2)=0),"","Tab")</f>
        <v>Tab</v>
      </c>
      <c r="D2" t="str">
        <f>IF(OR('A créer'!D2="Oui",LEN('A créer'!D2)=0),"",CONCATENATE("A",'A créer'!A2))</f>
        <v>A0491</v>
      </c>
      <c r="E2" s="2" t="str">
        <f>IF(OR('A créer'!D2="Oui",LEN('A créer'!D2)=0),"","Tab")</f>
        <v>Tab</v>
      </c>
      <c r="F2" t="str">
        <f>IF(OR('A créer'!D2="Oui",LEN('A créer'!D2)=0),"",CONCATENATE("STE ",'A créer'!A2))</f>
        <v>STE 0491</v>
      </c>
      <c r="G2" s="2" t="str">
        <f>IF(OR('A créer'!D2="Oui",LEN('A créer'!D2)=0),"","*SAVE")</f>
        <v>*SAVE</v>
      </c>
    </row>
    <row r="3" spans="1:7" x14ac:dyDescent="0.25">
      <c r="A3" s="2" t="str">
        <f>IF(OR('A créer'!D3="Oui",LEN('A créer'!D3)=0),"","*FN")</f>
        <v>*FN</v>
      </c>
      <c r="B3" s="6" t="str">
        <f>IF(OR('A créer'!D3="Oui",LEN('A créer'!D3)=0),"",CONCATENATE("A",'A créer'!A3))</f>
        <v>A0492</v>
      </c>
      <c r="C3" s="2" t="str">
        <f>IF(OR('A créer'!D3="Oui",LEN('A créer'!D3)=0),"","Tab")</f>
        <v>Tab</v>
      </c>
      <c r="D3" s="6" t="str">
        <f>IF(OR('A créer'!D3="Oui",LEN('A créer'!D3)=0),"",CONCATENATE("A",'A créer'!A3))</f>
        <v>A0492</v>
      </c>
      <c r="E3" s="2" t="str">
        <f>IF(OR('A créer'!D3="Oui",LEN('A créer'!D3)=0),"","Tab")</f>
        <v>Tab</v>
      </c>
      <c r="F3" s="6" t="str">
        <f>IF(OR('A créer'!D3="Oui",LEN('A créer'!D3)=0),"",CONCATENATE("STE ",'A créer'!A3))</f>
        <v>STE 0492</v>
      </c>
      <c r="G3" s="2" t="str">
        <f>IF(OR('A créer'!D3="Oui",LEN('A créer'!D3)=0),"","*SAVE")</f>
        <v>*SAVE</v>
      </c>
    </row>
    <row r="4" spans="1:7" x14ac:dyDescent="0.25">
      <c r="A4" s="2" t="str">
        <f>IF(OR('A créer'!D4="Oui",LEN('A créer'!D4)=0),"","*FN")</f>
        <v>*FN</v>
      </c>
      <c r="B4" s="6" t="str">
        <f>IF(OR('A créer'!D4="Oui",LEN('A créer'!D4)=0),"",CONCATENATE("A",'A créer'!A4))</f>
        <v>A0493</v>
      </c>
      <c r="C4" s="2" t="str">
        <f>IF(OR('A créer'!D4="Oui",LEN('A créer'!D4)=0),"","Tab")</f>
        <v>Tab</v>
      </c>
      <c r="D4" s="6" t="str">
        <f>IF(OR('A créer'!D4="Oui",LEN('A créer'!D4)=0),"",CONCATENATE("A",'A créer'!A4))</f>
        <v>A0493</v>
      </c>
      <c r="E4" s="2" t="str">
        <f>IF(OR('A créer'!D4="Oui",LEN('A créer'!D4)=0),"","Tab")</f>
        <v>Tab</v>
      </c>
      <c r="F4" s="6" t="str">
        <f>IF(OR('A créer'!D4="Oui",LEN('A créer'!D4)=0),"",CONCATENATE("STE ",'A créer'!A4))</f>
        <v>STE 0493</v>
      </c>
      <c r="G4" s="2" t="str">
        <f>IF(OR('A créer'!D4="Oui",LEN('A créer'!D4)=0),"","*SAVE")</f>
        <v>*SAVE</v>
      </c>
    </row>
    <row r="5" spans="1:7" x14ac:dyDescent="0.25">
      <c r="A5" s="2" t="str">
        <f>IF(OR('A créer'!D5="Oui",LEN('A créer'!D5)=0),"","*FN")</f>
        <v>*FN</v>
      </c>
      <c r="B5" s="6" t="str">
        <f>IF(OR('A créer'!D5="Oui",LEN('A créer'!D5)=0),"",CONCATENATE("A",'A créer'!A5))</f>
        <v>A0498</v>
      </c>
      <c r="C5" s="2" t="str">
        <f>IF(OR('A créer'!D5="Oui",LEN('A créer'!D5)=0),"","Tab")</f>
        <v>Tab</v>
      </c>
      <c r="D5" s="6" t="str">
        <f>IF(OR('A créer'!D5="Oui",LEN('A créer'!D5)=0),"",CONCATENATE("A",'A créer'!A5))</f>
        <v>A0498</v>
      </c>
      <c r="E5" s="2" t="str">
        <f>IF(OR('A créer'!D5="Oui",LEN('A créer'!D5)=0),"","Tab")</f>
        <v>Tab</v>
      </c>
      <c r="F5" s="6" t="str">
        <f>IF(OR('A créer'!D5="Oui",LEN('A créer'!D5)=0),"",CONCATENATE("STE ",'A créer'!A5))</f>
        <v>STE 0498</v>
      </c>
      <c r="G5" s="2" t="str">
        <f>IF(OR('A créer'!D5="Oui",LEN('A créer'!D5)=0),"","*SAVE")</f>
        <v>*SAVE</v>
      </c>
    </row>
    <row r="6" spans="1:7" x14ac:dyDescent="0.25">
      <c r="A6" s="2" t="str">
        <f>IF(OR('A créer'!D6="Oui",LEN('A créer'!D6)=0),"","*FN")</f>
        <v>*FN</v>
      </c>
      <c r="B6" s="6" t="str">
        <f>IF(OR('A créer'!D6="Oui",LEN('A créer'!D6)=0),"",CONCATENATE("A",'A créer'!A6))</f>
        <v>A0490</v>
      </c>
      <c r="C6" s="2" t="str">
        <f>IF(OR('A créer'!D6="Oui",LEN('A créer'!D6)=0),"","Tab")</f>
        <v>Tab</v>
      </c>
      <c r="D6" s="6" t="str">
        <f>IF(OR('A créer'!D6="Oui",LEN('A créer'!D6)=0),"",CONCATENATE("A",'A créer'!A6))</f>
        <v>A0490</v>
      </c>
      <c r="E6" s="2" t="str">
        <f>IF(OR('A créer'!D6="Oui",LEN('A créer'!D6)=0),"","Tab")</f>
        <v>Tab</v>
      </c>
      <c r="F6" s="6" t="str">
        <f>IF(OR('A créer'!D6="Oui",LEN('A créer'!D6)=0),"",CONCATENATE("STE ",'A créer'!A6))</f>
        <v>STE 0490</v>
      </c>
      <c r="G6" s="2" t="str">
        <f>IF(OR('A créer'!D6="Oui",LEN('A créer'!D6)=0),"","*SAVE")</f>
        <v>*SAVE</v>
      </c>
    </row>
    <row r="7" spans="1:7" x14ac:dyDescent="0.25">
      <c r="A7" s="2" t="str">
        <f>IF(OR('A créer'!D7="Oui",LEN('A créer'!D7)=0),"","*FN")</f>
        <v>*FN</v>
      </c>
      <c r="B7" s="6" t="str">
        <f>IF(OR('A créer'!D7="Oui",LEN('A créer'!D7)=0),"",CONCATENATE("A",'A créer'!A7))</f>
        <v>A0490</v>
      </c>
      <c r="C7" s="2" t="str">
        <f>IF(OR('A créer'!D7="Oui",LEN('A créer'!D7)=0),"","Tab")</f>
        <v>Tab</v>
      </c>
      <c r="D7" s="6" t="str">
        <f>IF(OR('A créer'!D7="Oui",LEN('A créer'!D7)=0),"",CONCATENATE("A",'A créer'!A7))</f>
        <v>A0490</v>
      </c>
      <c r="E7" s="2" t="str">
        <f>IF(OR('A créer'!D7="Oui",LEN('A créer'!D7)=0),"","Tab")</f>
        <v>Tab</v>
      </c>
      <c r="F7" s="6" t="str">
        <f>IF(OR('A créer'!D7="Oui",LEN('A créer'!D7)=0),"",CONCATENATE("STE ",'A créer'!A7))</f>
        <v>STE 0490</v>
      </c>
      <c r="G7" s="2" t="str">
        <f>IF(OR('A créer'!D7="Oui",LEN('A créer'!D7)=0),"","*SAVE")</f>
        <v>*SAVE</v>
      </c>
    </row>
    <row r="8" spans="1:7" x14ac:dyDescent="0.25">
      <c r="A8" s="2" t="str">
        <f>IF(OR('A créer'!D8="Oui",LEN('A créer'!D8)=0),"","*FN")</f>
        <v>*FN</v>
      </c>
      <c r="B8" s="6" t="str">
        <f>IF(OR('A créer'!D8="Oui",LEN('A créer'!D8)=0),"",CONCATENATE("A",'A créer'!A8))</f>
        <v>A0490</v>
      </c>
      <c r="C8" s="2" t="str">
        <f>IF(OR('A créer'!D8="Oui",LEN('A créer'!D8)=0),"","Tab")</f>
        <v>Tab</v>
      </c>
      <c r="D8" s="6" t="str">
        <f>IF(OR('A créer'!D8="Oui",LEN('A créer'!D8)=0),"",CONCATENATE("A",'A créer'!A8))</f>
        <v>A0490</v>
      </c>
      <c r="E8" s="2" t="str">
        <f>IF(OR('A créer'!D8="Oui",LEN('A créer'!D8)=0),"","Tab")</f>
        <v>Tab</v>
      </c>
      <c r="F8" s="6" t="str">
        <f>IF(OR('A créer'!D8="Oui",LEN('A créer'!D8)=0),"",CONCATENATE("STE ",'A créer'!A8))</f>
        <v>STE 0490</v>
      </c>
      <c r="G8" s="2" t="str">
        <f>IF(OR('A créer'!D8="Oui",LEN('A créer'!D8)=0),"","*SAVE")</f>
        <v>*SAVE</v>
      </c>
    </row>
    <row r="9" spans="1:7" x14ac:dyDescent="0.25">
      <c r="A9" s="2" t="str">
        <f>IF(OR('A créer'!D9="Oui",LEN('A créer'!D9)=0),"","*FN")</f>
        <v>*FN</v>
      </c>
      <c r="B9" s="6" t="str">
        <f>IF(OR('A créer'!D9="Oui",LEN('A créer'!D9)=0),"",CONCATENATE("A",'A créer'!A9))</f>
        <v>A0490</v>
      </c>
      <c r="C9" s="2" t="str">
        <f>IF(OR('A créer'!D9="Oui",LEN('A créer'!D9)=0),"","Tab")</f>
        <v>Tab</v>
      </c>
      <c r="D9" s="6" t="str">
        <f>IF(OR('A créer'!D9="Oui",LEN('A créer'!D9)=0),"",CONCATENATE("A",'A créer'!A9))</f>
        <v>A0490</v>
      </c>
      <c r="E9" s="2" t="str">
        <f>IF(OR('A créer'!D9="Oui",LEN('A créer'!D9)=0),"","Tab")</f>
        <v>Tab</v>
      </c>
      <c r="F9" s="6" t="str">
        <f>IF(OR('A créer'!D9="Oui",LEN('A créer'!D9)=0),"",CONCATENATE("STE ",'A créer'!A9))</f>
        <v>STE 0490</v>
      </c>
      <c r="G9" s="2" t="str">
        <f>IF(OR('A créer'!D9="Oui",LEN('A créer'!D9)=0),"","*SAVE")</f>
        <v>*SAVE</v>
      </c>
    </row>
    <row r="10" spans="1:7" x14ac:dyDescent="0.25">
      <c r="A10" s="2" t="str">
        <f>IF(OR('A créer'!D10="Oui",LEN('A créer'!D10)=0),"","*FN")</f>
        <v>*FN</v>
      </c>
      <c r="B10" s="6" t="str">
        <f>IF(OR('A créer'!D10="Oui",LEN('A créer'!D10)=0),"",CONCATENATE("A",'A créer'!A10))</f>
        <v>A0490</v>
      </c>
      <c r="C10" s="2" t="str">
        <f>IF(OR('A créer'!D10="Oui",LEN('A créer'!D10)=0),"","Tab")</f>
        <v>Tab</v>
      </c>
      <c r="D10" s="6" t="str">
        <f>IF(OR('A créer'!D10="Oui",LEN('A créer'!D10)=0),"",CONCATENATE("A",'A créer'!A10))</f>
        <v>A0490</v>
      </c>
      <c r="E10" s="2" t="str">
        <f>IF(OR('A créer'!D10="Oui",LEN('A créer'!D10)=0),"","Tab")</f>
        <v>Tab</v>
      </c>
      <c r="F10" s="6" t="str">
        <f>IF(OR('A créer'!D10="Oui",LEN('A créer'!D10)=0),"",CONCATENATE("STE ",'A créer'!A10))</f>
        <v>STE 0490</v>
      </c>
      <c r="G10" s="2" t="str">
        <f>IF(OR('A créer'!D10="Oui",LEN('A créer'!D10)=0),"","*SAVE")</f>
        <v>*SAVE</v>
      </c>
    </row>
    <row r="11" spans="1:7" x14ac:dyDescent="0.25">
      <c r="A11" s="2" t="str">
        <f>IF(OR('A créer'!D11="Oui",LEN('A créer'!D11)=0),"","*FN")</f>
        <v>*FN</v>
      </c>
      <c r="B11" s="6" t="str">
        <f>IF(OR('A créer'!D11="Oui",LEN('A créer'!D11)=0),"",CONCATENATE("A",'A créer'!A11))</f>
        <v>A0490</v>
      </c>
      <c r="C11" s="2" t="str">
        <f>IF(OR('A créer'!D11="Oui",LEN('A créer'!D11)=0),"","Tab")</f>
        <v>Tab</v>
      </c>
      <c r="D11" s="6" t="str">
        <f>IF(OR('A créer'!D11="Oui",LEN('A créer'!D11)=0),"",CONCATENATE("A",'A créer'!A11))</f>
        <v>A0490</v>
      </c>
      <c r="E11" s="2" t="str">
        <f>IF(OR('A créer'!D11="Oui",LEN('A créer'!D11)=0),"","Tab")</f>
        <v>Tab</v>
      </c>
      <c r="F11" s="6" t="str">
        <f>IF(OR('A créer'!D11="Oui",LEN('A créer'!D11)=0),"",CONCATENATE("STE ",'A créer'!A11))</f>
        <v>STE 0490</v>
      </c>
      <c r="G11" s="2" t="str">
        <f>IF(OR('A créer'!D11="Oui",LEN('A créer'!D11)=0),"","*SAVE")</f>
        <v>*SAVE</v>
      </c>
    </row>
    <row r="12" spans="1:7" x14ac:dyDescent="0.25">
      <c r="A12" s="2" t="str">
        <f>IF(OR('A créer'!D12="Oui",LEN('A créer'!D12)=0),"","*FN")</f>
        <v>*FN</v>
      </c>
      <c r="B12" s="6" t="str">
        <f>IF(OR('A créer'!D12="Oui",LEN('A créer'!D12)=0),"",CONCATENATE("A",'A créer'!A12))</f>
        <v>A0490</v>
      </c>
      <c r="C12" s="2" t="str">
        <f>IF(OR('A créer'!D12="Oui",LEN('A créer'!D12)=0),"","Tab")</f>
        <v>Tab</v>
      </c>
      <c r="D12" s="6" t="str">
        <f>IF(OR('A créer'!D12="Oui",LEN('A créer'!D12)=0),"",CONCATENATE("A",'A créer'!A12))</f>
        <v>A0490</v>
      </c>
      <c r="E12" s="2" t="str">
        <f>IF(OR('A créer'!D12="Oui",LEN('A créer'!D12)=0),"","Tab")</f>
        <v>Tab</v>
      </c>
      <c r="F12" s="6" t="str">
        <f>IF(OR('A créer'!D12="Oui",LEN('A créer'!D12)=0),"",CONCATENATE("STE ",'A créer'!A12))</f>
        <v>STE 0490</v>
      </c>
      <c r="G12" s="2" t="str">
        <f>IF(OR('A créer'!D12="Oui",LEN('A créer'!D12)=0),"","*SAVE")</f>
        <v>*SAVE</v>
      </c>
    </row>
    <row r="13" spans="1:7" x14ac:dyDescent="0.25">
      <c r="A13" s="2" t="str">
        <f>IF(OR('A créer'!D13="Oui",LEN('A créer'!D13)=0),"","*FN")</f>
        <v>*FN</v>
      </c>
      <c r="B13" s="6" t="str">
        <f>IF(OR('A créer'!D13="Oui",LEN('A créer'!D13)=0),"",CONCATENATE("A",'A créer'!A13))</f>
        <v>A0490</v>
      </c>
      <c r="C13" s="2" t="str">
        <f>IF(OR('A créer'!D13="Oui",LEN('A créer'!D13)=0),"","Tab")</f>
        <v>Tab</v>
      </c>
      <c r="D13" s="6" t="str">
        <f>IF(OR('A créer'!D13="Oui",LEN('A créer'!D13)=0),"",CONCATENATE("A",'A créer'!A13))</f>
        <v>A0490</v>
      </c>
      <c r="E13" s="2" t="str">
        <f>IF(OR('A créer'!D13="Oui",LEN('A créer'!D13)=0),"","Tab")</f>
        <v>Tab</v>
      </c>
      <c r="F13" s="6" t="str">
        <f>IF(OR('A créer'!D13="Oui",LEN('A créer'!D13)=0),"",CONCATENATE("STE ",'A créer'!A13))</f>
        <v>STE 0490</v>
      </c>
      <c r="G13" s="2" t="str">
        <f>IF(OR('A créer'!D13="Oui",LEN('A créer'!D13)=0),"","*SAVE")</f>
        <v>*SAVE</v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zoomScale="80" zoomScaleNormal="80" workbookViewId="0">
      <pane ySplit="1" topLeftCell="A2" activePane="bottomLeft" state="frozenSplit"/>
      <selection pane="bottomLeft" activeCell="D10" sqref="D10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5.8554687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S2575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CALORIMER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>*FN</v>
      </c>
      <c r="B3" s="6" t="str">
        <f>IF(LEN('A créer'!G3)=0,"",'A créer'!G3)</f>
        <v>YS2572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CAMILLE CLAUDEL ENERGIES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25">
      <c r="A4" s="2" t="str">
        <f>IF(LEN('A créer'!G4)=0,"","*FN")</f>
        <v>*FN</v>
      </c>
      <c r="B4" s="6" t="str">
        <f>IF(LEN('A créer'!G4)=0,"",'A créer'!G4)</f>
        <v>YSV128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EDDAL ECOMANCHE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25">
      <c r="A5" s="2" t="str">
        <f>IF(LEN('A créer'!G5)=0,"","*FN")</f>
        <v>*FN</v>
      </c>
      <c r="B5" s="6" t="str">
        <f>IF(LEN('A créer'!G5)=0,"",'A créer'!G5)</f>
        <v>YS2570</v>
      </c>
      <c r="C5" s="2" t="str">
        <f>IF(LEN('A créer'!G5)=0,"","Tab")</f>
        <v>Tab</v>
      </c>
      <c r="D5" s="6" t="str">
        <f>IF(LEN('A créer'!G5)=0,IF(LEN('A créer'!G5)&gt;0,CONCATENATE('A créer'!C5," ",'A créer'!B5),""),'A créer'!C5)</f>
        <v>ECO ROC NOIR</v>
      </c>
      <c r="E5" s="2" t="str">
        <f>IF(LEN('A créer'!G5)=0,"","Tab")</f>
        <v>Tab</v>
      </c>
      <c r="F5" s="2" t="str">
        <f>IF(LEN('A créer'!G5)=0,"","*SAVE")</f>
        <v>*SAVE</v>
      </c>
    </row>
    <row r="6" spans="1:6" x14ac:dyDescent="0.25">
      <c r="A6" s="2" t="str">
        <f>IF(LEN('A créer'!G6)=0,"","*FN")</f>
        <v>*FN</v>
      </c>
      <c r="B6" s="6" t="str">
        <f>IF(LEN('A créer'!G6)=0,"",'A créer'!G6)</f>
        <v>S2520C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DALKIA SMART BUILDING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25">
      <c r="A7" s="2" t="str">
        <f>IF(LEN('A créer'!G7)=0,"","*FN")</f>
        <v>*FN</v>
      </c>
      <c r="B7" s="6" t="str">
        <f>IF(LEN('A créer'!G7)=0,"",'A créer'!G7)</f>
        <v>S2520E</v>
      </c>
      <c r="C7" s="2" t="str">
        <f>IF(LEN('A créer'!G7)=0,"","Tab")</f>
        <v>Tab</v>
      </c>
      <c r="D7" s="6" t="str">
        <f>IF(LEN('A créer'!G7)=0,IF(LEN('A créer'!G7)&gt;0,CONCATENATE('A créer'!C7," ",'A créer'!B7),""),'A créer'!C7)</f>
        <v>DALKIA SMART BUILDING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25">
      <c r="A8" s="2" t="str">
        <f>IF(LEN('A créer'!G8)=0,"","*FN")</f>
        <v>*FN</v>
      </c>
      <c r="B8" s="6" t="str">
        <f>IF(LEN('A créer'!G8)=0,"",'A créer'!G8)</f>
        <v>S2520L</v>
      </c>
      <c r="C8" s="2" t="str">
        <f>IF(LEN('A créer'!G8)=0,"","Tab")</f>
        <v>Tab</v>
      </c>
      <c r="D8" s="6" t="str">
        <f>IF(LEN('A créer'!G8)=0,IF(LEN('A créer'!G8)&gt;0,CONCATENATE('A créer'!C8," ",'A créer'!B8),""),'A créer'!C8)</f>
        <v>DALKIA SMART BUILDING</v>
      </c>
      <c r="E8" s="2" t="str">
        <f>IF(LEN('A créer'!G8)=0,"","Tab")</f>
        <v>Tab</v>
      </c>
      <c r="F8" s="2" t="str">
        <f>IF(LEN('A créer'!G8)=0,"","*SAVE")</f>
        <v>*SAVE</v>
      </c>
    </row>
    <row r="9" spans="1:6" x14ac:dyDescent="0.25">
      <c r="A9" s="2" t="str">
        <f>IF(LEN('A créer'!G9)=0,"","*FN")</f>
        <v>*FN</v>
      </c>
      <c r="B9" s="6" t="str">
        <f>IF(LEN('A créer'!G9)=0,"",'A créer'!G9)</f>
        <v>S2520A</v>
      </c>
      <c r="C9" s="2" t="str">
        <f>IF(LEN('A créer'!G9)=0,"","Tab")</f>
        <v>Tab</v>
      </c>
      <c r="D9" s="6" t="str">
        <f>IF(LEN('A créer'!G9)=0,IF(LEN('A créer'!G9)&gt;0,CONCATENATE('A créer'!C9," ",'A créer'!B9),""),'A créer'!C9)</f>
        <v>DALKIA SMART BUILDING</v>
      </c>
      <c r="E9" s="2" t="str">
        <f>IF(LEN('A créer'!G9)=0,"","Tab")</f>
        <v>Tab</v>
      </c>
      <c r="F9" s="2" t="str">
        <f>IF(LEN('A créer'!G9)=0,"","*SAVE")</f>
        <v>*SAVE</v>
      </c>
    </row>
    <row r="10" spans="1:6" x14ac:dyDescent="0.25">
      <c r="A10" s="2" t="str">
        <f>IF(LEN('A créer'!G10)=0,"","*FN")</f>
        <v>*FN</v>
      </c>
      <c r="B10" s="6" t="str">
        <f>IF(LEN('A créer'!G10)=0,"",'A créer'!G10)</f>
        <v>S2520M</v>
      </c>
      <c r="C10" s="2" t="str">
        <f>IF(LEN('A créer'!G10)=0,"","Tab")</f>
        <v>Tab</v>
      </c>
      <c r="D10" s="6" t="str">
        <f>IF(LEN('A créer'!G10)=0,IF(LEN('A créer'!G10)&gt;0,CONCATENATE('A créer'!C10," ",'A créer'!B10),""),'A créer'!C10)</f>
        <v>DALKIA SMART BUILDING</v>
      </c>
      <c r="E10" s="2" t="str">
        <f>IF(LEN('A créer'!G10)=0,"","Tab")</f>
        <v>Tab</v>
      </c>
      <c r="F10" s="2" t="str">
        <f>IF(LEN('A créer'!G10)=0,"","*SAVE")</f>
        <v>*SAVE</v>
      </c>
    </row>
    <row r="11" spans="1:6" x14ac:dyDescent="0.25">
      <c r="A11" s="2" t="str">
        <f>IF(LEN('A créer'!G11)=0,"","*FN")</f>
        <v>*FN</v>
      </c>
      <c r="B11" s="6" t="str">
        <f>IF(LEN('A créer'!G11)=0,"",'A créer'!G11)</f>
        <v>S2520B</v>
      </c>
      <c r="C11" s="2" t="str">
        <f>IF(LEN('A créer'!G11)=0,"","Tab")</f>
        <v>Tab</v>
      </c>
      <c r="D11" s="6" t="str">
        <f>IF(LEN('A créer'!G11)=0,IF(LEN('A créer'!G11)&gt;0,CONCATENATE('A créer'!C11," ",'A créer'!B11),""),'A créer'!C11)</f>
        <v>DALKIA SMART BUILDING</v>
      </c>
      <c r="E11" s="2" t="str">
        <f>IF(LEN('A créer'!G11)=0,"","Tab")</f>
        <v>Tab</v>
      </c>
      <c r="F11" s="2" t="str">
        <f>IF(LEN('A créer'!G11)=0,"","*SAVE")</f>
        <v>*SAVE</v>
      </c>
    </row>
    <row r="12" spans="1:6" x14ac:dyDescent="0.25">
      <c r="A12" s="2" t="str">
        <f>IF(LEN('A créer'!G12)=0,"","*FN")</f>
        <v>*FN</v>
      </c>
      <c r="B12" s="6" t="str">
        <f>IF(LEN('A créer'!G12)=0,"",'A créer'!G12)</f>
        <v>S2520I</v>
      </c>
      <c r="C12" s="2" t="str">
        <f>IF(LEN('A créer'!G12)=0,"","Tab")</f>
        <v>Tab</v>
      </c>
      <c r="D12" s="6" t="str">
        <f>IF(LEN('A créer'!G12)=0,IF(LEN('A créer'!G12)&gt;0,CONCATENATE('A créer'!C12," ",'A créer'!B12),""),'A créer'!C12)</f>
        <v>DALKIA SMART BUILDING</v>
      </c>
      <c r="E12" s="2" t="str">
        <f>IF(LEN('A créer'!G12)=0,"","Tab")</f>
        <v>Tab</v>
      </c>
      <c r="F12" s="2" t="str">
        <f>IF(LEN('A créer'!G12)=0,"","*SAVE")</f>
        <v>*SAVE</v>
      </c>
    </row>
    <row r="13" spans="1:6" x14ac:dyDescent="0.25">
      <c r="A13" s="2" t="str">
        <f>IF(LEN('A créer'!G13)=0,"","*FN")</f>
        <v>*FN</v>
      </c>
      <c r="B13" s="6" t="str">
        <f>IF(LEN('A créer'!G13)=0,"",'A créer'!G13)</f>
        <v>S2520N</v>
      </c>
      <c r="C13" s="2" t="str">
        <f>IF(LEN('A créer'!G13)=0,"","Tab")</f>
        <v>Tab</v>
      </c>
      <c r="D13" s="6" t="str">
        <f>IF(LEN('A créer'!G13)=0,IF(LEN('A créer'!G13)&gt;0,CONCATENATE('A créer'!C13," ",'A créer'!B13),""),'A créer'!C13)</f>
        <v>DALKIA SMART BUILDING</v>
      </c>
      <c r="E13" s="2" t="str">
        <f>IF(LEN('A créer'!G13)=0,"","Tab")</f>
        <v>Tab</v>
      </c>
      <c r="F13" s="2" t="str">
        <f>IF(LEN('A créer'!G13)=0,"","*SAVE")</f>
        <v>*SAVE</v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"/>
  <sheetViews>
    <sheetView zoomScale="80" zoomScaleNormal="80" workbookViewId="0">
      <pane xSplit="1" ySplit="1" topLeftCell="G2" activePane="bottomRight" state="frozenSplit"/>
      <selection pane="topRight"/>
      <selection pane="bottomLeft" activeCell="A2" sqref="A2"/>
      <selection pane="bottomRight" activeCell="AH3" sqref="AH3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95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>*FN</v>
      </c>
      <c r="B2" t="str">
        <f>IF(OR('A créer'!D2="Oui",LEN('A créer'!D2)=0),"",'A créer'!A2)</f>
        <v>0491</v>
      </c>
      <c r="C2" s="2" t="str">
        <f>IF(OR('A créer'!D2="Oui",LEN('A créer'!D2)=0),"","Tab")</f>
        <v>Tab</v>
      </c>
      <c r="D2" t="str">
        <f>IF(OR('A créer'!D2="Oui",LEN('A créer'!D2)=0),"",'A créer'!C2)</f>
        <v>CALORIMER</v>
      </c>
      <c r="E2" s="2" t="s">
        <v>95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t="str">
        <f>IF(OR('A créer'!D2="Oui",LEN('A créer'!D2)=0),"","Oui")</f>
        <v>Oui</v>
      </c>
      <c r="J2" s="2" t="str">
        <f>IF(OR('A créer'!D2="Oui",LEN('A créer'!D2)=0),"","Tab")</f>
        <v>Tab</v>
      </c>
      <c r="K2" t="str">
        <f>IF(OR('A créer'!D2="Oui",LEN('A créer'!D2)=0),"",'A créer'!H2)</f>
        <v>DEW</v>
      </c>
      <c r="L2" t="str">
        <f>IF(OR('A créer'!D2="Oui",LEN('A créer'!D2)=0),"",IF($K2="DCW",'A créer'!G2,""))</f>
        <v/>
      </c>
      <c r="M2" s="2" t="str">
        <f>IF(OR('A créer'!D2="Oui",LEN('A créer'!D2)=0),"","Tab")</f>
        <v>Tab</v>
      </c>
      <c r="N2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t="str">
        <f>IF(OR('A créer'!D2="Oui",LEN('A créer'!D2)=0),"",IF($K2="DEW",'A créer'!G2,""))</f>
        <v>S2575</v>
      </c>
      <c r="W2" s="2" t="str">
        <f>IF(OR('A créer'!D2="Oui",LEN('A créer'!D2)=0),"","Tab")</f>
        <v>Tab</v>
      </c>
      <c r="X2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t="str">
        <f>IF(OR('A créer'!D2="Oui",LEN('A créer'!D2)=0),"",IF($K2="DOS",'A créer'!G2,""))</f>
        <v/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t="str">
        <f>IF(OR('A créer'!D2="Oui",LEN('A créer'!D2)=0),"",CONCATENATE("A",RIGHT('A créer'!A2,3)))</f>
        <v>A491</v>
      </c>
      <c r="AI2" s="2" t="str">
        <f>IF(OR('A créer'!D2="Oui",LEN('A créer'!D2)=0),"","Tab")</f>
        <v>Tab</v>
      </c>
      <c r="AJ2" t="str">
        <f>IF(OR('A créer'!D2="Oui",LEN('A créer'!D2)=0),"",CONCATENATE('A créer'!A2," Regroupement"))</f>
        <v>0491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t="str">
        <f>IF(OR('A créer'!D2="Oui",LEN('A créer'!D2)=0),"",CONCATENATE("A",'A créer'!A2))</f>
        <v>A0491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t="str">
        <f>IF(OR('A créer'!D2="Oui",LEN('A créer'!D2)=0),"","Non")</f>
        <v>Non</v>
      </c>
      <c r="AS2" s="2" t="str">
        <f>IF(OR('A créer'!D2="Oui",LEN('A créer'!D2)=0),"","Tab")</f>
        <v>Tab</v>
      </c>
      <c r="AT2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t="str">
        <f>IF(OR('A créer'!D2="Oui",LEN('A créer'!D2)=0),"",'A créer'!A2)</f>
        <v>0491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créer'!D2)=0),"","*ML(601,114)")</f>
        <v>*ML(601,114)</v>
      </c>
    </row>
    <row r="3" spans="1:55" x14ac:dyDescent="0.25">
      <c r="A3" s="2" t="str">
        <f>IF(OR('A créer'!D3="Oui",LEN('A créer'!D3)=0),"","*FN")</f>
        <v>*FN</v>
      </c>
      <c r="B3" s="6" t="str">
        <f>IF(OR('A créer'!D3="Oui",LEN('A créer'!D3)=0),"",'A créer'!A3)</f>
        <v>0492</v>
      </c>
      <c r="C3" s="2" t="str">
        <f>IF(OR('A créer'!D3="Oui",LEN('A créer'!D3)=0),"","Tab")</f>
        <v>Tab</v>
      </c>
      <c r="D3" s="6" t="str">
        <f>IF(OR('A créer'!D3="Oui",LEN('A créer'!D3)=0),"",'A créer'!C3)</f>
        <v>CAMILLE CLAUDEL ENERGIES</v>
      </c>
      <c r="E3" s="2" t="s">
        <v>95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créer'!D3)=0),"","ENT")</f>
        <v>ENT</v>
      </c>
      <c r="I3" s="6" t="str">
        <f>IF(OR('A créer'!D3="Oui",LEN('A créer'!D3)=0),"","Oui")</f>
        <v>Oui</v>
      </c>
      <c r="J3" s="2" t="str">
        <f>IF(OR('A créer'!D3="Oui",LEN('A créer'!D3)=0),"","Tab")</f>
        <v>Tab</v>
      </c>
      <c r="K3" s="6" t="str">
        <f>IF(OR('A créer'!D3="Oui",LEN('A créer'!D3)=0),"",'A créer'!H3)</f>
        <v>DRW</v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>Tab</v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>Tab</v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>Tab</v>
      </c>
      <c r="R3" s="6" t="str">
        <f>IF(OR('A créer'!D3="Oui",LEN('A créer'!D3)=0),"",IF($K3="DRW",'A créer'!G3,""))</f>
        <v>YS2572</v>
      </c>
      <c r="S3" s="2" t="str">
        <f>IF(OR('A créer'!D3="Oui",LEN('A créer'!D3)=0),"","Tab")</f>
        <v>Tab</v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>Tab</v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>Tab</v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>Tab</v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>Tab</v>
      </c>
      <c r="AB3" s="2" t="str">
        <f>IF(OR('A créer'!D3="Oui",LEN('A créer'!D3)=0),"","Tab")</f>
        <v>Tab</v>
      </c>
      <c r="AC3" s="6" t="str">
        <f>IF(OR('A créer'!D3="Oui",LEN('A créer'!D3)=0),"","OUI")</f>
        <v>OUI</v>
      </c>
      <c r="AD3" s="2" t="str">
        <f>IF(OR('A créer'!D3="Oui",LEN('A créer'!D3)=0),"","Tab")</f>
        <v>Tab</v>
      </c>
      <c r="AE3" s="2" t="str">
        <f>IF(OR('A créer'!D3="Oui",LEN('A créer'!D3)=0),"","ENT")</f>
        <v>ENT</v>
      </c>
      <c r="AF3" s="2" t="str">
        <f>IF(OR('A créer'!D3="Oui",LEN('A créer'!D3)=0),"","*SAVE")</f>
        <v>*SAVE</v>
      </c>
      <c r="AG3" s="2" t="str">
        <f>IF(OR('A créer'!D3="Oui",LEN('A créer'!D3)=0),"","*FN")</f>
        <v>*FN</v>
      </c>
      <c r="AH3" s="6" t="str">
        <f>IF(OR('A créer'!D3="Oui",LEN('A créer'!D3)=0),"",CONCATENATE("A",RIGHT('A créer'!A3,3)))</f>
        <v>A492</v>
      </c>
      <c r="AI3" s="2" t="str">
        <f>IF(OR('A créer'!D3="Oui",LEN('A créer'!D3)=0),"","Tab")</f>
        <v>Tab</v>
      </c>
      <c r="AJ3" s="6" t="str">
        <f>IF(OR('A créer'!D3="Oui",LEN('A créer'!D3)=0),"",CONCATENATE('A créer'!A3," Regroupement"))</f>
        <v>0492 Regroupement</v>
      </c>
      <c r="AK3" s="2" t="str">
        <f>IF(OR('A créer'!D3="Oui",LEN('A créer'!D3)=0),"","Tab 4")</f>
        <v>Tab 4</v>
      </c>
      <c r="AL3" s="2" t="str">
        <f>IF(OR('A créer'!D3="Oui",LEN('A créer'!D3)=0),"","*SB")</f>
        <v>*SB</v>
      </c>
      <c r="AM3" s="2" t="str">
        <f>IF(OR('A créer'!D3="Oui",LEN('A créer'!D3)=0),"","Tab")</f>
        <v>Tab</v>
      </c>
      <c r="AN3" s="6" t="str">
        <f>IF(OR('A créer'!D3="Oui",LEN('A créer'!D3)=0),"",CONCATENATE("A",'A créer'!A3))</f>
        <v>A0492</v>
      </c>
      <c r="AO3" s="2" t="str">
        <f>IF(OR('A créer'!D3="Oui",LEN('A créer'!D3)=0),"","Tab")</f>
        <v>Tab</v>
      </c>
      <c r="AP3" s="2" t="str">
        <f>IF(OR('A créer'!D3="Oui",LEN('A créer'!D3)=0),"","Tab")</f>
        <v>Tab</v>
      </c>
      <c r="AQ3" s="2" t="str">
        <f>IF(OR('A créer'!D3="Oui",LEN('A créer'!D3)=0),"","ENT")</f>
        <v>ENT</v>
      </c>
      <c r="AR3" s="6" t="str">
        <f>IF(OR('A créer'!D3="Oui",LEN('A créer'!D3)=0),"","Non")</f>
        <v>Non</v>
      </c>
      <c r="AS3" s="2" t="str">
        <f>IF(OR('A créer'!D3="Oui",LEN('A créer'!D3)=0),"","Tab")</f>
        <v>Tab</v>
      </c>
      <c r="AT3" s="6" t="str">
        <f>IF(OR('A créer'!D3="Oui",LEN('A créer'!D3)=0),"","T")</f>
        <v>T</v>
      </c>
      <c r="AU3" s="2" t="str">
        <f>IF(OR('A créer'!D3="Oui",LEN('A créer'!D3)=0),"","Tab")</f>
        <v>Tab</v>
      </c>
      <c r="AV3" s="2" t="str">
        <f>IF(OR('A créer'!D3="Oui",LEN('A créer'!D3)=0),"","ENT")</f>
        <v>ENT</v>
      </c>
      <c r="AW3" s="2" t="str">
        <f>IF(OR('A créer'!D3="Oui",LEN('A créer'!D3)=0),"","*SAVE")</f>
        <v>*SAVE</v>
      </c>
      <c r="AX3" s="2" t="str">
        <f>IF(OR('A créer'!D3="Oui",LEN('A créer'!D3)=0),"","*UP")</f>
        <v>*UP</v>
      </c>
      <c r="AY3" s="2" t="str">
        <f>IF(OR('A créer'!D3="Oui",LEN('A créer'!D3)=0),"","*Aé")</f>
        <v>*Aé</v>
      </c>
      <c r="AZ3" s="6" t="str">
        <f>IF(OR('A créer'!D3="Oui",LEN('A créer'!D3)=0),"",'A créer'!A3)</f>
        <v>0492</v>
      </c>
      <c r="BA3" s="2" t="str">
        <f>IF(OR('A créer'!D3="Oui",LEN('A créer'!D3)=0),"","Tab")</f>
        <v>Tab</v>
      </c>
      <c r="BB3" s="2" t="str">
        <f>IF(OR('A créer'!D3="Oui",LEN('A créer'!D3)=0),"","*SAVE")</f>
        <v>*SAVE</v>
      </c>
      <c r="BC3" s="2" t="str">
        <f>IF(OR('A créer'!D3="Oui",LEN('A créer'!D3)=0),"","*ML(601,114)")</f>
        <v>*ML(601,114)</v>
      </c>
    </row>
    <row r="4" spans="1:55" x14ac:dyDescent="0.25">
      <c r="A4" s="2" t="str">
        <f>IF(OR('A créer'!D4="Oui",LEN('A créer'!D4)=0),"","*FN")</f>
        <v>*FN</v>
      </c>
      <c r="B4" s="6" t="str">
        <f>IF(OR('A créer'!D4="Oui",LEN('A créer'!D4)=0),"",'A créer'!A4)</f>
        <v>0493</v>
      </c>
      <c r="C4" s="2" t="str">
        <f>IF(OR('A créer'!D4="Oui",LEN('A créer'!D4)=0),"","Tab")</f>
        <v>Tab</v>
      </c>
      <c r="D4" s="6" t="str">
        <f>IF(OR('A créer'!D4="Oui",LEN('A créer'!D4)=0),"",'A créer'!C4)</f>
        <v>EDDAL ECOMANCHE</v>
      </c>
      <c r="E4" s="2" t="s">
        <v>95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créer'!D4)=0),"","ENT")</f>
        <v>ENT</v>
      </c>
      <c r="I4" s="6" t="str">
        <f>IF(OR('A créer'!D4="Oui",LEN('A créer'!D4)=0),"","Oui")</f>
        <v>Oui</v>
      </c>
      <c r="J4" s="2" t="str">
        <f>IF(OR('A créer'!D4="Oui",LEN('A créer'!D4)=0),"","Tab")</f>
        <v>Tab</v>
      </c>
      <c r="K4" s="6" t="str">
        <f>IF(OR('A créer'!D4="Oui",LEN('A créer'!D4)=0),"",'A créer'!H4)</f>
        <v>DSW</v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>Tab</v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>Tab</v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>Tab</v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>Tab</v>
      </c>
      <c r="T4" s="6" t="str">
        <f>IF(OR('A créer'!D4="Oui",LEN('A créer'!D4)=0),"",IF($K4="DSW",'A créer'!G4,""))</f>
        <v>YSV128</v>
      </c>
      <c r="U4" s="2" t="str">
        <f>IF(OR('A créer'!D4="Oui",LEN('A créer'!D4)=0),"","Tab")</f>
        <v>Tab</v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>Tab</v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>Tab</v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>Tab</v>
      </c>
      <c r="AB4" s="2" t="str">
        <f>IF(OR('A créer'!D4="Oui",LEN('A créer'!D4)=0),"","Tab")</f>
        <v>Tab</v>
      </c>
      <c r="AC4" s="6" t="str">
        <f>IF(OR('A créer'!D4="Oui",LEN('A créer'!D4)=0),"","OUI")</f>
        <v>OUI</v>
      </c>
      <c r="AD4" s="2" t="str">
        <f>IF(OR('A créer'!D4="Oui",LEN('A créer'!D4)=0),"","Tab")</f>
        <v>Tab</v>
      </c>
      <c r="AE4" s="2" t="str">
        <f>IF(OR('A créer'!D4="Oui",LEN('A créer'!D4)=0),"","ENT")</f>
        <v>ENT</v>
      </c>
      <c r="AF4" s="2" t="str">
        <f>IF(OR('A créer'!D4="Oui",LEN('A créer'!D4)=0),"","*SAVE")</f>
        <v>*SAVE</v>
      </c>
      <c r="AG4" s="2" t="str">
        <f>IF(OR('A créer'!D4="Oui",LEN('A créer'!D4)=0),"","*FN")</f>
        <v>*FN</v>
      </c>
      <c r="AH4" s="6" t="str">
        <f>IF(OR('A créer'!D4="Oui",LEN('A créer'!D4)=0),"",CONCATENATE("A",RIGHT('A créer'!A4,3)))</f>
        <v>A493</v>
      </c>
      <c r="AI4" s="2" t="str">
        <f>IF(OR('A créer'!D4="Oui",LEN('A créer'!D4)=0),"","Tab")</f>
        <v>Tab</v>
      </c>
      <c r="AJ4" s="6" t="str">
        <f>IF(OR('A créer'!D4="Oui",LEN('A créer'!D4)=0),"",CONCATENATE('A créer'!A4," Regroupement"))</f>
        <v>0493 Regroupement</v>
      </c>
      <c r="AK4" s="2" t="str">
        <f>IF(OR('A créer'!D4="Oui",LEN('A créer'!D4)=0),"","Tab 4")</f>
        <v>Tab 4</v>
      </c>
      <c r="AL4" s="2" t="str">
        <f>IF(OR('A créer'!D4="Oui",LEN('A créer'!D4)=0),"","*SB")</f>
        <v>*SB</v>
      </c>
      <c r="AM4" s="2" t="str">
        <f>IF(OR('A créer'!D4="Oui",LEN('A créer'!D4)=0),"","Tab")</f>
        <v>Tab</v>
      </c>
      <c r="AN4" s="6" t="str">
        <f>IF(OR('A créer'!D4="Oui",LEN('A créer'!D4)=0),"",CONCATENATE("A",'A créer'!A4))</f>
        <v>A0493</v>
      </c>
      <c r="AO4" s="2" t="str">
        <f>IF(OR('A créer'!D4="Oui",LEN('A créer'!D4)=0),"","Tab")</f>
        <v>Tab</v>
      </c>
      <c r="AP4" s="2" t="str">
        <f>IF(OR('A créer'!D4="Oui",LEN('A créer'!D4)=0),"","Tab")</f>
        <v>Tab</v>
      </c>
      <c r="AQ4" s="2" t="str">
        <f>IF(OR('A créer'!D4="Oui",LEN('A créer'!D4)=0),"","ENT")</f>
        <v>ENT</v>
      </c>
      <c r="AR4" s="6" t="str">
        <f>IF(OR('A créer'!D4="Oui",LEN('A créer'!D4)=0),"","Non")</f>
        <v>Non</v>
      </c>
      <c r="AS4" s="2" t="str">
        <f>IF(OR('A créer'!D4="Oui",LEN('A créer'!D4)=0),"","Tab")</f>
        <v>Tab</v>
      </c>
      <c r="AT4" s="6" t="str">
        <f>IF(OR('A créer'!D4="Oui",LEN('A créer'!D4)=0),"","T")</f>
        <v>T</v>
      </c>
      <c r="AU4" s="2" t="str">
        <f>IF(OR('A créer'!D4="Oui",LEN('A créer'!D4)=0),"","Tab")</f>
        <v>Tab</v>
      </c>
      <c r="AV4" s="2" t="str">
        <f>IF(OR('A créer'!D4="Oui",LEN('A créer'!D4)=0),"","ENT")</f>
        <v>ENT</v>
      </c>
      <c r="AW4" s="2" t="str">
        <f>IF(OR('A créer'!D4="Oui",LEN('A créer'!D4)=0),"","*SAVE")</f>
        <v>*SAVE</v>
      </c>
      <c r="AX4" s="2" t="str">
        <f>IF(OR('A créer'!D4="Oui",LEN('A créer'!D4)=0),"","*UP")</f>
        <v>*UP</v>
      </c>
      <c r="AY4" s="2" t="str">
        <f>IF(OR('A créer'!D4="Oui",LEN('A créer'!D4)=0),"","*Aé")</f>
        <v>*Aé</v>
      </c>
      <c r="AZ4" s="6" t="str">
        <f>IF(OR('A créer'!D4="Oui",LEN('A créer'!D4)=0),"",'A créer'!A4)</f>
        <v>0493</v>
      </c>
      <c r="BA4" s="2" t="str">
        <f>IF(OR('A créer'!D4="Oui",LEN('A créer'!D4)=0),"","Tab")</f>
        <v>Tab</v>
      </c>
      <c r="BB4" s="2" t="str">
        <f>IF(OR('A créer'!D4="Oui",LEN('A créer'!D4)=0),"","*SAVE")</f>
        <v>*SAVE</v>
      </c>
      <c r="BC4" s="2" t="str">
        <f>IF(OR('A créer'!D4="Oui",LEN('A créer'!D4)=0),"","*ML(601,114)")</f>
        <v>*ML(601,114)</v>
      </c>
    </row>
    <row r="5" spans="1:55" x14ac:dyDescent="0.25">
      <c r="A5" s="2" t="str">
        <f>IF(OR('A créer'!D5="Oui",LEN('A créer'!D5)=0),"","*FN")</f>
        <v>*FN</v>
      </c>
      <c r="B5" s="6" t="str">
        <f>IF(OR('A créer'!D5="Oui",LEN('A créer'!D5)=0),"",'A créer'!A5)</f>
        <v>0498</v>
      </c>
      <c r="C5" s="2" t="str">
        <f>IF(OR('A créer'!D5="Oui",LEN('A créer'!D5)=0),"","Tab")</f>
        <v>Tab</v>
      </c>
      <c r="D5" s="6" t="str">
        <f>IF(OR('A créer'!D5="Oui",LEN('A créer'!D5)=0),"",'A créer'!C5)</f>
        <v>ECO ROC NOIR</v>
      </c>
      <c r="E5" s="2" t="s">
        <v>95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créer'!D5)=0),"","ENT")</f>
        <v>ENT</v>
      </c>
      <c r="I5" s="6" t="str">
        <f>IF(OR('A créer'!D5="Oui",LEN('A créer'!D5)=0),"","Oui")</f>
        <v>Oui</v>
      </c>
      <c r="J5" s="2" t="str">
        <f>IF(OR('A créer'!D5="Oui",LEN('A créer'!D5)=0),"","Tab")</f>
        <v>Tab</v>
      </c>
      <c r="K5" s="6" t="str">
        <f>IF(OR('A créer'!D5="Oui",LEN('A créer'!D5)=0),"",'A créer'!H5)</f>
        <v>DMS</v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>Tab</v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>Tab</v>
      </c>
      <c r="P5" s="6" t="str">
        <f>IF(OR('A créer'!D5="Oui",LEN('A créer'!D5)=0),"",IF($K5="DMS",'A créer'!G5,""))</f>
        <v>YS2570</v>
      </c>
      <c r="Q5" s="2" t="str">
        <f>IF(OR('A créer'!D5="Oui",LEN('A créer'!D5)=0),"","Tab")</f>
        <v>Tab</v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>Tab</v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>Tab</v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>Tab</v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>Tab</v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>Tab</v>
      </c>
      <c r="AB5" s="2" t="str">
        <f>IF(OR('A créer'!D5="Oui",LEN('A créer'!D5)=0),"","Tab")</f>
        <v>Tab</v>
      </c>
      <c r="AC5" s="6" t="str">
        <f>IF(OR('A créer'!D5="Oui",LEN('A créer'!D5)=0),"","OUI")</f>
        <v>OUI</v>
      </c>
      <c r="AD5" s="2" t="str">
        <f>IF(OR('A créer'!D5="Oui",LEN('A créer'!D5)=0),"","Tab")</f>
        <v>Tab</v>
      </c>
      <c r="AE5" s="2" t="str">
        <f>IF(OR('A créer'!D5="Oui",LEN('A créer'!D5)=0),"","ENT")</f>
        <v>ENT</v>
      </c>
      <c r="AF5" s="2" t="str">
        <f>IF(OR('A créer'!D5="Oui",LEN('A créer'!D5)=0),"","*SAVE")</f>
        <v>*SAVE</v>
      </c>
      <c r="AG5" s="2" t="str">
        <f>IF(OR('A créer'!D5="Oui",LEN('A créer'!D5)=0),"","*FN")</f>
        <v>*FN</v>
      </c>
      <c r="AH5" s="6" t="str">
        <f>IF(OR('A créer'!D5="Oui",LEN('A créer'!D5)=0),"",CONCATENATE("A",RIGHT('A créer'!A5,3)))</f>
        <v>A498</v>
      </c>
      <c r="AI5" s="2" t="str">
        <f>IF(OR('A créer'!D5="Oui",LEN('A créer'!D5)=0),"","Tab")</f>
        <v>Tab</v>
      </c>
      <c r="AJ5" s="6" t="str">
        <f>IF(OR('A créer'!D5="Oui",LEN('A créer'!D5)=0),"",CONCATENATE('A créer'!A5," Regroupement"))</f>
        <v>0498 Regroupement</v>
      </c>
      <c r="AK5" s="2" t="str">
        <f>IF(OR('A créer'!D5="Oui",LEN('A créer'!D5)=0),"","Tab 4")</f>
        <v>Tab 4</v>
      </c>
      <c r="AL5" s="2" t="str">
        <f>IF(OR('A créer'!D5="Oui",LEN('A créer'!D5)=0),"","*SB")</f>
        <v>*SB</v>
      </c>
      <c r="AM5" s="2" t="str">
        <f>IF(OR('A créer'!D5="Oui",LEN('A créer'!D5)=0),"","Tab")</f>
        <v>Tab</v>
      </c>
      <c r="AN5" s="6" t="str">
        <f>IF(OR('A créer'!D5="Oui",LEN('A créer'!D5)=0),"",CONCATENATE("A",'A créer'!A5))</f>
        <v>A0498</v>
      </c>
      <c r="AO5" s="2" t="str">
        <f>IF(OR('A créer'!D5="Oui",LEN('A créer'!D5)=0),"","Tab")</f>
        <v>Tab</v>
      </c>
      <c r="AP5" s="2" t="str">
        <f>IF(OR('A créer'!D5="Oui",LEN('A créer'!D5)=0),"","Tab")</f>
        <v>Tab</v>
      </c>
      <c r="AQ5" s="2" t="str">
        <f>IF(OR('A créer'!D5="Oui",LEN('A créer'!D5)=0),"","ENT")</f>
        <v>ENT</v>
      </c>
      <c r="AR5" s="6" t="str">
        <f>IF(OR('A créer'!D5="Oui",LEN('A créer'!D5)=0),"","Non")</f>
        <v>Non</v>
      </c>
      <c r="AS5" s="2" t="str">
        <f>IF(OR('A créer'!D5="Oui",LEN('A créer'!D5)=0),"","Tab")</f>
        <v>Tab</v>
      </c>
      <c r="AT5" s="6" t="str">
        <f>IF(OR('A créer'!D5="Oui",LEN('A créer'!D5)=0),"","T")</f>
        <v>T</v>
      </c>
      <c r="AU5" s="2" t="str">
        <f>IF(OR('A créer'!D5="Oui",LEN('A créer'!D5)=0),"","Tab")</f>
        <v>Tab</v>
      </c>
      <c r="AV5" s="2" t="str">
        <f>IF(OR('A créer'!D5="Oui",LEN('A créer'!D5)=0),"","ENT")</f>
        <v>ENT</v>
      </c>
      <c r="AW5" s="2" t="str">
        <f>IF(OR('A créer'!D5="Oui",LEN('A créer'!D5)=0),"","*SAVE")</f>
        <v>*SAVE</v>
      </c>
      <c r="AX5" s="2" t="str">
        <f>IF(OR('A créer'!D5="Oui",LEN('A créer'!D5)=0),"","*UP")</f>
        <v>*UP</v>
      </c>
      <c r="AY5" s="2" t="str">
        <f>IF(OR('A créer'!D5="Oui",LEN('A créer'!D5)=0),"","*Aé")</f>
        <v>*Aé</v>
      </c>
      <c r="AZ5" s="6" t="str">
        <f>IF(OR('A créer'!D5="Oui",LEN('A créer'!D5)=0),"",'A créer'!A5)</f>
        <v>0498</v>
      </c>
      <c r="BA5" s="2" t="str">
        <f>IF(OR('A créer'!D5="Oui",LEN('A créer'!D5)=0),"","Tab")</f>
        <v>Tab</v>
      </c>
      <c r="BB5" s="2" t="str">
        <f>IF(OR('A créer'!D5="Oui",LEN('A créer'!D5)=0),"","*SAVE")</f>
        <v>*SAVE</v>
      </c>
      <c r="BC5" s="2" t="str">
        <f>IF(OR('A créer'!D5="Oui",LEN('A créer'!D5)=0),"","*ML(601,114)")</f>
        <v>*ML(601,114)</v>
      </c>
    </row>
    <row r="6" spans="1:55" x14ac:dyDescent="0.25">
      <c r="A6" s="2" t="str">
        <f>IF(OR('A créer'!D6="Oui",LEN('A créer'!D6)=0),"","*FN")</f>
        <v>*FN</v>
      </c>
      <c r="B6" s="6" t="str">
        <f>IF(OR('A créer'!D6="Oui",LEN('A créer'!D6)=0),"",'A créer'!A6)</f>
        <v>0490</v>
      </c>
      <c r="C6" s="2" t="str">
        <f>IF(OR('A créer'!D6="Oui",LEN('A créer'!D6)=0),"","Tab")</f>
        <v>Tab</v>
      </c>
      <c r="D6" s="6" t="str">
        <f>IF(OR('A créer'!D6="Oui",LEN('A créer'!D6)=0),"",'A créer'!C6)</f>
        <v>DALKIA SMART BUILDING</v>
      </c>
      <c r="E6" s="2" t="s">
        <v>95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créer'!D6)=0),"","ENT")</f>
        <v>ENT</v>
      </c>
      <c r="I6" s="6" t="str">
        <f>IF(OR('A créer'!D6="Oui",LEN('A créer'!D6)=0),"","Oui")</f>
        <v>Oui</v>
      </c>
      <c r="J6" s="2" t="str">
        <f>IF(OR('A créer'!D6="Oui",LEN('A créer'!D6)=0),"","Tab")</f>
        <v>Tab</v>
      </c>
      <c r="K6" s="6" t="str">
        <f>IF(OR('A créer'!D6="Oui",LEN('A créer'!D6)=0),"",'A créer'!H6)</f>
        <v>DOS</v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>Tab</v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>Tab</v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>Tab</v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>Tab</v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>Tab</v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>Tab</v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>Tab</v>
      </c>
      <c r="Z6" s="6" t="str">
        <f>IF(OR('A créer'!D6="Oui",LEN('A créer'!D6)=0),"",IF($K6="DOS",'A créer'!G6,""))</f>
        <v>S2520C</v>
      </c>
      <c r="AA6" s="2" t="str">
        <f>IF(OR('A créer'!D6="Oui",LEN('A créer'!D6)=0),"","Tab")</f>
        <v>Tab</v>
      </c>
      <c r="AB6" s="2" t="str">
        <f>IF(OR('A créer'!D6="Oui",LEN('A créer'!D6)=0),"","Tab")</f>
        <v>Tab</v>
      </c>
      <c r="AC6" s="6" t="str">
        <f>IF(OR('A créer'!D6="Oui",LEN('A créer'!D6)=0),"","OUI")</f>
        <v>OUI</v>
      </c>
      <c r="AD6" s="2" t="str">
        <f>IF(OR('A créer'!D6="Oui",LEN('A créer'!D6)=0),"","Tab")</f>
        <v>Tab</v>
      </c>
      <c r="AE6" s="2" t="str">
        <f>IF(OR('A créer'!D6="Oui",LEN('A créer'!D6)=0),"","ENT")</f>
        <v>ENT</v>
      </c>
      <c r="AF6" s="2" t="str">
        <f>IF(OR('A créer'!D6="Oui",LEN('A créer'!D6)=0),"","*SAVE")</f>
        <v>*SAVE</v>
      </c>
      <c r="AG6" s="2" t="str">
        <f>IF(OR('A créer'!D6="Oui",LEN('A créer'!D6)=0),"","*FN")</f>
        <v>*FN</v>
      </c>
      <c r="AH6" s="6" t="str">
        <f>IF(OR('A créer'!D6="Oui",LEN('A créer'!D6)=0),"",CONCATENATE("A",RIGHT('A créer'!A6,3)))</f>
        <v>A490</v>
      </c>
      <c r="AI6" s="2" t="str">
        <f>IF(OR('A créer'!D6="Oui",LEN('A créer'!D6)=0),"","Tab")</f>
        <v>Tab</v>
      </c>
      <c r="AJ6" s="6" t="str">
        <f>IF(OR('A créer'!D6="Oui",LEN('A créer'!D6)=0),"",CONCATENATE('A créer'!A6," Regroupement"))</f>
        <v>0490 Regroupement</v>
      </c>
      <c r="AK6" s="2" t="str">
        <f>IF(OR('A créer'!D6="Oui",LEN('A créer'!D6)=0),"","Tab 4")</f>
        <v>Tab 4</v>
      </c>
      <c r="AL6" s="2" t="str">
        <f>IF(OR('A créer'!D6="Oui",LEN('A créer'!D6)=0),"","*SB")</f>
        <v>*SB</v>
      </c>
      <c r="AM6" s="2" t="str">
        <f>IF(OR('A créer'!D6="Oui",LEN('A créer'!D6)=0),"","Tab")</f>
        <v>Tab</v>
      </c>
      <c r="AN6" s="6" t="str">
        <f>IF(OR('A créer'!D6="Oui",LEN('A créer'!D6)=0),"",CONCATENATE("A",'A créer'!A6))</f>
        <v>A0490</v>
      </c>
      <c r="AO6" s="2" t="str">
        <f>IF(OR('A créer'!D6="Oui",LEN('A créer'!D6)=0),"","Tab")</f>
        <v>Tab</v>
      </c>
      <c r="AP6" s="2" t="str">
        <f>IF(OR('A créer'!D6="Oui",LEN('A créer'!D6)=0),"","Tab")</f>
        <v>Tab</v>
      </c>
      <c r="AQ6" s="2" t="str">
        <f>IF(OR('A créer'!D6="Oui",LEN('A créer'!D6)=0),"","ENT")</f>
        <v>ENT</v>
      </c>
      <c r="AR6" s="6" t="str">
        <f>IF(OR('A créer'!D6="Oui",LEN('A créer'!D6)=0),"","Non")</f>
        <v>Non</v>
      </c>
      <c r="AS6" s="2" t="str">
        <f>IF(OR('A créer'!D6="Oui",LEN('A créer'!D6)=0),"","Tab")</f>
        <v>Tab</v>
      </c>
      <c r="AT6" s="6" t="str">
        <f>IF(OR('A créer'!D6="Oui",LEN('A créer'!D6)=0),"","T")</f>
        <v>T</v>
      </c>
      <c r="AU6" s="2" t="str">
        <f>IF(OR('A créer'!D6="Oui",LEN('A créer'!D6)=0),"","Tab")</f>
        <v>Tab</v>
      </c>
      <c r="AV6" s="2" t="str">
        <f>IF(OR('A créer'!D6="Oui",LEN('A créer'!D6)=0),"","ENT")</f>
        <v>ENT</v>
      </c>
      <c r="AW6" s="2" t="str">
        <f>IF(OR('A créer'!D6="Oui",LEN('A créer'!D6)=0),"","*SAVE")</f>
        <v>*SAVE</v>
      </c>
      <c r="AX6" s="2" t="str">
        <f>IF(OR('A créer'!D6="Oui",LEN('A créer'!D6)=0),"","*UP")</f>
        <v>*UP</v>
      </c>
      <c r="AY6" s="2" t="str">
        <f>IF(OR('A créer'!D6="Oui",LEN('A créer'!D6)=0),"","*Aé")</f>
        <v>*Aé</v>
      </c>
      <c r="AZ6" s="6" t="str">
        <f>IF(OR('A créer'!D6="Oui",LEN('A créer'!D6)=0),"",'A créer'!A6)</f>
        <v>0490</v>
      </c>
      <c r="BA6" s="2" t="str">
        <f>IF(OR('A créer'!D6="Oui",LEN('A créer'!D6)=0),"","Tab")</f>
        <v>Tab</v>
      </c>
      <c r="BB6" s="2" t="str">
        <f>IF(OR('A créer'!D6="Oui",LEN('A créer'!D6)=0),"","*SAVE")</f>
        <v>*SAVE</v>
      </c>
      <c r="BC6" s="2" t="str">
        <f>IF(OR('A créer'!D6="Oui",LEN('A créer'!D6)=0),"","*ML(601,114)")</f>
        <v>*ML(601,114)</v>
      </c>
    </row>
    <row r="7" spans="1:55" x14ac:dyDescent="0.25">
      <c r="A7" s="2" t="str">
        <f>IF(OR('A créer'!D7="Oui",LEN('A créer'!D7)=0),"","*FN")</f>
        <v>*FN</v>
      </c>
      <c r="B7" s="6" t="str">
        <f>IF(OR('A créer'!D7="Oui",LEN('A créer'!D7)=0),"",'A créer'!A7)</f>
        <v>0490</v>
      </c>
      <c r="C7" s="2" t="str">
        <f>IF(OR('A créer'!D7="Oui",LEN('A créer'!D7)=0),"","Tab")</f>
        <v>Tab</v>
      </c>
      <c r="D7" s="6" t="str">
        <f>IF(OR('A créer'!D7="Oui",LEN('A créer'!D7)=0),"",'A créer'!C7)</f>
        <v>DALKIA SMART BUILDING</v>
      </c>
      <c r="E7" s="2" t="s">
        <v>95</v>
      </c>
      <c r="F7" s="2" t="str">
        <f>IF(OR('A créer'!D7="Oui",LEN('A créer'!D7)=0),"","Tab")</f>
        <v>Tab</v>
      </c>
      <c r="G7" s="2" t="str">
        <f>IF(OR('A créer'!D7="Oui",LEN('A créer'!D7)=0),"","Tab")</f>
        <v>Tab</v>
      </c>
      <c r="H7" s="2" t="str">
        <f>IF(OR('A créer'!D7="Oui",LEN('A créer'!D7)=0),"","ENT")</f>
        <v>ENT</v>
      </c>
      <c r="I7" s="6" t="str">
        <f>IF(OR('A créer'!D7="Oui",LEN('A créer'!D7)=0),"","Oui")</f>
        <v>Oui</v>
      </c>
      <c r="J7" s="2" t="str">
        <f>IF(OR('A créer'!D7="Oui",LEN('A créer'!D7)=0),"","Tab")</f>
        <v>Tab</v>
      </c>
      <c r="K7" s="6" t="str">
        <f>IF(OR('A créer'!D7="Oui",LEN('A créer'!D7)=0),"",'A créer'!H7)</f>
        <v>DOS</v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>Tab</v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>Tab</v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>Tab</v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>Tab</v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>Tab</v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>Tab</v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>Tab</v>
      </c>
      <c r="Z7" s="6" t="str">
        <f>IF(OR('A créer'!D7="Oui",LEN('A créer'!D7)=0),"",IF($K7="DOS",'A créer'!G7,""))</f>
        <v>S2520E</v>
      </c>
      <c r="AA7" s="2" t="str">
        <f>IF(OR('A créer'!D7="Oui",LEN('A créer'!D7)=0),"","Tab")</f>
        <v>Tab</v>
      </c>
      <c r="AB7" s="2" t="str">
        <f>IF(OR('A créer'!D7="Oui",LEN('A créer'!D7)=0),"","Tab")</f>
        <v>Tab</v>
      </c>
      <c r="AC7" s="6" t="str">
        <f>IF(OR('A créer'!D7="Oui",LEN('A créer'!D7)=0),"","OUI")</f>
        <v>OUI</v>
      </c>
      <c r="AD7" s="2" t="str">
        <f>IF(OR('A créer'!D7="Oui",LEN('A créer'!D7)=0),"","Tab")</f>
        <v>Tab</v>
      </c>
      <c r="AE7" s="2" t="str">
        <f>IF(OR('A créer'!D7="Oui",LEN('A créer'!D7)=0),"","ENT")</f>
        <v>ENT</v>
      </c>
      <c r="AF7" s="2" t="str">
        <f>IF(OR('A créer'!D7="Oui",LEN('A créer'!D7)=0),"","*SAVE")</f>
        <v>*SAVE</v>
      </c>
      <c r="AG7" s="2" t="str">
        <f>IF(OR('A créer'!D7="Oui",LEN('A créer'!D7)=0),"","*FN")</f>
        <v>*FN</v>
      </c>
      <c r="AH7" s="6" t="str">
        <f>IF(OR('A créer'!D7="Oui",LEN('A créer'!D7)=0),"",CONCATENATE("A",RIGHT('A créer'!A7,3)))</f>
        <v>A490</v>
      </c>
      <c r="AI7" s="2" t="str">
        <f>IF(OR('A créer'!D7="Oui",LEN('A créer'!D7)=0),"","Tab")</f>
        <v>Tab</v>
      </c>
      <c r="AJ7" s="6" t="str">
        <f>IF(OR('A créer'!D7="Oui",LEN('A créer'!D7)=0),"",CONCATENATE('A créer'!A7," Regroupement"))</f>
        <v>0490 Regroupement</v>
      </c>
      <c r="AK7" s="2" t="str">
        <f>IF(OR('A créer'!D7="Oui",LEN('A créer'!D7)=0),"","Tab 4")</f>
        <v>Tab 4</v>
      </c>
      <c r="AL7" s="2" t="str">
        <f>IF(OR('A créer'!D7="Oui",LEN('A créer'!D7)=0),"","*SB")</f>
        <v>*SB</v>
      </c>
      <c r="AM7" s="2" t="str">
        <f>IF(OR('A créer'!D7="Oui",LEN('A créer'!D7)=0),"","Tab")</f>
        <v>Tab</v>
      </c>
      <c r="AN7" s="6" t="str">
        <f>IF(OR('A créer'!D7="Oui",LEN('A créer'!D7)=0),"",CONCATENATE("A",'A créer'!A7))</f>
        <v>A0490</v>
      </c>
      <c r="AO7" s="2" t="str">
        <f>IF(OR('A créer'!D7="Oui",LEN('A créer'!D7)=0),"","Tab")</f>
        <v>Tab</v>
      </c>
      <c r="AP7" s="2" t="str">
        <f>IF(OR('A créer'!D7="Oui",LEN('A créer'!D7)=0),"","Tab")</f>
        <v>Tab</v>
      </c>
      <c r="AQ7" s="2" t="str">
        <f>IF(OR('A créer'!D7="Oui",LEN('A créer'!D7)=0),"","ENT")</f>
        <v>ENT</v>
      </c>
      <c r="AR7" s="6" t="str">
        <f>IF(OR('A créer'!D7="Oui",LEN('A créer'!D7)=0),"","Non")</f>
        <v>Non</v>
      </c>
      <c r="AS7" s="2" t="str">
        <f>IF(OR('A créer'!D7="Oui",LEN('A créer'!D7)=0),"","Tab")</f>
        <v>Tab</v>
      </c>
      <c r="AT7" s="6" t="str">
        <f>IF(OR('A créer'!D7="Oui",LEN('A créer'!D7)=0),"","T")</f>
        <v>T</v>
      </c>
      <c r="AU7" s="2" t="str">
        <f>IF(OR('A créer'!D7="Oui",LEN('A créer'!D7)=0),"","Tab")</f>
        <v>Tab</v>
      </c>
      <c r="AV7" s="2" t="str">
        <f>IF(OR('A créer'!D7="Oui",LEN('A créer'!D7)=0),"","ENT")</f>
        <v>ENT</v>
      </c>
      <c r="AW7" s="2" t="str">
        <f>IF(OR('A créer'!D7="Oui",LEN('A créer'!D7)=0),"","*SAVE")</f>
        <v>*SAVE</v>
      </c>
      <c r="AX7" s="2" t="str">
        <f>IF(OR('A créer'!D7="Oui",LEN('A créer'!D7)=0),"","*UP")</f>
        <v>*UP</v>
      </c>
      <c r="AY7" s="2" t="str">
        <f>IF(OR('A créer'!D7="Oui",LEN('A créer'!D7)=0),"","*Aé")</f>
        <v>*Aé</v>
      </c>
      <c r="AZ7" s="6" t="str">
        <f>IF(OR('A créer'!D7="Oui",LEN('A créer'!D7)=0),"",'A créer'!A7)</f>
        <v>0490</v>
      </c>
      <c r="BA7" s="2" t="str">
        <f>IF(OR('A créer'!D7="Oui",LEN('A créer'!D7)=0),"","Tab")</f>
        <v>Tab</v>
      </c>
      <c r="BB7" s="2" t="str">
        <f>IF(OR('A créer'!D7="Oui",LEN('A créer'!D7)=0),"","*SAVE")</f>
        <v>*SAVE</v>
      </c>
      <c r="BC7" s="2" t="str">
        <f>IF(OR('A créer'!D7="Oui",LEN('A créer'!D7)=0),"","*ML(601,114)")</f>
        <v>*ML(601,114)</v>
      </c>
    </row>
    <row r="8" spans="1:55" x14ac:dyDescent="0.25">
      <c r="A8" s="2" t="str">
        <f>IF(OR('A créer'!D8="Oui",LEN('A créer'!D8)=0),"","*FN")</f>
        <v>*FN</v>
      </c>
      <c r="B8" s="6" t="str">
        <f>IF(OR('A créer'!D8="Oui",LEN('A créer'!D8)=0),"",'A créer'!A8)</f>
        <v>0490</v>
      </c>
      <c r="C8" s="2" t="str">
        <f>IF(OR('A créer'!D8="Oui",LEN('A créer'!D8)=0),"","Tab")</f>
        <v>Tab</v>
      </c>
      <c r="D8" s="6" t="str">
        <f>IF(OR('A créer'!D8="Oui",LEN('A créer'!D8)=0),"",'A créer'!C8)</f>
        <v>DALKIA SMART BUILDING</v>
      </c>
      <c r="E8" s="2" t="s">
        <v>95</v>
      </c>
      <c r="F8" s="2" t="str">
        <f>IF(OR('A créer'!D8="Oui",LEN('A créer'!D8)=0),"","Tab")</f>
        <v>Tab</v>
      </c>
      <c r="G8" s="2" t="str">
        <f>IF(OR('A créer'!D8="Oui",LEN('A créer'!D8)=0),"","Tab")</f>
        <v>Tab</v>
      </c>
      <c r="H8" s="2" t="str">
        <f>IF(OR('A créer'!D8="Oui",LEN('A créer'!D8)=0),"","ENT")</f>
        <v>ENT</v>
      </c>
      <c r="I8" s="6" t="str">
        <f>IF(OR('A créer'!D8="Oui",LEN('A créer'!D8)=0),"","Oui")</f>
        <v>Oui</v>
      </c>
      <c r="J8" s="2" t="str">
        <f>IF(OR('A créer'!D8="Oui",LEN('A créer'!D8)=0),"","Tab")</f>
        <v>Tab</v>
      </c>
      <c r="K8" s="6" t="str">
        <f>IF(OR('A créer'!D8="Oui",LEN('A créer'!D8)=0),"",'A créer'!H8)</f>
        <v>DOS</v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>Tab</v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>Tab</v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>Tab</v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>Tab</v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>Tab</v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>Tab</v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>Tab</v>
      </c>
      <c r="Z8" s="6" t="str">
        <f>IF(OR('A créer'!D8="Oui",LEN('A créer'!D8)=0),"",IF($K8="DOS",'A créer'!G8,""))</f>
        <v>S2520L</v>
      </c>
      <c r="AA8" s="2" t="str">
        <f>IF(OR('A créer'!D8="Oui",LEN('A créer'!D8)=0),"","Tab")</f>
        <v>Tab</v>
      </c>
      <c r="AB8" s="2" t="str">
        <f>IF(OR('A créer'!D8="Oui",LEN('A créer'!D8)=0),"","Tab")</f>
        <v>Tab</v>
      </c>
      <c r="AC8" s="6" t="str">
        <f>IF(OR('A créer'!D8="Oui",LEN('A créer'!D8)=0),"","OUI")</f>
        <v>OUI</v>
      </c>
      <c r="AD8" s="2" t="str">
        <f>IF(OR('A créer'!D8="Oui",LEN('A créer'!D8)=0),"","Tab")</f>
        <v>Tab</v>
      </c>
      <c r="AE8" s="2" t="str">
        <f>IF(OR('A créer'!D8="Oui",LEN('A créer'!D8)=0),"","ENT")</f>
        <v>ENT</v>
      </c>
      <c r="AF8" s="2" t="str">
        <f>IF(OR('A créer'!D8="Oui",LEN('A créer'!D8)=0),"","*SAVE")</f>
        <v>*SAVE</v>
      </c>
      <c r="AG8" s="2" t="str">
        <f>IF(OR('A créer'!D8="Oui",LEN('A créer'!D8)=0),"","*FN")</f>
        <v>*FN</v>
      </c>
      <c r="AH8" s="6" t="str">
        <f>IF(OR('A créer'!D8="Oui",LEN('A créer'!D8)=0),"",CONCATENATE("A",RIGHT('A créer'!A8,3)))</f>
        <v>A490</v>
      </c>
      <c r="AI8" s="2" t="str">
        <f>IF(OR('A créer'!D8="Oui",LEN('A créer'!D8)=0),"","Tab")</f>
        <v>Tab</v>
      </c>
      <c r="AJ8" s="6" t="str">
        <f>IF(OR('A créer'!D8="Oui",LEN('A créer'!D8)=0),"",CONCATENATE('A créer'!A8," Regroupement"))</f>
        <v>0490 Regroupement</v>
      </c>
      <c r="AK8" s="2" t="str">
        <f>IF(OR('A créer'!D8="Oui",LEN('A créer'!D8)=0),"","Tab 4")</f>
        <v>Tab 4</v>
      </c>
      <c r="AL8" s="2" t="str">
        <f>IF(OR('A créer'!D8="Oui",LEN('A créer'!D8)=0),"","*SB")</f>
        <v>*SB</v>
      </c>
      <c r="AM8" s="2" t="str">
        <f>IF(OR('A créer'!D8="Oui",LEN('A créer'!D8)=0),"","Tab")</f>
        <v>Tab</v>
      </c>
      <c r="AN8" s="6" t="str">
        <f>IF(OR('A créer'!D8="Oui",LEN('A créer'!D8)=0),"",CONCATENATE("A",'A créer'!A8))</f>
        <v>A0490</v>
      </c>
      <c r="AO8" s="2" t="str">
        <f>IF(OR('A créer'!D8="Oui",LEN('A créer'!D8)=0),"","Tab")</f>
        <v>Tab</v>
      </c>
      <c r="AP8" s="2" t="str">
        <f>IF(OR('A créer'!D8="Oui",LEN('A créer'!D8)=0),"","Tab")</f>
        <v>Tab</v>
      </c>
      <c r="AQ8" s="2" t="str">
        <f>IF(OR('A créer'!D8="Oui",LEN('A créer'!D8)=0),"","ENT")</f>
        <v>ENT</v>
      </c>
      <c r="AR8" s="6" t="str">
        <f>IF(OR('A créer'!D8="Oui",LEN('A créer'!D8)=0),"","Non")</f>
        <v>Non</v>
      </c>
      <c r="AS8" s="2" t="str">
        <f>IF(OR('A créer'!D8="Oui",LEN('A créer'!D8)=0),"","Tab")</f>
        <v>Tab</v>
      </c>
      <c r="AT8" s="6" t="str">
        <f>IF(OR('A créer'!D8="Oui",LEN('A créer'!D8)=0),"","T")</f>
        <v>T</v>
      </c>
      <c r="AU8" s="2" t="str">
        <f>IF(OR('A créer'!D8="Oui",LEN('A créer'!D8)=0),"","Tab")</f>
        <v>Tab</v>
      </c>
      <c r="AV8" s="2" t="str">
        <f>IF(OR('A créer'!D8="Oui",LEN('A créer'!D8)=0),"","ENT")</f>
        <v>ENT</v>
      </c>
      <c r="AW8" s="2" t="str">
        <f>IF(OR('A créer'!D8="Oui",LEN('A créer'!D8)=0),"","*SAVE")</f>
        <v>*SAVE</v>
      </c>
      <c r="AX8" s="2" t="str">
        <f>IF(OR('A créer'!D8="Oui",LEN('A créer'!D8)=0),"","*UP")</f>
        <v>*UP</v>
      </c>
      <c r="AY8" s="2" t="str">
        <f>IF(OR('A créer'!D8="Oui",LEN('A créer'!D8)=0),"","*Aé")</f>
        <v>*Aé</v>
      </c>
      <c r="AZ8" s="6" t="str">
        <f>IF(OR('A créer'!D8="Oui",LEN('A créer'!D8)=0),"",'A créer'!A8)</f>
        <v>0490</v>
      </c>
      <c r="BA8" s="2" t="str">
        <f>IF(OR('A créer'!D8="Oui",LEN('A créer'!D8)=0),"","Tab")</f>
        <v>Tab</v>
      </c>
      <c r="BB8" s="2" t="str">
        <f>IF(OR('A créer'!D8="Oui",LEN('A créer'!D8)=0),"","*SAVE")</f>
        <v>*SAVE</v>
      </c>
      <c r="BC8" s="2" t="str">
        <f>IF(OR('A créer'!D8="Oui",LEN('A créer'!D8)=0),"","*ML(601,114)")</f>
        <v>*ML(601,114)</v>
      </c>
    </row>
    <row r="9" spans="1:55" x14ac:dyDescent="0.25">
      <c r="A9" s="2" t="str">
        <f>IF(OR('A créer'!D9="Oui",LEN('A créer'!D9)=0),"","*FN")</f>
        <v>*FN</v>
      </c>
      <c r="B9" s="6" t="str">
        <f>IF(OR('A créer'!D9="Oui",LEN('A créer'!D9)=0),"",'A créer'!A9)</f>
        <v>0490</v>
      </c>
      <c r="C9" s="2" t="str">
        <f>IF(OR('A créer'!D9="Oui",LEN('A créer'!D9)=0),"","Tab")</f>
        <v>Tab</v>
      </c>
      <c r="D9" s="6" t="str">
        <f>IF(OR('A créer'!D9="Oui",LEN('A créer'!D9)=0),"",'A créer'!C9)</f>
        <v>DALKIA SMART BUILDING</v>
      </c>
      <c r="E9" s="2" t="s">
        <v>95</v>
      </c>
      <c r="F9" s="2" t="str">
        <f>IF(OR('A créer'!D9="Oui",LEN('A créer'!D9)=0),"","Tab")</f>
        <v>Tab</v>
      </c>
      <c r="G9" s="2" t="str">
        <f>IF(OR('A créer'!D9="Oui",LEN('A créer'!D9)=0),"","Tab")</f>
        <v>Tab</v>
      </c>
      <c r="H9" s="2" t="str">
        <f>IF(OR('A créer'!D9="Oui",LEN('A créer'!D9)=0),"","ENT")</f>
        <v>ENT</v>
      </c>
      <c r="I9" s="6" t="str">
        <f>IF(OR('A créer'!D9="Oui",LEN('A créer'!D9)=0),"","Oui")</f>
        <v>Oui</v>
      </c>
      <c r="J9" s="2" t="str">
        <f>IF(OR('A créer'!D9="Oui",LEN('A créer'!D9)=0),"","Tab")</f>
        <v>Tab</v>
      </c>
      <c r="K9" s="6" t="str">
        <f>IF(OR('A créer'!D9="Oui",LEN('A créer'!D9)=0),"",'A créer'!H9)</f>
        <v>DOS</v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>Tab</v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>Tab</v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>Tab</v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>Tab</v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>Tab</v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>Tab</v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>Tab</v>
      </c>
      <c r="Z9" s="6" t="str">
        <f>IF(OR('A créer'!D9="Oui",LEN('A créer'!D9)=0),"",IF($K9="DOS",'A créer'!G9,""))</f>
        <v>S2520A</v>
      </c>
      <c r="AA9" s="2" t="str">
        <f>IF(OR('A créer'!D9="Oui",LEN('A créer'!D9)=0),"","Tab")</f>
        <v>Tab</v>
      </c>
      <c r="AB9" s="2" t="str">
        <f>IF(OR('A créer'!D9="Oui",LEN('A créer'!D9)=0),"","Tab")</f>
        <v>Tab</v>
      </c>
      <c r="AC9" s="6" t="str">
        <f>IF(OR('A créer'!D9="Oui",LEN('A créer'!D9)=0),"","OUI")</f>
        <v>OUI</v>
      </c>
      <c r="AD9" s="2" t="str">
        <f>IF(OR('A créer'!D9="Oui",LEN('A créer'!D9)=0),"","Tab")</f>
        <v>Tab</v>
      </c>
      <c r="AE9" s="2" t="str">
        <f>IF(OR('A créer'!D9="Oui",LEN('A créer'!D9)=0),"","ENT")</f>
        <v>ENT</v>
      </c>
      <c r="AF9" s="2" t="str">
        <f>IF(OR('A créer'!D9="Oui",LEN('A créer'!D9)=0),"","*SAVE")</f>
        <v>*SAVE</v>
      </c>
      <c r="AG9" s="2" t="str">
        <f>IF(OR('A créer'!D9="Oui",LEN('A créer'!D9)=0),"","*FN")</f>
        <v>*FN</v>
      </c>
      <c r="AH9" s="6" t="str">
        <f>IF(OR('A créer'!D9="Oui",LEN('A créer'!D9)=0),"",CONCATENATE("A",RIGHT('A créer'!A9,3)))</f>
        <v>A490</v>
      </c>
      <c r="AI9" s="2" t="str">
        <f>IF(OR('A créer'!D9="Oui",LEN('A créer'!D9)=0),"","Tab")</f>
        <v>Tab</v>
      </c>
      <c r="AJ9" s="6" t="str">
        <f>IF(OR('A créer'!D9="Oui",LEN('A créer'!D9)=0),"",CONCATENATE('A créer'!A9," Regroupement"))</f>
        <v>0490 Regroupement</v>
      </c>
      <c r="AK9" s="2" t="str">
        <f>IF(OR('A créer'!D9="Oui",LEN('A créer'!D9)=0),"","Tab 4")</f>
        <v>Tab 4</v>
      </c>
      <c r="AL9" s="2" t="str">
        <f>IF(OR('A créer'!D9="Oui",LEN('A créer'!D9)=0),"","*SB")</f>
        <v>*SB</v>
      </c>
      <c r="AM9" s="2" t="str">
        <f>IF(OR('A créer'!D9="Oui",LEN('A créer'!D9)=0),"","Tab")</f>
        <v>Tab</v>
      </c>
      <c r="AN9" s="6" t="str">
        <f>IF(OR('A créer'!D9="Oui",LEN('A créer'!D9)=0),"",CONCATENATE("A",'A créer'!A9))</f>
        <v>A0490</v>
      </c>
      <c r="AO9" s="2" t="str">
        <f>IF(OR('A créer'!D9="Oui",LEN('A créer'!D9)=0),"","Tab")</f>
        <v>Tab</v>
      </c>
      <c r="AP9" s="2" t="str">
        <f>IF(OR('A créer'!D9="Oui",LEN('A créer'!D9)=0),"","Tab")</f>
        <v>Tab</v>
      </c>
      <c r="AQ9" s="2" t="str">
        <f>IF(OR('A créer'!D9="Oui",LEN('A créer'!D9)=0),"","ENT")</f>
        <v>ENT</v>
      </c>
      <c r="AR9" s="6" t="str">
        <f>IF(OR('A créer'!D9="Oui",LEN('A créer'!D9)=0),"","Non")</f>
        <v>Non</v>
      </c>
      <c r="AS9" s="2" t="str">
        <f>IF(OR('A créer'!D9="Oui",LEN('A créer'!D9)=0),"","Tab")</f>
        <v>Tab</v>
      </c>
      <c r="AT9" s="6" t="str">
        <f>IF(OR('A créer'!D9="Oui",LEN('A créer'!D9)=0),"","T")</f>
        <v>T</v>
      </c>
      <c r="AU9" s="2" t="str">
        <f>IF(OR('A créer'!D9="Oui",LEN('A créer'!D9)=0),"","Tab")</f>
        <v>Tab</v>
      </c>
      <c r="AV9" s="2" t="str">
        <f>IF(OR('A créer'!D9="Oui",LEN('A créer'!D9)=0),"","ENT")</f>
        <v>ENT</v>
      </c>
      <c r="AW9" s="2" t="str">
        <f>IF(OR('A créer'!D9="Oui",LEN('A créer'!D9)=0),"","*SAVE")</f>
        <v>*SAVE</v>
      </c>
      <c r="AX9" s="2" t="str">
        <f>IF(OR('A créer'!D9="Oui",LEN('A créer'!D9)=0),"","*UP")</f>
        <v>*UP</v>
      </c>
      <c r="AY9" s="2" t="str">
        <f>IF(OR('A créer'!D9="Oui",LEN('A créer'!D9)=0),"","*Aé")</f>
        <v>*Aé</v>
      </c>
      <c r="AZ9" s="6" t="str">
        <f>IF(OR('A créer'!D9="Oui",LEN('A créer'!D9)=0),"",'A créer'!A9)</f>
        <v>0490</v>
      </c>
      <c r="BA9" s="2" t="str">
        <f>IF(OR('A créer'!D9="Oui",LEN('A créer'!D9)=0),"","Tab")</f>
        <v>Tab</v>
      </c>
      <c r="BB9" s="2" t="str">
        <f>IF(OR('A créer'!D9="Oui",LEN('A créer'!D9)=0),"","*SAVE")</f>
        <v>*SAVE</v>
      </c>
      <c r="BC9" s="2" t="str">
        <f>IF(OR('A créer'!D9="Oui",LEN('A créer'!D9)=0),"","*ML(601,114)")</f>
        <v>*ML(601,114)</v>
      </c>
    </row>
    <row r="10" spans="1:55" x14ac:dyDescent="0.25">
      <c r="A10" s="2" t="str">
        <f>IF(OR('A créer'!D10="Oui",LEN('A créer'!D10)=0),"","*FN")</f>
        <v>*FN</v>
      </c>
      <c r="B10" s="6" t="str">
        <f>IF(OR('A créer'!D10="Oui",LEN('A créer'!D10)=0),"",'A créer'!A10)</f>
        <v>0490</v>
      </c>
      <c r="C10" s="2" t="str">
        <f>IF(OR('A créer'!D10="Oui",LEN('A créer'!D10)=0),"","Tab")</f>
        <v>Tab</v>
      </c>
      <c r="D10" s="6" t="str">
        <f>IF(OR('A créer'!D10="Oui",LEN('A créer'!D10)=0),"",'A créer'!C10)</f>
        <v>DALKIA SMART BUILDING</v>
      </c>
      <c r="E10" s="2" t="s">
        <v>95</v>
      </c>
      <c r="F10" s="2" t="str">
        <f>IF(OR('A créer'!D10="Oui",LEN('A créer'!D10)=0),"","Tab")</f>
        <v>Tab</v>
      </c>
      <c r="G10" s="2" t="str">
        <f>IF(OR('A créer'!D10="Oui",LEN('A créer'!D10)=0),"","Tab")</f>
        <v>Tab</v>
      </c>
      <c r="H10" s="2" t="str">
        <f>IF(OR('A créer'!D10="Oui",LEN('A créer'!D10)=0),"","ENT")</f>
        <v>ENT</v>
      </c>
      <c r="I10" s="6" t="str">
        <f>IF(OR('A créer'!D10="Oui",LEN('A créer'!D10)=0),"","Oui")</f>
        <v>Oui</v>
      </c>
      <c r="J10" s="2" t="str">
        <f>IF(OR('A créer'!D10="Oui",LEN('A créer'!D10)=0),"","Tab")</f>
        <v>Tab</v>
      </c>
      <c r="K10" s="6" t="str">
        <f>IF(OR('A créer'!D10="Oui",LEN('A créer'!D10)=0),"",'A créer'!H10)</f>
        <v>DOS</v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>Tab</v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>Tab</v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>Tab</v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>Tab</v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>Tab</v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>Tab</v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>Tab</v>
      </c>
      <c r="Z10" s="6" t="str">
        <f>IF(OR('A créer'!D10="Oui",LEN('A créer'!D10)=0),"",IF($K10="DOS",'A créer'!G10,""))</f>
        <v>S2520M</v>
      </c>
      <c r="AA10" s="2" t="str">
        <f>IF(OR('A créer'!D10="Oui",LEN('A créer'!D10)=0),"","Tab")</f>
        <v>Tab</v>
      </c>
      <c r="AB10" s="2" t="str">
        <f>IF(OR('A créer'!D10="Oui",LEN('A créer'!D10)=0),"","Tab")</f>
        <v>Tab</v>
      </c>
      <c r="AC10" s="6" t="str">
        <f>IF(OR('A créer'!D10="Oui",LEN('A créer'!D10)=0),"","OUI")</f>
        <v>OUI</v>
      </c>
      <c r="AD10" s="2" t="str">
        <f>IF(OR('A créer'!D10="Oui",LEN('A créer'!D10)=0),"","Tab")</f>
        <v>Tab</v>
      </c>
      <c r="AE10" s="2" t="str">
        <f>IF(OR('A créer'!D10="Oui",LEN('A créer'!D10)=0),"","ENT")</f>
        <v>ENT</v>
      </c>
      <c r="AF10" s="2" t="str">
        <f>IF(OR('A créer'!D10="Oui",LEN('A créer'!D10)=0),"","*SAVE")</f>
        <v>*SAVE</v>
      </c>
      <c r="AG10" s="2" t="str">
        <f>IF(OR('A créer'!D10="Oui",LEN('A créer'!D10)=0),"","*FN")</f>
        <v>*FN</v>
      </c>
      <c r="AH10" s="6" t="str">
        <f>IF(OR('A créer'!D10="Oui",LEN('A créer'!D10)=0),"",CONCATENATE("A",RIGHT('A créer'!A10,3)))</f>
        <v>A490</v>
      </c>
      <c r="AI10" s="2" t="str">
        <f>IF(OR('A créer'!D10="Oui",LEN('A créer'!D10)=0),"","Tab")</f>
        <v>Tab</v>
      </c>
      <c r="AJ10" s="6" t="str">
        <f>IF(OR('A créer'!D10="Oui",LEN('A créer'!D10)=0),"",CONCATENATE('A créer'!A10," Regroupement"))</f>
        <v>0490 Regroupement</v>
      </c>
      <c r="AK10" s="2" t="str">
        <f>IF(OR('A créer'!D10="Oui",LEN('A créer'!D10)=0),"","Tab 4")</f>
        <v>Tab 4</v>
      </c>
      <c r="AL10" s="2" t="str">
        <f>IF(OR('A créer'!D10="Oui",LEN('A créer'!D10)=0),"","*SB")</f>
        <v>*SB</v>
      </c>
      <c r="AM10" s="2" t="str">
        <f>IF(OR('A créer'!D10="Oui",LEN('A créer'!D10)=0),"","Tab")</f>
        <v>Tab</v>
      </c>
      <c r="AN10" s="6" t="str">
        <f>IF(OR('A créer'!D10="Oui",LEN('A créer'!D10)=0),"",CONCATENATE("A",'A créer'!A10))</f>
        <v>A0490</v>
      </c>
      <c r="AO10" s="2" t="str">
        <f>IF(OR('A créer'!D10="Oui",LEN('A créer'!D10)=0),"","Tab")</f>
        <v>Tab</v>
      </c>
      <c r="AP10" s="2" t="str">
        <f>IF(OR('A créer'!D10="Oui",LEN('A créer'!D10)=0),"","Tab")</f>
        <v>Tab</v>
      </c>
      <c r="AQ10" s="2" t="str">
        <f>IF(OR('A créer'!D10="Oui",LEN('A créer'!D10)=0),"","ENT")</f>
        <v>ENT</v>
      </c>
      <c r="AR10" s="6" t="str">
        <f>IF(OR('A créer'!D10="Oui",LEN('A créer'!D10)=0),"","Non")</f>
        <v>Non</v>
      </c>
      <c r="AS10" s="2" t="str">
        <f>IF(OR('A créer'!D10="Oui",LEN('A créer'!D10)=0),"","Tab")</f>
        <v>Tab</v>
      </c>
      <c r="AT10" s="6" t="str">
        <f>IF(OR('A créer'!D10="Oui",LEN('A créer'!D10)=0),"","T")</f>
        <v>T</v>
      </c>
      <c r="AU10" s="2" t="str">
        <f>IF(OR('A créer'!D10="Oui",LEN('A créer'!D10)=0),"","Tab")</f>
        <v>Tab</v>
      </c>
      <c r="AV10" s="2" t="str">
        <f>IF(OR('A créer'!D10="Oui",LEN('A créer'!D10)=0),"","ENT")</f>
        <v>ENT</v>
      </c>
      <c r="AW10" s="2" t="str">
        <f>IF(OR('A créer'!D10="Oui",LEN('A créer'!D10)=0),"","*SAVE")</f>
        <v>*SAVE</v>
      </c>
      <c r="AX10" s="2" t="str">
        <f>IF(OR('A créer'!D10="Oui",LEN('A créer'!D10)=0),"","*UP")</f>
        <v>*UP</v>
      </c>
      <c r="AY10" s="2" t="str">
        <f>IF(OR('A créer'!D10="Oui",LEN('A créer'!D10)=0),"","*Aé")</f>
        <v>*Aé</v>
      </c>
      <c r="AZ10" s="6" t="str">
        <f>IF(OR('A créer'!D10="Oui",LEN('A créer'!D10)=0),"",'A créer'!A10)</f>
        <v>0490</v>
      </c>
      <c r="BA10" s="2" t="str">
        <f>IF(OR('A créer'!D10="Oui",LEN('A créer'!D10)=0),"","Tab")</f>
        <v>Tab</v>
      </c>
      <c r="BB10" s="2" t="str">
        <f>IF(OR('A créer'!D10="Oui",LEN('A créer'!D10)=0),"","*SAVE")</f>
        <v>*SAVE</v>
      </c>
      <c r="BC10" s="2" t="str">
        <f>IF(OR('A créer'!D10="Oui",LEN('A créer'!D10)=0),"","*ML(601,114)")</f>
        <v>*ML(601,114)</v>
      </c>
    </row>
    <row r="11" spans="1:55" x14ac:dyDescent="0.25">
      <c r="A11" s="2" t="str">
        <f>IF(OR('A créer'!D11="Oui",LEN('A créer'!D11)=0),"","*FN")</f>
        <v>*FN</v>
      </c>
      <c r="B11" s="6" t="str">
        <f>IF(OR('A créer'!D11="Oui",LEN('A créer'!D11)=0),"",'A créer'!A11)</f>
        <v>0490</v>
      </c>
      <c r="C11" s="2" t="str">
        <f>IF(OR('A créer'!D11="Oui",LEN('A créer'!D11)=0),"","Tab")</f>
        <v>Tab</v>
      </c>
      <c r="D11" s="6" t="str">
        <f>IF(OR('A créer'!D11="Oui",LEN('A créer'!D11)=0),"",'A créer'!C11)</f>
        <v>DALKIA SMART BUILDING</v>
      </c>
      <c r="E11" s="2" t="s">
        <v>95</v>
      </c>
      <c r="F11" s="2" t="str">
        <f>IF(OR('A créer'!D11="Oui",LEN('A créer'!D11)=0),"","Tab")</f>
        <v>Tab</v>
      </c>
      <c r="G11" s="2" t="str">
        <f>IF(OR('A créer'!D11="Oui",LEN('A créer'!D11)=0),"","Tab")</f>
        <v>Tab</v>
      </c>
      <c r="H11" s="2" t="str">
        <f>IF(OR('A créer'!D11="Oui",LEN('A créer'!D11)=0),"","ENT")</f>
        <v>ENT</v>
      </c>
      <c r="I11" s="6" t="str">
        <f>IF(OR('A créer'!D11="Oui",LEN('A créer'!D11)=0),"","Oui")</f>
        <v>Oui</v>
      </c>
      <c r="J11" s="2" t="str">
        <f>IF(OR('A créer'!D11="Oui",LEN('A créer'!D11)=0),"","Tab")</f>
        <v>Tab</v>
      </c>
      <c r="K11" s="6" t="str">
        <f>IF(OR('A créer'!D11="Oui",LEN('A créer'!D11)=0),"",'A créer'!H11)</f>
        <v>DOS</v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>Tab</v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>Tab</v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>Tab</v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>Tab</v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>Tab</v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>Tab</v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>Tab</v>
      </c>
      <c r="Z11" s="6" t="str">
        <f>IF(OR('A créer'!D11="Oui",LEN('A créer'!D11)=0),"",IF($K11="DOS",'A créer'!G11,""))</f>
        <v>S2520B</v>
      </c>
      <c r="AA11" s="2" t="str">
        <f>IF(OR('A créer'!D11="Oui",LEN('A créer'!D11)=0),"","Tab")</f>
        <v>Tab</v>
      </c>
      <c r="AB11" s="2" t="str">
        <f>IF(OR('A créer'!D11="Oui",LEN('A créer'!D11)=0),"","Tab")</f>
        <v>Tab</v>
      </c>
      <c r="AC11" s="6" t="str">
        <f>IF(OR('A créer'!D11="Oui",LEN('A créer'!D11)=0),"","OUI")</f>
        <v>OUI</v>
      </c>
      <c r="AD11" s="2" t="str">
        <f>IF(OR('A créer'!D11="Oui",LEN('A créer'!D11)=0),"","Tab")</f>
        <v>Tab</v>
      </c>
      <c r="AE11" s="2" t="str">
        <f>IF(OR('A créer'!D11="Oui",LEN('A créer'!D11)=0),"","ENT")</f>
        <v>ENT</v>
      </c>
      <c r="AF11" s="2" t="str">
        <f>IF(OR('A créer'!D11="Oui",LEN('A créer'!D11)=0),"","*SAVE")</f>
        <v>*SAVE</v>
      </c>
      <c r="AG11" s="2" t="str">
        <f>IF(OR('A créer'!D11="Oui",LEN('A créer'!D11)=0),"","*FN")</f>
        <v>*FN</v>
      </c>
      <c r="AH11" s="6" t="str">
        <f>IF(OR('A créer'!D11="Oui",LEN('A créer'!D11)=0),"",CONCATENATE("A",RIGHT('A créer'!A11,3)))</f>
        <v>A490</v>
      </c>
      <c r="AI11" s="2" t="str">
        <f>IF(OR('A créer'!D11="Oui",LEN('A créer'!D11)=0),"","Tab")</f>
        <v>Tab</v>
      </c>
      <c r="AJ11" s="6" t="str">
        <f>IF(OR('A créer'!D11="Oui",LEN('A créer'!D11)=0),"",CONCATENATE('A créer'!A11," Regroupement"))</f>
        <v>0490 Regroupement</v>
      </c>
      <c r="AK11" s="2" t="str">
        <f>IF(OR('A créer'!D11="Oui",LEN('A créer'!D11)=0),"","Tab 4")</f>
        <v>Tab 4</v>
      </c>
      <c r="AL11" s="2" t="str">
        <f>IF(OR('A créer'!D11="Oui",LEN('A créer'!D11)=0),"","*SB")</f>
        <v>*SB</v>
      </c>
      <c r="AM11" s="2" t="str">
        <f>IF(OR('A créer'!D11="Oui",LEN('A créer'!D11)=0),"","Tab")</f>
        <v>Tab</v>
      </c>
      <c r="AN11" s="6" t="str">
        <f>IF(OR('A créer'!D11="Oui",LEN('A créer'!D11)=0),"",CONCATENATE("A",'A créer'!A11))</f>
        <v>A0490</v>
      </c>
      <c r="AO11" s="2" t="str">
        <f>IF(OR('A créer'!D11="Oui",LEN('A créer'!D11)=0),"","Tab")</f>
        <v>Tab</v>
      </c>
      <c r="AP11" s="2" t="str">
        <f>IF(OR('A créer'!D11="Oui",LEN('A créer'!D11)=0),"","Tab")</f>
        <v>Tab</v>
      </c>
      <c r="AQ11" s="2" t="str">
        <f>IF(OR('A créer'!D11="Oui",LEN('A créer'!D11)=0),"","ENT")</f>
        <v>ENT</v>
      </c>
      <c r="AR11" s="6" t="str">
        <f>IF(OR('A créer'!D11="Oui",LEN('A créer'!D11)=0),"","Non")</f>
        <v>Non</v>
      </c>
      <c r="AS11" s="2" t="str">
        <f>IF(OR('A créer'!D11="Oui",LEN('A créer'!D11)=0),"","Tab")</f>
        <v>Tab</v>
      </c>
      <c r="AT11" s="6" t="str">
        <f>IF(OR('A créer'!D11="Oui",LEN('A créer'!D11)=0),"","T")</f>
        <v>T</v>
      </c>
      <c r="AU11" s="2" t="str">
        <f>IF(OR('A créer'!D11="Oui",LEN('A créer'!D11)=0),"","Tab")</f>
        <v>Tab</v>
      </c>
      <c r="AV11" s="2" t="str">
        <f>IF(OR('A créer'!D11="Oui",LEN('A créer'!D11)=0),"","ENT")</f>
        <v>ENT</v>
      </c>
      <c r="AW11" s="2" t="str">
        <f>IF(OR('A créer'!D11="Oui",LEN('A créer'!D11)=0),"","*SAVE")</f>
        <v>*SAVE</v>
      </c>
      <c r="AX11" s="2" t="str">
        <f>IF(OR('A créer'!D11="Oui",LEN('A créer'!D11)=0),"","*UP")</f>
        <v>*UP</v>
      </c>
      <c r="AY11" s="2" t="str">
        <f>IF(OR('A créer'!D11="Oui",LEN('A créer'!D11)=0),"","*Aé")</f>
        <v>*Aé</v>
      </c>
      <c r="AZ11" s="6" t="str">
        <f>IF(OR('A créer'!D11="Oui",LEN('A créer'!D11)=0),"",'A créer'!A11)</f>
        <v>0490</v>
      </c>
      <c r="BA11" s="2" t="str">
        <f>IF(OR('A créer'!D11="Oui",LEN('A créer'!D11)=0),"","Tab")</f>
        <v>Tab</v>
      </c>
      <c r="BB11" s="2" t="str">
        <f>IF(OR('A créer'!D11="Oui",LEN('A créer'!D11)=0),"","*SAVE")</f>
        <v>*SAVE</v>
      </c>
      <c r="BC11" s="2" t="str">
        <f>IF(OR('A créer'!D11="Oui",LEN('A créer'!D11)=0),"","*ML(751,97)")</f>
        <v>*ML(751,97)</v>
      </c>
    </row>
    <row r="12" spans="1:55" x14ac:dyDescent="0.25">
      <c r="A12" s="2" t="str">
        <f>IF(OR('A créer'!D12="Oui",LEN('A créer'!D12)=0),"","*FN")</f>
        <v>*FN</v>
      </c>
      <c r="B12" s="6" t="str">
        <f>IF(OR('A créer'!D12="Oui",LEN('A créer'!D12)=0),"",'A créer'!A12)</f>
        <v>0490</v>
      </c>
      <c r="C12" s="2" t="str">
        <f>IF(OR('A créer'!D12="Oui",LEN('A créer'!D12)=0),"","Tab")</f>
        <v>Tab</v>
      </c>
      <c r="D12" s="6" t="str">
        <f>IF(OR('A créer'!D12="Oui",LEN('A créer'!D12)=0),"",'A créer'!C12)</f>
        <v>DALKIA SMART BUILDING</v>
      </c>
      <c r="E12" s="2" t="s">
        <v>95</v>
      </c>
      <c r="F12" s="2" t="str">
        <f>IF(OR('A créer'!D12="Oui",LEN('A créer'!D12)=0),"","Tab")</f>
        <v>Tab</v>
      </c>
      <c r="G12" s="2" t="str">
        <f>IF(OR('A créer'!D12="Oui",LEN('A créer'!D12)=0),"","Tab")</f>
        <v>Tab</v>
      </c>
      <c r="H12" s="2" t="str">
        <f>IF(OR('A créer'!D12="Oui",LEN('A créer'!D12)=0),"","ENT")</f>
        <v>ENT</v>
      </c>
      <c r="I12" s="6" t="str">
        <f>IF(OR('A créer'!D12="Oui",LEN('A créer'!D12)=0),"","Oui")</f>
        <v>Oui</v>
      </c>
      <c r="J12" s="2" t="str">
        <f>IF(OR('A créer'!D12="Oui",LEN('A créer'!D12)=0),"","Tab")</f>
        <v>Tab</v>
      </c>
      <c r="K12" s="6" t="str">
        <f>IF(OR('A créer'!D12="Oui",LEN('A créer'!D12)=0),"",'A créer'!H12)</f>
        <v>DOS</v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>Tab</v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>Tab</v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>Tab</v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>Tab</v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>Tab</v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>Tab</v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>Tab</v>
      </c>
      <c r="Z12" s="6" t="str">
        <f>IF(OR('A créer'!D12="Oui",LEN('A créer'!D12)=0),"",IF($K12="DOS",'A créer'!G12,""))</f>
        <v>S2520I</v>
      </c>
      <c r="AA12" s="2" t="str">
        <f>IF(OR('A créer'!D12="Oui",LEN('A créer'!D12)=0),"","Tab")</f>
        <v>Tab</v>
      </c>
      <c r="AB12" s="2" t="str">
        <f>IF(OR('A créer'!D12="Oui",LEN('A créer'!D12)=0),"","Tab")</f>
        <v>Tab</v>
      </c>
      <c r="AC12" s="6" t="str">
        <f>IF(OR('A créer'!D12="Oui",LEN('A créer'!D12)=0),"","OUI")</f>
        <v>OUI</v>
      </c>
      <c r="AD12" s="2" t="str">
        <f>IF(OR('A créer'!D12="Oui",LEN('A créer'!D12)=0),"","Tab")</f>
        <v>Tab</v>
      </c>
      <c r="AE12" s="2" t="str">
        <f>IF(OR('A créer'!D12="Oui",LEN('A créer'!D12)=0),"","ENT")</f>
        <v>ENT</v>
      </c>
      <c r="AF12" s="2" t="str">
        <f>IF(OR('A créer'!D12="Oui",LEN('A créer'!D12)=0),"","*SAVE")</f>
        <v>*SAVE</v>
      </c>
      <c r="AG12" s="2" t="str">
        <f>IF(OR('A créer'!D12="Oui",LEN('A créer'!D12)=0),"","*FN")</f>
        <v>*FN</v>
      </c>
      <c r="AH12" s="6" t="str">
        <f>IF(OR('A créer'!D12="Oui",LEN('A créer'!D12)=0),"",CONCATENATE("A",RIGHT('A créer'!A12,3)))</f>
        <v>A490</v>
      </c>
      <c r="AI12" s="2" t="str">
        <f>IF(OR('A créer'!D12="Oui",LEN('A créer'!D12)=0),"","Tab")</f>
        <v>Tab</v>
      </c>
      <c r="AJ12" s="6" t="str">
        <f>IF(OR('A créer'!D12="Oui",LEN('A créer'!D12)=0),"",CONCATENATE('A créer'!A12," Regroupement"))</f>
        <v>0490 Regroupement</v>
      </c>
      <c r="AK12" s="2" t="str">
        <f>IF(OR('A créer'!D12="Oui",LEN('A créer'!D12)=0),"","Tab 4")</f>
        <v>Tab 4</v>
      </c>
      <c r="AL12" s="2" t="str">
        <f>IF(OR('A créer'!D12="Oui",LEN('A créer'!D12)=0),"","*SB")</f>
        <v>*SB</v>
      </c>
      <c r="AM12" s="2" t="str">
        <f>IF(OR('A créer'!D12="Oui",LEN('A créer'!D12)=0),"","Tab")</f>
        <v>Tab</v>
      </c>
      <c r="AN12" s="6" t="str">
        <f>IF(OR('A créer'!D12="Oui",LEN('A créer'!D12)=0),"",CONCATENATE("A",'A créer'!A12))</f>
        <v>A0490</v>
      </c>
      <c r="AO12" s="2" t="str">
        <f>IF(OR('A créer'!D12="Oui",LEN('A créer'!D12)=0),"","Tab")</f>
        <v>Tab</v>
      </c>
      <c r="AP12" s="2" t="str">
        <f>IF(OR('A créer'!D12="Oui",LEN('A créer'!D12)=0),"","Tab")</f>
        <v>Tab</v>
      </c>
      <c r="AQ12" s="2" t="str">
        <f>IF(OR('A créer'!D12="Oui",LEN('A créer'!D12)=0),"","ENT")</f>
        <v>ENT</v>
      </c>
      <c r="AR12" s="6" t="str">
        <f>IF(OR('A créer'!D12="Oui",LEN('A créer'!D12)=0),"","Non")</f>
        <v>Non</v>
      </c>
      <c r="AS12" s="2" t="str">
        <f>IF(OR('A créer'!D12="Oui",LEN('A créer'!D12)=0),"","Tab")</f>
        <v>Tab</v>
      </c>
      <c r="AT12" s="6" t="str">
        <f>IF(OR('A créer'!D12="Oui",LEN('A créer'!D12)=0),"","T")</f>
        <v>T</v>
      </c>
      <c r="AU12" s="2" t="str">
        <f>IF(OR('A créer'!D12="Oui",LEN('A créer'!D12)=0),"","Tab")</f>
        <v>Tab</v>
      </c>
      <c r="AV12" s="2" t="str">
        <f>IF(OR('A créer'!D12="Oui",LEN('A créer'!D12)=0),"","ENT")</f>
        <v>ENT</v>
      </c>
      <c r="AW12" s="2" t="str">
        <f>IF(OR('A créer'!D12="Oui",LEN('A créer'!D12)=0),"","*SAVE")</f>
        <v>*SAVE</v>
      </c>
      <c r="AX12" s="2" t="str">
        <f>IF(OR('A créer'!D12="Oui",LEN('A créer'!D12)=0),"","*UP")</f>
        <v>*UP</v>
      </c>
      <c r="AY12" s="2" t="str">
        <f>IF(OR('A créer'!D12="Oui",LEN('A créer'!D12)=0),"","*Aé")</f>
        <v>*Aé</v>
      </c>
      <c r="AZ12" s="6" t="str">
        <f>IF(OR('A créer'!D12="Oui",LEN('A créer'!D12)=0),"",'A créer'!A12)</f>
        <v>0490</v>
      </c>
      <c r="BA12" s="2" t="str">
        <f>IF(OR('A créer'!D12="Oui",LEN('A créer'!D12)=0),"","Tab")</f>
        <v>Tab</v>
      </c>
      <c r="BB12" s="2" t="str">
        <f>IF(OR('A créer'!D12="Oui",LEN('A créer'!D12)=0),"","*SAVE")</f>
        <v>*SAVE</v>
      </c>
      <c r="BC12" s="2" t="str">
        <f>IF(OR('A créer'!D12="Oui",LEN('A créer'!D12)=0),"","*ML(751,97)")</f>
        <v>*ML(751,97)</v>
      </c>
    </row>
    <row r="13" spans="1:55" x14ac:dyDescent="0.25">
      <c r="A13" s="2" t="str">
        <f>IF(OR('A créer'!D13="Oui",LEN('A créer'!D13)=0),"","*FN")</f>
        <v>*FN</v>
      </c>
      <c r="B13" s="6" t="str">
        <f>IF(OR('A créer'!D13="Oui",LEN('A créer'!D13)=0),"",'A créer'!A13)</f>
        <v>0490</v>
      </c>
      <c r="C13" s="2" t="str">
        <f>IF(OR('A créer'!D13="Oui",LEN('A créer'!D13)=0),"","Tab")</f>
        <v>Tab</v>
      </c>
      <c r="D13" s="6" t="str">
        <f>IF(OR('A créer'!D13="Oui",LEN('A créer'!D13)=0),"",'A créer'!C13)</f>
        <v>DALKIA SMART BUILDING</v>
      </c>
      <c r="E13" s="2" t="s">
        <v>95</v>
      </c>
      <c r="F13" s="2" t="str">
        <f>IF(OR('A créer'!D13="Oui",LEN('A créer'!D13)=0),"","Tab")</f>
        <v>Tab</v>
      </c>
      <c r="G13" s="2" t="str">
        <f>IF(OR('A créer'!D13="Oui",LEN('A créer'!D13)=0),"","Tab")</f>
        <v>Tab</v>
      </c>
      <c r="H13" s="2" t="str">
        <f>IF(OR('A créer'!D13="Oui",LEN('A créer'!D13)=0),"","ENT")</f>
        <v>ENT</v>
      </c>
      <c r="I13" s="6" t="str">
        <f>IF(OR('A créer'!D13="Oui",LEN('A créer'!D13)=0),"","Oui")</f>
        <v>Oui</v>
      </c>
      <c r="J13" s="2" t="str">
        <f>IF(OR('A créer'!D13="Oui",LEN('A créer'!D13)=0),"","Tab")</f>
        <v>Tab</v>
      </c>
      <c r="K13" s="6" t="str">
        <f>IF(OR('A créer'!D13="Oui",LEN('A créer'!D13)=0),"",'A créer'!H13)</f>
        <v>DOS</v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>Tab</v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>Tab</v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>Tab</v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>Tab</v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>Tab</v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>Tab</v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>Tab</v>
      </c>
      <c r="Z13" s="6" t="str">
        <f>IF(OR('A créer'!D13="Oui",LEN('A créer'!D13)=0),"",IF($K13="DOS",'A créer'!G13,""))</f>
        <v>S2520N</v>
      </c>
      <c r="AA13" s="2" t="str">
        <f>IF(OR('A créer'!D13="Oui",LEN('A créer'!D13)=0),"","Tab")</f>
        <v>Tab</v>
      </c>
      <c r="AB13" s="2" t="str">
        <f>IF(OR('A créer'!D13="Oui",LEN('A créer'!D13)=0),"","Tab")</f>
        <v>Tab</v>
      </c>
      <c r="AC13" s="6" t="str">
        <f>IF(OR('A créer'!D13="Oui",LEN('A créer'!D13)=0),"","OUI")</f>
        <v>OUI</v>
      </c>
      <c r="AD13" s="2" t="str">
        <f>IF(OR('A créer'!D13="Oui",LEN('A créer'!D13)=0),"","Tab")</f>
        <v>Tab</v>
      </c>
      <c r="AE13" s="2" t="str">
        <f>IF(OR('A créer'!D13="Oui",LEN('A créer'!D13)=0),"","ENT")</f>
        <v>ENT</v>
      </c>
      <c r="AF13" s="2" t="str">
        <f>IF(OR('A créer'!D13="Oui",LEN('A créer'!D13)=0),"","*SAVE")</f>
        <v>*SAVE</v>
      </c>
      <c r="AG13" s="2" t="str">
        <f>IF(OR('A créer'!D13="Oui",LEN('A créer'!D13)=0),"","*FN")</f>
        <v>*FN</v>
      </c>
      <c r="AH13" s="6" t="str">
        <f>IF(OR('A créer'!D13="Oui",LEN('A créer'!D13)=0),"",CONCATENATE("A",RIGHT('A créer'!A13,3)))</f>
        <v>A490</v>
      </c>
      <c r="AI13" s="2" t="str">
        <f>IF(OR('A créer'!D13="Oui",LEN('A créer'!D13)=0),"","Tab")</f>
        <v>Tab</v>
      </c>
      <c r="AJ13" s="6" t="str">
        <f>IF(OR('A créer'!D13="Oui",LEN('A créer'!D13)=0),"",CONCATENATE('A créer'!A13," Regroupement"))</f>
        <v>0490 Regroupement</v>
      </c>
      <c r="AK13" s="2" t="str">
        <f>IF(OR('A créer'!D13="Oui",LEN('A créer'!D13)=0),"","Tab 4")</f>
        <v>Tab 4</v>
      </c>
      <c r="AL13" s="2" t="str">
        <f>IF(OR('A créer'!D13="Oui",LEN('A créer'!D13)=0),"","*SB")</f>
        <v>*SB</v>
      </c>
      <c r="AM13" s="2" t="str">
        <f>IF(OR('A créer'!D13="Oui",LEN('A créer'!D13)=0),"","Tab")</f>
        <v>Tab</v>
      </c>
      <c r="AN13" s="6" t="str">
        <f>IF(OR('A créer'!D13="Oui",LEN('A créer'!D13)=0),"",CONCATENATE("A",'A créer'!A13))</f>
        <v>A0490</v>
      </c>
      <c r="AO13" s="2" t="str">
        <f>IF(OR('A créer'!D13="Oui",LEN('A créer'!D13)=0),"","Tab")</f>
        <v>Tab</v>
      </c>
      <c r="AP13" s="2" t="str">
        <f>IF(OR('A créer'!D13="Oui",LEN('A créer'!D13)=0),"","Tab")</f>
        <v>Tab</v>
      </c>
      <c r="AQ13" s="2" t="str">
        <f>IF(OR('A créer'!D13="Oui",LEN('A créer'!D13)=0),"","ENT")</f>
        <v>ENT</v>
      </c>
      <c r="AR13" s="6" t="str">
        <f>IF(OR('A créer'!D13="Oui",LEN('A créer'!D13)=0),"","Non")</f>
        <v>Non</v>
      </c>
      <c r="AS13" s="2" t="str">
        <f>IF(OR('A créer'!D13="Oui",LEN('A créer'!D13)=0),"","Tab")</f>
        <v>Tab</v>
      </c>
      <c r="AT13" s="6" t="str">
        <f>IF(OR('A créer'!D13="Oui",LEN('A créer'!D13)=0),"","T")</f>
        <v>T</v>
      </c>
      <c r="AU13" s="2" t="str">
        <f>IF(OR('A créer'!D13="Oui",LEN('A créer'!D13)=0),"","Tab")</f>
        <v>Tab</v>
      </c>
      <c r="AV13" s="2" t="str">
        <f>IF(OR('A créer'!D13="Oui",LEN('A créer'!D13)=0),"","ENT")</f>
        <v>ENT</v>
      </c>
      <c r="AW13" s="2" t="str">
        <f>IF(OR('A créer'!D13="Oui",LEN('A créer'!D13)=0),"","*SAVE")</f>
        <v>*SAVE</v>
      </c>
      <c r="AX13" s="2" t="str">
        <f>IF(OR('A créer'!D13="Oui",LEN('A créer'!D13)=0),"","*UP")</f>
        <v>*UP</v>
      </c>
      <c r="AY13" s="2" t="str">
        <f>IF(OR('A créer'!D13="Oui",LEN('A créer'!D13)=0),"","*Aé")</f>
        <v>*Aé</v>
      </c>
      <c r="AZ13" s="6" t="str">
        <f>IF(OR('A créer'!D13="Oui",LEN('A créer'!D13)=0),"",'A créer'!A13)</f>
        <v>0490</v>
      </c>
      <c r="BA13" s="2" t="str">
        <f>IF(OR('A créer'!D13="Oui",LEN('A créer'!D13)=0),"","Tab")</f>
        <v>Tab</v>
      </c>
      <c r="BB13" s="2" t="str">
        <f>IF(OR('A créer'!D13="Oui",LEN('A créer'!D13)=0),"","*SAVE")</f>
        <v>*SAVE</v>
      </c>
      <c r="BC13" s="2" t="str">
        <f>IF(OR('A créer'!D13="Oui",LEN('A créer'!D13)=0),"","*ML(751,97)")</f>
        <v>*ML(751,97)</v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0"/>
  <sheetViews>
    <sheetView zoomScale="80" zoomScaleNormal="80" workbookViewId="0">
      <pane xSplit="1" ySplit="1" topLeftCell="F2" activePane="bottomRight" state="frozenSplit"/>
      <selection pane="topRight"/>
      <selection pane="bottomLeft" activeCell="A2" sqref="A2"/>
      <selection pane="bottomRight" activeCell="AF10" sqref="AF10"/>
    </sheetView>
  </sheetViews>
  <sheetFormatPr baseColWidth="10" defaultRowHeight="15" x14ac:dyDescent="0.25"/>
  <cols>
    <col min="1" max="1" width="5.140625" bestFit="1" customWidth="1"/>
    <col min="2" max="2" width="9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8.425781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95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95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95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DEW0491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DEW0491-CALORIMER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S2575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t="str">
        <f>IF(OR('A créer'!D2="Oui",LEN('A créer'!D2)=0),"",CONCATENATE("XXX",'A créer'!A2))</f>
        <v>XXX0491</v>
      </c>
      <c r="R2" s="2" t="str">
        <f>IF(OR('A créer'!D2="Oui",LEN('A créer'!D2)=0),"","Tab")</f>
        <v>Tab</v>
      </c>
      <c r="S2" t="str">
        <f>IF(OR('A créer'!D2="Oui",LEN('A créer'!D2)=0),"",CONCATENATE("XXX-",'A créer'!C2))</f>
        <v>XXX-CALORIMER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t="str">
        <f>IF(OR('A créer'!D2="Oui",LEN('A créer'!D2)=0),"",'A créer'!G2)</f>
        <v>S2575</v>
      </c>
      <c r="Y2" s="2" t="str">
        <f>IF(OR('A créer'!D2="Oui",LEN('A créer'!D2)=0),"","Tab")</f>
        <v>Tab</v>
      </c>
      <c r="Z2" t="str">
        <f>IF(OR('A créer'!D2="Oui",LEN('A créer'!D2)=0),"","Oui")</f>
        <v>Oui</v>
      </c>
      <c r="AA2" s="2" t="str">
        <f>IF(OR('A créer'!D2="Oui",LEN('A créer'!D2)=0),"","Tab")</f>
        <v>Tab</v>
      </c>
      <c r="AB2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t="str">
        <f>IF(OR('A créer'!D2="Oui",LEN('A créer'!D2)=0),"",'A créer'!A2)</f>
        <v>0491</v>
      </c>
      <c r="AG2" s="2" t="str">
        <f>IF(OR('A créer'!D2="Oui",LEN('A créer'!D2)=0),"","Tab")</f>
        <v>Tab</v>
      </c>
      <c r="AH2" t="str">
        <f>IF(OR('A créer'!D2="Oui",LEN('A créer'!D2)=0),"",'A créer'!C2)</f>
        <v>CALORIMER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t="str">
        <f>IF(OR('A créer'!D2="Oui",LEN('A créer'!D2)=0),"",CONCATENATE('A créer'!B2,'A créer'!A2))</f>
        <v>DEW0491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t="str">
        <f>IF(OR('A créer'!D2="Oui",LEN('A créer'!D2)=0),"",CONCATENATE("XXX",'A créer'!A2))</f>
        <v>XXX0491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">
        <v>98</v>
      </c>
    </row>
    <row r="3" spans="1:52" x14ac:dyDescent="0.25">
      <c r="A3" s="2" t="str">
        <f>IF(OR('A créer'!D3="Oui",LEN('A créer'!D3)=0),IF(AND(LEN('A créer'!B3)&gt;0,'A créer'!B3&lt;&gt;'A créer'!H3)=TRUE,"*FN",""),"*FN")</f>
        <v>*FN</v>
      </c>
      <c r="B3" s="6" t="str">
        <f>IF(OR('A créer'!D3="Oui",LEN('A créer'!D3)=0),IF(LEN('A créer'!B3)&gt;0,IF('A créer'!B3='A créer'!H3,"",CONCATENATE('A créer'!B3,'A créer'!A3)),""),CONCATENATE('A créer'!B3,'A créer'!A3))</f>
        <v>DRW0492</v>
      </c>
      <c r="C3" s="2" t="str">
        <f>IF(OR('A créer'!D3="Oui",LEN('A créer'!D3)=0),IF(AND(LEN('A créer'!B3)&gt;0,'A créer'!B3&lt;&gt;'A créer'!H3)=TRUE,"Tab",""),"Tab")</f>
        <v>Tab</v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>DRW0492-CAMILLE CLAUDEL ENERGIES</v>
      </c>
      <c r="E3" s="2" t="str">
        <f>IF(OR('A créer'!D3="Oui",LEN('A créer'!D3)=0),IF(AND(LEN('A créer'!B3)&gt;0,'A créer'!B3&lt;&gt;'A créer'!H3)=TRUE,"Tab 4",""),"Tab 4")</f>
        <v>Tab 4</v>
      </c>
      <c r="F3" s="2" t="str">
        <f>IF(OR('A créer'!D3="Oui",LEN('A créer'!D3)=0),IF(AND(LEN('A créer'!B3)&gt;0,'A créer'!B3&lt;&gt;'A créer'!H3)=TRUE,"Tab",""),"Tab")</f>
        <v>Tab</v>
      </c>
      <c r="G3" s="2" t="str">
        <f>IF(OR('A créer'!D3="Oui",LEN('A créer'!D3)=0),IF(AND(LEN('A créer'!B3)&gt;0,'A créer'!B3&lt;&gt;'A créer'!H3)=TRUE,"Tab",""),"Tab")</f>
        <v>Tab</v>
      </c>
      <c r="H3" s="2" t="str">
        <f>IF(OR('A créer'!D3="Oui",LEN('A créer'!D3)=0),IF(AND(LEN('A créer'!B3)&gt;0,'A créer'!B3&lt;&gt;'A créer'!H3)=TRUE,"ENT",""),"ENT")</f>
        <v>ENT</v>
      </c>
      <c r="I3" s="6" t="str">
        <f>IF('A créer'!D3="Oui",IF(AND(LEN('A créer'!B3)&gt;0,'A créer'!B3&lt;&gt;'A créer'!H3)=TRUE,'A créer'!G3,""),'A créer'!G3)</f>
        <v>YS2572</v>
      </c>
      <c r="J3" s="2" t="str">
        <f>IF(OR('A créer'!D3="Oui",LEN('A créer'!D3)=0),IF(AND(LEN('A créer'!B3)&gt;0,'A créer'!B3&lt;&gt;'A créer'!H3)=TRUE,"Tab",""),"Tab")</f>
        <v>Tab</v>
      </c>
      <c r="K3" s="6" t="str">
        <f>IF(OR('A créer'!D3="Oui",LEN('A créer'!D3)=0),IF(AND(LEN('A créer'!B3)&gt;0,'A créer'!B3&lt;&gt;'A créer'!H3)=TRUE,"Oui",""),"Oui")</f>
        <v>Oui</v>
      </c>
      <c r="L3" s="2" t="str">
        <f>IF(OR('A créer'!D3="Oui",LEN('A créer'!D3)=0),IF(AND(LEN('A créer'!B3)&gt;0,'A créer'!B3&lt;&gt;'A créer'!H3)=TRUE,"Tab",""),"Tab")</f>
        <v>Tab</v>
      </c>
      <c r="M3" s="6" t="str">
        <f>IF(OR('A créer'!D3="Oui",LEN('A créer'!D3)=0),IF(AND(LEN('A créer'!B3)&gt;0,'A créer'!B3&lt;&gt;'A créer'!H3)=TRUE,'A créer'!E3,""),'A créer'!E3)</f>
        <v>Non</v>
      </c>
      <c r="N3" s="2" t="str">
        <f>IF(OR('A créer'!D3="Oui",LEN('A créer'!D3)=0),IF(AND(LEN('A créer'!B3)&gt;0,'A créer'!B3&lt;&gt;'A créer'!H3)=TRUE,"ENT",""),"ENT")</f>
        <v>ENT</v>
      </c>
      <c r="O3" s="2" t="str">
        <f>IF(OR('A créer'!D3="Oui",LEN('A créer'!D3)=0),IF(AND(LEN('A créer'!B3)&gt;0,'A créer'!B3&lt;&gt;'A créer'!H3)=TRUE,"*SAVE",""),"*SAVE")</f>
        <v>*SAVE</v>
      </c>
      <c r="P3" s="2" t="str">
        <f>IF(OR('A créer'!D3="Oui",LEN('A créer'!D3)=0),"","*FN")</f>
        <v>*FN</v>
      </c>
      <c r="Q3" s="6" t="str">
        <f>IF(OR('A créer'!D3="Oui",LEN('A créer'!D3)=0),"",CONCATENATE("XXX",'A créer'!A3))</f>
        <v>XXX0492</v>
      </c>
      <c r="R3" s="2" t="str">
        <f>IF(OR('A créer'!D3="Oui",LEN('A créer'!D3)=0),"","Tab")</f>
        <v>Tab</v>
      </c>
      <c r="S3" s="6" t="str">
        <f>IF(OR('A créer'!D3="Oui",LEN('A créer'!D3)=0),"",CONCATENATE("XXX-",'A créer'!C3))</f>
        <v>XXX-CAMILLE CLAUDEL ENERGIES</v>
      </c>
      <c r="T3" s="2" t="str">
        <f>IF(OR('A créer'!D3="Oui",LEN('A créer'!D3)=0),"","Tab 4")</f>
        <v>Tab 4</v>
      </c>
      <c r="U3" s="2" t="str">
        <f>IF(OR('A créer'!D3="Oui",LEN('A créer'!D3)=0),"","Tab")</f>
        <v>Tab</v>
      </c>
      <c r="V3" s="2" t="str">
        <f>IF(OR('A créer'!D3="Oui",LEN('A créer'!D3)=0),"","Tab")</f>
        <v>Tab</v>
      </c>
      <c r="W3" s="2" t="str">
        <f>IF(OR('A créer'!D3="Oui",LEN('A créer'!D3)=0),"","ENT")</f>
        <v>ENT</v>
      </c>
      <c r="X3" s="6" t="str">
        <f>IF(OR('A créer'!D3="Oui",LEN('A créer'!D3)=0),"",'A créer'!G3)</f>
        <v>YS2572</v>
      </c>
      <c r="Y3" s="2" t="str">
        <f>IF(OR('A créer'!D3="Oui",LEN('A créer'!D3)=0),"","Tab")</f>
        <v>Tab</v>
      </c>
      <c r="Z3" s="6" t="str">
        <f>IF(OR('A créer'!D3="Oui",LEN('A créer'!D3)=0),"","Oui")</f>
        <v>Oui</v>
      </c>
      <c r="AA3" s="2" t="str">
        <f>IF(OR('A créer'!D3="Oui",LEN('A créer'!D3)=0),"","Tab")</f>
        <v>Tab</v>
      </c>
      <c r="AB3" s="6" t="str">
        <f>IF(OR('A créer'!D3="Oui",LEN('A créer'!D3)=0),"","NON")</f>
        <v>NON</v>
      </c>
      <c r="AC3" s="2" t="str">
        <f>IF(OR('A créer'!D3="Oui",LEN('A créer'!D3)=0),"","ENT")</f>
        <v>ENT</v>
      </c>
      <c r="AD3" s="2" t="str">
        <f>IF(OR('A créer'!D3="Oui",LEN('A créer'!D3)=0),"","*SAVE")</f>
        <v>*SAVE</v>
      </c>
      <c r="AE3" s="2" t="str">
        <f>IF(OR('A créer'!D3="Oui",LEN('A créer'!D3)=0),"","*FN")</f>
        <v>*FN</v>
      </c>
      <c r="AF3" s="6" t="str">
        <f>IF(OR('A créer'!D3="Oui",LEN('A créer'!D3)=0),"",'A créer'!A3)</f>
        <v>0492</v>
      </c>
      <c r="AG3" s="2" t="str">
        <f>IF(OR('A créer'!D3="Oui",LEN('A créer'!D3)=0),"","Tab")</f>
        <v>Tab</v>
      </c>
      <c r="AH3" s="6" t="str">
        <f>IF(OR('A créer'!D3="Oui",LEN('A créer'!D3)=0),"",'A créer'!C3)</f>
        <v>CAMILLE CLAUDEL ENERGIES</v>
      </c>
      <c r="AI3" s="2" t="str">
        <f>IF(OR('A créer'!D3="Oui",LEN('A créer'!D3)=0),"","Tab 4")</f>
        <v>Tab 4</v>
      </c>
      <c r="AJ3" s="2" t="str">
        <f>IF(OR('A créer'!D3="Oui",LEN('A créer'!D3)=0),"","*SB")</f>
        <v>*SB</v>
      </c>
      <c r="AK3" s="2" t="str">
        <f>IF(OR('A créer'!D3="Oui",LEN('A créer'!D3)=0),"","Tab")</f>
        <v>Tab</v>
      </c>
      <c r="AL3" s="6" t="str">
        <f>IF(OR('A créer'!D3="Oui",LEN('A créer'!D3)=0),"","InterCoSte")</f>
        <v>InterCoSte</v>
      </c>
      <c r="AM3" s="2" t="str">
        <f>IF(OR('A créer'!D3="Oui",LEN('A créer'!D3)=0),"","Tab")</f>
        <v>Tab</v>
      </c>
      <c r="AN3" s="2" t="str">
        <f>IF(OR('A créer'!D3="Oui",LEN('A créer'!D3)=0),"","Tab")</f>
        <v>Tab</v>
      </c>
      <c r="AO3" s="2" t="str">
        <f>IF(OR('A créer'!D3="Oui",LEN('A créer'!D3)=0),"","ENT")</f>
        <v>ENT</v>
      </c>
      <c r="AP3" s="2" t="str">
        <f>IF(OR('A créer'!D3="Oui",LEN('A créer'!D3)=0),"","ENT")</f>
        <v>ENT</v>
      </c>
      <c r="AQ3" s="2" t="str">
        <f>IF(OR('A créer'!D3="Oui",LEN('A créer'!D3)=0),"","*SAVE")</f>
        <v>*SAVE</v>
      </c>
      <c r="AR3" s="2" t="str">
        <f>IF(OR('A créer'!D3="Oui",LEN('A créer'!D3)=0),"","*UP")</f>
        <v>*UP</v>
      </c>
      <c r="AS3" s="2" t="str">
        <f>IF(OR('A créer'!D3="Oui",LEN('A créer'!D3)=0),"","*Aé")</f>
        <v>*Aé</v>
      </c>
      <c r="AT3" s="6" t="str">
        <f>IF(OR('A créer'!D3="Oui",LEN('A créer'!D3)=0),"",CONCATENATE('A créer'!B3,'A créer'!A3))</f>
        <v>DRW0492</v>
      </c>
      <c r="AU3" s="2" t="str">
        <f>IF(OR('A créer'!D3="Oui",LEN('A créer'!D3)=0),"","Tab")</f>
        <v>Tab</v>
      </c>
      <c r="AV3" s="2" t="str">
        <f>IF(OR('A créer'!D3="Oui",LEN('A créer'!D3)=0),"","*DN")</f>
        <v>*DN</v>
      </c>
      <c r="AW3" s="6" t="str">
        <f>IF(OR('A créer'!D3="Oui",LEN('A créer'!D3)=0),"",CONCATENATE("XXX",'A créer'!A3))</f>
        <v>XXX0492</v>
      </c>
      <c r="AX3" s="2" t="str">
        <f>IF(OR('A créer'!D3="Oui",LEN('A créer'!D3)=0),"","Tab")</f>
        <v>Tab</v>
      </c>
      <c r="AY3" s="2" t="str">
        <f>IF(OR('A créer'!D3="Oui",LEN('A créer'!D3)=0),"","*SAVE")</f>
        <v>*SAVE</v>
      </c>
      <c r="AZ3" s="2" t="s">
        <v>98</v>
      </c>
    </row>
    <row r="4" spans="1:52" x14ac:dyDescent="0.25">
      <c r="A4" s="2" t="str">
        <f>IF(OR('A créer'!D4="Oui",LEN('A créer'!D4)=0),IF(AND(LEN('A créer'!B4)&gt;0,'A créer'!B4&lt;&gt;'A créer'!H4)=TRUE,"*FN",""),"*FN")</f>
        <v>*FN</v>
      </c>
      <c r="B4" s="6" t="str">
        <f>IF(OR('A créer'!D4="Oui",LEN('A créer'!D4)=0),IF(LEN('A créer'!B4)&gt;0,IF('A créer'!B4='A créer'!H4,"",CONCATENATE('A créer'!B4,'A créer'!A4)),""),CONCATENATE('A créer'!B4,'A créer'!A4))</f>
        <v>DSW0493</v>
      </c>
      <c r="C4" s="2" t="str">
        <f>IF(OR('A créer'!D4="Oui",LEN('A créer'!D4)=0),IF(AND(LEN('A créer'!B4)&gt;0,'A créer'!B4&lt;&gt;'A créer'!H4)=TRUE,"Tab",""),"Tab")</f>
        <v>Tab</v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>DSW0493-EDDAL ECOMANCHE</v>
      </c>
      <c r="E4" s="2" t="str">
        <f>IF(OR('A créer'!D4="Oui",LEN('A créer'!D4)=0),IF(AND(LEN('A créer'!B4)&gt;0,'A créer'!B4&lt;&gt;'A créer'!H4)=TRUE,"Tab 4",""),"Tab 4")</f>
        <v>Tab 4</v>
      </c>
      <c r="F4" s="2" t="str">
        <f>IF(OR('A créer'!D4="Oui",LEN('A créer'!D4)=0),IF(AND(LEN('A créer'!B4)&gt;0,'A créer'!B4&lt;&gt;'A créer'!H4)=TRUE,"Tab",""),"Tab")</f>
        <v>Tab</v>
      </c>
      <c r="G4" s="2" t="str">
        <f>IF(OR('A créer'!D4="Oui",LEN('A créer'!D4)=0),IF(AND(LEN('A créer'!B4)&gt;0,'A créer'!B4&lt;&gt;'A créer'!H4)=TRUE,"Tab",""),"Tab")</f>
        <v>Tab</v>
      </c>
      <c r="H4" s="2" t="str">
        <f>IF(OR('A créer'!D4="Oui",LEN('A créer'!D4)=0),IF(AND(LEN('A créer'!B4)&gt;0,'A créer'!B4&lt;&gt;'A créer'!H4)=TRUE,"ENT",""),"ENT")</f>
        <v>ENT</v>
      </c>
      <c r="I4" s="6" t="str">
        <f>IF('A créer'!D4="Oui",IF(AND(LEN('A créer'!B4)&gt;0,'A créer'!B4&lt;&gt;'A créer'!H4)=TRUE,'A créer'!G4,""),'A créer'!G4)</f>
        <v>YSV128</v>
      </c>
      <c r="J4" s="2" t="str">
        <f>IF(OR('A créer'!D4="Oui",LEN('A créer'!D4)=0),IF(AND(LEN('A créer'!B4)&gt;0,'A créer'!B4&lt;&gt;'A créer'!H4)=TRUE,"Tab",""),"Tab")</f>
        <v>Tab</v>
      </c>
      <c r="K4" s="6" t="str">
        <f>IF(OR('A créer'!D4="Oui",LEN('A créer'!D4)=0),IF(AND(LEN('A créer'!B4)&gt;0,'A créer'!B4&lt;&gt;'A créer'!H4)=TRUE,"Oui",""),"Oui")</f>
        <v>Oui</v>
      </c>
      <c r="L4" s="2" t="str">
        <f>IF(OR('A créer'!D4="Oui",LEN('A créer'!D4)=0),IF(AND(LEN('A créer'!B4)&gt;0,'A créer'!B4&lt;&gt;'A créer'!H4)=TRUE,"Tab",""),"Tab")</f>
        <v>Tab</v>
      </c>
      <c r="M4" s="6" t="str">
        <f>IF(OR('A créer'!D4="Oui",LEN('A créer'!D4)=0),IF(AND(LEN('A créer'!B4)&gt;0,'A créer'!B4&lt;&gt;'A créer'!H4)=TRUE,'A créer'!E4,""),'A créer'!E4)</f>
        <v>Non</v>
      </c>
      <c r="N4" s="2" t="str">
        <f>IF(OR('A créer'!D4="Oui",LEN('A créer'!D4)=0),IF(AND(LEN('A créer'!B4)&gt;0,'A créer'!B4&lt;&gt;'A créer'!H4)=TRUE,"ENT",""),"ENT")</f>
        <v>ENT</v>
      </c>
      <c r="O4" s="2" t="str">
        <f>IF(OR('A créer'!D4="Oui",LEN('A créer'!D4)=0),IF(AND(LEN('A créer'!B4)&gt;0,'A créer'!B4&lt;&gt;'A créer'!H4)=TRUE,"*SAVE",""),"*SAVE")</f>
        <v>*SAVE</v>
      </c>
      <c r="P4" s="2" t="str">
        <f>IF(OR('A créer'!D4="Oui",LEN('A créer'!D4)=0),"","*FN")</f>
        <v>*FN</v>
      </c>
      <c r="Q4" s="6" t="str">
        <f>IF(OR('A créer'!D4="Oui",LEN('A créer'!D4)=0),"",CONCATENATE("XXX",'A créer'!A4))</f>
        <v>XXX0493</v>
      </c>
      <c r="R4" s="2" t="str">
        <f>IF(OR('A créer'!D4="Oui",LEN('A créer'!D4)=0),"","Tab")</f>
        <v>Tab</v>
      </c>
      <c r="S4" s="6" t="str">
        <f>IF(OR('A créer'!D4="Oui",LEN('A créer'!D4)=0),"",CONCATENATE("XXX-",'A créer'!C4))</f>
        <v>XXX-EDDAL ECOMANCHE</v>
      </c>
      <c r="T4" s="2" t="str">
        <f>IF(OR('A créer'!D4="Oui",LEN('A créer'!D4)=0),"","Tab 4")</f>
        <v>Tab 4</v>
      </c>
      <c r="U4" s="2" t="str">
        <f>IF(OR('A créer'!D4="Oui",LEN('A créer'!D4)=0),"","Tab")</f>
        <v>Tab</v>
      </c>
      <c r="V4" s="2" t="str">
        <f>IF(OR('A créer'!D4="Oui",LEN('A créer'!D4)=0),"","Tab")</f>
        <v>Tab</v>
      </c>
      <c r="W4" s="2" t="str">
        <f>IF(OR('A créer'!D4="Oui",LEN('A créer'!D4)=0),"","ENT")</f>
        <v>ENT</v>
      </c>
      <c r="X4" s="6" t="str">
        <f>IF(OR('A créer'!D4="Oui",LEN('A créer'!D4)=0),"",'A créer'!G4)</f>
        <v>YSV128</v>
      </c>
      <c r="Y4" s="2" t="str">
        <f>IF(OR('A créer'!D4="Oui",LEN('A créer'!D4)=0),"","Tab")</f>
        <v>Tab</v>
      </c>
      <c r="Z4" s="6" t="str">
        <f>IF(OR('A créer'!D4="Oui",LEN('A créer'!D4)=0),"","Oui")</f>
        <v>Oui</v>
      </c>
      <c r="AA4" s="2" t="str">
        <f>IF(OR('A créer'!D4="Oui",LEN('A créer'!D4)=0),"","Tab")</f>
        <v>Tab</v>
      </c>
      <c r="AB4" s="6" t="str">
        <f>IF(OR('A créer'!D4="Oui",LEN('A créer'!D4)=0),"","NON")</f>
        <v>NON</v>
      </c>
      <c r="AC4" s="2" t="str">
        <f>IF(OR('A créer'!D4="Oui",LEN('A créer'!D4)=0),"","ENT")</f>
        <v>ENT</v>
      </c>
      <c r="AD4" s="2" t="str">
        <f>IF(OR('A créer'!D4="Oui",LEN('A créer'!D4)=0),"","*SAVE")</f>
        <v>*SAVE</v>
      </c>
      <c r="AE4" s="2" t="str">
        <f>IF(OR('A créer'!D4="Oui",LEN('A créer'!D4)=0),"","*FN")</f>
        <v>*FN</v>
      </c>
      <c r="AF4" s="6" t="str">
        <f>IF(OR('A créer'!D4="Oui",LEN('A créer'!D4)=0),"",'A créer'!A4)</f>
        <v>0493</v>
      </c>
      <c r="AG4" s="2" t="str">
        <f>IF(OR('A créer'!D4="Oui",LEN('A créer'!D4)=0),"","Tab")</f>
        <v>Tab</v>
      </c>
      <c r="AH4" s="6" t="str">
        <f>IF(OR('A créer'!D4="Oui",LEN('A créer'!D4)=0),"",'A créer'!C4)</f>
        <v>EDDAL ECOMANCHE</v>
      </c>
      <c r="AI4" s="2" t="str">
        <f>IF(OR('A créer'!D4="Oui",LEN('A créer'!D4)=0),"","Tab 4")</f>
        <v>Tab 4</v>
      </c>
      <c r="AJ4" s="2" t="str">
        <f>IF(OR('A créer'!D4="Oui",LEN('A créer'!D4)=0),"","*SB")</f>
        <v>*SB</v>
      </c>
      <c r="AK4" s="2" t="str">
        <f>IF(OR('A créer'!D4="Oui",LEN('A créer'!D4)=0),"","Tab")</f>
        <v>Tab</v>
      </c>
      <c r="AL4" s="6" t="str">
        <f>IF(OR('A créer'!D4="Oui",LEN('A créer'!D4)=0),"","InterCoSte")</f>
        <v>InterCoSte</v>
      </c>
      <c r="AM4" s="2" t="str">
        <f>IF(OR('A créer'!D4="Oui",LEN('A créer'!D4)=0),"","Tab")</f>
        <v>Tab</v>
      </c>
      <c r="AN4" s="2" t="str">
        <f>IF(OR('A créer'!D4="Oui",LEN('A créer'!D4)=0),"","Tab")</f>
        <v>Tab</v>
      </c>
      <c r="AO4" s="2" t="str">
        <f>IF(OR('A créer'!D4="Oui",LEN('A créer'!D4)=0),"","ENT")</f>
        <v>ENT</v>
      </c>
      <c r="AP4" s="2" t="str">
        <f>IF(OR('A créer'!D4="Oui",LEN('A créer'!D4)=0),"","ENT")</f>
        <v>ENT</v>
      </c>
      <c r="AQ4" s="2" t="str">
        <f>IF(OR('A créer'!D4="Oui",LEN('A créer'!D4)=0),"","*SAVE")</f>
        <v>*SAVE</v>
      </c>
      <c r="AR4" s="2" t="str">
        <f>IF(OR('A créer'!D4="Oui",LEN('A créer'!D4)=0),"","*UP")</f>
        <v>*UP</v>
      </c>
      <c r="AS4" s="2" t="str">
        <f>IF(OR('A créer'!D4="Oui",LEN('A créer'!D4)=0),"","*Aé")</f>
        <v>*Aé</v>
      </c>
      <c r="AT4" s="6" t="str">
        <f>IF(OR('A créer'!D4="Oui",LEN('A créer'!D4)=0),"",CONCATENATE('A créer'!B4,'A créer'!A4))</f>
        <v>DSW0493</v>
      </c>
      <c r="AU4" s="2" t="str">
        <f>IF(OR('A créer'!D4="Oui",LEN('A créer'!D4)=0),"","Tab")</f>
        <v>Tab</v>
      </c>
      <c r="AV4" s="2" t="str">
        <f>IF(OR('A créer'!D4="Oui",LEN('A créer'!D4)=0),"","*DN")</f>
        <v>*DN</v>
      </c>
      <c r="AW4" s="6" t="str">
        <f>IF(OR('A créer'!D4="Oui",LEN('A créer'!D4)=0),"",CONCATENATE("XXX",'A créer'!A4))</f>
        <v>XXX0493</v>
      </c>
      <c r="AX4" s="2" t="str">
        <f>IF(OR('A créer'!D4="Oui",LEN('A créer'!D4)=0),"","Tab")</f>
        <v>Tab</v>
      </c>
      <c r="AY4" s="2" t="str">
        <f>IF(OR('A créer'!D4="Oui",LEN('A créer'!D4)=0),"","*SAVE")</f>
        <v>*SAVE</v>
      </c>
      <c r="AZ4" s="2" t="s">
        <v>98</v>
      </c>
    </row>
    <row r="5" spans="1:52" x14ac:dyDescent="0.25">
      <c r="A5" s="2" t="str">
        <f>IF(OR('A créer'!D5="Oui",LEN('A créer'!D5)=0),IF(AND(LEN('A créer'!B5)&gt;0,'A créer'!B5&lt;&gt;'A créer'!H5)=TRUE,"*FN",""),"*FN")</f>
        <v>*FN</v>
      </c>
      <c r="B5" s="6" t="str">
        <f>IF(OR('A créer'!D5="Oui",LEN('A créer'!D5)=0),IF(LEN('A créer'!B5)&gt;0,IF('A créer'!B5='A créer'!H5,"",CONCATENATE('A créer'!B5,'A créer'!A5)),""),CONCATENATE('A créer'!B5,'A créer'!A5))</f>
        <v>DMS0498</v>
      </c>
      <c r="C5" s="2" t="str">
        <f>IF(OR('A créer'!D5="Oui",LEN('A créer'!D5)=0),IF(AND(LEN('A créer'!B5)&gt;0,'A créer'!B5&lt;&gt;'A créer'!H5)=TRUE,"Tab",""),"Tab")</f>
        <v>Tab</v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>DMS0498-ECO ROC NOIR</v>
      </c>
      <c r="E5" s="2" t="str">
        <f>IF(OR('A créer'!D5="Oui",LEN('A créer'!D5)=0),IF(AND(LEN('A créer'!B5)&gt;0,'A créer'!B5&lt;&gt;'A créer'!H5)=TRUE,"Tab 4",""),"Tab 4")</f>
        <v>Tab 4</v>
      </c>
      <c r="F5" s="2" t="str">
        <f>IF(OR('A créer'!D5="Oui",LEN('A créer'!D5)=0),IF(AND(LEN('A créer'!B5)&gt;0,'A créer'!B5&lt;&gt;'A créer'!H5)=TRUE,"Tab",""),"Tab")</f>
        <v>Tab</v>
      </c>
      <c r="G5" s="2" t="str">
        <f>IF(OR('A créer'!D5="Oui",LEN('A créer'!D5)=0),IF(AND(LEN('A créer'!B5)&gt;0,'A créer'!B5&lt;&gt;'A créer'!H5)=TRUE,"Tab",""),"Tab")</f>
        <v>Tab</v>
      </c>
      <c r="H5" s="2" t="str">
        <f>IF(OR('A créer'!D5="Oui",LEN('A créer'!D5)=0),IF(AND(LEN('A créer'!B5)&gt;0,'A créer'!B5&lt;&gt;'A créer'!H5)=TRUE,"ENT",""),"ENT")</f>
        <v>ENT</v>
      </c>
      <c r="I5" s="6" t="str">
        <f>IF('A créer'!D5="Oui",IF(AND(LEN('A créer'!B5)&gt;0,'A créer'!B5&lt;&gt;'A créer'!H5)=TRUE,'A créer'!G5,""),'A créer'!G5)</f>
        <v>YS2570</v>
      </c>
      <c r="J5" s="2" t="str">
        <f>IF(OR('A créer'!D5="Oui",LEN('A créer'!D5)=0),IF(AND(LEN('A créer'!B5)&gt;0,'A créer'!B5&lt;&gt;'A créer'!H5)=TRUE,"Tab",""),"Tab")</f>
        <v>Tab</v>
      </c>
      <c r="K5" s="6" t="str">
        <f>IF(OR('A créer'!D5="Oui",LEN('A créer'!D5)=0),IF(AND(LEN('A créer'!B5)&gt;0,'A créer'!B5&lt;&gt;'A créer'!H5)=TRUE,"Oui",""),"Oui")</f>
        <v>Oui</v>
      </c>
      <c r="L5" s="2" t="str">
        <f>IF(OR('A créer'!D5="Oui",LEN('A créer'!D5)=0),IF(AND(LEN('A créer'!B5)&gt;0,'A créer'!B5&lt;&gt;'A créer'!H5)=TRUE,"Tab",""),"Tab")</f>
        <v>Tab</v>
      </c>
      <c r="M5" s="6" t="str">
        <f>IF(OR('A créer'!D5="Oui",LEN('A créer'!D5)=0),IF(AND(LEN('A créer'!B5)&gt;0,'A créer'!B5&lt;&gt;'A créer'!H5)=TRUE,'A créer'!E5,""),'A créer'!E5)</f>
        <v>Non</v>
      </c>
      <c r="N5" s="2" t="str">
        <f>IF(OR('A créer'!D5="Oui",LEN('A créer'!D5)=0),IF(AND(LEN('A créer'!B5)&gt;0,'A créer'!B5&lt;&gt;'A créer'!H5)=TRUE,"ENT",""),"ENT")</f>
        <v>ENT</v>
      </c>
      <c r="O5" s="2" t="str">
        <f>IF(OR('A créer'!D5="Oui",LEN('A créer'!D5)=0),IF(AND(LEN('A créer'!B5)&gt;0,'A créer'!B5&lt;&gt;'A créer'!H5)=TRUE,"*SAVE",""),"*SAVE")</f>
        <v>*SAVE</v>
      </c>
      <c r="P5" s="2" t="str">
        <f>IF(OR('A créer'!D5="Oui",LEN('A créer'!D5)=0),"","*FN")</f>
        <v>*FN</v>
      </c>
      <c r="Q5" s="6" t="str">
        <f>IF(OR('A créer'!D5="Oui",LEN('A créer'!D5)=0),"",CONCATENATE("XXX",'A créer'!A5))</f>
        <v>XXX0498</v>
      </c>
      <c r="R5" s="2" t="str">
        <f>IF(OR('A créer'!D5="Oui",LEN('A créer'!D5)=0),"","Tab")</f>
        <v>Tab</v>
      </c>
      <c r="S5" s="6" t="str">
        <f>IF(OR('A créer'!D5="Oui",LEN('A créer'!D5)=0),"",CONCATENATE("XXX-",'A créer'!C5))</f>
        <v>XXX-ECO ROC NOIR</v>
      </c>
      <c r="T5" s="2" t="str">
        <f>IF(OR('A créer'!D5="Oui",LEN('A créer'!D5)=0),"","Tab 4")</f>
        <v>Tab 4</v>
      </c>
      <c r="U5" s="2" t="str">
        <f>IF(OR('A créer'!D5="Oui",LEN('A créer'!D5)=0),"","Tab")</f>
        <v>Tab</v>
      </c>
      <c r="V5" s="2" t="str">
        <f>IF(OR('A créer'!D5="Oui",LEN('A créer'!D5)=0),"","Tab")</f>
        <v>Tab</v>
      </c>
      <c r="W5" s="2" t="str">
        <f>IF(OR('A créer'!D5="Oui",LEN('A créer'!D5)=0),"","ENT")</f>
        <v>ENT</v>
      </c>
      <c r="X5" s="6" t="str">
        <f>IF(OR('A créer'!D5="Oui",LEN('A créer'!D5)=0),"",'A créer'!G5)</f>
        <v>YS2570</v>
      </c>
      <c r="Y5" s="2" t="str">
        <f>IF(OR('A créer'!D5="Oui",LEN('A créer'!D5)=0),"","Tab")</f>
        <v>Tab</v>
      </c>
      <c r="Z5" s="6" t="str">
        <f>IF(OR('A créer'!D5="Oui",LEN('A créer'!D5)=0),"","Oui")</f>
        <v>Oui</v>
      </c>
      <c r="AA5" s="2" t="str">
        <f>IF(OR('A créer'!D5="Oui",LEN('A créer'!D5)=0),"","Tab")</f>
        <v>Tab</v>
      </c>
      <c r="AB5" s="6" t="str">
        <f>IF(OR('A créer'!D5="Oui",LEN('A créer'!D5)=0),"","NON")</f>
        <v>NON</v>
      </c>
      <c r="AC5" s="2" t="str">
        <f>IF(OR('A créer'!D5="Oui",LEN('A créer'!D5)=0),"","ENT")</f>
        <v>ENT</v>
      </c>
      <c r="AD5" s="2" t="str">
        <f>IF(OR('A créer'!D5="Oui",LEN('A créer'!D5)=0),"","*SAVE")</f>
        <v>*SAVE</v>
      </c>
      <c r="AE5" s="2" t="str">
        <f>IF(OR('A créer'!D5="Oui",LEN('A créer'!D5)=0),"","*FN")</f>
        <v>*FN</v>
      </c>
      <c r="AF5" s="6" t="str">
        <f>IF(OR('A créer'!D5="Oui",LEN('A créer'!D5)=0),"",'A créer'!A5)</f>
        <v>0498</v>
      </c>
      <c r="AG5" s="2" t="str">
        <f>IF(OR('A créer'!D5="Oui",LEN('A créer'!D5)=0),"","Tab")</f>
        <v>Tab</v>
      </c>
      <c r="AH5" s="6" t="str">
        <f>IF(OR('A créer'!D5="Oui",LEN('A créer'!D5)=0),"",'A créer'!C5)</f>
        <v>ECO ROC NOIR</v>
      </c>
      <c r="AI5" s="2" t="str">
        <f>IF(OR('A créer'!D5="Oui",LEN('A créer'!D5)=0),"","Tab 4")</f>
        <v>Tab 4</v>
      </c>
      <c r="AJ5" s="2" t="str">
        <f>IF(OR('A créer'!D5="Oui",LEN('A créer'!D5)=0),"","*SB")</f>
        <v>*SB</v>
      </c>
      <c r="AK5" s="2" t="str">
        <f>IF(OR('A créer'!D5="Oui",LEN('A créer'!D5)=0),"","Tab")</f>
        <v>Tab</v>
      </c>
      <c r="AL5" s="6" t="str">
        <f>IF(OR('A créer'!D5="Oui",LEN('A créer'!D5)=0),"","InterCoSte")</f>
        <v>InterCoSte</v>
      </c>
      <c r="AM5" s="2" t="str">
        <f>IF(OR('A créer'!D5="Oui",LEN('A créer'!D5)=0),"","Tab")</f>
        <v>Tab</v>
      </c>
      <c r="AN5" s="2" t="str">
        <f>IF(OR('A créer'!D5="Oui",LEN('A créer'!D5)=0),"","Tab")</f>
        <v>Tab</v>
      </c>
      <c r="AO5" s="2" t="str">
        <f>IF(OR('A créer'!D5="Oui",LEN('A créer'!D5)=0),"","ENT")</f>
        <v>ENT</v>
      </c>
      <c r="AP5" s="2" t="str">
        <f>IF(OR('A créer'!D5="Oui",LEN('A créer'!D5)=0),"","ENT")</f>
        <v>ENT</v>
      </c>
      <c r="AQ5" s="2" t="str">
        <f>IF(OR('A créer'!D5="Oui",LEN('A créer'!D5)=0),"","*SAVE")</f>
        <v>*SAVE</v>
      </c>
      <c r="AR5" s="2" t="str">
        <f>IF(OR('A créer'!D5="Oui",LEN('A créer'!D5)=0),"","*UP")</f>
        <v>*UP</v>
      </c>
      <c r="AS5" s="2" t="str">
        <f>IF(OR('A créer'!D5="Oui",LEN('A créer'!D5)=0),"","*Aé")</f>
        <v>*Aé</v>
      </c>
      <c r="AT5" s="6" t="str">
        <f>IF(OR('A créer'!D5="Oui",LEN('A créer'!D5)=0),"",CONCATENATE('A créer'!B5,'A créer'!A5))</f>
        <v>DMS0498</v>
      </c>
      <c r="AU5" s="2" t="str">
        <f>IF(OR('A créer'!D5="Oui",LEN('A créer'!D5)=0),"","Tab")</f>
        <v>Tab</v>
      </c>
      <c r="AV5" s="2" t="str">
        <f>IF(OR('A créer'!D5="Oui",LEN('A créer'!D5)=0),"","*DN")</f>
        <v>*DN</v>
      </c>
      <c r="AW5" s="6" t="str">
        <f>IF(OR('A créer'!D5="Oui",LEN('A créer'!D5)=0),"",CONCATENATE("XXX",'A créer'!A5))</f>
        <v>XXX0498</v>
      </c>
      <c r="AX5" s="2" t="str">
        <f>IF(OR('A créer'!D5="Oui",LEN('A créer'!D5)=0),"","Tab")</f>
        <v>Tab</v>
      </c>
      <c r="AY5" s="2" t="str">
        <f>IF(OR('A créer'!D5="Oui",LEN('A créer'!D5)=0),"","*SAVE")</f>
        <v>*SAVE</v>
      </c>
      <c r="AZ5" s="2" t="s">
        <v>98</v>
      </c>
    </row>
    <row r="6" spans="1:52" x14ac:dyDescent="0.25">
      <c r="A6" s="2" t="str">
        <f>IF(OR('A créer'!D6="Oui",LEN('A créer'!D6)=0),IF(AND(LEN('A créer'!B6)&gt;0,'A créer'!B6&lt;&gt;'A créer'!H6)=TRUE,"*FN",""),"*FN")</f>
        <v>*FN</v>
      </c>
      <c r="B6" s="6" t="str">
        <f>IF(OR('A créer'!D6="Oui",LEN('A créer'!D6)=0),IF(LEN('A créer'!B6)&gt;0,IF('A créer'!B6='A créer'!H6,"",CONCATENATE('A créer'!B6,'A créer'!A6)),""),CONCATENATE('A créer'!B6,'A créer'!A6))</f>
        <v>DOS0490</v>
      </c>
      <c r="C6" s="2" t="str">
        <f>IF(OR('A créer'!D6="Oui",LEN('A créer'!D6)=0),IF(AND(LEN('A créer'!B6)&gt;0,'A créer'!B6&lt;&gt;'A créer'!H6)=TRUE,"Tab",""),"Tab")</f>
        <v>Tab</v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>DOS0490-DALKIA SMART BUILDING</v>
      </c>
      <c r="E6" s="2" t="str">
        <f>IF(OR('A créer'!D6="Oui",LEN('A créer'!D6)=0),IF(AND(LEN('A créer'!B6)&gt;0,'A créer'!B6&lt;&gt;'A créer'!H6)=TRUE,"Tab 4",""),"Tab 4")</f>
        <v>Tab 4</v>
      </c>
      <c r="F6" s="2" t="str">
        <f>IF(OR('A créer'!D6="Oui",LEN('A créer'!D6)=0),IF(AND(LEN('A créer'!B6)&gt;0,'A créer'!B6&lt;&gt;'A créer'!H6)=TRUE,"Tab",""),"Tab")</f>
        <v>Tab</v>
      </c>
      <c r="G6" s="2" t="str">
        <f>IF(OR('A créer'!D6="Oui",LEN('A créer'!D6)=0),IF(AND(LEN('A créer'!B6)&gt;0,'A créer'!B6&lt;&gt;'A créer'!H6)=TRUE,"Tab",""),"Tab")</f>
        <v>Tab</v>
      </c>
      <c r="H6" s="2" t="str">
        <f>IF(OR('A créer'!D6="Oui",LEN('A créer'!D6)=0),IF(AND(LEN('A créer'!B6)&gt;0,'A créer'!B6&lt;&gt;'A créer'!H6)=TRUE,"ENT",""),"ENT")</f>
        <v>ENT</v>
      </c>
      <c r="I6" s="6" t="str">
        <f>IF('A créer'!D6="Oui",IF(AND(LEN('A créer'!B6)&gt;0,'A créer'!B6&lt;&gt;'A créer'!H6)=TRUE,'A créer'!G6,""),'A créer'!G6)</f>
        <v>S2520C</v>
      </c>
      <c r="J6" s="2" t="str">
        <f>IF(OR('A créer'!D6="Oui",LEN('A créer'!D6)=0),IF(AND(LEN('A créer'!B6)&gt;0,'A créer'!B6&lt;&gt;'A créer'!H6)=TRUE,"Tab",""),"Tab")</f>
        <v>Tab</v>
      </c>
      <c r="K6" s="6" t="str">
        <f>IF(OR('A créer'!D6="Oui",LEN('A créer'!D6)=0),IF(AND(LEN('A créer'!B6)&gt;0,'A créer'!B6&lt;&gt;'A créer'!H6)=TRUE,"Oui",""),"Oui")</f>
        <v>Oui</v>
      </c>
      <c r="L6" s="2" t="str">
        <f>IF(OR('A créer'!D6="Oui",LEN('A créer'!D6)=0),IF(AND(LEN('A créer'!B6)&gt;0,'A créer'!B6&lt;&gt;'A créer'!H6)=TRUE,"Tab",""),"Tab")</f>
        <v>Tab</v>
      </c>
      <c r="M6" s="6" t="str">
        <f>IF(OR('A créer'!D6="Oui",LEN('A créer'!D6)=0),IF(AND(LEN('A créer'!B6)&gt;0,'A créer'!B6&lt;&gt;'A créer'!H6)=TRUE,'A créer'!E6,""),'A créer'!E6)</f>
        <v>Oui</v>
      </c>
      <c r="N6" s="2" t="str">
        <f>IF(OR('A créer'!D6="Oui",LEN('A créer'!D6)=0),IF(AND(LEN('A créer'!B6)&gt;0,'A créer'!B6&lt;&gt;'A créer'!H6)=TRUE,"ENT",""),"ENT")</f>
        <v>ENT</v>
      </c>
      <c r="O6" s="2" t="str">
        <f>IF(OR('A créer'!D6="Oui",LEN('A créer'!D6)=0),IF(AND(LEN('A créer'!B6)&gt;0,'A créer'!B6&lt;&gt;'A créer'!H6)=TRUE,"*SAVE",""),"*SAVE")</f>
        <v>*SAVE</v>
      </c>
      <c r="P6" s="2" t="str">
        <f>IF(OR('A créer'!D6="Oui",LEN('A créer'!D6)=0),"","*FN")</f>
        <v>*FN</v>
      </c>
      <c r="Q6" s="6" t="str">
        <f>IF(OR('A créer'!D6="Oui",LEN('A créer'!D6)=0),"",CONCATENATE("XXX",'A créer'!A6))</f>
        <v>XXX0490</v>
      </c>
      <c r="R6" s="2" t="str">
        <f>IF(OR('A créer'!D6="Oui",LEN('A créer'!D6)=0),"","Tab")</f>
        <v>Tab</v>
      </c>
      <c r="S6" s="6" t="str">
        <f>IF(OR('A créer'!D6="Oui",LEN('A créer'!D6)=0),"",CONCATENATE("XXX-",'A créer'!C6))</f>
        <v>XXX-DALKIA SMART BUILDING</v>
      </c>
      <c r="T6" s="2" t="str">
        <f>IF(OR('A créer'!D6="Oui",LEN('A créer'!D6)=0),"","Tab 4")</f>
        <v>Tab 4</v>
      </c>
      <c r="U6" s="2" t="str">
        <f>IF(OR('A créer'!D6="Oui",LEN('A créer'!D6)=0),"","Tab")</f>
        <v>Tab</v>
      </c>
      <c r="V6" s="2" t="str">
        <f>IF(OR('A créer'!D6="Oui",LEN('A créer'!D6)=0),"","Tab")</f>
        <v>Tab</v>
      </c>
      <c r="W6" s="2" t="str">
        <f>IF(OR('A créer'!D6="Oui",LEN('A créer'!D6)=0),"","ENT")</f>
        <v>ENT</v>
      </c>
      <c r="X6" s="6" t="str">
        <f>IF(OR('A créer'!D6="Oui",LEN('A créer'!D6)=0),"",'A créer'!G6)</f>
        <v>S2520C</v>
      </c>
      <c r="Y6" s="2" t="str">
        <f>IF(OR('A créer'!D6="Oui",LEN('A créer'!D6)=0),"","Tab")</f>
        <v>Tab</v>
      </c>
      <c r="Z6" s="6" t="str">
        <f>IF(OR('A créer'!D6="Oui",LEN('A créer'!D6)=0),"","Oui")</f>
        <v>Oui</v>
      </c>
      <c r="AA6" s="2" t="str">
        <f>IF(OR('A créer'!D6="Oui",LEN('A créer'!D6)=0),"","Tab")</f>
        <v>Tab</v>
      </c>
      <c r="AB6" s="6" t="str">
        <f>IF(OR('A créer'!D6="Oui",LEN('A créer'!D6)=0),"","NON")</f>
        <v>NON</v>
      </c>
      <c r="AC6" s="2" t="str">
        <f>IF(OR('A créer'!D6="Oui",LEN('A créer'!D6)=0),"","ENT")</f>
        <v>ENT</v>
      </c>
      <c r="AD6" s="2" t="str">
        <f>IF(OR('A créer'!D6="Oui",LEN('A créer'!D6)=0),"","*SAVE")</f>
        <v>*SAVE</v>
      </c>
      <c r="AE6" s="2" t="str">
        <f>IF(OR('A créer'!D6="Oui",LEN('A créer'!D6)=0),"","*FN")</f>
        <v>*FN</v>
      </c>
      <c r="AF6" s="6" t="str">
        <f>IF(OR('A créer'!D6="Oui",LEN('A créer'!D6)=0),"",'A créer'!A6)</f>
        <v>0490</v>
      </c>
      <c r="AG6" s="2" t="str">
        <f>IF(OR('A créer'!D6="Oui",LEN('A créer'!D6)=0),"","Tab")</f>
        <v>Tab</v>
      </c>
      <c r="AH6" s="6" t="str">
        <f>IF(OR('A créer'!D6="Oui",LEN('A créer'!D6)=0),"",'A créer'!C6)</f>
        <v>DALKIA SMART BUILDING</v>
      </c>
      <c r="AI6" s="2" t="str">
        <f>IF(OR('A créer'!D6="Oui",LEN('A créer'!D6)=0),"","Tab 4")</f>
        <v>Tab 4</v>
      </c>
      <c r="AJ6" s="2" t="str">
        <f>IF(OR('A créer'!D6="Oui",LEN('A créer'!D6)=0),"","*SB")</f>
        <v>*SB</v>
      </c>
      <c r="AK6" s="2" t="str">
        <f>IF(OR('A créer'!D6="Oui",LEN('A créer'!D6)=0),"","Tab")</f>
        <v>Tab</v>
      </c>
      <c r="AL6" s="6" t="str">
        <f>IF(OR('A créer'!D6="Oui",LEN('A créer'!D6)=0),"","InterCoSte")</f>
        <v>InterCoSte</v>
      </c>
      <c r="AM6" s="2" t="str">
        <f>IF(OR('A créer'!D6="Oui",LEN('A créer'!D6)=0),"","Tab")</f>
        <v>Tab</v>
      </c>
      <c r="AN6" s="2" t="str">
        <f>IF(OR('A créer'!D6="Oui",LEN('A créer'!D6)=0),"","Tab")</f>
        <v>Tab</v>
      </c>
      <c r="AO6" s="2" t="str">
        <f>IF(OR('A créer'!D6="Oui",LEN('A créer'!D6)=0),"","ENT")</f>
        <v>ENT</v>
      </c>
      <c r="AP6" s="2" t="str">
        <f>IF(OR('A créer'!D6="Oui",LEN('A créer'!D6)=0),"","ENT")</f>
        <v>ENT</v>
      </c>
      <c r="AQ6" s="2" t="str">
        <f>IF(OR('A créer'!D6="Oui",LEN('A créer'!D6)=0),"","*SAVE")</f>
        <v>*SAVE</v>
      </c>
      <c r="AR6" s="2" t="str">
        <f>IF(OR('A créer'!D6="Oui",LEN('A créer'!D6)=0),"","*UP")</f>
        <v>*UP</v>
      </c>
      <c r="AS6" s="2" t="str">
        <f>IF(OR('A créer'!D6="Oui",LEN('A créer'!D6)=0),"","*Aé")</f>
        <v>*Aé</v>
      </c>
      <c r="AT6" s="6" t="str">
        <f>IF(OR('A créer'!D6="Oui",LEN('A créer'!D6)=0),"",CONCATENATE('A créer'!B6,'A créer'!A6))</f>
        <v>DOS0490</v>
      </c>
      <c r="AU6" s="2" t="str">
        <f>IF(OR('A créer'!D6="Oui",LEN('A créer'!D6)=0),"","Tab")</f>
        <v>Tab</v>
      </c>
      <c r="AV6" s="2" t="str">
        <f>IF(OR('A créer'!D6="Oui",LEN('A créer'!D6)=0),"","*DN")</f>
        <v>*DN</v>
      </c>
      <c r="AW6" s="6" t="str">
        <f>IF(OR('A créer'!D6="Oui",LEN('A créer'!D6)=0),"",CONCATENATE("XXX",'A créer'!A6))</f>
        <v>XXX0490</v>
      </c>
      <c r="AX6" s="2" t="str">
        <f>IF(OR('A créer'!D6="Oui",LEN('A créer'!D6)=0),"","Tab")</f>
        <v>Tab</v>
      </c>
      <c r="AY6" s="2" t="str">
        <f>IF(OR('A créer'!D6="Oui",LEN('A créer'!D6)=0),"","*SAVE")</f>
        <v>*SAVE</v>
      </c>
      <c r="AZ6" s="2" t="s">
        <v>98</v>
      </c>
    </row>
    <row r="7" spans="1:52" x14ac:dyDescent="0.25">
      <c r="A7" s="2" t="str">
        <f>IF(OR('A créer'!D7="Oui",LEN('A créer'!D7)=0),IF(AND(LEN('A créer'!B7)&gt;0,'A créer'!B7&lt;&gt;'A créer'!H7)=TRUE,"*FN",""),"*FN")</f>
        <v>*FN</v>
      </c>
      <c r="B7" s="6" t="str">
        <f>IF(OR('A créer'!D7="Oui",LEN('A créer'!D7)=0),IF(LEN('A créer'!B7)&gt;0,IF('A créer'!B7='A créer'!H7,"",CONCATENATE('A créer'!B7,'A créer'!A7)),""),CONCATENATE('A créer'!B7,'A créer'!A7))</f>
        <v>DCW0490</v>
      </c>
      <c r="C7" s="2" t="str">
        <f>IF(OR('A créer'!D7="Oui",LEN('A créer'!D7)=0),IF(AND(LEN('A créer'!B7)&gt;0,'A créer'!B7&lt;&gt;'A créer'!H7)=TRUE,"Tab",""),"Tab")</f>
        <v>Tab</v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>DCW0490-DALKIA SMART BUILDING</v>
      </c>
      <c r="E7" s="2" t="str">
        <f>IF(OR('A créer'!D7="Oui",LEN('A créer'!D7)=0),IF(AND(LEN('A créer'!B7)&gt;0,'A créer'!B7&lt;&gt;'A créer'!H7)=TRUE,"Tab 4",""),"Tab 4")</f>
        <v>Tab 4</v>
      </c>
      <c r="F7" s="2" t="str">
        <f>IF(OR('A créer'!D7="Oui",LEN('A créer'!D7)=0),IF(AND(LEN('A créer'!B7)&gt;0,'A créer'!B7&lt;&gt;'A créer'!H7)=TRUE,"Tab",""),"Tab")</f>
        <v>Tab</v>
      </c>
      <c r="G7" s="2" t="str">
        <f>IF(OR('A créer'!D7="Oui",LEN('A créer'!D7)=0),IF(AND(LEN('A créer'!B7)&gt;0,'A créer'!B7&lt;&gt;'A créer'!H7)=TRUE,"Tab",""),"Tab")</f>
        <v>Tab</v>
      </c>
      <c r="H7" s="2" t="str">
        <f>IF(OR('A créer'!D7="Oui",LEN('A créer'!D7)=0),IF(AND(LEN('A créer'!B7)&gt;0,'A créer'!B7&lt;&gt;'A créer'!H7)=TRUE,"ENT",""),"ENT")</f>
        <v>ENT</v>
      </c>
      <c r="I7" s="6" t="str">
        <f>IF('A créer'!D7="Oui",IF(AND(LEN('A créer'!B7)&gt;0,'A créer'!B7&lt;&gt;'A créer'!H7)=TRUE,'A créer'!G7,""),'A créer'!G7)</f>
        <v>S2520E</v>
      </c>
      <c r="J7" s="2" t="str">
        <f>IF(OR('A créer'!D7="Oui",LEN('A créer'!D7)=0),IF(AND(LEN('A créer'!B7)&gt;0,'A créer'!B7&lt;&gt;'A créer'!H7)=TRUE,"Tab",""),"Tab")</f>
        <v>Tab</v>
      </c>
      <c r="K7" s="6" t="str">
        <f>IF(OR('A créer'!D7="Oui",LEN('A créer'!D7)=0),IF(AND(LEN('A créer'!B7)&gt;0,'A créer'!B7&lt;&gt;'A créer'!H7)=TRUE,"Oui",""),"Oui")</f>
        <v>Oui</v>
      </c>
      <c r="L7" s="2" t="str">
        <f>IF(OR('A créer'!D7="Oui",LEN('A créer'!D7)=0),IF(AND(LEN('A créer'!B7)&gt;0,'A créer'!B7&lt;&gt;'A créer'!H7)=TRUE,"Tab",""),"Tab")</f>
        <v>Tab</v>
      </c>
      <c r="M7" s="6" t="str">
        <f>IF(OR('A créer'!D7="Oui",LEN('A créer'!D7)=0),IF(AND(LEN('A créer'!B7)&gt;0,'A créer'!B7&lt;&gt;'A créer'!H7)=TRUE,'A créer'!E7,""),'A créer'!E7)</f>
        <v>Oui</v>
      </c>
      <c r="N7" s="2" t="str">
        <f>IF(OR('A créer'!D7="Oui",LEN('A créer'!D7)=0),IF(AND(LEN('A créer'!B7)&gt;0,'A créer'!B7&lt;&gt;'A créer'!H7)=TRUE,"ENT",""),"ENT")</f>
        <v>ENT</v>
      </c>
      <c r="O7" s="2" t="str">
        <f>IF(OR('A créer'!D7="Oui",LEN('A créer'!D7)=0),IF(AND(LEN('A créer'!B7)&gt;0,'A créer'!B7&lt;&gt;'A créer'!H7)=TRUE,"*SAVE",""),"*SAVE")</f>
        <v>*SAVE</v>
      </c>
      <c r="P7" s="2" t="str">
        <f>IF(OR('A créer'!D7="Oui",LEN('A créer'!D7)=0),"","*FN")</f>
        <v>*FN</v>
      </c>
      <c r="Q7" s="6" t="str">
        <f>IF(OR('A créer'!D7="Oui",LEN('A créer'!D7)=0),"",CONCATENATE("XXX",'A créer'!A7))</f>
        <v>XXX0490</v>
      </c>
      <c r="R7" s="2" t="str">
        <f>IF(OR('A créer'!D7="Oui",LEN('A créer'!D7)=0),"","Tab")</f>
        <v>Tab</v>
      </c>
      <c r="S7" s="6" t="str">
        <f>IF(OR('A créer'!D7="Oui",LEN('A créer'!D7)=0),"",CONCATENATE("XXX-",'A créer'!C7))</f>
        <v>XXX-DALKIA SMART BUILDING</v>
      </c>
      <c r="T7" s="2" t="str">
        <f>IF(OR('A créer'!D7="Oui",LEN('A créer'!D7)=0),"","Tab 4")</f>
        <v>Tab 4</v>
      </c>
      <c r="U7" s="2" t="str">
        <f>IF(OR('A créer'!D7="Oui",LEN('A créer'!D7)=0),"","Tab")</f>
        <v>Tab</v>
      </c>
      <c r="V7" s="2" t="str">
        <f>IF(OR('A créer'!D7="Oui",LEN('A créer'!D7)=0),"","Tab")</f>
        <v>Tab</v>
      </c>
      <c r="W7" s="2" t="str">
        <f>IF(OR('A créer'!D7="Oui",LEN('A créer'!D7)=0),"","ENT")</f>
        <v>ENT</v>
      </c>
      <c r="X7" s="6" t="str">
        <f>IF(OR('A créer'!D7="Oui",LEN('A créer'!D7)=0),"",'A créer'!G7)</f>
        <v>S2520E</v>
      </c>
      <c r="Y7" s="2" t="str">
        <f>IF(OR('A créer'!D7="Oui",LEN('A créer'!D7)=0),"","Tab")</f>
        <v>Tab</v>
      </c>
      <c r="Z7" s="6" t="str">
        <f>IF(OR('A créer'!D7="Oui",LEN('A créer'!D7)=0),"","Oui")</f>
        <v>Oui</v>
      </c>
      <c r="AA7" s="2" t="str">
        <f>IF(OR('A créer'!D7="Oui",LEN('A créer'!D7)=0),"","Tab")</f>
        <v>Tab</v>
      </c>
      <c r="AB7" s="6" t="str">
        <f>IF(OR('A créer'!D7="Oui",LEN('A créer'!D7)=0),"","NON")</f>
        <v>NON</v>
      </c>
      <c r="AC7" s="2" t="str">
        <f>IF(OR('A créer'!D7="Oui",LEN('A créer'!D7)=0),"","ENT")</f>
        <v>ENT</v>
      </c>
      <c r="AD7" s="2" t="str">
        <f>IF(OR('A créer'!D7="Oui",LEN('A créer'!D7)=0),"","*SAVE")</f>
        <v>*SAVE</v>
      </c>
      <c r="AE7" s="2" t="str">
        <f>IF(OR('A créer'!D7="Oui",LEN('A créer'!D7)=0),"","*FN")</f>
        <v>*FN</v>
      </c>
      <c r="AF7" s="6" t="str">
        <f>IF(OR('A créer'!D7="Oui",LEN('A créer'!D7)=0),"",'A créer'!A7)</f>
        <v>0490</v>
      </c>
      <c r="AG7" s="2" t="str">
        <f>IF(OR('A créer'!D7="Oui",LEN('A créer'!D7)=0),"","Tab")</f>
        <v>Tab</v>
      </c>
      <c r="AH7" s="6" t="str">
        <f>IF(OR('A créer'!D7="Oui",LEN('A créer'!D7)=0),"",'A créer'!C7)</f>
        <v>DALKIA SMART BUILDING</v>
      </c>
      <c r="AI7" s="2" t="str">
        <f>IF(OR('A créer'!D7="Oui",LEN('A créer'!D7)=0),"","Tab 4")</f>
        <v>Tab 4</v>
      </c>
      <c r="AJ7" s="2" t="str">
        <f>IF(OR('A créer'!D7="Oui",LEN('A créer'!D7)=0),"","*SB")</f>
        <v>*SB</v>
      </c>
      <c r="AK7" s="2" t="str">
        <f>IF(OR('A créer'!D7="Oui",LEN('A créer'!D7)=0),"","Tab")</f>
        <v>Tab</v>
      </c>
      <c r="AL7" s="6" t="str">
        <f>IF(OR('A créer'!D7="Oui",LEN('A créer'!D7)=0),"","InterCoSte")</f>
        <v>InterCoSte</v>
      </c>
      <c r="AM7" s="2" t="str">
        <f>IF(OR('A créer'!D7="Oui",LEN('A créer'!D7)=0),"","Tab")</f>
        <v>Tab</v>
      </c>
      <c r="AN7" s="2" t="str">
        <f>IF(OR('A créer'!D7="Oui",LEN('A créer'!D7)=0),"","Tab")</f>
        <v>Tab</v>
      </c>
      <c r="AO7" s="2" t="str">
        <f>IF(OR('A créer'!D7="Oui",LEN('A créer'!D7)=0),"","ENT")</f>
        <v>ENT</v>
      </c>
      <c r="AP7" s="2" t="str">
        <f>IF(OR('A créer'!D7="Oui",LEN('A créer'!D7)=0),"","ENT")</f>
        <v>ENT</v>
      </c>
      <c r="AQ7" s="2" t="str">
        <f>IF(OR('A créer'!D7="Oui",LEN('A créer'!D7)=0),"","*SAVE")</f>
        <v>*SAVE</v>
      </c>
      <c r="AR7" s="2" t="str">
        <f>IF(OR('A créer'!D7="Oui",LEN('A créer'!D7)=0),"","*UP")</f>
        <v>*UP</v>
      </c>
      <c r="AS7" s="2" t="str">
        <f>IF(OR('A créer'!D7="Oui",LEN('A créer'!D7)=0),"","*Aé")</f>
        <v>*Aé</v>
      </c>
      <c r="AT7" s="6" t="str">
        <f>IF(OR('A créer'!D7="Oui",LEN('A créer'!D7)=0),"",CONCATENATE('A créer'!B7,'A créer'!A7))</f>
        <v>DCW0490</v>
      </c>
      <c r="AU7" s="2" t="str">
        <f>IF(OR('A créer'!D7="Oui",LEN('A créer'!D7)=0),"","Tab")</f>
        <v>Tab</v>
      </c>
      <c r="AV7" s="2" t="str">
        <f>IF(OR('A créer'!D7="Oui",LEN('A créer'!D7)=0),"","*DN")</f>
        <v>*DN</v>
      </c>
      <c r="AW7" s="6" t="str">
        <f>IF(OR('A créer'!D7="Oui",LEN('A créer'!D7)=0),"",CONCATENATE("XXX",'A créer'!A7))</f>
        <v>XXX0490</v>
      </c>
      <c r="AX7" s="2" t="str">
        <f>IF(OR('A créer'!D7="Oui",LEN('A créer'!D7)=0),"","Tab")</f>
        <v>Tab</v>
      </c>
      <c r="AY7" s="2" t="str">
        <f>IF(OR('A créer'!D7="Oui",LEN('A créer'!D7)=0),"","*SAVE")</f>
        <v>*SAVE</v>
      </c>
      <c r="AZ7" s="2" t="s">
        <v>98</v>
      </c>
    </row>
    <row r="8" spans="1:52" x14ac:dyDescent="0.25">
      <c r="A8" s="2" t="str">
        <f>IF(OR('A créer'!D8="Oui",LEN('A créer'!D8)=0),IF(AND(LEN('A créer'!B8)&gt;0,'A créer'!B8&lt;&gt;'A créer'!H8)=TRUE,"*FN",""),"*FN")</f>
        <v>*FN</v>
      </c>
      <c r="B8" s="6" t="str">
        <f>IF(OR('A créer'!D8="Oui",LEN('A créer'!D8)=0),IF(LEN('A créer'!B8)&gt;0,IF('A créer'!B8='A créer'!H8,"",CONCATENATE('A créer'!B8,'A créer'!A8)),""),CONCATENATE('A créer'!B8,'A créer'!A8))</f>
        <v>DEW0490</v>
      </c>
      <c r="C8" s="2" t="str">
        <f>IF(OR('A créer'!D8="Oui",LEN('A créer'!D8)=0),IF(AND(LEN('A créer'!B8)&gt;0,'A créer'!B8&lt;&gt;'A créer'!H8)=TRUE,"Tab",""),"Tab")</f>
        <v>Tab</v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>DEW0490-DALKIA SMART BUILDING</v>
      </c>
      <c r="E8" s="2" t="str">
        <f>IF(OR('A créer'!D8="Oui",LEN('A créer'!D8)=0),IF(AND(LEN('A créer'!B8)&gt;0,'A créer'!B8&lt;&gt;'A créer'!H8)=TRUE,"Tab 4",""),"Tab 4")</f>
        <v>Tab 4</v>
      </c>
      <c r="F8" s="2" t="str">
        <f>IF(OR('A créer'!D8="Oui",LEN('A créer'!D8)=0),IF(AND(LEN('A créer'!B8)&gt;0,'A créer'!B8&lt;&gt;'A créer'!H8)=TRUE,"Tab",""),"Tab")</f>
        <v>Tab</v>
      </c>
      <c r="G8" s="2" t="str">
        <f>IF(OR('A créer'!D8="Oui",LEN('A créer'!D8)=0),IF(AND(LEN('A créer'!B8)&gt;0,'A créer'!B8&lt;&gt;'A créer'!H8)=TRUE,"Tab",""),"Tab")</f>
        <v>Tab</v>
      </c>
      <c r="H8" s="2" t="str">
        <f>IF(OR('A créer'!D8="Oui",LEN('A créer'!D8)=0),IF(AND(LEN('A créer'!B8)&gt;0,'A créer'!B8&lt;&gt;'A créer'!H8)=TRUE,"ENT",""),"ENT")</f>
        <v>ENT</v>
      </c>
      <c r="I8" s="6" t="str">
        <f>IF('A créer'!D8="Oui",IF(AND(LEN('A créer'!B8)&gt;0,'A créer'!B8&lt;&gt;'A créer'!H8)=TRUE,'A créer'!G8,""),'A créer'!G8)</f>
        <v>S2520L</v>
      </c>
      <c r="J8" s="2" t="str">
        <f>IF(OR('A créer'!D8="Oui",LEN('A créer'!D8)=0),IF(AND(LEN('A créer'!B8)&gt;0,'A créer'!B8&lt;&gt;'A créer'!H8)=TRUE,"Tab",""),"Tab")</f>
        <v>Tab</v>
      </c>
      <c r="K8" s="6" t="str">
        <f>IF(OR('A créer'!D8="Oui",LEN('A créer'!D8)=0),IF(AND(LEN('A créer'!B8)&gt;0,'A créer'!B8&lt;&gt;'A créer'!H8)=TRUE,"Oui",""),"Oui")</f>
        <v>Oui</v>
      </c>
      <c r="L8" s="2" t="str">
        <f>IF(OR('A créer'!D8="Oui",LEN('A créer'!D8)=0),IF(AND(LEN('A créer'!B8)&gt;0,'A créer'!B8&lt;&gt;'A créer'!H8)=TRUE,"Tab",""),"Tab")</f>
        <v>Tab</v>
      </c>
      <c r="M8" s="6" t="str">
        <f>IF(OR('A créer'!D8="Oui",LEN('A créer'!D8)=0),IF(AND(LEN('A créer'!B8)&gt;0,'A créer'!B8&lt;&gt;'A créer'!H8)=TRUE,'A créer'!E8,""),'A créer'!E8)</f>
        <v>Oui</v>
      </c>
      <c r="N8" s="2" t="str">
        <f>IF(OR('A créer'!D8="Oui",LEN('A créer'!D8)=0),IF(AND(LEN('A créer'!B8)&gt;0,'A créer'!B8&lt;&gt;'A créer'!H8)=TRUE,"ENT",""),"ENT")</f>
        <v>ENT</v>
      </c>
      <c r="O8" s="2" t="str">
        <f>IF(OR('A créer'!D8="Oui",LEN('A créer'!D8)=0),IF(AND(LEN('A créer'!B8)&gt;0,'A créer'!B8&lt;&gt;'A créer'!H8)=TRUE,"*SAVE",""),"*SAVE")</f>
        <v>*SAVE</v>
      </c>
      <c r="P8" s="2" t="str">
        <f>IF(OR('A créer'!D8="Oui",LEN('A créer'!D8)=0),"","*FN")</f>
        <v>*FN</v>
      </c>
      <c r="Q8" s="6" t="str">
        <f>IF(OR('A créer'!D8="Oui",LEN('A créer'!D8)=0),"",CONCATENATE("XXX",'A créer'!A8))</f>
        <v>XXX0490</v>
      </c>
      <c r="R8" s="2" t="str">
        <f>IF(OR('A créer'!D8="Oui",LEN('A créer'!D8)=0),"","Tab")</f>
        <v>Tab</v>
      </c>
      <c r="S8" s="6" t="str">
        <f>IF(OR('A créer'!D8="Oui",LEN('A créer'!D8)=0),"",CONCATENATE("XXX-",'A créer'!C8))</f>
        <v>XXX-DALKIA SMART BUILDING</v>
      </c>
      <c r="T8" s="2" t="str">
        <f>IF(OR('A créer'!D8="Oui",LEN('A créer'!D8)=0),"","Tab 4")</f>
        <v>Tab 4</v>
      </c>
      <c r="U8" s="2" t="str">
        <f>IF(OR('A créer'!D8="Oui",LEN('A créer'!D8)=0),"","Tab")</f>
        <v>Tab</v>
      </c>
      <c r="V8" s="2" t="str">
        <f>IF(OR('A créer'!D8="Oui",LEN('A créer'!D8)=0),"","Tab")</f>
        <v>Tab</v>
      </c>
      <c r="W8" s="2" t="str">
        <f>IF(OR('A créer'!D8="Oui",LEN('A créer'!D8)=0),"","ENT")</f>
        <v>ENT</v>
      </c>
      <c r="X8" s="6" t="str">
        <f>IF(OR('A créer'!D8="Oui",LEN('A créer'!D8)=0),"",'A créer'!G8)</f>
        <v>S2520L</v>
      </c>
      <c r="Y8" s="2" t="str">
        <f>IF(OR('A créer'!D8="Oui",LEN('A créer'!D8)=0),"","Tab")</f>
        <v>Tab</v>
      </c>
      <c r="Z8" s="6" t="str">
        <f>IF(OR('A créer'!D8="Oui",LEN('A créer'!D8)=0),"","Oui")</f>
        <v>Oui</v>
      </c>
      <c r="AA8" s="2" t="str">
        <f>IF(OR('A créer'!D8="Oui",LEN('A créer'!D8)=0),"","Tab")</f>
        <v>Tab</v>
      </c>
      <c r="AB8" s="6" t="str">
        <f>IF(OR('A créer'!D8="Oui",LEN('A créer'!D8)=0),"","NON")</f>
        <v>NON</v>
      </c>
      <c r="AC8" s="2" t="str">
        <f>IF(OR('A créer'!D8="Oui",LEN('A créer'!D8)=0),"","ENT")</f>
        <v>ENT</v>
      </c>
      <c r="AD8" s="2" t="str">
        <f>IF(OR('A créer'!D8="Oui",LEN('A créer'!D8)=0),"","*SAVE")</f>
        <v>*SAVE</v>
      </c>
      <c r="AE8" s="2" t="str">
        <f>IF(OR('A créer'!D8="Oui",LEN('A créer'!D8)=0),"","*FN")</f>
        <v>*FN</v>
      </c>
      <c r="AF8" s="6" t="str">
        <f>IF(OR('A créer'!D8="Oui",LEN('A créer'!D8)=0),"",'A créer'!A8)</f>
        <v>0490</v>
      </c>
      <c r="AG8" s="2" t="str">
        <f>IF(OR('A créer'!D8="Oui",LEN('A créer'!D8)=0),"","Tab")</f>
        <v>Tab</v>
      </c>
      <c r="AH8" s="6" t="str">
        <f>IF(OR('A créer'!D8="Oui",LEN('A créer'!D8)=0),"",'A créer'!C8)</f>
        <v>DALKIA SMART BUILDING</v>
      </c>
      <c r="AI8" s="2" t="str">
        <f>IF(OR('A créer'!D8="Oui",LEN('A créer'!D8)=0),"","Tab 4")</f>
        <v>Tab 4</v>
      </c>
      <c r="AJ8" s="2" t="str">
        <f>IF(OR('A créer'!D8="Oui",LEN('A créer'!D8)=0),"","*SB")</f>
        <v>*SB</v>
      </c>
      <c r="AK8" s="2" t="str">
        <f>IF(OR('A créer'!D8="Oui",LEN('A créer'!D8)=0),"","Tab")</f>
        <v>Tab</v>
      </c>
      <c r="AL8" s="6" t="str">
        <f>IF(OR('A créer'!D8="Oui",LEN('A créer'!D8)=0),"","InterCoSte")</f>
        <v>InterCoSte</v>
      </c>
      <c r="AM8" s="2" t="str">
        <f>IF(OR('A créer'!D8="Oui",LEN('A créer'!D8)=0),"","Tab")</f>
        <v>Tab</v>
      </c>
      <c r="AN8" s="2" t="str">
        <f>IF(OR('A créer'!D8="Oui",LEN('A créer'!D8)=0),"","Tab")</f>
        <v>Tab</v>
      </c>
      <c r="AO8" s="2" t="str">
        <f>IF(OR('A créer'!D8="Oui",LEN('A créer'!D8)=0),"","ENT")</f>
        <v>ENT</v>
      </c>
      <c r="AP8" s="2" t="str">
        <f>IF(OR('A créer'!D8="Oui",LEN('A créer'!D8)=0),"","ENT")</f>
        <v>ENT</v>
      </c>
      <c r="AQ8" s="2" t="str">
        <f>IF(OR('A créer'!D8="Oui",LEN('A créer'!D8)=0),"","*SAVE")</f>
        <v>*SAVE</v>
      </c>
      <c r="AR8" s="2" t="str">
        <f>IF(OR('A créer'!D8="Oui",LEN('A créer'!D8)=0),"","*UP")</f>
        <v>*UP</v>
      </c>
      <c r="AS8" s="2" t="str">
        <f>IF(OR('A créer'!D8="Oui",LEN('A créer'!D8)=0),"","*Aé")</f>
        <v>*Aé</v>
      </c>
      <c r="AT8" s="6" t="str">
        <f>IF(OR('A créer'!D8="Oui",LEN('A créer'!D8)=0),"",CONCATENATE('A créer'!B8,'A créer'!A8))</f>
        <v>DEW0490</v>
      </c>
      <c r="AU8" s="2" t="str">
        <f>IF(OR('A créer'!D8="Oui",LEN('A créer'!D8)=0),"","Tab")</f>
        <v>Tab</v>
      </c>
      <c r="AV8" s="2" t="str">
        <f>IF(OR('A créer'!D8="Oui",LEN('A créer'!D8)=0),"","*DN")</f>
        <v>*DN</v>
      </c>
      <c r="AW8" s="6" t="str">
        <f>IF(OR('A créer'!D8="Oui",LEN('A créer'!D8)=0),"",CONCATENATE("XXX",'A créer'!A8))</f>
        <v>XXX0490</v>
      </c>
      <c r="AX8" s="2" t="str">
        <f>IF(OR('A créer'!D8="Oui",LEN('A créer'!D8)=0),"","Tab")</f>
        <v>Tab</v>
      </c>
      <c r="AY8" s="2" t="str">
        <f>IF(OR('A créer'!D8="Oui",LEN('A créer'!D8)=0),"","*SAVE")</f>
        <v>*SAVE</v>
      </c>
      <c r="AZ8" s="2" t="s">
        <v>98</v>
      </c>
    </row>
    <row r="9" spans="1:52" x14ac:dyDescent="0.25">
      <c r="A9" s="2" t="str">
        <f>IF(OR('A créer'!D9="Oui",LEN('A créer'!D9)=0),IF(AND(LEN('A créer'!B9)&gt;0,'A créer'!B9&lt;&gt;'A créer'!H9)=TRUE,"*FN",""),"*FN")</f>
        <v>*FN</v>
      </c>
      <c r="B9" s="6" t="str">
        <f>IF(OR('A créer'!D9="Oui",LEN('A créer'!D9)=0),IF(LEN('A créer'!B9)&gt;0,IF('A créer'!B9='A créer'!H9,"",CONCATENATE('A créer'!B9,'A créer'!A9)),""),CONCATENATE('A créer'!B9,'A créer'!A9))</f>
        <v>DLS0490</v>
      </c>
      <c r="C9" s="2" t="str">
        <f>IF(OR('A créer'!D9="Oui",LEN('A créer'!D9)=0),IF(AND(LEN('A créer'!B9)&gt;0,'A créer'!B9&lt;&gt;'A créer'!H9)=TRUE,"Tab",""),"Tab")</f>
        <v>Tab</v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>DLS0490-DALKIA SMART BUILDING</v>
      </c>
      <c r="E9" s="2" t="str">
        <f>IF(OR('A créer'!D9="Oui",LEN('A créer'!D9)=0),IF(AND(LEN('A créer'!B9)&gt;0,'A créer'!B9&lt;&gt;'A créer'!H9)=TRUE,"Tab 4",""),"Tab 4")</f>
        <v>Tab 4</v>
      </c>
      <c r="F9" s="2" t="str">
        <f>IF(OR('A créer'!D9="Oui",LEN('A créer'!D9)=0),IF(AND(LEN('A créer'!B9)&gt;0,'A créer'!B9&lt;&gt;'A créer'!H9)=TRUE,"Tab",""),"Tab")</f>
        <v>Tab</v>
      </c>
      <c r="G9" s="2" t="str">
        <f>IF(OR('A créer'!D9="Oui",LEN('A créer'!D9)=0),IF(AND(LEN('A créer'!B9)&gt;0,'A créer'!B9&lt;&gt;'A créer'!H9)=TRUE,"Tab",""),"Tab")</f>
        <v>Tab</v>
      </c>
      <c r="H9" s="2" t="str">
        <f>IF(OR('A créer'!D9="Oui",LEN('A créer'!D9)=0),IF(AND(LEN('A créer'!B9)&gt;0,'A créer'!B9&lt;&gt;'A créer'!H9)=TRUE,"ENT",""),"ENT")</f>
        <v>ENT</v>
      </c>
      <c r="I9" s="6" t="str">
        <f>IF('A créer'!D9="Oui",IF(AND(LEN('A créer'!B9)&gt;0,'A créer'!B9&lt;&gt;'A créer'!H9)=TRUE,'A créer'!G9,""),'A créer'!G9)</f>
        <v>S2520A</v>
      </c>
      <c r="J9" s="2" t="str">
        <f>IF(OR('A créer'!D9="Oui",LEN('A créer'!D9)=0),IF(AND(LEN('A créer'!B9)&gt;0,'A créer'!B9&lt;&gt;'A créer'!H9)=TRUE,"Tab",""),"Tab")</f>
        <v>Tab</v>
      </c>
      <c r="K9" s="6" t="str">
        <f>IF(OR('A créer'!D9="Oui",LEN('A créer'!D9)=0),IF(AND(LEN('A créer'!B9)&gt;0,'A créer'!B9&lt;&gt;'A créer'!H9)=TRUE,"Oui",""),"Oui")</f>
        <v>Oui</v>
      </c>
      <c r="L9" s="2" t="str">
        <f>IF(OR('A créer'!D9="Oui",LEN('A créer'!D9)=0),IF(AND(LEN('A créer'!B9)&gt;0,'A créer'!B9&lt;&gt;'A créer'!H9)=TRUE,"Tab",""),"Tab")</f>
        <v>Tab</v>
      </c>
      <c r="M9" s="6" t="str">
        <f>IF(OR('A créer'!D9="Oui",LEN('A créer'!D9)=0),IF(AND(LEN('A créer'!B9)&gt;0,'A créer'!B9&lt;&gt;'A créer'!H9)=TRUE,'A créer'!E9,""),'A créer'!E9)</f>
        <v>Oui</v>
      </c>
      <c r="N9" s="2" t="str">
        <f>IF(OR('A créer'!D9="Oui",LEN('A créer'!D9)=0),IF(AND(LEN('A créer'!B9)&gt;0,'A créer'!B9&lt;&gt;'A créer'!H9)=TRUE,"ENT",""),"ENT")</f>
        <v>ENT</v>
      </c>
      <c r="O9" s="2" t="str">
        <f>IF(OR('A créer'!D9="Oui",LEN('A créer'!D9)=0),IF(AND(LEN('A créer'!B9)&gt;0,'A créer'!B9&lt;&gt;'A créer'!H9)=TRUE,"*SAVE",""),"*SAVE")</f>
        <v>*SAVE</v>
      </c>
      <c r="P9" s="2" t="str">
        <f>IF(OR('A créer'!D9="Oui",LEN('A créer'!D9)=0),"","*FN")</f>
        <v>*FN</v>
      </c>
      <c r="Q9" s="6" t="str">
        <f>IF(OR('A créer'!D9="Oui",LEN('A créer'!D9)=0),"",CONCATENATE("XXX",'A créer'!A9))</f>
        <v>XXX0490</v>
      </c>
      <c r="R9" s="2" t="str">
        <f>IF(OR('A créer'!D9="Oui",LEN('A créer'!D9)=0),"","Tab")</f>
        <v>Tab</v>
      </c>
      <c r="S9" s="6" t="str">
        <f>IF(OR('A créer'!D9="Oui",LEN('A créer'!D9)=0),"",CONCATENATE("XXX-",'A créer'!C9))</f>
        <v>XXX-DALKIA SMART BUILDING</v>
      </c>
      <c r="T9" s="2" t="str">
        <f>IF(OR('A créer'!D9="Oui",LEN('A créer'!D9)=0),"","Tab 4")</f>
        <v>Tab 4</v>
      </c>
      <c r="U9" s="2" t="str">
        <f>IF(OR('A créer'!D9="Oui",LEN('A créer'!D9)=0),"","Tab")</f>
        <v>Tab</v>
      </c>
      <c r="V9" s="2" t="str">
        <f>IF(OR('A créer'!D9="Oui",LEN('A créer'!D9)=0),"","Tab")</f>
        <v>Tab</v>
      </c>
      <c r="W9" s="2" t="str">
        <f>IF(OR('A créer'!D9="Oui",LEN('A créer'!D9)=0),"","ENT")</f>
        <v>ENT</v>
      </c>
      <c r="X9" s="6" t="str">
        <f>IF(OR('A créer'!D9="Oui",LEN('A créer'!D9)=0),"",'A créer'!G9)</f>
        <v>S2520A</v>
      </c>
      <c r="Y9" s="2" t="str">
        <f>IF(OR('A créer'!D9="Oui",LEN('A créer'!D9)=0),"","Tab")</f>
        <v>Tab</v>
      </c>
      <c r="Z9" s="6" t="str">
        <f>IF(OR('A créer'!D9="Oui",LEN('A créer'!D9)=0),"","Oui")</f>
        <v>Oui</v>
      </c>
      <c r="AA9" s="2" t="str">
        <f>IF(OR('A créer'!D9="Oui",LEN('A créer'!D9)=0),"","Tab")</f>
        <v>Tab</v>
      </c>
      <c r="AB9" s="6" t="str">
        <f>IF(OR('A créer'!D9="Oui",LEN('A créer'!D9)=0),"","NON")</f>
        <v>NON</v>
      </c>
      <c r="AC9" s="2" t="str">
        <f>IF(OR('A créer'!D9="Oui",LEN('A créer'!D9)=0),"","ENT")</f>
        <v>ENT</v>
      </c>
      <c r="AD9" s="2" t="str">
        <f>IF(OR('A créer'!D9="Oui",LEN('A créer'!D9)=0),"","*SAVE")</f>
        <v>*SAVE</v>
      </c>
      <c r="AE9" s="2" t="str">
        <f>IF(OR('A créer'!D9="Oui",LEN('A créer'!D9)=0),"","*FN")</f>
        <v>*FN</v>
      </c>
      <c r="AF9" s="6" t="str">
        <f>IF(OR('A créer'!D9="Oui",LEN('A créer'!D9)=0),"",'A créer'!A9)</f>
        <v>0490</v>
      </c>
      <c r="AG9" s="2" t="str">
        <f>IF(OR('A créer'!D9="Oui",LEN('A créer'!D9)=0),"","Tab")</f>
        <v>Tab</v>
      </c>
      <c r="AH9" s="6" t="str">
        <f>IF(OR('A créer'!D9="Oui",LEN('A créer'!D9)=0),"",'A créer'!C9)</f>
        <v>DALKIA SMART BUILDING</v>
      </c>
      <c r="AI9" s="2" t="str">
        <f>IF(OR('A créer'!D9="Oui",LEN('A créer'!D9)=0),"","Tab 4")</f>
        <v>Tab 4</v>
      </c>
      <c r="AJ9" s="2" t="str">
        <f>IF(OR('A créer'!D9="Oui",LEN('A créer'!D9)=0),"","*SB")</f>
        <v>*SB</v>
      </c>
      <c r="AK9" s="2" t="str">
        <f>IF(OR('A créer'!D9="Oui",LEN('A créer'!D9)=0),"","Tab")</f>
        <v>Tab</v>
      </c>
      <c r="AL9" s="6" t="str">
        <f>IF(OR('A créer'!D9="Oui",LEN('A créer'!D9)=0),"","InterCoSte")</f>
        <v>InterCoSte</v>
      </c>
      <c r="AM9" s="2" t="str">
        <f>IF(OR('A créer'!D9="Oui",LEN('A créer'!D9)=0),"","Tab")</f>
        <v>Tab</v>
      </c>
      <c r="AN9" s="2" t="str">
        <f>IF(OR('A créer'!D9="Oui",LEN('A créer'!D9)=0),"","Tab")</f>
        <v>Tab</v>
      </c>
      <c r="AO9" s="2" t="str">
        <f>IF(OR('A créer'!D9="Oui",LEN('A créer'!D9)=0),"","ENT")</f>
        <v>ENT</v>
      </c>
      <c r="AP9" s="2" t="str">
        <f>IF(OR('A créer'!D9="Oui",LEN('A créer'!D9)=0),"","ENT")</f>
        <v>ENT</v>
      </c>
      <c r="AQ9" s="2" t="str">
        <f>IF(OR('A créer'!D9="Oui",LEN('A créer'!D9)=0),"","*SAVE")</f>
        <v>*SAVE</v>
      </c>
      <c r="AR9" s="2" t="str">
        <f>IF(OR('A créer'!D9="Oui",LEN('A créer'!D9)=0),"","*UP")</f>
        <v>*UP</v>
      </c>
      <c r="AS9" s="2" t="str">
        <f>IF(OR('A créer'!D9="Oui",LEN('A créer'!D9)=0),"","*Aé")</f>
        <v>*Aé</v>
      </c>
      <c r="AT9" s="6" t="str">
        <f>IF(OR('A créer'!D9="Oui",LEN('A créer'!D9)=0),"",CONCATENATE('A créer'!B9,'A créer'!A9))</f>
        <v>DLS0490</v>
      </c>
      <c r="AU9" s="2" t="str">
        <f>IF(OR('A créer'!D9="Oui",LEN('A créer'!D9)=0),"","Tab")</f>
        <v>Tab</v>
      </c>
      <c r="AV9" s="2" t="str">
        <f>IF(OR('A créer'!D9="Oui",LEN('A créer'!D9)=0),"","*DN")</f>
        <v>*DN</v>
      </c>
      <c r="AW9" s="6" t="str">
        <f>IF(OR('A créer'!D9="Oui",LEN('A créer'!D9)=0),"",CONCATENATE("XXX",'A créer'!A9))</f>
        <v>XXX0490</v>
      </c>
      <c r="AX9" s="2" t="str">
        <f>IF(OR('A créer'!D9="Oui",LEN('A créer'!D9)=0),"","Tab")</f>
        <v>Tab</v>
      </c>
      <c r="AY9" s="2" t="str">
        <f>IF(OR('A créer'!D9="Oui",LEN('A créer'!D9)=0),"","*SAVE")</f>
        <v>*SAVE</v>
      </c>
      <c r="AZ9" s="2" t="s">
        <v>98</v>
      </c>
    </row>
    <row r="10" spans="1:52" x14ac:dyDescent="0.25">
      <c r="A10" s="2" t="str">
        <f>IF(OR('A créer'!D10="Oui",LEN('A créer'!D10)=0),IF(AND(LEN('A créer'!B10)&gt;0,'A créer'!B10&lt;&gt;'A créer'!H10)=TRUE,"*FN",""),"*FN")</f>
        <v>*FN</v>
      </c>
      <c r="B10" s="6" t="str">
        <f>IF(OR('A créer'!D10="Oui",LEN('A créer'!D10)=0),IF(LEN('A créer'!B10)&gt;0,IF('A créer'!B10='A créer'!H10,"",CONCATENATE('A créer'!B10,'A créer'!A10)),""),CONCATENATE('A créer'!B10,'A créer'!A10))</f>
        <v>DMS0490</v>
      </c>
      <c r="C10" s="2" t="str">
        <f>IF(OR('A créer'!D10="Oui",LEN('A créer'!D10)=0),IF(AND(LEN('A créer'!B10)&gt;0,'A créer'!B10&lt;&gt;'A créer'!H10)=TRUE,"Tab",""),"Tab")</f>
        <v>Tab</v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>DMS0490-DALKIA SMART BUILDING</v>
      </c>
      <c r="E10" s="2" t="str">
        <f>IF(OR('A créer'!D10="Oui",LEN('A créer'!D10)=0),IF(AND(LEN('A créer'!B10)&gt;0,'A créer'!B10&lt;&gt;'A créer'!H10)=TRUE,"Tab 4",""),"Tab 4")</f>
        <v>Tab 4</v>
      </c>
      <c r="F10" s="2" t="str">
        <f>IF(OR('A créer'!D10="Oui",LEN('A créer'!D10)=0),IF(AND(LEN('A créer'!B10)&gt;0,'A créer'!B10&lt;&gt;'A créer'!H10)=TRUE,"Tab",""),"Tab")</f>
        <v>Tab</v>
      </c>
      <c r="G10" s="2" t="str">
        <f>IF(OR('A créer'!D10="Oui",LEN('A créer'!D10)=0),IF(AND(LEN('A créer'!B10)&gt;0,'A créer'!B10&lt;&gt;'A créer'!H10)=TRUE,"Tab",""),"Tab")</f>
        <v>Tab</v>
      </c>
      <c r="H10" s="2" t="str">
        <f>IF(OR('A créer'!D10="Oui",LEN('A créer'!D10)=0),IF(AND(LEN('A créer'!B10)&gt;0,'A créer'!B10&lt;&gt;'A créer'!H10)=TRUE,"ENT",""),"ENT")</f>
        <v>ENT</v>
      </c>
      <c r="I10" s="6" t="str">
        <f>IF('A créer'!D10="Oui",IF(AND(LEN('A créer'!B10)&gt;0,'A créer'!B10&lt;&gt;'A créer'!H10)=TRUE,'A créer'!G10,""),'A créer'!G10)</f>
        <v>S2520M</v>
      </c>
      <c r="J10" s="2" t="str">
        <f>IF(OR('A créer'!D10="Oui",LEN('A créer'!D10)=0),IF(AND(LEN('A créer'!B10)&gt;0,'A créer'!B10&lt;&gt;'A créer'!H10)=TRUE,"Tab",""),"Tab")</f>
        <v>Tab</v>
      </c>
      <c r="K10" s="6" t="str">
        <f>IF(OR('A créer'!D10="Oui",LEN('A créer'!D10)=0),IF(AND(LEN('A créer'!B10)&gt;0,'A créer'!B10&lt;&gt;'A créer'!H10)=TRUE,"Oui",""),"Oui")</f>
        <v>Oui</v>
      </c>
      <c r="L10" s="2" t="str">
        <f>IF(OR('A créer'!D10="Oui",LEN('A créer'!D10)=0),IF(AND(LEN('A créer'!B10)&gt;0,'A créer'!B10&lt;&gt;'A créer'!H10)=TRUE,"Tab",""),"Tab")</f>
        <v>Tab</v>
      </c>
      <c r="M10" s="6" t="str">
        <f>IF(OR('A créer'!D10="Oui",LEN('A créer'!D10)=0),IF(AND(LEN('A créer'!B10)&gt;0,'A créer'!B10&lt;&gt;'A créer'!H10)=TRUE,'A créer'!E10,""),'A créer'!E10)</f>
        <v>Oui</v>
      </c>
      <c r="N10" s="2" t="str">
        <f>IF(OR('A créer'!D10="Oui",LEN('A créer'!D10)=0),IF(AND(LEN('A créer'!B10)&gt;0,'A créer'!B10&lt;&gt;'A créer'!H10)=TRUE,"ENT",""),"ENT")</f>
        <v>ENT</v>
      </c>
      <c r="O10" s="2" t="str">
        <f>IF(OR('A créer'!D10="Oui",LEN('A créer'!D10)=0),IF(AND(LEN('A créer'!B10)&gt;0,'A créer'!B10&lt;&gt;'A créer'!H10)=TRUE,"*SAVE",""),"*SAVE")</f>
        <v>*SAVE</v>
      </c>
      <c r="P10" s="2" t="str">
        <f>IF(OR('A créer'!D10="Oui",LEN('A créer'!D10)=0),"","*FN")</f>
        <v>*FN</v>
      </c>
      <c r="Q10" s="6" t="str">
        <f>IF(OR('A créer'!D10="Oui",LEN('A créer'!D10)=0),"",CONCATENATE("XXX",'A créer'!A10))</f>
        <v>XXX0490</v>
      </c>
      <c r="R10" s="2" t="str">
        <f>IF(OR('A créer'!D10="Oui",LEN('A créer'!D10)=0),"","Tab")</f>
        <v>Tab</v>
      </c>
      <c r="S10" s="6" t="str">
        <f>IF(OR('A créer'!D10="Oui",LEN('A créer'!D10)=0),"",CONCATENATE("XXX-",'A créer'!C10))</f>
        <v>XXX-DALKIA SMART BUILDING</v>
      </c>
      <c r="T10" s="2" t="str">
        <f>IF(OR('A créer'!D10="Oui",LEN('A créer'!D10)=0),"","Tab 4")</f>
        <v>Tab 4</v>
      </c>
      <c r="U10" s="2" t="str">
        <f>IF(OR('A créer'!D10="Oui",LEN('A créer'!D10)=0),"","Tab")</f>
        <v>Tab</v>
      </c>
      <c r="V10" s="2" t="str">
        <f>IF(OR('A créer'!D10="Oui",LEN('A créer'!D10)=0),"","Tab")</f>
        <v>Tab</v>
      </c>
      <c r="W10" s="2" t="str">
        <f>IF(OR('A créer'!D10="Oui",LEN('A créer'!D10)=0),"","ENT")</f>
        <v>ENT</v>
      </c>
      <c r="X10" s="6" t="str">
        <f>IF(OR('A créer'!D10="Oui",LEN('A créer'!D10)=0),"",'A créer'!G10)</f>
        <v>S2520M</v>
      </c>
      <c r="Y10" s="2" t="str">
        <f>IF(OR('A créer'!D10="Oui",LEN('A créer'!D10)=0),"","Tab")</f>
        <v>Tab</v>
      </c>
      <c r="Z10" s="6" t="str">
        <f>IF(OR('A créer'!D10="Oui",LEN('A créer'!D10)=0),"","Oui")</f>
        <v>Oui</v>
      </c>
      <c r="AA10" s="2" t="str">
        <f>IF(OR('A créer'!D10="Oui",LEN('A créer'!D10)=0),"","Tab")</f>
        <v>Tab</v>
      </c>
      <c r="AB10" s="6" t="str">
        <f>IF(OR('A créer'!D10="Oui",LEN('A créer'!D10)=0),"","NON")</f>
        <v>NON</v>
      </c>
      <c r="AC10" s="2" t="str">
        <f>IF(OR('A créer'!D10="Oui",LEN('A créer'!D10)=0),"","ENT")</f>
        <v>ENT</v>
      </c>
      <c r="AD10" s="2" t="str">
        <f>IF(OR('A créer'!D10="Oui",LEN('A créer'!D10)=0),"","*SAVE")</f>
        <v>*SAVE</v>
      </c>
      <c r="AE10" s="2" t="str">
        <f>IF(OR('A créer'!D10="Oui",LEN('A créer'!D10)=0),"","*FN")</f>
        <v>*FN</v>
      </c>
      <c r="AF10" s="6" t="str">
        <f>IF(OR('A créer'!D10="Oui",LEN('A créer'!D10)=0),"",'A créer'!A10)</f>
        <v>0490</v>
      </c>
      <c r="AG10" s="2" t="str">
        <f>IF(OR('A créer'!D10="Oui",LEN('A créer'!D10)=0),"","Tab")</f>
        <v>Tab</v>
      </c>
      <c r="AH10" s="6" t="str">
        <f>IF(OR('A créer'!D10="Oui",LEN('A créer'!D10)=0),"",'A créer'!C10)</f>
        <v>DALKIA SMART BUILDING</v>
      </c>
      <c r="AI10" s="2" t="str">
        <f>IF(OR('A créer'!D10="Oui",LEN('A créer'!D10)=0),"","Tab 4")</f>
        <v>Tab 4</v>
      </c>
      <c r="AJ10" s="2" t="str">
        <f>IF(OR('A créer'!D10="Oui",LEN('A créer'!D10)=0),"","*SB")</f>
        <v>*SB</v>
      </c>
      <c r="AK10" s="2" t="str">
        <f>IF(OR('A créer'!D10="Oui",LEN('A créer'!D10)=0),"","Tab")</f>
        <v>Tab</v>
      </c>
      <c r="AL10" s="6" t="str">
        <f>IF(OR('A créer'!D10="Oui",LEN('A créer'!D10)=0),"","InterCoSte")</f>
        <v>InterCoSte</v>
      </c>
      <c r="AM10" s="2" t="str">
        <f>IF(OR('A créer'!D10="Oui",LEN('A créer'!D10)=0),"","Tab")</f>
        <v>Tab</v>
      </c>
      <c r="AN10" s="2" t="str">
        <f>IF(OR('A créer'!D10="Oui",LEN('A créer'!D10)=0),"","Tab")</f>
        <v>Tab</v>
      </c>
      <c r="AO10" s="2" t="str">
        <f>IF(OR('A créer'!D10="Oui",LEN('A créer'!D10)=0),"","ENT")</f>
        <v>ENT</v>
      </c>
      <c r="AP10" s="2" t="str">
        <f>IF(OR('A créer'!D10="Oui",LEN('A créer'!D10)=0),"","ENT")</f>
        <v>ENT</v>
      </c>
      <c r="AQ10" s="2" t="str">
        <f>IF(OR('A créer'!D10="Oui",LEN('A créer'!D10)=0),"","*SAVE")</f>
        <v>*SAVE</v>
      </c>
      <c r="AR10" s="2" t="str">
        <f>IF(OR('A créer'!D10="Oui",LEN('A créer'!D10)=0),"","*UP")</f>
        <v>*UP</v>
      </c>
      <c r="AS10" s="2" t="str">
        <f>IF(OR('A créer'!D10="Oui",LEN('A créer'!D10)=0),"","*Aé")</f>
        <v>*Aé</v>
      </c>
      <c r="AT10" s="6" t="str">
        <f>IF(OR('A créer'!D10="Oui",LEN('A créer'!D10)=0),"",CONCATENATE('A créer'!B10,'A créer'!A10))</f>
        <v>DMS0490</v>
      </c>
      <c r="AU10" s="2" t="str">
        <f>IF(OR('A créer'!D10="Oui",LEN('A créer'!D10)=0),"","Tab")</f>
        <v>Tab</v>
      </c>
      <c r="AV10" s="2" t="str">
        <f>IF(OR('A créer'!D10="Oui",LEN('A créer'!D10)=0),"","*DN")</f>
        <v>*DN</v>
      </c>
      <c r="AW10" s="6" t="str">
        <f>IF(OR('A créer'!D10="Oui",LEN('A créer'!D10)=0),"",CONCATENATE("XXX",'A créer'!A10))</f>
        <v>XXX0490</v>
      </c>
      <c r="AX10" s="2" t="str">
        <f>IF(OR('A créer'!D10="Oui",LEN('A créer'!D10)=0),"","Tab")</f>
        <v>Tab</v>
      </c>
      <c r="AY10" s="2" t="str">
        <f>IF(OR('A créer'!D10="Oui",LEN('A créer'!D10)=0),"","*SAVE")</f>
        <v>*SAVE</v>
      </c>
      <c r="AZ10" s="2" t="s">
        <v>98</v>
      </c>
    </row>
    <row r="11" spans="1:52" x14ac:dyDescent="0.25">
      <c r="A11" s="2" t="str">
        <f>IF(OR('A créer'!D11="Oui",LEN('A créer'!D11)=0),IF(AND(LEN('A créer'!B11)&gt;0,'A créer'!B11&lt;&gt;'A créer'!H11)=TRUE,"*FN",""),"*FN")</f>
        <v>*FN</v>
      </c>
      <c r="B11" s="6" t="str">
        <f>IF(OR('A créer'!D11="Oui",LEN('A créer'!D11)=0),IF(LEN('A créer'!B11)&gt;0,IF('A créer'!B11='A créer'!H11,"",CONCATENATE('A créer'!B11,'A créer'!A11)),""),CONCATENATE('A créer'!B11,'A créer'!A11))</f>
        <v>DNA0490</v>
      </c>
      <c r="C11" s="2" t="str">
        <f>IF(OR('A créer'!D11="Oui",LEN('A créer'!D11)=0),IF(AND(LEN('A créer'!B11)&gt;0,'A créer'!B11&lt;&gt;'A créer'!H11)=TRUE,"Tab",""),"Tab")</f>
        <v>Tab</v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>DNA0490-DALKIA SMART BUILDING</v>
      </c>
      <c r="E11" s="2" t="str">
        <f>IF(OR('A créer'!D11="Oui",LEN('A créer'!D11)=0),IF(AND(LEN('A créer'!B11)&gt;0,'A créer'!B11&lt;&gt;'A créer'!H11)=TRUE,"Tab 4",""),"Tab 4")</f>
        <v>Tab 4</v>
      </c>
      <c r="F11" s="2" t="str">
        <f>IF(OR('A créer'!D11="Oui",LEN('A créer'!D11)=0),IF(AND(LEN('A créer'!B11)&gt;0,'A créer'!B11&lt;&gt;'A créer'!H11)=TRUE,"Tab",""),"Tab")</f>
        <v>Tab</v>
      </c>
      <c r="G11" s="2" t="str">
        <f>IF(OR('A créer'!D11="Oui",LEN('A créer'!D11)=0),IF(AND(LEN('A créer'!B11)&gt;0,'A créer'!B11&lt;&gt;'A créer'!H11)=TRUE,"Tab",""),"Tab")</f>
        <v>Tab</v>
      </c>
      <c r="H11" s="2" t="str">
        <f>IF(OR('A créer'!D11="Oui",LEN('A créer'!D11)=0),IF(AND(LEN('A créer'!B11)&gt;0,'A créer'!B11&lt;&gt;'A créer'!H11)=TRUE,"ENT",""),"ENT")</f>
        <v>ENT</v>
      </c>
      <c r="I11" s="6" t="str">
        <f>IF('A créer'!D11="Oui",IF(AND(LEN('A créer'!B11)&gt;0,'A créer'!B11&lt;&gt;'A créer'!H11)=TRUE,'A créer'!G11,""),'A créer'!G11)</f>
        <v>S2520B</v>
      </c>
      <c r="J11" s="2" t="str">
        <f>IF(OR('A créer'!D11="Oui",LEN('A créer'!D11)=0),IF(AND(LEN('A créer'!B11)&gt;0,'A créer'!B11&lt;&gt;'A créer'!H11)=TRUE,"Tab",""),"Tab")</f>
        <v>Tab</v>
      </c>
      <c r="K11" s="6" t="str">
        <f>IF(OR('A créer'!D11="Oui",LEN('A créer'!D11)=0),IF(AND(LEN('A créer'!B11)&gt;0,'A créer'!B11&lt;&gt;'A créer'!H11)=TRUE,"Oui",""),"Oui")</f>
        <v>Oui</v>
      </c>
      <c r="L11" s="2" t="str">
        <f>IF(OR('A créer'!D11="Oui",LEN('A créer'!D11)=0),IF(AND(LEN('A créer'!B11)&gt;0,'A créer'!B11&lt;&gt;'A créer'!H11)=TRUE,"Tab",""),"Tab")</f>
        <v>Tab</v>
      </c>
      <c r="M11" s="6" t="str">
        <f>IF(OR('A créer'!D11="Oui",LEN('A créer'!D11)=0),IF(AND(LEN('A créer'!B11)&gt;0,'A créer'!B11&lt;&gt;'A créer'!H11)=TRUE,'A créer'!E11,""),'A créer'!E11)</f>
        <v>Oui</v>
      </c>
      <c r="N11" s="2" t="str">
        <f>IF(OR('A créer'!D11="Oui",LEN('A créer'!D11)=0),IF(AND(LEN('A créer'!B11)&gt;0,'A créer'!B11&lt;&gt;'A créer'!H11)=TRUE,"ENT",""),"ENT")</f>
        <v>ENT</v>
      </c>
      <c r="O11" s="2" t="str">
        <f>IF(OR('A créer'!D11="Oui",LEN('A créer'!D11)=0),IF(AND(LEN('A créer'!B11)&gt;0,'A créer'!B11&lt;&gt;'A créer'!H11)=TRUE,"*SAVE",""),"*SAVE")</f>
        <v>*SAVE</v>
      </c>
      <c r="P11" s="2" t="str">
        <f>IF(OR('A créer'!D11="Oui",LEN('A créer'!D11)=0),"","*FN")</f>
        <v>*FN</v>
      </c>
      <c r="Q11" s="6" t="str">
        <f>IF(OR('A créer'!D11="Oui",LEN('A créer'!D11)=0),"",CONCATENATE("XXX",'A créer'!A11))</f>
        <v>XXX0490</v>
      </c>
      <c r="R11" s="2" t="str">
        <f>IF(OR('A créer'!D11="Oui",LEN('A créer'!D11)=0),"","Tab")</f>
        <v>Tab</v>
      </c>
      <c r="S11" s="6" t="str">
        <f>IF(OR('A créer'!D11="Oui",LEN('A créer'!D11)=0),"",CONCATENATE("XXX-",'A créer'!C11))</f>
        <v>XXX-DALKIA SMART BUILDING</v>
      </c>
      <c r="T11" s="2" t="str">
        <f>IF(OR('A créer'!D11="Oui",LEN('A créer'!D11)=0),"","Tab 4")</f>
        <v>Tab 4</v>
      </c>
      <c r="U11" s="2" t="str">
        <f>IF(OR('A créer'!D11="Oui",LEN('A créer'!D11)=0),"","Tab")</f>
        <v>Tab</v>
      </c>
      <c r="V11" s="2" t="str">
        <f>IF(OR('A créer'!D11="Oui",LEN('A créer'!D11)=0),"","Tab")</f>
        <v>Tab</v>
      </c>
      <c r="W11" s="2" t="str">
        <f>IF(OR('A créer'!D11="Oui",LEN('A créer'!D11)=0),"","ENT")</f>
        <v>ENT</v>
      </c>
      <c r="X11" s="6" t="str">
        <f>IF(OR('A créer'!D11="Oui",LEN('A créer'!D11)=0),"",'A créer'!G11)</f>
        <v>S2520B</v>
      </c>
      <c r="Y11" s="2" t="str">
        <f>IF(OR('A créer'!D11="Oui",LEN('A créer'!D11)=0),"","Tab")</f>
        <v>Tab</v>
      </c>
      <c r="Z11" s="6" t="str">
        <f>IF(OR('A créer'!D11="Oui",LEN('A créer'!D11)=0),"","Oui")</f>
        <v>Oui</v>
      </c>
      <c r="AA11" s="2" t="str">
        <f>IF(OR('A créer'!D11="Oui",LEN('A créer'!D11)=0),"","Tab")</f>
        <v>Tab</v>
      </c>
      <c r="AB11" s="6" t="str">
        <f>IF(OR('A créer'!D11="Oui",LEN('A créer'!D11)=0),"","NON")</f>
        <v>NON</v>
      </c>
      <c r="AC11" s="2" t="str">
        <f>IF(OR('A créer'!D11="Oui",LEN('A créer'!D11)=0),"","ENT")</f>
        <v>ENT</v>
      </c>
      <c r="AD11" s="2" t="str">
        <f>IF(OR('A créer'!D11="Oui",LEN('A créer'!D11)=0),"","*SAVE")</f>
        <v>*SAVE</v>
      </c>
      <c r="AE11" s="2" t="str">
        <f>IF(OR('A créer'!D11="Oui",LEN('A créer'!D11)=0),"","*FN")</f>
        <v>*FN</v>
      </c>
      <c r="AF11" s="6" t="str">
        <f>IF(OR('A créer'!D11="Oui",LEN('A créer'!D11)=0),"",'A créer'!A11)</f>
        <v>0490</v>
      </c>
      <c r="AG11" s="2" t="str">
        <f>IF(OR('A créer'!D11="Oui",LEN('A créer'!D11)=0),"","Tab")</f>
        <v>Tab</v>
      </c>
      <c r="AH11" s="6" t="str">
        <f>IF(OR('A créer'!D11="Oui",LEN('A créer'!D11)=0),"",'A créer'!C11)</f>
        <v>DALKIA SMART BUILDING</v>
      </c>
      <c r="AI11" s="2" t="str">
        <f>IF(OR('A créer'!D11="Oui",LEN('A créer'!D11)=0),"","Tab 4")</f>
        <v>Tab 4</v>
      </c>
      <c r="AJ11" s="2" t="str">
        <f>IF(OR('A créer'!D11="Oui",LEN('A créer'!D11)=0),"","*SB")</f>
        <v>*SB</v>
      </c>
      <c r="AK11" s="2" t="str">
        <f>IF(OR('A créer'!D11="Oui",LEN('A créer'!D11)=0),"","Tab")</f>
        <v>Tab</v>
      </c>
      <c r="AL11" s="6" t="str">
        <f>IF(OR('A créer'!D11="Oui",LEN('A créer'!D11)=0),"","InterCoSte")</f>
        <v>InterCoSte</v>
      </c>
      <c r="AM11" s="2" t="str">
        <f>IF(OR('A créer'!D11="Oui",LEN('A créer'!D11)=0),"","Tab")</f>
        <v>Tab</v>
      </c>
      <c r="AN11" s="2" t="str">
        <f>IF(OR('A créer'!D11="Oui",LEN('A créer'!D11)=0),"","Tab")</f>
        <v>Tab</v>
      </c>
      <c r="AO11" s="2" t="str">
        <f>IF(OR('A créer'!D11="Oui",LEN('A créer'!D11)=0),"","ENT")</f>
        <v>ENT</v>
      </c>
      <c r="AP11" s="2" t="str">
        <f>IF(OR('A créer'!D11="Oui",LEN('A créer'!D11)=0),"","ENT")</f>
        <v>ENT</v>
      </c>
      <c r="AQ11" s="2" t="str">
        <f>IF(OR('A créer'!D11="Oui",LEN('A créer'!D11)=0),"","*SAVE")</f>
        <v>*SAVE</v>
      </c>
      <c r="AR11" s="2" t="str">
        <f>IF(OR('A créer'!D11="Oui",LEN('A créer'!D11)=0),"","*UP")</f>
        <v>*UP</v>
      </c>
      <c r="AS11" s="2" t="str">
        <f>IF(OR('A créer'!D11="Oui",LEN('A créer'!D11)=0),"","*Aé")</f>
        <v>*Aé</v>
      </c>
      <c r="AT11" s="6" t="str">
        <f>IF(OR('A créer'!D11="Oui",LEN('A créer'!D11)=0),"",CONCATENATE('A créer'!B11,'A créer'!A11))</f>
        <v>DNA0490</v>
      </c>
      <c r="AU11" s="2" t="str">
        <f>IF(OR('A créer'!D11="Oui",LEN('A créer'!D11)=0),"","Tab")</f>
        <v>Tab</v>
      </c>
      <c r="AV11" s="2" t="str">
        <f>IF(OR('A créer'!D11="Oui",LEN('A créer'!D11)=0),"","*DN")</f>
        <v>*DN</v>
      </c>
      <c r="AW11" s="6" t="str">
        <f>IF(OR('A créer'!D11="Oui",LEN('A créer'!D11)=0),"",CONCATENATE("XXX",'A créer'!A11))</f>
        <v>XXX0490</v>
      </c>
      <c r="AX11" s="2" t="str">
        <f>IF(OR('A créer'!D11="Oui",LEN('A créer'!D11)=0),"","Tab")</f>
        <v>Tab</v>
      </c>
      <c r="AY11" s="2" t="str">
        <f>IF(OR('A créer'!D11="Oui",LEN('A créer'!D11)=0),"","*SAVE")</f>
        <v>*SAVE</v>
      </c>
      <c r="AZ11" s="2" t="s">
        <v>96</v>
      </c>
    </row>
    <row r="12" spans="1:52" x14ac:dyDescent="0.25">
      <c r="A12" s="2" t="str">
        <f>IF(OR('A créer'!D12="Oui",LEN('A créer'!D12)=0),IF(AND(LEN('A créer'!B12)&gt;0,'A créer'!B12&lt;&gt;'A créer'!H12)=TRUE,"*FN",""),"*FN")</f>
        <v>*FN</v>
      </c>
      <c r="B12" s="6" t="str">
        <f>IF(OR('A créer'!D12="Oui",LEN('A créer'!D12)=0),IF(LEN('A créer'!B12)&gt;0,IF('A créer'!B12='A créer'!H12,"",CONCATENATE('A créer'!B12,'A créer'!A12)),""),CONCATENATE('A créer'!B12,'A créer'!A12))</f>
        <v>DRW0490</v>
      </c>
      <c r="C12" s="2" t="str">
        <f>IF(OR('A créer'!D12="Oui",LEN('A créer'!D12)=0),IF(AND(LEN('A créer'!B12)&gt;0,'A créer'!B12&lt;&gt;'A créer'!H12)=TRUE,"Tab",""),"Tab")</f>
        <v>Tab</v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>DRW0490-DALKIA SMART BUILDING</v>
      </c>
      <c r="E12" s="2" t="str">
        <f>IF(OR('A créer'!D12="Oui",LEN('A créer'!D12)=0),IF(AND(LEN('A créer'!B12)&gt;0,'A créer'!B12&lt;&gt;'A créer'!H12)=TRUE,"Tab 4",""),"Tab 4")</f>
        <v>Tab 4</v>
      </c>
      <c r="F12" s="2" t="str">
        <f>IF(OR('A créer'!D12="Oui",LEN('A créer'!D12)=0),IF(AND(LEN('A créer'!B12)&gt;0,'A créer'!B12&lt;&gt;'A créer'!H12)=TRUE,"Tab",""),"Tab")</f>
        <v>Tab</v>
      </c>
      <c r="G12" s="2" t="str">
        <f>IF(OR('A créer'!D12="Oui",LEN('A créer'!D12)=0),IF(AND(LEN('A créer'!B12)&gt;0,'A créer'!B12&lt;&gt;'A créer'!H12)=TRUE,"Tab",""),"Tab")</f>
        <v>Tab</v>
      </c>
      <c r="H12" s="2" t="str">
        <f>IF(OR('A créer'!D12="Oui",LEN('A créer'!D12)=0),IF(AND(LEN('A créer'!B12)&gt;0,'A créer'!B12&lt;&gt;'A créer'!H12)=TRUE,"ENT",""),"ENT")</f>
        <v>ENT</v>
      </c>
      <c r="I12" s="6" t="str">
        <f>IF('A créer'!D12="Oui",IF(AND(LEN('A créer'!B12)&gt;0,'A créer'!B12&lt;&gt;'A créer'!H12)=TRUE,'A créer'!G12,""),'A créer'!G12)</f>
        <v>S2520I</v>
      </c>
      <c r="J12" s="2" t="str">
        <f>IF(OR('A créer'!D12="Oui",LEN('A créer'!D12)=0),IF(AND(LEN('A créer'!B12)&gt;0,'A créer'!B12&lt;&gt;'A créer'!H12)=TRUE,"Tab",""),"Tab")</f>
        <v>Tab</v>
      </c>
      <c r="K12" s="6" t="str">
        <f>IF(OR('A créer'!D12="Oui",LEN('A créer'!D12)=0),IF(AND(LEN('A créer'!B12)&gt;0,'A créer'!B12&lt;&gt;'A créer'!H12)=TRUE,"Oui",""),"Oui")</f>
        <v>Oui</v>
      </c>
      <c r="L12" s="2" t="str">
        <f>IF(OR('A créer'!D12="Oui",LEN('A créer'!D12)=0),IF(AND(LEN('A créer'!B12)&gt;0,'A créer'!B12&lt;&gt;'A créer'!H12)=TRUE,"Tab",""),"Tab")</f>
        <v>Tab</v>
      </c>
      <c r="M12" s="6" t="str">
        <f>IF(OR('A créer'!D12="Oui",LEN('A créer'!D12)=0),IF(AND(LEN('A créer'!B12)&gt;0,'A créer'!B12&lt;&gt;'A créer'!H12)=TRUE,'A créer'!E12,""),'A créer'!E12)</f>
        <v>Oui</v>
      </c>
      <c r="N12" s="2" t="str">
        <f>IF(OR('A créer'!D12="Oui",LEN('A créer'!D12)=0),IF(AND(LEN('A créer'!B12)&gt;0,'A créer'!B12&lt;&gt;'A créer'!H12)=TRUE,"ENT",""),"ENT")</f>
        <v>ENT</v>
      </c>
      <c r="O12" s="2" t="str">
        <f>IF(OR('A créer'!D12="Oui",LEN('A créer'!D12)=0),IF(AND(LEN('A créer'!B12)&gt;0,'A créer'!B12&lt;&gt;'A créer'!H12)=TRUE,"*SAVE",""),"*SAVE")</f>
        <v>*SAVE</v>
      </c>
      <c r="P12" s="2" t="str">
        <f>IF(OR('A créer'!D12="Oui",LEN('A créer'!D12)=0),"","*FN")</f>
        <v>*FN</v>
      </c>
      <c r="Q12" s="6" t="str">
        <f>IF(OR('A créer'!D12="Oui",LEN('A créer'!D12)=0),"",CONCATENATE("XXX",'A créer'!A12))</f>
        <v>XXX0490</v>
      </c>
      <c r="R12" s="2" t="str">
        <f>IF(OR('A créer'!D12="Oui",LEN('A créer'!D12)=0),"","Tab")</f>
        <v>Tab</v>
      </c>
      <c r="S12" s="6" t="str">
        <f>IF(OR('A créer'!D12="Oui",LEN('A créer'!D12)=0),"",CONCATENATE("XXX-",'A créer'!C12))</f>
        <v>XXX-DALKIA SMART BUILDING</v>
      </c>
      <c r="T12" s="2" t="str">
        <f>IF(OR('A créer'!D12="Oui",LEN('A créer'!D12)=0),"","Tab 4")</f>
        <v>Tab 4</v>
      </c>
      <c r="U12" s="2" t="str">
        <f>IF(OR('A créer'!D12="Oui",LEN('A créer'!D12)=0),"","Tab")</f>
        <v>Tab</v>
      </c>
      <c r="V12" s="2" t="str">
        <f>IF(OR('A créer'!D12="Oui",LEN('A créer'!D12)=0),"","Tab")</f>
        <v>Tab</v>
      </c>
      <c r="W12" s="2" t="str">
        <f>IF(OR('A créer'!D12="Oui",LEN('A créer'!D12)=0),"","ENT")</f>
        <v>ENT</v>
      </c>
      <c r="X12" s="6" t="str">
        <f>IF(OR('A créer'!D12="Oui",LEN('A créer'!D12)=0),"",'A créer'!G12)</f>
        <v>S2520I</v>
      </c>
      <c r="Y12" s="2" t="str">
        <f>IF(OR('A créer'!D12="Oui",LEN('A créer'!D12)=0),"","Tab")</f>
        <v>Tab</v>
      </c>
      <c r="Z12" s="6" t="str">
        <f>IF(OR('A créer'!D12="Oui",LEN('A créer'!D12)=0),"","Oui")</f>
        <v>Oui</v>
      </c>
      <c r="AA12" s="2" t="str">
        <f>IF(OR('A créer'!D12="Oui",LEN('A créer'!D12)=0),"","Tab")</f>
        <v>Tab</v>
      </c>
      <c r="AB12" s="6" t="str">
        <f>IF(OR('A créer'!D12="Oui",LEN('A créer'!D12)=0),"","NON")</f>
        <v>NON</v>
      </c>
      <c r="AC12" s="2" t="str">
        <f>IF(OR('A créer'!D12="Oui",LEN('A créer'!D12)=0),"","ENT")</f>
        <v>ENT</v>
      </c>
      <c r="AD12" s="2" t="str">
        <f>IF(OR('A créer'!D12="Oui",LEN('A créer'!D12)=0),"","*SAVE")</f>
        <v>*SAVE</v>
      </c>
      <c r="AE12" s="2" t="str">
        <f>IF(OR('A créer'!D12="Oui",LEN('A créer'!D12)=0),"","*FN")</f>
        <v>*FN</v>
      </c>
      <c r="AF12" s="6" t="str">
        <f>IF(OR('A créer'!D12="Oui",LEN('A créer'!D12)=0),"",'A créer'!A12)</f>
        <v>0490</v>
      </c>
      <c r="AG12" s="2" t="str">
        <f>IF(OR('A créer'!D12="Oui",LEN('A créer'!D12)=0),"","Tab")</f>
        <v>Tab</v>
      </c>
      <c r="AH12" s="6" t="str">
        <f>IF(OR('A créer'!D12="Oui",LEN('A créer'!D12)=0),"",'A créer'!C12)</f>
        <v>DALKIA SMART BUILDING</v>
      </c>
      <c r="AI12" s="2" t="str">
        <f>IF(OR('A créer'!D12="Oui",LEN('A créer'!D12)=0),"","Tab 4")</f>
        <v>Tab 4</v>
      </c>
      <c r="AJ12" s="2" t="str">
        <f>IF(OR('A créer'!D12="Oui",LEN('A créer'!D12)=0),"","*SB")</f>
        <v>*SB</v>
      </c>
      <c r="AK12" s="2" t="str">
        <f>IF(OR('A créer'!D12="Oui",LEN('A créer'!D12)=0),"","Tab")</f>
        <v>Tab</v>
      </c>
      <c r="AL12" s="6" t="str">
        <f>IF(OR('A créer'!D12="Oui",LEN('A créer'!D12)=0),"","InterCoSte")</f>
        <v>InterCoSte</v>
      </c>
      <c r="AM12" s="2" t="str">
        <f>IF(OR('A créer'!D12="Oui",LEN('A créer'!D12)=0),"","Tab")</f>
        <v>Tab</v>
      </c>
      <c r="AN12" s="2" t="str">
        <f>IF(OR('A créer'!D12="Oui",LEN('A créer'!D12)=0),"","Tab")</f>
        <v>Tab</v>
      </c>
      <c r="AO12" s="2" t="str">
        <f>IF(OR('A créer'!D12="Oui",LEN('A créer'!D12)=0),"","ENT")</f>
        <v>ENT</v>
      </c>
      <c r="AP12" s="2" t="str">
        <f>IF(OR('A créer'!D12="Oui",LEN('A créer'!D12)=0),"","ENT")</f>
        <v>ENT</v>
      </c>
      <c r="AQ12" s="2" t="str">
        <f>IF(OR('A créer'!D12="Oui",LEN('A créer'!D12)=0),"","*SAVE")</f>
        <v>*SAVE</v>
      </c>
      <c r="AR12" s="2" t="str">
        <f>IF(OR('A créer'!D12="Oui",LEN('A créer'!D12)=0),"","*UP")</f>
        <v>*UP</v>
      </c>
      <c r="AS12" s="2" t="str">
        <f>IF(OR('A créer'!D12="Oui",LEN('A créer'!D12)=0),"","*Aé")</f>
        <v>*Aé</v>
      </c>
      <c r="AT12" s="6" t="str">
        <f>IF(OR('A créer'!D12="Oui",LEN('A créer'!D12)=0),"",CONCATENATE('A créer'!B12,'A créer'!A12))</f>
        <v>DRW0490</v>
      </c>
      <c r="AU12" s="2" t="str">
        <f>IF(OR('A créer'!D12="Oui",LEN('A créer'!D12)=0),"","Tab")</f>
        <v>Tab</v>
      </c>
      <c r="AV12" s="2" t="str">
        <f>IF(OR('A créer'!D12="Oui",LEN('A créer'!D12)=0),"","*DN")</f>
        <v>*DN</v>
      </c>
      <c r="AW12" s="6" t="str">
        <f>IF(OR('A créer'!D12="Oui",LEN('A créer'!D12)=0),"",CONCATENATE("XXX",'A créer'!A12))</f>
        <v>XXX0490</v>
      </c>
      <c r="AX12" s="2" t="str">
        <f>IF(OR('A créer'!D12="Oui",LEN('A créer'!D12)=0),"","Tab")</f>
        <v>Tab</v>
      </c>
      <c r="AY12" s="2" t="str">
        <f>IF(OR('A créer'!D12="Oui",LEN('A créer'!D12)=0),"","*SAVE")</f>
        <v>*SAVE</v>
      </c>
      <c r="AZ12" s="2" t="s">
        <v>96</v>
      </c>
    </row>
    <row r="13" spans="1:52" x14ac:dyDescent="0.25">
      <c r="A13" s="2" t="str">
        <f>IF(OR('A créer'!D13="Oui",LEN('A créer'!D13)=0),IF(AND(LEN('A créer'!B13)&gt;0,'A créer'!B13&lt;&gt;'A créer'!H13)=TRUE,"*FN",""),"*FN")</f>
        <v>*FN</v>
      </c>
      <c r="B13" s="6" t="str">
        <f>IF(OR('A créer'!D13="Oui",LEN('A créer'!D13)=0),IF(LEN('A créer'!B13)&gt;0,IF('A créer'!B13='A créer'!H13,"",CONCATENATE('A créer'!B13,'A créer'!A13)),""),CONCATENATE('A créer'!B13,'A créer'!A13))</f>
        <v>DSW0490</v>
      </c>
      <c r="C13" s="2" t="str">
        <f>IF(OR('A créer'!D13="Oui",LEN('A créer'!D13)=0),IF(AND(LEN('A créer'!B13)&gt;0,'A créer'!B13&lt;&gt;'A créer'!H13)=TRUE,"Tab",""),"Tab")</f>
        <v>Tab</v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>DSW0490-DALKIA SMART BUILDING</v>
      </c>
      <c r="E13" s="2" t="str">
        <f>IF(OR('A créer'!D13="Oui",LEN('A créer'!D13)=0),IF(AND(LEN('A créer'!B13)&gt;0,'A créer'!B13&lt;&gt;'A créer'!H13)=TRUE,"Tab 4",""),"Tab 4")</f>
        <v>Tab 4</v>
      </c>
      <c r="F13" s="2" t="str">
        <f>IF(OR('A créer'!D13="Oui",LEN('A créer'!D13)=0),IF(AND(LEN('A créer'!B13)&gt;0,'A créer'!B13&lt;&gt;'A créer'!H13)=TRUE,"Tab",""),"Tab")</f>
        <v>Tab</v>
      </c>
      <c r="G13" s="2" t="str">
        <f>IF(OR('A créer'!D13="Oui",LEN('A créer'!D13)=0),IF(AND(LEN('A créer'!B13)&gt;0,'A créer'!B13&lt;&gt;'A créer'!H13)=TRUE,"Tab",""),"Tab")</f>
        <v>Tab</v>
      </c>
      <c r="H13" s="2" t="str">
        <f>IF(OR('A créer'!D13="Oui",LEN('A créer'!D13)=0),IF(AND(LEN('A créer'!B13)&gt;0,'A créer'!B13&lt;&gt;'A créer'!H13)=TRUE,"ENT",""),"ENT")</f>
        <v>ENT</v>
      </c>
      <c r="I13" s="6" t="str">
        <f>IF('A créer'!D13="Oui",IF(AND(LEN('A créer'!B13)&gt;0,'A créer'!B13&lt;&gt;'A créer'!H13)=TRUE,'A créer'!G13,""),'A créer'!G13)</f>
        <v>S2520N</v>
      </c>
      <c r="J13" s="2" t="str">
        <f>IF(OR('A créer'!D13="Oui",LEN('A créer'!D13)=0),IF(AND(LEN('A créer'!B13)&gt;0,'A créer'!B13&lt;&gt;'A créer'!H13)=TRUE,"Tab",""),"Tab")</f>
        <v>Tab</v>
      </c>
      <c r="K13" s="6" t="str">
        <f>IF(OR('A créer'!D13="Oui",LEN('A créer'!D13)=0),IF(AND(LEN('A créer'!B13)&gt;0,'A créer'!B13&lt;&gt;'A créer'!H13)=TRUE,"Oui",""),"Oui")</f>
        <v>Oui</v>
      </c>
      <c r="L13" s="2" t="str">
        <f>IF(OR('A créer'!D13="Oui",LEN('A créer'!D13)=0),IF(AND(LEN('A créer'!B13)&gt;0,'A créer'!B13&lt;&gt;'A créer'!H13)=TRUE,"Tab",""),"Tab")</f>
        <v>Tab</v>
      </c>
      <c r="M13" s="6" t="str">
        <f>IF(OR('A créer'!D13="Oui",LEN('A créer'!D13)=0),IF(AND(LEN('A créer'!B13)&gt;0,'A créer'!B13&lt;&gt;'A créer'!H13)=TRUE,'A créer'!E13,""),'A créer'!E13)</f>
        <v>Oui</v>
      </c>
      <c r="N13" s="2" t="str">
        <f>IF(OR('A créer'!D13="Oui",LEN('A créer'!D13)=0),IF(AND(LEN('A créer'!B13)&gt;0,'A créer'!B13&lt;&gt;'A créer'!H13)=TRUE,"ENT",""),"ENT")</f>
        <v>ENT</v>
      </c>
      <c r="O13" s="2" t="str">
        <f>IF(OR('A créer'!D13="Oui",LEN('A créer'!D13)=0),IF(AND(LEN('A créer'!B13)&gt;0,'A créer'!B13&lt;&gt;'A créer'!H13)=TRUE,"*SAVE",""),"*SAVE")</f>
        <v>*SAVE</v>
      </c>
      <c r="P13" s="2" t="str">
        <f>IF(OR('A créer'!D13="Oui",LEN('A créer'!D13)=0),"","*FN")</f>
        <v>*FN</v>
      </c>
      <c r="Q13" s="6" t="str">
        <f>IF(OR('A créer'!D13="Oui",LEN('A créer'!D13)=0),"",CONCATENATE("XXX",'A créer'!A13))</f>
        <v>XXX0490</v>
      </c>
      <c r="R13" s="2" t="str">
        <f>IF(OR('A créer'!D13="Oui",LEN('A créer'!D13)=0),"","Tab")</f>
        <v>Tab</v>
      </c>
      <c r="S13" s="6" t="str">
        <f>IF(OR('A créer'!D13="Oui",LEN('A créer'!D13)=0),"",CONCATENATE("XXX-",'A créer'!C13))</f>
        <v>XXX-DALKIA SMART BUILDING</v>
      </c>
      <c r="T13" s="2" t="str">
        <f>IF(OR('A créer'!D13="Oui",LEN('A créer'!D13)=0),"","Tab 4")</f>
        <v>Tab 4</v>
      </c>
      <c r="U13" s="2" t="str">
        <f>IF(OR('A créer'!D13="Oui",LEN('A créer'!D13)=0),"","Tab")</f>
        <v>Tab</v>
      </c>
      <c r="V13" s="2" t="str">
        <f>IF(OR('A créer'!D13="Oui",LEN('A créer'!D13)=0),"","Tab")</f>
        <v>Tab</v>
      </c>
      <c r="W13" s="2" t="str">
        <f>IF(OR('A créer'!D13="Oui",LEN('A créer'!D13)=0),"","ENT")</f>
        <v>ENT</v>
      </c>
      <c r="X13" s="6" t="str">
        <f>IF(OR('A créer'!D13="Oui",LEN('A créer'!D13)=0),"",'A créer'!G13)</f>
        <v>S2520N</v>
      </c>
      <c r="Y13" s="2" t="str">
        <f>IF(OR('A créer'!D13="Oui",LEN('A créer'!D13)=0),"","Tab")</f>
        <v>Tab</v>
      </c>
      <c r="Z13" s="6" t="str">
        <f>IF(OR('A créer'!D13="Oui",LEN('A créer'!D13)=0),"","Oui")</f>
        <v>Oui</v>
      </c>
      <c r="AA13" s="2" t="str">
        <f>IF(OR('A créer'!D13="Oui",LEN('A créer'!D13)=0),"","Tab")</f>
        <v>Tab</v>
      </c>
      <c r="AB13" s="6" t="str">
        <f>IF(OR('A créer'!D13="Oui",LEN('A créer'!D13)=0),"","NON")</f>
        <v>NON</v>
      </c>
      <c r="AC13" s="2" t="str">
        <f>IF(OR('A créer'!D13="Oui",LEN('A créer'!D13)=0),"","ENT")</f>
        <v>ENT</v>
      </c>
      <c r="AD13" s="2" t="str">
        <f>IF(OR('A créer'!D13="Oui",LEN('A créer'!D13)=0),"","*SAVE")</f>
        <v>*SAVE</v>
      </c>
      <c r="AE13" s="2" t="str">
        <f>IF(OR('A créer'!D13="Oui",LEN('A créer'!D13)=0),"","*FN")</f>
        <v>*FN</v>
      </c>
      <c r="AF13" s="6" t="str">
        <f>IF(OR('A créer'!D13="Oui",LEN('A créer'!D13)=0),"",'A créer'!A13)</f>
        <v>0490</v>
      </c>
      <c r="AG13" s="2" t="str">
        <f>IF(OR('A créer'!D13="Oui",LEN('A créer'!D13)=0),"","Tab")</f>
        <v>Tab</v>
      </c>
      <c r="AH13" s="6" t="str">
        <f>IF(OR('A créer'!D13="Oui",LEN('A créer'!D13)=0),"",'A créer'!C13)</f>
        <v>DALKIA SMART BUILDING</v>
      </c>
      <c r="AI13" s="2" t="str">
        <f>IF(OR('A créer'!D13="Oui",LEN('A créer'!D13)=0),"","Tab 4")</f>
        <v>Tab 4</v>
      </c>
      <c r="AJ13" s="2" t="str">
        <f>IF(OR('A créer'!D13="Oui",LEN('A créer'!D13)=0),"","*SB")</f>
        <v>*SB</v>
      </c>
      <c r="AK13" s="2" t="str">
        <f>IF(OR('A créer'!D13="Oui",LEN('A créer'!D13)=0),"","Tab")</f>
        <v>Tab</v>
      </c>
      <c r="AL13" s="6" t="str">
        <f>IF(OR('A créer'!D13="Oui",LEN('A créer'!D13)=0),"","InterCoSte")</f>
        <v>InterCoSte</v>
      </c>
      <c r="AM13" s="2" t="str">
        <f>IF(OR('A créer'!D13="Oui",LEN('A créer'!D13)=0),"","Tab")</f>
        <v>Tab</v>
      </c>
      <c r="AN13" s="2" t="str">
        <f>IF(OR('A créer'!D13="Oui",LEN('A créer'!D13)=0),"","Tab")</f>
        <v>Tab</v>
      </c>
      <c r="AO13" s="2" t="str">
        <f>IF(OR('A créer'!D13="Oui",LEN('A créer'!D13)=0),"","ENT")</f>
        <v>ENT</v>
      </c>
      <c r="AP13" s="2" t="str">
        <f>IF(OR('A créer'!D13="Oui",LEN('A créer'!D13)=0),"","ENT")</f>
        <v>ENT</v>
      </c>
      <c r="AQ13" s="2" t="str">
        <f>IF(OR('A créer'!D13="Oui",LEN('A créer'!D13)=0),"","*SAVE")</f>
        <v>*SAVE</v>
      </c>
      <c r="AR13" s="2" t="str">
        <f>IF(OR('A créer'!D13="Oui",LEN('A créer'!D13)=0),"","*UP")</f>
        <v>*UP</v>
      </c>
      <c r="AS13" s="2" t="str">
        <f>IF(OR('A créer'!D13="Oui",LEN('A créer'!D13)=0),"","*Aé")</f>
        <v>*Aé</v>
      </c>
      <c r="AT13" s="6" t="str">
        <f>IF(OR('A créer'!D13="Oui",LEN('A créer'!D13)=0),"",CONCATENATE('A créer'!B13,'A créer'!A13))</f>
        <v>DSW0490</v>
      </c>
      <c r="AU13" s="2" t="str">
        <f>IF(OR('A créer'!D13="Oui",LEN('A créer'!D13)=0),"","Tab")</f>
        <v>Tab</v>
      </c>
      <c r="AV13" s="2" t="str">
        <f>IF(OR('A créer'!D13="Oui",LEN('A créer'!D13)=0),"","*DN")</f>
        <v>*DN</v>
      </c>
      <c r="AW13" s="6" t="str">
        <f>IF(OR('A créer'!D13="Oui",LEN('A créer'!D13)=0),"",CONCATENATE("XXX",'A créer'!A13))</f>
        <v>XXX0490</v>
      </c>
      <c r="AX13" s="2" t="str">
        <f>IF(OR('A créer'!D13="Oui",LEN('A créer'!D13)=0),"","Tab")</f>
        <v>Tab</v>
      </c>
      <c r="AY13" s="2" t="str">
        <f>IF(OR('A créer'!D13="Oui",LEN('A créer'!D13)=0),"","*SAVE")</f>
        <v>*SAVE</v>
      </c>
      <c r="AZ13" s="2" t="s">
        <v>96</v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créer'!D14)=0),"","*ML(751,142)")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zoomScale="80" zoomScaleNormal="80" workbookViewId="0">
      <pane ySplit="1" topLeftCell="A2" activePane="bottomLeft" state="frozenSplit"/>
      <selection pane="bottomLeft" activeCell="D10" sqref="D10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6.7109375" bestFit="1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95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95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0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SOCIETE GENERALE 0491 CALORIMER/DEW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95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0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0492 CAMILLE CLAUDEL ENERGIES/DRW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95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2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0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 xml:space="preserve"> 0493 EDDAL ECOMANCHE/DSW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95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25">
      <c r="A5" s="2" t="str">
        <f>IF(AND(LEN('A créer'!P5)=0,OR('A créer'!D5="Oui",LEN('A créer'!D5)=0))=TRUE,"","*FN")</f>
        <v>*FN</v>
      </c>
      <c r="B5" s="6">
        <f>IF(AND(LEN('A créer'!P5)=0,OR('A créer'!D5="Oui",LEN('A créer'!D5)=0))=TRUE,"",'A créer'!P5)</f>
        <v>0</v>
      </c>
      <c r="C5" s="2" t="str">
        <f>IF(AND(LEN('A créer'!P5)=0,OR('A créer'!D5="Oui",LEN('A créer'!D5)=0))=TRUE,"","Tab")</f>
        <v>Tab</v>
      </c>
      <c r="D5" s="6" t="str">
        <f>IF(AND(LEN('A créer'!P5)=0,OR('A créer'!D5="Oui",LEN('A créer'!D5)=0))=TRUE,"",CONCATENATE('A créer'!Q5," ",'A créer'!A5," ",'A créer'!C5,"/",'A créer'!B5))</f>
        <v>CREDIT AGRICOLE 0498 ECO ROC NOIR/DMS</v>
      </c>
      <c r="E5" s="2" t="str">
        <f>IF(AND(LEN('A créer'!P5)=0,OR('A créer'!D5="Oui",LEN('A créer'!D5)=0))=TRUE,"","Tab 4")</f>
        <v>Tab 4</v>
      </c>
      <c r="F5" s="2" t="str">
        <f>IF(AND(LEN('A créer'!P5)=0,OR('A créer'!D5="Oui",LEN('A créer'!D5)=0))=TRUE,"","Tab")</f>
        <v>Tab</v>
      </c>
      <c r="G5" s="2" t="str">
        <f>IF(AND(LEN('A créer'!P5)=0,OR('A créer'!D5="Oui",LEN('A créer'!D5)=0))=TRUE,"","Tab")</f>
        <v>Tab</v>
      </c>
      <c r="H5" s="6" t="str">
        <f>IF(AND(LEN('A créer'!P5)=0,OR('A créer'!D5="Oui",LEN('A créer'!D5)=0))=TRUE,"","Non")</f>
        <v>Non</v>
      </c>
      <c r="I5" s="2" t="str">
        <f>IF(AND(LEN('A créer'!P5)=0,OR('A créer'!D5="Oui",LEN('A créer'!D5)=0))=TRUE,"","Tab")</f>
        <v>Tab</v>
      </c>
      <c r="J5" s="6" t="str">
        <f>IF(AND(LEN('A créer'!P5)=0,OR('A créer'!D5="Oui",LEN('A créer'!D5)=0))=TRUE,"","Oui")</f>
        <v>Oui</v>
      </c>
      <c r="K5" s="2" t="str">
        <f>IF(AND(LEN('A créer'!P5)=0,OR('A créer'!D5="Oui",LEN('A créer'!D5)=0))=TRUE,"","Tab")</f>
        <v>Tab</v>
      </c>
      <c r="L5" s="6" t="str">
        <f>IF(AND(LEN('A créer'!P5)=0,OR('A créer'!D5="Oui",LEN('A créer'!D5)=0))=TRUE,"","Actif")</f>
        <v>Actif</v>
      </c>
      <c r="M5" s="2" t="str">
        <f>IF(AND(LEN('A créer'!P5)=0,OR('A créer'!D5="Oui",LEN('A créer'!D5)=0))=TRUE,"","Tab")</f>
        <v>Tab</v>
      </c>
      <c r="N5" s="6" t="str">
        <f>IF(AND(LEN('A créer'!P5)=0,OR('A créer'!D5="Oui",LEN('A créer'!D5)=0))=TRUE,"","Non")</f>
        <v>Non</v>
      </c>
      <c r="O5" s="2" t="str">
        <f>IF(AND(LEN('A créer'!P5)=0,OR('A créer'!D5="Oui",LEN('A créer'!D5)=0))=TRUE,"","Tab")</f>
        <v>Tab</v>
      </c>
      <c r="P5" s="6" t="str">
        <f>IF(AND(LEN('A créer'!P5)=0,OR('A créer'!D5="Oui",LEN('A créer'!D5)=0))=TRUE,"","Non")</f>
        <v>Non</v>
      </c>
      <c r="Q5" s="2" t="str">
        <f>IF(AND(LEN('A créer'!P5)=0,OR('A créer'!D5="Oui",LEN('A créer'!D5)=0))=TRUE,"","Tab")</f>
        <v>Tab</v>
      </c>
      <c r="R5" s="2" t="str">
        <f>IF(AND(LEN('A créer'!P5)=0,OR('A créer'!D5="Oui",LEN('A créer'!D5)=0))=TRUE,"","ENT")</f>
        <v>ENT</v>
      </c>
      <c r="S5" s="2" t="s">
        <v>95</v>
      </c>
      <c r="T5" s="2" t="str">
        <f>IF(AND(LEN('A créer'!P5)=0,OR('A créer'!D5="Oui",LEN('A créer'!D5)=0))=TRUE,"","Tab")</f>
        <v>Tab</v>
      </c>
      <c r="U5" s="2" t="str">
        <f>IF(AND(LEN('A créer'!P5)=0,OR('A créer'!D5="Oui",LEN('A créer'!D5)=0))=TRUE,"","Tab")</f>
        <v>Tab</v>
      </c>
      <c r="V5" s="2" t="str">
        <f>IF(AND(LEN('A créer'!P5)=0,OR('A créer'!D5="Oui",LEN('A créer'!D5)=0))=TRUE,"","Tab")</f>
        <v>Tab</v>
      </c>
      <c r="W5" s="4" t="str">
        <f>IF(AND(LEN('A créer'!P5)=0,OR('A créer'!D5="Oui",LEN('A créer'!D5)=0))=TRUE,"","Non")</f>
        <v>Non</v>
      </c>
      <c r="X5" s="2" t="str">
        <f>IF(AND(LEN('A créer'!P5)=0,OR('A créer'!D5="Oui",LEN('A créer'!D5)=0))=TRUE,"","ENT")</f>
        <v>ENT</v>
      </c>
      <c r="Y5" s="2" t="str">
        <f>IF(AND(LEN('A créer'!P5)=0,OR('A créer'!D5="Oui",LEN('A créer'!D5)=0))=TRUE,"","*SAVE")</f>
        <v>*SAVE</v>
      </c>
    </row>
    <row r="6" spans="1:25" x14ac:dyDescent="0.2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0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SOCIETE GENERALE 0490 DALKIA SMART BUILDING/DOS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95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25">
      <c r="A7" s="2" t="str">
        <f>IF(AND(LEN('A créer'!P7)=0,OR('A créer'!D7="Oui",LEN('A créer'!D7)=0))=TRUE,"","*FN")</f>
        <v>*FN</v>
      </c>
      <c r="B7" s="6">
        <f>IF(AND(LEN('A créer'!P7)=0,OR('A créer'!D7="Oui",LEN('A créer'!D7)=0))=TRUE,"",'A créer'!P7)</f>
        <v>0</v>
      </c>
      <c r="C7" s="2" t="str">
        <f>IF(AND(LEN('A créer'!P7)=0,OR('A créer'!D7="Oui",LEN('A créer'!D7)=0))=TRUE,"","Tab")</f>
        <v>Tab</v>
      </c>
      <c r="D7" s="6" t="str">
        <f>IF(AND(LEN('A créer'!P7)=0,OR('A créer'!D7="Oui",LEN('A créer'!D7)=0))=TRUE,"",CONCATENATE('A créer'!Q7," ",'A créer'!A7," ",'A créer'!C7,"/",'A créer'!B7))</f>
        <v>SOCIETE GENERALE 0490 DALKIA SMART BUILDING/DCW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6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6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6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6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6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95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25">
      <c r="A8" s="2" t="str">
        <f>IF(AND(LEN('A créer'!P8)=0,OR('A créer'!D8="Oui",LEN('A créer'!D8)=0))=TRUE,"","*FN")</f>
        <v>*FN</v>
      </c>
      <c r="B8" s="6">
        <f>IF(AND(LEN('A créer'!P8)=0,OR('A créer'!D8="Oui",LEN('A créer'!D8)=0))=TRUE,"",'A créer'!P8)</f>
        <v>0</v>
      </c>
      <c r="C8" s="2" t="str">
        <f>IF(AND(LEN('A créer'!P8)=0,OR('A créer'!D8="Oui",LEN('A créer'!D8)=0))=TRUE,"","Tab")</f>
        <v>Tab</v>
      </c>
      <c r="D8" s="6" t="str">
        <f>IF(AND(LEN('A créer'!P8)=0,OR('A créer'!D8="Oui",LEN('A créer'!D8)=0))=TRUE,"",CONCATENATE('A créer'!Q8," ",'A créer'!A8," ",'A créer'!C8,"/",'A créer'!B8))</f>
        <v>SOCIETE GENERALE 0490 DALKIA SMART BUILDING/DEW</v>
      </c>
      <c r="E8" s="2" t="str">
        <f>IF(AND(LEN('A créer'!P8)=0,OR('A créer'!D8="Oui",LEN('A créer'!D8)=0))=TRUE,"","Tab 4")</f>
        <v>Tab 4</v>
      </c>
      <c r="F8" s="2" t="str">
        <f>IF(AND(LEN('A créer'!P8)=0,OR('A créer'!D8="Oui",LEN('A créer'!D8)=0))=TRUE,"","Tab")</f>
        <v>Tab</v>
      </c>
      <c r="G8" s="2" t="str">
        <f>IF(AND(LEN('A créer'!P8)=0,OR('A créer'!D8="Oui",LEN('A créer'!D8)=0))=TRUE,"","Tab")</f>
        <v>Tab</v>
      </c>
      <c r="H8" s="6" t="str">
        <f>IF(AND(LEN('A créer'!P8)=0,OR('A créer'!D8="Oui",LEN('A créer'!D8)=0))=TRUE,"","Non")</f>
        <v>Non</v>
      </c>
      <c r="I8" s="2" t="str">
        <f>IF(AND(LEN('A créer'!P8)=0,OR('A créer'!D8="Oui",LEN('A créer'!D8)=0))=TRUE,"","Tab")</f>
        <v>Tab</v>
      </c>
      <c r="J8" s="6" t="str">
        <f>IF(AND(LEN('A créer'!P8)=0,OR('A créer'!D8="Oui",LEN('A créer'!D8)=0))=TRUE,"","Oui")</f>
        <v>Oui</v>
      </c>
      <c r="K8" s="2" t="str">
        <f>IF(AND(LEN('A créer'!P8)=0,OR('A créer'!D8="Oui",LEN('A créer'!D8)=0))=TRUE,"","Tab")</f>
        <v>Tab</v>
      </c>
      <c r="L8" s="6" t="str">
        <f>IF(AND(LEN('A créer'!P8)=0,OR('A créer'!D8="Oui",LEN('A créer'!D8)=0))=TRUE,"","Actif")</f>
        <v>Actif</v>
      </c>
      <c r="M8" s="2" t="str">
        <f>IF(AND(LEN('A créer'!P8)=0,OR('A créer'!D8="Oui",LEN('A créer'!D8)=0))=TRUE,"","Tab")</f>
        <v>Tab</v>
      </c>
      <c r="N8" s="6" t="str">
        <f>IF(AND(LEN('A créer'!P8)=0,OR('A créer'!D8="Oui",LEN('A créer'!D8)=0))=TRUE,"","Non")</f>
        <v>Non</v>
      </c>
      <c r="O8" s="2" t="str">
        <f>IF(AND(LEN('A créer'!P8)=0,OR('A créer'!D8="Oui",LEN('A créer'!D8)=0))=TRUE,"","Tab")</f>
        <v>Tab</v>
      </c>
      <c r="P8" s="6" t="str">
        <f>IF(AND(LEN('A créer'!P8)=0,OR('A créer'!D8="Oui",LEN('A créer'!D8)=0))=TRUE,"","Non")</f>
        <v>Non</v>
      </c>
      <c r="Q8" s="2" t="str">
        <f>IF(AND(LEN('A créer'!P8)=0,OR('A créer'!D8="Oui",LEN('A créer'!D8)=0))=TRUE,"","Tab")</f>
        <v>Tab</v>
      </c>
      <c r="R8" s="2" t="str">
        <f>IF(AND(LEN('A créer'!P8)=0,OR('A créer'!D8="Oui",LEN('A créer'!D8)=0))=TRUE,"","ENT")</f>
        <v>ENT</v>
      </c>
      <c r="S8" s="2" t="s">
        <v>95</v>
      </c>
      <c r="T8" s="2" t="str">
        <f>IF(AND(LEN('A créer'!P8)=0,OR('A créer'!D8="Oui",LEN('A créer'!D8)=0))=TRUE,"","Tab")</f>
        <v>Tab</v>
      </c>
      <c r="U8" s="2" t="str">
        <f>IF(AND(LEN('A créer'!P8)=0,OR('A créer'!D8="Oui",LEN('A créer'!D8)=0))=TRUE,"","Tab")</f>
        <v>Tab</v>
      </c>
      <c r="V8" s="2" t="str">
        <f>IF(AND(LEN('A créer'!P8)=0,OR('A créer'!D8="Oui",LEN('A créer'!D8)=0))=TRUE,"","Tab")</f>
        <v>Tab</v>
      </c>
      <c r="W8" s="4" t="str">
        <f>IF(AND(LEN('A créer'!P8)=0,OR('A créer'!D8="Oui",LEN('A créer'!D8)=0))=TRUE,"","Non")</f>
        <v>Non</v>
      </c>
      <c r="X8" s="2" t="str">
        <f>IF(AND(LEN('A créer'!P8)=0,OR('A créer'!D8="Oui",LEN('A créer'!D8)=0))=TRUE,"","ENT")</f>
        <v>ENT</v>
      </c>
      <c r="Y8" s="2" t="str">
        <f>IF(AND(LEN('A créer'!P8)=0,OR('A créer'!D8="Oui",LEN('A créer'!D8)=0))=TRUE,"","*SAVE")</f>
        <v>*SAVE</v>
      </c>
    </row>
    <row r="9" spans="1:25" x14ac:dyDescent="0.25">
      <c r="A9" s="2" t="str">
        <f>IF(AND(LEN('A créer'!P9)=0,OR('A créer'!D9="Oui",LEN('A créer'!D9)=0))=TRUE,"","*FN")</f>
        <v>*FN</v>
      </c>
      <c r="B9" s="6">
        <f>IF(AND(LEN('A créer'!P9)=0,OR('A créer'!D9="Oui",LEN('A créer'!D9)=0))=TRUE,"",'A créer'!P9)</f>
        <v>0</v>
      </c>
      <c r="C9" s="2" t="str">
        <f>IF(AND(LEN('A créer'!P9)=0,OR('A créer'!D9="Oui",LEN('A créer'!D9)=0))=TRUE,"","Tab")</f>
        <v>Tab</v>
      </c>
      <c r="D9" s="6" t="str">
        <f>IF(AND(LEN('A créer'!P9)=0,OR('A créer'!D9="Oui",LEN('A créer'!D9)=0))=TRUE,"",CONCATENATE('A créer'!Q9," ",'A créer'!A9," ",'A créer'!C9,"/",'A créer'!B9))</f>
        <v>SOCIETE GENERALE 0490 DALKIA SMART BUILDING/DLS</v>
      </c>
      <c r="E9" s="2" t="str">
        <f>IF(AND(LEN('A créer'!P9)=0,OR('A créer'!D9="Oui",LEN('A créer'!D9)=0))=TRUE,"","Tab 4")</f>
        <v>Tab 4</v>
      </c>
      <c r="F9" s="2" t="str">
        <f>IF(AND(LEN('A créer'!P9)=0,OR('A créer'!D9="Oui",LEN('A créer'!D9)=0))=TRUE,"","Tab")</f>
        <v>Tab</v>
      </c>
      <c r="G9" s="2" t="str">
        <f>IF(AND(LEN('A créer'!P9)=0,OR('A créer'!D9="Oui",LEN('A créer'!D9)=0))=TRUE,"","Tab")</f>
        <v>Tab</v>
      </c>
      <c r="H9" s="6" t="str">
        <f>IF(AND(LEN('A créer'!P9)=0,OR('A créer'!D9="Oui",LEN('A créer'!D9)=0))=TRUE,"","Non")</f>
        <v>Non</v>
      </c>
      <c r="I9" s="2" t="str">
        <f>IF(AND(LEN('A créer'!P9)=0,OR('A créer'!D9="Oui",LEN('A créer'!D9)=0))=TRUE,"","Tab")</f>
        <v>Tab</v>
      </c>
      <c r="J9" s="6" t="str">
        <f>IF(AND(LEN('A créer'!P9)=0,OR('A créer'!D9="Oui",LEN('A créer'!D9)=0))=TRUE,"","Oui")</f>
        <v>Oui</v>
      </c>
      <c r="K9" s="2" t="str">
        <f>IF(AND(LEN('A créer'!P9)=0,OR('A créer'!D9="Oui",LEN('A créer'!D9)=0))=TRUE,"","Tab")</f>
        <v>Tab</v>
      </c>
      <c r="L9" s="6" t="str">
        <f>IF(AND(LEN('A créer'!P9)=0,OR('A créer'!D9="Oui",LEN('A créer'!D9)=0))=TRUE,"","Actif")</f>
        <v>Actif</v>
      </c>
      <c r="M9" s="2" t="str">
        <f>IF(AND(LEN('A créer'!P9)=0,OR('A créer'!D9="Oui",LEN('A créer'!D9)=0))=TRUE,"","Tab")</f>
        <v>Tab</v>
      </c>
      <c r="N9" s="6" t="str">
        <f>IF(AND(LEN('A créer'!P9)=0,OR('A créer'!D9="Oui",LEN('A créer'!D9)=0))=TRUE,"","Non")</f>
        <v>Non</v>
      </c>
      <c r="O9" s="2" t="str">
        <f>IF(AND(LEN('A créer'!P9)=0,OR('A créer'!D9="Oui",LEN('A créer'!D9)=0))=TRUE,"","Tab")</f>
        <v>Tab</v>
      </c>
      <c r="P9" s="6" t="str">
        <f>IF(AND(LEN('A créer'!P9)=0,OR('A créer'!D9="Oui",LEN('A créer'!D9)=0))=TRUE,"","Non")</f>
        <v>Non</v>
      </c>
      <c r="Q9" s="2" t="str">
        <f>IF(AND(LEN('A créer'!P9)=0,OR('A créer'!D9="Oui",LEN('A créer'!D9)=0))=TRUE,"","Tab")</f>
        <v>Tab</v>
      </c>
      <c r="R9" s="2" t="str">
        <f>IF(AND(LEN('A créer'!P9)=0,OR('A créer'!D9="Oui",LEN('A créer'!D9)=0))=TRUE,"","ENT")</f>
        <v>ENT</v>
      </c>
      <c r="S9" s="2" t="s">
        <v>95</v>
      </c>
      <c r="T9" s="2" t="str">
        <f>IF(AND(LEN('A créer'!P9)=0,OR('A créer'!D9="Oui",LEN('A créer'!D9)=0))=TRUE,"","Tab")</f>
        <v>Tab</v>
      </c>
      <c r="U9" s="2" t="str">
        <f>IF(AND(LEN('A créer'!P9)=0,OR('A créer'!D9="Oui",LEN('A créer'!D9)=0))=TRUE,"","Tab")</f>
        <v>Tab</v>
      </c>
      <c r="V9" s="2" t="str">
        <f>IF(AND(LEN('A créer'!P9)=0,OR('A créer'!D9="Oui",LEN('A créer'!D9)=0))=TRUE,"","Tab")</f>
        <v>Tab</v>
      </c>
      <c r="W9" s="4" t="str">
        <f>IF(AND(LEN('A créer'!P9)=0,OR('A créer'!D9="Oui",LEN('A créer'!D9)=0))=TRUE,"","Non")</f>
        <v>Non</v>
      </c>
      <c r="X9" s="2" t="str">
        <f>IF(AND(LEN('A créer'!P9)=0,OR('A créer'!D9="Oui",LEN('A créer'!D9)=0))=TRUE,"","ENT")</f>
        <v>ENT</v>
      </c>
      <c r="Y9" s="2" t="str">
        <f>IF(AND(LEN('A créer'!P9)=0,OR('A créer'!D9="Oui",LEN('A créer'!D9)=0))=TRUE,"","*SAVE")</f>
        <v>*SAVE</v>
      </c>
    </row>
    <row r="10" spans="1:25" x14ac:dyDescent="0.25">
      <c r="A10" s="2" t="str">
        <f>IF(AND(LEN('A créer'!P10)=0,OR('A créer'!D10="Oui",LEN('A créer'!D10)=0))=TRUE,"","*FN")</f>
        <v>*FN</v>
      </c>
      <c r="B10" s="6">
        <f>IF(AND(LEN('A créer'!P10)=0,OR('A créer'!D10="Oui",LEN('A créer'!D10)=0))=TRUE,"",'A créer'!P10)</f>
        <v>0</v>
      </c>
      <c r="C10" s="2" t="str">
        <f>IF(AND(LEN('A créer'!P10)=0,OR('A créer'!D10="Oui",LEN('A créer'!D10)=0))=TRUE,"","Tab")</f>
        <v>Tab</v>
      </c>
      <c r="D10" s="6" t="str">
        <f>IF(AND(LEN('A créer'!P10)=0,OR('A créer'!D10="Oui",LEN('A créer'!D10)=0))=TRUE,"",CONCATENATE('A créer'!Q10," ",'A créer'!A10," ",'A créer'!C10,"/",'A créer'!B10))</f>
        <v>SOCIETE GENERALE 0490 DALKIA SMART BUILDING/DMS</v>
      </c>
      <c r="E10" s="2" t="str">
        <f>IF(AND(LEN('A créer'!P10)=0,OR('A créer'!D10="Oui",LEN('A créer'!D10)=0))=TRUE,"","Tab 4")</f>
        <v>Tab 4</v>
      </c>
      <c r="F10" s="2" t="str">
        <f>IF(AND(LEN('A créer'!P10)=0,OR('A créer'!D10="Oui",LEN('A créer'!D10)=0))=TRUE,"","Tab")</f>
        <v>Tab</v>
      </c>
      <c r="G10" s="2" t="str">
        <f>IF(AND(LEN('A créer'!P10)=0,OR('A créer'!D10="Oui",LEN('A créer'!D10)=0))=TRUE,"","Tab")</f>
        <v>Tab</v>
      </c>
      <c r="H10" s="6" t="str">
        <f>IF(AND(LEN('A créer'!P10)=0,OR('A créer'!D10="Oui",LEN('A créer'!D10)=0))=TRUE,"","Non")</f>
        <v>Non</v>
      </c>
      <c r="I10" s="2" t="str">
        <f>IF(AND(LEN('A créer'!P10)=0,OR('A créer'!D10="Oui",LEN('A créer'!D10)=0))=TRUE,"","Tab")</f>
        <v>Tab</v>
      </c>
      <c r="J10" s="6" t="str">
        <f>IF(AND(LEN('A créer'!P10)=0,OR('A créer'!D10="Oui",LEN('A créer'!D10)=0))=TRUE,"","Oui")</f>
        <v>Oui</v>
      </c>
      <c r="K10" s="2" t="str">
        <f>IF(AND(LEN('A créer'!P10)=0,OR('A créer'!D10="Oui",LEN('A créer'!D10)=0))=TRUE,"","Tab")</f>
        <v>Tab</v>
      </c>
      <c r="L10" s="6" t="str">
        <f>IF(AND(LEN('A créer'!P10)=0,OR('A créer'!D10="Oui",LEN('A créer'!D10)=0))=TRUE,"","Actif")</f>
        <v>Actif</v>
      </c>
      <c r="M10" s="2" t="str">
        <f>IF(AND(LEN('A créer'!P10)=0,OR('A créer'!D10="Oui",LEN('A créer'!D10)=0))=TRUE,"","Tab")</f>
        <v>Tab</v>
      </c>
      <c r="N10" s="6" t="str">
        <f>IF(AND(LEN('A créer'!P10)=0,OR('A créer'!D10="Oui",LEN('A créer'!D10)=0))=TRUE,"","Non")</f>
        <v>Non</v>
      </c>
      <c r="O10" s="2" t="str">
        <f>IF(AND(LEN('A créer'!P10)=0,OR('A créer'!D10="Oui",LEN('A créer'!D10)=0))=TRUE,"","Tab")</f>
        <v>Tab</v>
      </c>
      <c r="P10" s="6" t="str">
        <f>IF(AND(LEN('A créer'!P10)=0,OR('A créer'!D10="Oui",LEN('A créer'!D10)=0))=TRUE,"","Non")</f>
        <v>Non</v>
      </c>
      <c r="Q10" s="2" t="str">
        <f>IF(AND(LEN('A créer'!P10)=0,OR('A créer'!D10="Oui",LEN('A créer'!D10)=0))=TRUE,"","Tab")</f>
        <v>Tab</v>
      </c>
      <c r="R10" s="2" t="str">
        <f>IF(AND(LEN('A créer'!P10)=0,OR('A créer'!D10="Oui",LEN('A créer'!D10)=0))=TRUE,"","ENT")</f>
        <v>ENT</v>
      </c>
      <c r="S10" s="2" t="s">
        <v>95</v>
      </c>
      <c r="T10" s="2" t="str">
        <f>IF(AND(LEN('A créer'!P10)=0,OR('A créer'!D10="Oui",LEN('A créer'!D10)=0))=TRUE,"","Tab")</f>
        <v>Tab</v>
      </c>
      <c r="U10" s="2" t="str">
        <f>IF(AND(LEN('A créer'!P10)=0,OR('A créer'!D10="Oui",LEN('A créer'!D10)=0))=TRUE,"","Tab")</f>
        <v>Tab</v>
      </c>
      <c r="V10" s="2" t="str">
        <f>IF(AND(LEN('A créer'!P10)=0,OR('A créer'!D10="Oui",LEN('A créer'!D10)=0))=TRUE,"","Tab")</f>
        <v>Tab</v>
      </c>
      <c r="W10" s="4" t="str">
        <f>IF(AND(LEN('A créer'!P10)=0,OR('A créer'!D10="Oui",LEN('A créer'!D10)=0))=TRUE,"","Non")</f>
        <v>Non</v>
      </c>
      <c r="X10" s="2" t="str">
        <f>IF(AND(LEN('A créer'!P10)=0,OR('A créer'!D10="Oui",LEN('A créer'!D10)=0))=TRUE,"","ENT")</f>
        <v>ENT</v>
      </c>
      <c r="Y10" s="2" t="str">
        <f>IF(AND(LEN('A créer'!P10)=0,OR('A créer'!D10="Oui",LEN('A créer'!D10)=0))=TRUE,"","*SAVE")</f>
        <v>*SAVE</v>
      </c>
    </row>
    <row r="11" spans="1:25" x14ac:dyDescent="0.25">
      <c r="A11" s="2" t="str">
        <f>IF(AND(LEN('A créer'!P11)=0,OR('A créer'!D11="Oui",LEN('A créer'!D11)=0))=TRUE,"","*FN")</f>
        <v>*FN</v>
      </c>
      <c r="B11" s="6">
        <f>IF(AND(LEN('A créer'!P11)=0,OR('A créer'!D11="Oui",LEN('A créer'!D11)=0))=TRUE,"",'A créer'!P11)</f>
        <v>0</v>
      </c>
      <c r="C11" s="2" t="str">
        <f>IF(AND(LEN('A créer'!P11)=0,OR('A créer'!D11="Oui",LEN('A créer'!D11)=0))=TRUE,"","Tab")</f>
        <v>Tab</v>
      </c>
      <c r="D11" s="6" t="str">
        <f>IF(AND(LEN('A créer'!P11)=0,OR('A créer'!D11="Oui",LEN('A créer'!D11)=0))=TRUE,"",CONCATENATE('A créer'!Q11," ",'A créer'!A11," ",'A créer'!C11,"/",'A créer'!B11))</f>
        <v>SOCIETE GENERALE 0490 DALKIA SMART BUILDING/DNA</v>
      </c>
      <c r="E11" s="2" t="str">
        <f>IF(AND(LEN('A créer'!P11)=0,OR('A créer'!D11="Oui",LEN('A créer'!D11)=0))=TRUE,"","Tab 4")</f>
        <v>Tab 4</v>
      </c>
      <c r="F11" s="2" t="str">
        <f>IF(AND(LEN('A créer'!P11)=0,OR('A créer'!D11="Oui",LEN('A créer'!D11)=0))=TRUE,"","Tab")</f>
        <v>Tab</v>
      </c>
      <c r="G11" s="2" t="str">
        <f>IF(AND(LEN('A créer'!P11)=0,OR('A créer'!D11="Oui",LEN('A créer'!D11)=0))=TRUE,"","Tab")</f>
        <v>Tab</v>
      </c>
      <c r="H11" s="6" t="str">
        <f>IF(AND(LEN('A créer'!P11)=0,OR('A créer'!D11="Oui",LEN('A créer'!D11)=0))=TRUE,"","Non")</f>
        <v>Non</v>
      </c>
      <c r="I11" s="2" t="str">
        <f>IF(AND(LEN('A créer'!P11)=0,OR('A créer'!D11="Oui",LEN('A créer'!D11)=0))=TRUE,"","Tab")</f>
        <v>Tab</v>
      </c>
      <c r="J11" s="6" t="str">
        <f>IF(AND(LEN('A créer'!P11)=0,OR('A créer'!D11="Oui",LEN('A créer'!D11)=0))=TRUE,"","Oui")</f>
        <v>Oui</v>
      </c>
      <c r="K11" s="2" t="str">
        <f>IF(AND(LEN('A créer'!P11)=0,OR('A créer'!D11="Oui",LEN('A créer'!D11)=0))=TRUE,"","Tab")</f>
        <v>Tab</v>
      </c>
      <c r="L11" s="6" t="str">
        <f>IF(AND(LEN('A créer'!P11)=0,OR('A créer'!D11="Oui",LEN('A créer'!D11)=0))=TRUE,"","Actif")</f>
        <v>Actif</v>
      </c>
      <c r="M11" s="2" t="str">
        <f>IF(AND(LEN('A créer'!P11)=0,OR('A créer'!D11="Oui",LEN('A créer'!D11)=0))=TRUE,"","Tab")</f>
        <v>Tab</v>
      </c>
      <c r="N11" s="6" t="str">
        <f>IF(AND(LEN('A créer'!P11)=0,OR('A créer'!D11="Oui",LEN('A créer'!D11)=0))=TRUE,"","Non")</f>
        <v>Non</v>
      </c>
      <c r="O11" s="2" t="str">
        <f>IF(AND(LEN('A créer'!P11)=0,OR('A créer'!D11="Oui",LEN('A créer'!D11)=0))=TRUE,"","Tab")</f>
        <v>Tab</v>
      </c>
      <c r="P11" s="6" t="str">
        <f>IF(AND(LEN('A créer'!P11)=0,OR('A créer'!D11="Oui",LEN('A créer'!D11)=0))=TRUE,"","Non")</f>
        <v>Non</v>
      </c>
      <c r="Q11" s="2" t="str">
        <f>IF(AND(LEN('A créer'!P11)=0,OR('A créer'!D11="Oui",LEN('A créer'!D11)=0))=TRUE,"","Tab")</f>
        <v>Tab</v>
      </c>
      <c r="R11" s="2" t="str">
        <f>IF(AND(LEN('A créer'!P11)=0,OR('A créer'!D11="Oui",LEN('A créer'!D11)=0))=TRUE,"","ENT")</f>
        <v>ENT</v>
      </c>
      <c r="S11" s="2" t="s">
        <v>95</v>
      </c>
      <c r="T11" s="2" t="str">
        <f>IF(AND(LEN('A créer'!P11)=0,OR('A créer'!D11="Oui",LEN('A créer'!D11)=0))=TRUE,"","Tab")</f>
        <v>Tab</v>
      </c>
      <c r="U11" s="2" t="str">
        <f>IF(AND(LEN('A créer'!P11)=0,OR('A créer'!D11="Oui",LEN('A créer'!D11)=0))=TRUE,"","Tab")</f>
        <v>Tab</v>
      </c>
      <c r="V11" s="2" t="str">
        <f>IF(AND(LEN('A créer'!P11)=0,OR('A créer'!D11="Oui",LEN('A créer'!D11)=0))=TRUE,"","Tab")</f>
        <v>Tab</v>
      </c>
      <c r="W11" s="4" t="str">
        <f>IF(AND(LEN('A créer'!P11)=0,OR('A créer'!D11="Oui",LEN('A créer'!D11)=0))=TRUE,"","Non")</f>
        <v>Non</v>
      </c>
      <c r="X11" s="2" t="str">
        <f>IF(AND(LEN('A créer'!P11)=0,OR('A créer'!D11="Oui",LEN('A créer'!D11)=0))=TRUE,"","ENT")</f>
        <v>ENT</v>
      </c>
      <c r="Y11" s="2" t="str">
        <f>IF(AND(LEN('A créer'!P11)=0,OR('A créer'!D11="Oui",LEN('A créer'!D11)=0))=TRUE,"","*SAVE")</f>
        <v>*SAVE</v>
      </c>
    </row>
    <row r="12" spans="1:25" x14ac:dyDescent="0.25">
      <c r="A12" s="2" t="str">
        <f>IF(AND(LEN('A créer'!P12)=0,OR('A créer'!D12="Oui",LEN('A créer'!D12)=0))=TRUE,"","*FN")</f>
        <v>*FN</v>
      </c>
      <c r="B12" s="6">
        <f>IF(AND(LEN('A créer'!P12)=0,OR('A créer'!D12="Oui",LEN('A créer'!D12)=0))=TRUE,"",'A créer'!P12)</f>
        <v>0</v>
      </c>
      <c r="C12" s="2" t="str">
        <f>IF(AND(LEN('A créer'!P12)=0,OR('A créer'!D12="Oui",LEN('A créer'!D12)=0))=TRUE,"","Tab")</f>
        <v>Tab</v>
      </c>
      <c r="D12" s="6" t="str">
        <f>IF(AND(LEN('A créer'!P12)=0,OR('A créer'!D12="Oui",LEN('A créer'!D12)=0))=TRUE,"",CONCATENATE('A créer'!Q12," ",'A créer'!A12," ",'A créer'!C12,"/",'A créer'!B12))</f>
        <v>SOCIETE GENERALE 0490 DALKIA SMART BUILDING/DRW</v>
      </c>
      <c r="E12" s="2" t="str">
        <f>IF(AND(LEN('A créer'!P12)=0,OR('A créer'!D12="Oui",LEN('A créer'!D12)=0))=TRUE,"","Tab 4")</f>
        <v>Tab 4</v>
      </c>
      <c r="F12" s="2" t="str">
        <f>IF(AND(LEN('A créer'!P12)=0,OR('A créer'!D12="Oui",LEN('A créer'!D12)=0))=TRUE,"","Tab")</f>
        <v>Tab</v>
      </c>
      <c r="G12" s="2" t="str">
        <f>IF(AND(LEN('A créer'!P12)=0,OR('A créer'!D12="Oui",LEN('A créer'!D12)=0))=TRUE,"","Tab")</f>
        <v>Tab</v>
      </c>
      <c r="H12" s="6" t="str">
        <f>IF(AND(LEN('A créer'!P12)=0,OR('A créer'!D12="Oui",LEN('A créer'!D12)=0))=TRUE,"","Non")</f>
        <v>Non</v>
      </c>
      <c r="I12" s="2" t="str">
        <f>IF(AND(LEN('A créer'!P12)=0,OR('A créer'!D12="Oui",LEN('A créer'!D12)=0))=TRUE,"","Tab")</f>
        <v>Tab</v>
      </c>
      <c r="J12" s="6" t="str">
        <f>IF(AND(LEN('A créer'!P12)=0,OR('A créer'!D12="Oui",LEN('A créer'!D12)=0))=TRUE,"","Oui")</f>
        <v>Oui</v>
      </c>
      <c r="K12" s="2" t="str">
        <f>IF(AND(LEN('A créer'!P12)=0,OR('A créer'!D12="Oui",LEN('A créer'!D12)=0))=TRUE,"","Tab")</f>
        <v>Tab</v>
      </c>
      <c r="L12" s="6" t="str">
        <f>IF(AND(LEN('A créer'!P12)=0,OR('A créer'!D12="Oui",LEN('A créer'!D12)=0))=TRUE,"","Actif")</f>
        <v>Actif</v>
      </c>
      <c r="M12" s="2" t="str">
        <f>IF(AND(LEN('A créer'!P12)=0,OR('A créer'!D12="Oui",LEN('A créer'!D12)=0))=TRUE,"","Tab")</f>
        <v>Tab</v>
      </c>
      <c r="N12" s="6" t="str">
        <f>IF(AND(LEN('A créer'!P12)=0,OR('A créer'!D12="Oui",LEN('A créer'!D12)=0))=TRUE,"","Non")</f>
        <v>Non</v>
      </c>
      <c r="O12" s="2" t="str">
        <f>IF(AND(LEN('A créer'!P12)=0,OR('A créer'!D12="Oui",LEN('A créer'!D12)=0))=TRUE,"","Tab")</f>
        <v>Tab</v>
      </c>
      <c r="P12" s="6" t="str">
        <f>IF(AND(LEN('A créer'!P12)=0,OR('A créer'!D12="Oui",LEN('A créer'!D12)=0))=TRUE,"","Non")</f>
        <v>Non</v>
      </c>
      <c r="Q12" s="2" t="str">
        <f>IF(AND(LEN('A créer'!P12)=0,OR('A créer'!D12="Oui",LEN('A créer'!D12)=0))=TRUE,"","Tab")</f>
        <v>Tab</v>
      </c>
      <c r="R12" s="2" t="str">
        <f>IF(AND(LEN('A créer'!P12)=0,OR('A créer'!D12="Oui",LEN('A créer'!D12)=0))=TRUE,"","ENT")</f>
        <v>ENT</v>
      </c>
      <c r="S12" s="2" t="s">
        <v>95</v>
      </c>
      <c r="T12" s="2" t="str">
        <f>IF(AND(LEN('A créer'!P12)=0,OR('A créer'!D12="Oui",LEN('A créer'!D12)=0))=TRUE,"","Tab")</f>
        <v>Tab</v>
      </c>
      <c r="U12" s="2" t="str">
        <f>IF(AND(LEN('A créer'!P12)=0,OR('A créer'!D12="Oui",LEN('A créer'!D12)=0))=TRUE,"","Tab")</f>
        <v>Tab</v>
      </c>
      <c r="V12" s="2" t="str">
        <f>IF(AND(LEN('A créer'!P12)=0,OR('A créer'!D12="Oui",LEN('A créer'!D12)=0))=TRUE,"","Tab")</f>
        <v>Tab</v>
      </c>
      <c r="W12" s="4" t="str">
        <f>IF(AND(LEN('A créer'!P12)=0,OR('A créer'!D12="Oui",LEN('A créer'!D12)=0))=TRUE,"","Non")</f>
        <v>Non</v>
      </c>
      <c r="X12" s="2" t="str">
        <f>IF(AND(LEN('A créer'!P12)=0,OR('A créer'!D12="Oui",LEN('A créer'!D12)=0))=TRUE,"","ENT")</f>
        <v>ENT</v>
      </c>
      <c r="Y12" s="2" t="str">
        <f>IF(AND(LEN('A créer'!P12)=0,OR('A créer'!D12="Oui",LEN('A créer'!D12)=0))=TRUE,"","*SAVE")</f>
        <v>*SAVE</v>
      </c>
    </row>
    <row r="13" spans="1:25" x14ac:dyDescent="0.25">
      <c r="A13" s="2" t="str">
        <f>IF(AND(LEN('A créer'!P13)=0,OR('A créer'!D13="Oui",LEN('A créer'!D13)=0))=TRUE,"","*FN")</f>
        <v>*FN</v>
      </c>
      <c r="B13" s="6">
        <f>IF(AND(LEN('A créer'!P13)=0,OR('A créer'!D13="Oui",LEN('A créer'!D13)=0))=TRUE,"",'A créer'!P13)</f>
        <v>0</v>
      </c>
      <c r="C13" s="2" t="str">
        <f>IF(AND(LEN('A créer'!P13)=0,OR('A créer'!D13="Oui",LEN('A créer'!D13)=0))=TRUE,"","Tab")</f>
        <v>Tab</v>
      </c>
      <c r="D13" s="6" t="str">
        <f>IF(AND(LEN('A créer'!P13)=0,OR('A créer'!D13="Oui",LEN('A créer'!D13)=0))=TRUE,"",CONCATENATE('A créer'!Q13," ",'A créer'!A13," ",'A créer'!C13,"/",'A créer'!B13))</f>
        <v>SOCIETE GENERALE 0490 DALKIA SMART BUILDING/DSW</v>
      </c>
      <c r="E13" s="2" t="str">
        <f>IF(AND(LEN('A créer'!P13)=0,OR('A créer'!D13="Oui",LEN('A créer'!D13)=0))=TRUE,"","Tab 4")</f>
        <v>Tab 4</v>
      </c>
      <c r="F13" s="2" t="str">
        <f>IF(AND(LEN('A créer'!P13)=0,OR('A créer'!D13="Oui",LEN('A créer'!D13)=0))=TRUE,"","Tab")</f>
        <v>Tab</v>
      </c>
      <c r="G13" s="2" t="str">
        <f>IF(AND(LEN('A créer'!P13)=0,OR('A créer'!D13="Oui",LEN('A créer'!D13)=0))=TRUE,"","Tab")</f>
        <v>Tab</v>
      </c>
      <c r="H13" s="6" t="str">
        <f>IF(AND(LEN('A créer'!P13)=0,OR('A créer'!D13="Oui",LEN('A créer'!D13)=0))=TRUE,"","Non")</f>
        <v>Non</v>
      </c>
      <c r="I13" s="2" t="str">
        <f>IF(AND(LEN('A créer'!P13)=0,OR('A créer'!D13="Oui",LEN('A créer'!D13)=0))=TRUE,"","Tab")</f>
        <v>Tab</v>
      </c>
      <c r="J13" s="6" t="str">
        <f>IF(AND(LEN('A créer'!P13)=0,OR('A créer'!D13="Oui",LEN('A créer'!D13)=0))=TRUE,"","Oui")</f>
        <v>Oui</v>
      </c>
      <c r="K13" s="2" t="str">
        <f>IF(AND(LEN('A créer'!P13)=0,OR('A créer'!D13="Oui",LEN('A créer'!D13)=0))=TRUE,"","Tab")</f>
        <v>Tab</v>
      </c>
      <c r="L13" s="6" t="str">
        <f>IF(AND(LEN('A créer'!P13)=0,OR('A créer'!D13="Oui",LEN('A créer'!D13)=0))=TRUE,"","Actif")</f>
        <v>Actif</v>
      </c>
      <c r="M13" s="2" t="str">
        <f>IF(AND(LEN('A créer'!P13)=0,OR('A créer'!D13="Oui",LEN('A créer'!D13)=0))=TRUE,"","Tab")</f>
        <v>Tab</v>
      </c>
      <c r="N13" s="6" t="str">
        <f>IF(AND(LEN('A créer'!P13)=0,OR('A créer'!D13="Oui",LEN('A créer'!D13)=0))=TRUE,"","Non")</f>
        <v>Non</v>
      </c>
      <c r="O13" s="2" t="str">
        <f>IF(AND(LEN('A créer'!P13)=0,OR('A créer'!D13="Oui",LEN('A créer'!D13)=0))=TRUE,"","Tab")</f>
        <v>Tab</v>
      </c>
      <c r="P13" s="6" t="str">
        <f>IF(AND(LEN('A créer'!P13)=0,OR('A créer'!D13="Oui",LEN('A créer'!D13)=0))=TRUE,"","Non")</f>
        <v>Non</v>
      </c>
      <c r="Q13" s="2" t="str">
        <f>IF(AND(LEN('A créer'!P13)=0,OR('A créer'!D13="Oui",LEN('A créer'!D13)=0))=TRUE,"","Tab")</f>
        <v>Tab</v>
      </c>
      <c r="R13" s="2" t="str">
        <f>IF(AND(LEN('A créer'!P13)=0,OR('A créer'!D13="Oui",LEN('A créer'!D13)=0))=TRUE,"","ENT")</f>
        <v>ENT</v>
      </c>
      <c r="S13" s="2" t="s">
        <v>95</v>
      </c>
      <c r="T13" s="2" t="str">
        <f>IF(AND(LEN('A créer'!P13)=0,OR('A créer'!D13="Oui",LEN('A créer'!D13)=0))=TRUE,"","Tab")</f>
        <v>Tab</v>
      </c>
      <c r="U13" s="2" t="str">
        <f>IF(AND(LEN('A créer'!P13)=0,OR('A créer'!D13="Oui",LEN('A créer'!D13)=0))=TRUE,"","Tab")</f>
        <v>Tab</v>
      </c>
      <c r="V13" s="2" t="str">
        <f>IF(AND(LEN('A créer'!P13)=0,OR('A créer'!D13="Oui",LEN('A créer'!D13)=0))=TRUE,"","Tab")</f>
        <v>Tab</v>
      </c>
      <c r="W13" s="4" t="str">
        <f>IF(AND(LEN('A créer'!P13)=0,OR('A créer'!D13="Oui",LEN('A créer'!D13)=0))=TRUE,"","Non")</f>
        <v>Non</v>
      </c>
      <c r="X13" s="2" t="str">
        <f>IF(AND(LEN('A créer'!P13)=0,OR('A créer'!D13="Oui",LEN('A créer'!D13)=0))=TRUE,"","ENT")</f>
        <v>ENT</v>
      </c>
      <c r="Y13" s="2" t="str">
        <f>IF(AND(LEN('A créer'!P13)=0,OR('A créer'!D13="Oui",LEN('A créer'!D13)=0))=TRUE,"","*SAVE")</f>
        <v>*SAVE</v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zoomScale="80" zoomScaleNormal="80" workbookViewId="0">
      <pane ySplit="1" topLeftCell="A2" activePane="bottomLeft" state="frozenSplit"/>
      <selection pane="bottomLeft" activeCell="A3" sqref="A3:R10"/>
    </sheetView>
  </sheetViews>
  <sheetFormatPr baseColWidth="10" defaultRowHeight="15" x14ac:dyDescent="0.25"/>
  <cols>
    <col min="1" max="1" width="4.28515625" bestFit="1" customWidth="1"/>
    <col min="2" max="2" width="8.42578125" bestFit="1" customWidth="1"/>
    <col min="3" max="3" width="4" bestFit="1" customWidth="1"/>
    <col min="5" max="5" width="5.42578125" bestFit="1" customWidth="1"/>
    <col min="6" max="7" width="4" bestFit="1" customWidth="1"/>
    <col min="8" max="8" width="4.28515625" bestFit="1" customWidth="1"/>
    <col min="9" max="9" width="6.140625" bestFit="1" customWidth="1"/>
    <col min="10" max="10" width="4.28515625" bestFit="1" customWidth="1"/>
    <col min="12" max="12" width="4" bestFit="1" customWidth="1"/>
    <col min="13" max="13" width="44.85546875" bestFit="1" customWidth="1"/>
    <col min="14" max="14" width="5.42578125" bestFit="1" customWidth="1"/>
    <col min="15" max="15" width="4" bestFit="1" customWidth="1"/>
    <col min="16" max="16" width="4.42578125" customWidth="1"/>
    <col min="17" max="17" width="4.28515625" bestFit="1" customWidth="1"/>
    <col min="18" max="18" width="6.140625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95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95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DEW0491</v>
      </c>
      <c r="C2" s="2" t="str">
        <f>IF(LEN('A créer'!C2)=0,"","Tab")</f>
        <v>Tab</v>
      </c>
      <c r="D2" t="str">
        <f>IF(LEN('A créer'!C2)=0,"",CONCATENATE(,'A créer'!B2,'A créer'!A2,"-",'A créer'!C2))</f>
        <v>DEW0491-CALORIMER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FB0078088L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DEW_0491PF FPS 0491 CALORIMER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>*FN</v>
      </c>
      <c r="B3" t="str">
        <f>IF(LEN('A créer'!C3)=0,"",CONCATENATE(,'A créer'!B3,'A créer'!A3))</f>
        <v>DRW0492</v>
      </c>
      <c r="C3" s="2" t="str">
        <f>IF(LEN('A créer'!C3)=0,"","Tab")</f>
        <v>Tab</v>
      </c>
      <c r="D3" t="str">
        <f>IF(LEN('A créer'!C3)=0,"",CONCATENATE(,'A créer'!B3,'A créer'!A3,"-",'A créer'!C3))</f>
        <v>DRW0492-CAMILLE CLAUDEL ENERGIES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FB0078107H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DRW_0492PF FPS 0492 CAMILLE CLAUDEL ENERGIES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25">
      <c r="A4" s="2" t="str">
        <f>IF(LEN('A créer'!C4)=0,"","*FN")</f>
        <v>*FN</v>
      </c>
      <c r="B4" t="str">
        <f>IF(LEN('A créer'!C4)=0,"",CONCATENATE(,'A créer'!B4,'A créer'!A4))</f>
        <v>DSW0493</v>
      </c>
      <c r="C4" s="2" t="str">
        <f>IF(LEN('A créer'!C4)=0,"","Tab")</f>
        <v>Tab</v>
      </c>
      <c r="D4" t="str">
        <f>IF(LEN('A créer'!C4)=0,"",CONCATENATE(,'A créer'!B4,'A créer'!A4,"-",'A créer'!C4))</f>
        <v>DSW0493-EDDAL ECOMANCHE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FB0078156N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DSW_0493PF FPS 0493 EDDAL ECOMANCHE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25">
      <c r="A5" s="2" t="str">
        <f>IF(LEN('A créer'!C5)=0,"","*FN")</f>
        <v>*FN</v>
      </c>
      <c r="B5" t="str">
        <f>IF(LEN('A créer'!C5)=0,"",CONCATENATE(,'A créer'!B5,'A créer'!A5))</f>
        <v>DMS0498</v>
      </c>
      <c r="C5" s="2" t="str">
        <f>IF(LEN('A créer'!C5)=0,"","Tab")</f>
        <v>Tab</v>
      </c>
      <c r="D5" t="str">
        <f>IF(LEN('A créer'!C5)=0,"",CONCATENATE(,'A créer'!B5,'A créer'!A5,"-",'A créer'!C5))</f>
        <v>DMS0498-ECO ROC NOIR</v>
      </c>
      <c r="E5" s="2" t="str">
        <f>IF(LEN('A créer'!C5)=0,"","Tab 4")</f>
        <v>Tab 4</v>
      </c>
      <c r="F5" s="2" t="str">
        <f>IF(LEN('A créer'!C5)=0,"","Tab")</f>
        <v>Tab</v>
      </c>
      <c r="G5" s="2" t="str">
        <f>IF(LEN('A créer'!C5)=0,"","Tab")</f>
        <v>Tab</v>
      </c>
      <c r="H5" s="2" t="str">
        <f>IF(LEN('A créer'!C5)=0,"","ENT")</f>
        <v>ENT</v>
      </c>
      <c r="I5" s="2" t="str">
        <f>IF(LEN('A créer'!C5)=0,"","*SAVE")</f>
        <v>*SAVE</v>
      </c>
      <c r="J5" s="2" t="str">
        <f>IF(LEN('A créer'!R5)=0,"","*FN")</f>
        <v>*FN</v>
      </c>
      <c r="K5" t="str">
        <f>IF(LEN('A créer'!R5)=0,"",'A créer'!R5)</f>
        <v>FB0078096W</v>
      </c>
      <c r="L5" s="2" t="str">
        <f>IF(LEN('A créer'!R5)=0,"","Tab")</f>
        <v>Tab</v>
      </c>
      <c r="M5" t="str">
        <f>IF(LEN('A créer'!R5)=0,"",CONCATENATE(,'A créer'!B5,"_",'A créer'!A5,"PF FPS ",'A créer'!A5," ",'A créer'!C5))</f>
        <v>DMS_0498PF FPS 0498 ECO ROC NOIR</v>
      </c>
      <c r="N5" s="2" t="str">
        <f>IF(LEN('A créer'!R5)=0,"","Tab 4")</f>
        <v>Tab 4</v>
      </c>
      <c r="O5" s="2" t="str">
        <f>IF(LEN('A créer'!R5)=0,"","Tab")</f>
        <v>Tab</v>
      </c>
      <c r="P5" s="2" t="str">
        <f>IF(LEN('A créer'!R5)=0,"","Tab")</f>
        <v>Tab</v>
      </c>
      <c r="Q5" s="2" t="str">
        <f>IF(LEN('A créer'!R5)=0,"","ENT")</f>
        <v>ENT</v>
      </c>
      <c r="R5" s="2" t="str">
        <f>IF(LEN('A créer'!R5)=0,"","*SAVE")</f>
        <v>*SAVE</v>
      </c>
    </row>
    <row r="6" spans="1:18" x14ac:dyDescent="0.25">
      <c r="A6" s="2" t="str">
        <f>IF(LEN('A créer'!C6)=0,"","*FN")</f>
        <v>*FN</v>
      </c>
      <c r="B6" t="str">
        <f>IF(LEN('A créer'!C6)=0,"",CONCATENATE(,'A créer'!B6,'A créer'!A6))</f>
        <v>DOS0490</v>
      </c>
      <c r="C6" s="2" t="str">
        <f>IF(LEN('A créer'!C6)=0,"","Tab")</f>
        <v>Tab</v>
      </c>
      <c r="D6" t="str">
        <f>IF(LEN('A créer'!C6)=0,"",CONCATENATE(,'A créer'!B6,'A créer'!A6,"-",'A créer'!C6))</f>
        <v>DOS0490-DALKIA SMART BUILDING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FB0078047P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DOS_0490PF FPS 0490 DALKIA SMART BUILDING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25">
      <c r="A7" s="2" t="str">
        <f>IF(LEN('A créer'!C7)=0,"","*FN")</f>
        <v>*FN</v>
      </c>
      <c r="B7" t="str">
        <f>IF(LEN('A créer'!C7)=0,"",CONCATENATE(,'A créer'!B7,'A créer'!A7))</f>
        <v>DCW0490</v>
      </c>
      <c r="C7" s="2" t="str">
        <f>IF(LEN('A créer'!C7)=0,"","Tab")</f>
        <v>Tab</v>
      </c>
      <c r="D7" t="str">
        <f>IF(LEN('A créer'!C7)=0,"",CONCATENATE(,'A créer'!B7,'A créer'!A7,"-",'A créer'!C7))</f>
        <v>DCW0490-DALKIA SMART BUILDING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GK0992688E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DCW_0490PF FPS 0490 DALKIA SMART BUILDING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25">
      <c r="A8" s="2" t="str">
        <f>IF(LEN('A créer'!C8)=0,"","*FN")</f>
        <v>*FN</v>
      </c>
      <c r="B8" t="str">
        <f>IF(LEN('A créer'!C8)=0,"",CONCATENATE(,'A créer'!B8,'A créer'!A8))</f>
        <v>DEW0490</v>
      </c>
      <c r="C8" s="2" t="str">
        <f>IF(LEN('A créer'!C8)=0,"","Tab")</f>
        <v>Tab</v>
      </c>
      <c r="D8" t="str">
        <f>IF(LEN('A créer'!C8)=0,"",CONCATENATE(,'A créer'!B8,'A créer'!A8,"-",'A créer'!C8))</f>
        <v>DEW0490-DALKIA SMART BUILDING</v>
      </c>
      <c r="E8" s="2" t="str">
        <f>IF(LEN('A créer'!C8)=0,"","Tab 4")</f>
        <v>Tab 4</v>
      </c>
      <c r="F8" s="2" t="str">
        <f>IF(LEN('A créer'!C8)=0,"","Tab")</f>
        <v>Tab</v>
      </c>
      <c r="G8" s="2" t="str">
        <f>IF(LEN('A créer'!C8)=0,"","Tab")</f>
        <v>Tab</v>
      </c>
      <c r="H8" s="2" t="str">
        <f>IF(LEN('A créer'!C8)=0,"","ENT")</f>
        <v>ENT</v>
      </c>
      <c r="I8" s="2" t="str">
        <f>IF(LEN('A créer'!C8)=0,"","*SAVE")</f>
        <v>*SAVE</v>
      </c>
      <c r="J8" s="2" t="str">
        <f>IF(LEN('A créer'!R8)=0,"","*FN")</f>
        <v>*FN</v>
      </c>
      <c r="K8" t="str">
        <f>IF(LEN('A créer'!R8)=0,"",'A créer'!R8)</f>
        <v>FB0078087K</v>
      </c>
      <c r="L8" s="2" t="str">
        <f>IF(LEN('A créer'!R8)=0,"","Tab")</f>
        <v>Tab</v>
      </c>
      <c r="M8" t="str">
        <f>IF(LEN('A créer'!R8)=0,"",CONCATENATE(,'A créer'!B8,"_",'A créer'!A8,"PF FPS ",'A créer'!A8," ",'A créer'!C8))</f>
        <v>DEW_0490PF FPS 0490 DALKIA SMART BUILDING</v>
      </c>
      <c r="N8" s="2" t="str">
        <f>IF(LEN('A créer'!R8)=0,"","Tab 4")</f>
        <v>Tab 4</v>
      </c>
      <c r="O8" s="2" t="str">
        <f>IF(LEN('A créer'!R8)=0,"","Tab")</f>
        <v>Tab</v>
      </c>
      <c r="P8" s="2" t="str">
        <f>IF(LEN('A créer'!R8)=0,"","Tab")</f>
        <v>Tab</v>
      </c>
      <c r="Q8" s="2" t="str">
        <f>IF(LEN('A créer'!R8)=0,"","ENT")</f>
        <v>ENT</v>
      </c>
      <c r="R8" s="2" t="str">
        <f>IF(LEN('A créer'!R8)=0,"","*SAVE")</f>
        <v>*SAVE</v>
      </c>
    </row>
    <row r="9" spans="1:18" x14ac:dyDescent="0.25">
      <c r="A9" s="2" t="str">
        <f>IF(LEN('A créer'!C9)=0,"","*FN")</f>
        <v>*FN</v>
      </c>
      <c r="B9" t="str">
        <f>IF(LEN('A créer'!C9)=0,"",CONCATENATE(,'A créer'!B9,'A créer'!A9))</f>
        <v>DLS0490</v>
      </c>
      <c r="C9" s="2" t="str">
        <f>IF(LEN('A créer'!C9)=0,"","Tab")</f>
        <v>Tab</v>
      </c>
      <c r="D9" t="str">
        <f>IF(LEN('A créer'!C9)=0,"",CONCATENATE(,'A créer'!B9,'A créer'!A9,"-",'A créer'!C9))</f>
        <v>DLS0490-DALKIA SMART BUILDING</v>
      </c>
      <c r="E9" s="2" t="str">
        <f>IF(LEN('A créer'!C9)=0,"","Tab 4")</f>
        <v>Tab 4</v>
      </c>
      <c r="F9" s="2" t="str">
        <f>IF(LEN('A créer'!C9)=0,"","Tab")</f>
        <v>Tab</v>
      </c>
      <c r="G9" s="2" t="str">
        <f>IF(LEN('A créer'!C9)=0,"","Tab")</f>
        <v>Tab</v>
      </c>
      <c r="H9" s="2" t="str">
        <f>IF(LEN('A créer'!C9)=0,"","ENT")</f>
        <v>ENT</v>
      </c>
      <c r="I9" s="2" t="str">
        <f>IF(LEN('A créer'!C9)=0,"","*SAVE")</f>
        <v>*SAVE</v>
      </c>
      <c r="J9" s="2" t="str">
        <f>IF(LEN('A créer'!R9)=0,"","*FN")</f>
        <v>*FN</v>
      </c>
      <c r="K9" t="str">
        <f>IF(LEN('A créer'!R9)=0,"",'A créer'!R9)</f>
        <v>FB0078093S</v>
      </c>
      <c r="L9" s="2" t="str">
        <f>IF(LEN('A créer'!R9)=0,"","Tab")</f>
        <v>Tab</v>
      </c>
      <c r="M9" t="str">
        <f>IF(LEN('A créer'!R9)=0,"",CONCATENATE(,'A créer'!B9,"_",'A créer'!A9,"PF FPS ",'A créer'!A9," ",'A créer'!C9))</f>
        <v>DLS_0490PF FPS 0490 DALKIA SMART BUILDING</v>
      </c>
      <c r="N9" s="2" t="str">
        <f>IF(LEN('A créer'!R9)=0,"","Tab 4")</f>
        <v>Tab 4</v>
      </c>
      <c r="O9" s="2" t="str">
        <f>IF(LEN('A créer'!R9)=0,"","Tab")</f>
        <v>Tab</v>
      </c>
      <c r="P9" s="2" t="str">
        <f>IF(LEN('A créer'!R9)=0,"","Tab")</f>
        <v>Tab</v>
      </c>
      <c r="Q9" s="2" t="str">
        <f>IF(LEN('A créer'!R9)=0,"","ENT")</f>
        <v>ENT</v>
      </c>
      <c r="R9" s="2" t="str">
        <f>IF(LEN('A créer'!R9)=0,"","*SAVE")</f>
        <v>*SAVE</v>
      </c>
    </row>
    <row r="10" spans="1:18" x14ac:dyDescent="0.25">
      <c r="A10" s="2" t="str">
        <f>IF(LEN('A créer'!C10)=0,"","*FN")</f>
        <v>*FN</v>
      </c>
      <c r="B10" t="str">
        <f>IF(LEN('A créer'!C10)=0,"",CONCATENATE(,'A créer'!B10,'A créer'!A10))</f>
        <v>DMS0490</v>
      </c>
      <c r="C10" s="2" t="str">
        <f>IF(LEN('A créer'!C10)=0,"","Tab")</f>
        <v>Tab</v>
      </c>
      <c r="D10" t="str">
        <f>IF(LEN('A créer'!C10)=0,"",CONCATENATE(,'A créer'!B10,'A créer'!A10,"-",'A créer'!C10))</f>
        <v>DMS0490-DALKIA SMART BUILDING</v>
      </c>
      <c r="E10" s="2" t="str">
        <f>IF(LEN('A créer'!C10)=0,"","Tab 4")</f>
        <v>Tab 4</v>
      </c>
      <c r="F10" s="2" t="str">
        <f>IF(LEN('A créer'!C10)=0,"","Tab")</f>
        <v>Tab</v>
      </c>
      <c r="G10" s="2" t="str">
        <f>IF(LEN('A créer'!C10)=0,"","Tab")</f>
        <v>Tab</v>
      </c>
      <c r="H10" s="2" t="str">
        <f>IF(LEN('A créer'!C10)=0,"","ENT")</f>
        <v>ENT</v>
      </c>
      <c r="I10" s="2" t="str">
        <f>IF(LEN('A créer'!C10)=0,"","*SAVE")</f>
        <v>*SAVE</v>
      </c>
      <c r="J10" s="2" t="str">
        <f>IF(LEN('A créer'!R10)=0,"","*FN")</f>
        <v>*FN</v>
      </c>
      <c r="K10" t="str">
        <f>IF(LEN('A créer'!R10)=0,"",'A créer'!R10)</f>
        <v>FB0078095W</v>
      </c>
      <c r="L10" s="2" t="str">
        <f>IF(LEN('A créer'!R10)=0,"","Tab")</f>
        <v>Tab</v>
      </c>
      <c r="M10" t="str">
        <f>IF(LEN('A créer'!R10)=0,"",CONCATENATE(,'A créer'!B10,"_",'A créer'!A10,"PF FPS ",'A créer'!A10," ",'A créer'!C10))</f>
        <v>DMS_0490PF FPS 0490 DALKIA SMART BUILDING</v>
      </c>
      <c r="N10" s="2" t="str">
        <f>IF(LEN('A créer'!R10)=0,"","Tab 4")</f>
        <v>Tab 4</v>
      </c>
      <c r="O10" s="2" t="str">
        <f>IF(LEN('A créer'!R10)=0,"","Tab")</f>
        <v>Tab</v>
      </c>
      <c r="P10" s="2" t="str">
        <f>IF(LEN('A créer'!R10)=0,"","Tab")</f>
        <v>Tab</v>
      </c>
      <c r="Q10" s="2" t="str">
        <f>IF(LEN('A créer'!R10)=0,"","ENT")</f>
        <v>ENT</v>
      </c>
      <c r="R10" s="2" t="str">
        <f>IF(LEN('A créer'!R10)=0,"","*SAVE")</f>
        <v>*SAVE</v>
      </c>
    </row>
    <row r="11" spans="1:18" x14ac:dyDescent="0.25">
      <c r="A11" s="2" t="str">
        <f>IF(LEN('A créer'!C11)=0,"","*FN")</f>
        <v>*FN</v>
      </c>
      <c r="B11" t="str">
        <f>IF(LEN('A créer'!C11)=0,"",CONCATENATE(,'A créer'!B11,'A créer'!A11))</f>
        <v>DNA0490</v>
      </c>
      <c r="C11" s="2" t="str">
        <f>IF(LEN('A créer'!C11)=0,"","Tab")</f>
        <v>Tab</v>
      </c>
      <c r="D11" t="str">
        <f>IF(LEN('A créer'!C11)=0,"",CONCATENATE(,'A créer'!B11,'A créer'!A11,"-",'A créer'!C11))</f>
        <v>DNA0490-DALKIA SMART BUILDING</v>
      </c>
      <c r="E11" s="2" t="str">
        <f>IF(LEN('A créer'!C11)=0,"","Tab 4")</f>
        <v>Tab 4</v>
      </c>
      <c r="F11" s="2" t="str">
        <f>IF(LEN('A créer'!C11)=0,"","Tab")</f>
        <v>Tab</v>
      </c>
      <c r="G11" s="2" t="str">
        <f>IF(LEN('A créer'!C11)=0,"","Tab")</f>
        <v>Tab</v>
      </c>
      <c r="H11" s="2" t="str">
        <f>IF(LEN('A créer'!C11)=0,"","ENT")</f>
        <v>ENT</v>
      </c>
      <c r="I11" s="2" t="str">
        <f>IF(LEN('A créer'!C11)=0,"","*SAVE")</f>
        <v>*SAVE</v>
      </c>
      <c r="J11" s="2" t="str">
        <f>IF(LEN('A créer'!R11)=0,"","*FN")</f>
        <v>*FN</v>
      </c>
      <c r="K11" t="str">
        <f>IF(LEN('A créer'!R11)=0,"",'A créer'!R11)</f>
        <v>FB0078111M</v>
      </c>
      <c r="L11" s="2" t="str">
        <f>IF(LEN('A créer'!R11)=0,"","Tab")</f>
        <v>Tab</v>
      </c>
      <c r="M11" t="str">
        <f>IF(LEN('A créer'!R11)=0,"",CONCATENATE(,'A créer'!B11,"_",'A créer'!A11,"PF FPS ",'A créer'!A11," ",'A créer'!C11))</f>
        <v>DNA_0490PF FPS 0490 DALKIA SMART BUILDING</v>
      </c>
      <c r="N11" s="2" t="str">
        <f>IF(LEN('A créer'!R11)=0,"","Tab 4")</f>
        <v>Tab 4</v>
      </c>
      <c r="O11" s="2" t="str">
        <f>IF(LEN('A créer'!R11)=0,"","Tab")</f>
        <v>Tab</v>
      </c>
      <c r="P11" s="2" t="str">
        <f>IF(LEN('A créer'!R11)=0,"","Tab")</f>
        <v>Tab</v>
      </c>
      <c r="Q11" s="2" t="str">
        <f>IF(LEN('A créer'!R11)=0,"","ENT")</f>
        <v>ENT</v>
      </c>
      <c r="R11" s="2" t="str">
        <f>IF(LEN('A créer'!R11)=0,"","*SAVE")</f>
        <v>*SAVE</v>
      </c>
    </row>
    <row r="12" spans="1:18" x14ac:dyDescent="0.25">
      <c r="A12" s="2" t="str">
        <f>IF(LEN('A créer'!C12)=0,"","*FN")</f>
        <v>*FN</v>
      </c>
      <c r="B12" t="str">
        <f>IF(LEN('A créer'!C12)=0,"",CONCATENATE(,'A créer'!B12,'A créer'!A12))</f>
        <v>DRW0490</v>
      </c>
      <c r="C12" s="2" t="str">
        <f>IF(LEN('A créer'!C12)=0,"","Tab")</f>
        <v>Tab</v>
      </c>
      <c r="D12" t="str">
        <f>IF(LEN('A créer'!C12)=0,"",CONCATENATE(,'A créer'!B12,'A créer'!A12,"-",'A créer'!C12))</f>
        <v>DRW0490-DALKIA SMART BUILDING</v>
      </c>
      <c r="E12" s="2" t="str">
        <f>IF(LEN('A créer'!C12)=0,"","Tab 4")</f>
        <v>Tab 4</v>
      </c>
      <c r="F12" s="2" t="str">
        <f>IF(LEN('A créer'!C12)=0,"","Tab")</f>
        <v>Tab</v>
      </c>
      <c r="G12" s="2" t="str">
        <f>IF(LEN('A créer'!C12)=0,"","Tab")</f>
        <v>Tab</v>
      </c>
      <c r="H12" s="2" t="str">
        <f>IF(LEN('A créer'!C12)=0,"","ENT")</f>
        <v>ENT</v>
      </c>
      <c r="I12" s="2" t="str">
        <f>IF(LEN('A créer'!C12)=0,"","*SAVE")</f>
        <v>*SAVE</v>
      </c>
      <c r="J12" s="2" t="str">
        <f>IF(LEN('A créer'!R12)=0,"","*FN")</f>
        <v>*FN</v>
      </c>
      <c r="K12" t="str">
        <f>IF(LEN('A créer'!R12)=0,"",'A créer'!R12)</f>
        <v>FB0078105F</v>
      </c>
      <c r="L12" s="2" t="str">
        <f>IF(LEN('A créer'!R12)=0,"","Tab")</f>
        <v>Tab</v>
      </c>
      <c r="M12" t="str">
        <f>IF(LEN('A créer'!R12)=0,"",CONCATENATE(,'A créer'!B12,"_",'A créer'!A12,"PF FPS ",'A créer'!A12," ",'A créer'!C12))</f>
        <v>DRW_0490PF FPS 0490 DALKIA SMART BUILDING</v>
      </c>
      <c r="N12" s="2" t="str">
        <f>IF(LEN('A créer'!R12)=0,"","Tab 4")</f>
        <v>Tab 4</v>
      </c>
      <c r="O12" s="2" t="str">
        <f>IF(LEN('A créer'!R12)=0,"","Tab")</f>
        <v>Tab</v>
      </c>
      <c r="P12" s="2" t="str">
        <f>IF(LEN('A créer'!R12)=0,"","Tab")</f>
        <v>Tab</v>
      </c>
      <c r="Q12" s="2" t="str">
        <f>IF(LEN('A créer'!R12)=0,"","ENT")</f>
        <v>ENT</v>
      </c>
      <c r="R12" s="2" t="str">
        <f>IF(LEN('A créer'!R12)=0,"","*SAVE")</f>
        <v>*SAVE</v>
      </c>
    </row>
    <row r="13" spans="1:18" x14ac:dyDescent="0.25">
      <c r="A13" s="2" t="str">
        <f>IF(LEN('A créer'!C13)=0,"","*FN")</f>
        <v>*FN</v>
      </c>
      <c r="B13" t="str">
        <f>IF(LEN('A créer'!C13)=0,"",CONCATENATE(,'A créer'!B13,'A créer'!A13))</f>
        <v>DSW0490</v>
      </c>
      <c r="C13" s="2" t="str">
        <f>IF(LEN('A créer'!C13)=0,"","Tab")</f>
        <v>Tab</v>
      </c>
      <c r="D13" t="str">
        <f>IF(LEN('A créer'!C13)=0,"",CONCATENATE(,'A créer'!B13,'A créer'!A13,"-",'A créer'!C13))</f>
        <v>DSW0490-DALKIA SMART BUILDING</v>
      </c>
      <c r="E13" s="2" t="str">
        <f>IF(LEN('A créer'!C13)=0,"","Tab 4")</f>
        <v>Tab 4</v>
      </c>
      <c r="F13" s="2" t="str">
        <f>IF(LEN('A créer'!C13)=0,"","Tab")</f>
        <v>Tab</v>
      </c>
      <c r="G13" s="2" t="str">
        <f>IF(LEN('A créer'!C13)=0,"","Tab")</f>
        <v>Tab</v>
      </c>
      <c r="H13" s="2" t="str">
        <f>IF(LEN('A créer'!C13)=0,"","ENT")</f>
        <v>ENT</v>
      </c>
      <c r="I13" s="2" t="str">
        <f>IF(LEN('A créer'!C13)=0,"","*SAVE")</f>
        <v>*SAVE</v>
      </c>
      <c r="J13" s="2" t="str">
        <f>IF(LEN('A créer'!R13)=0,"","*FN")</f>
        <v>*FN</v>
      </c>
      <c r="K13" t="str">
        <f>IF(LEN('A créer'!R13)=0,"",'A créer'!R13)</f>
        <v>FB0078155M</v>
      </c>
      <c r="L13" s="2" t="str">
        <f>IF(LEN('A créer'!R13)=0,"","Tab")</f>
        <v>Tab</v>
      </c>
      <c r="M13" t="str">
        <f>IF(LEN('A créer'!R13)=0,"",CONCATENATE(,'A créer'!B13,"_",'A créer'!A13,"PF FPS ",'A créer'!A13," ",'A créer'!C13))</f>
        <v>DSW_0490PF FPS 0490 DALKIA SMART BUILDING</v>
      </c>
      <c r="N13" s="2" t="str">
        <f>IF(LEN('A créer'!R13)=0,"","Tab 4")</f>
        <v>Tab 4</v>
      </c>
      <c r="O13" s="2" t="str">
        <f>IF(LEN('A créer'!R13)=0,"","Tab")</f>
        <v>Tab</v>
      </c>
      <c r="P13" s="2" t="str">
        <f>IF(LEN('A créer'!R13)=0,"","Tab")</f>
        <v>Tab</v>
      </c>
      <c r="Q13" s="2" t="str">
        <f>IF(LEN('A créer'!R13)=0,"","ENT")</f>
        <v>ENT</v>
      </c>
      <c r="R13" s="2" t="str">
        <f>IF(LEN('A créer'!R13)=0,"","*SAVE")</f>
        <v>*SAVE</v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10" sqref="A10:AM10"/>
    </sheetView>
  </sheetViews>
  <sheetFormatPr baseColWidth="10" defaultRowHeight="15" x14ac:dyDescent="0.25"/>
  <cols>
    <col min="1" max="1" width="4.28515625" bestFit="1" customWidth="1"/>
    <col min="2" max="2" width="2.7109375" bestFit="1" customWidth="1"/>
    <col min="3" max="3" width="4" bestFit="1" customWidth="1"/>
    <col min="4" max="4" width="7" bestFit="1" customWidth="1"/>
    <col min="5" max="5" width="4" bestFit="1" customWidth="1"/>
    <col min="6" max="7" width="4" customWidth="1"/>
    <col min="8" max="8" width="6.5703125" bestFit="1" customWidth="1"/>
    <col min="9" max="9" width="2" bestFit="1" customWidth="1"/>
    <col min="10" max="10" width="4" bestFit="1" customWidth="1"/>
    <col min="11" max="11" width="6.28515625" bestFit="1" customWidth="1"/>
    <col min="12" max="12" width="2" bestFit="1" customWidth="1"/>
    <col min="13" max="13" width="4" bestFit="1" customWidth="1"/>
    <col min="14" max="14" width="9.5703125" bestFit="1" customWidth="1"/>
    <col min="15" max="15" width="8.42578125" bestFit="1" customWidth="1"/>
    <col min="16" max="16" width="4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  <col min="40" max="40" width="4.28515625" bestFit="1" customWidth="1"/>
    <col min="41" max="41" width="2.7109375" bestFit="1" customWidth="1"/>
    <col min="42" max="42" width="4.28515625" bestFit="1" customWidth="1"/>
    <col min="43" max="43" width="7" bestFit="1" customWidth="1"/>
    <col min="44" max="44" width="4" bestFit="1" customWidth="1"/>
    <col min="45" max="45" width="2" bestFit="1" customWidth="1"/>
    <col min="46" max="46" width="4" bestFit="1" customWidth="1"/>
    <col min="47" max="47" width="6.5703125" bestFit="1" customWidth="1"/>
    <col min="48" max="48" width="2" bestFit="1" customWidth="1"/>
    <col min="49" max="49" width="4" bestFit="1" customWidth="1"/>
    <col min="50" max="50" width="6.28515625" bestFit="1" customWidth="1"/>
    <col min="51" max="51" width="2" bestFit="1" customWidth="1"/>
    <col min="52" max="52" width="4" bestFit="1" customWidth="1"/>
    <col min="53" max="53" width="9.5703125" bestFit="1" customWidth="1"/>
    <col min="54" max="54" width="8" bestFit="1" customWidth="1"/>
    <col min="55" max="55" width="4" bestFit="1" customWidth="1"/>
    <col min="56" max="56" width="2" bestFit="1" customWidth="1"/>
    <col min="57" max="57" width="4" bestFit="1" customWidth="1"/>
    <col min="58" max="58" width="9.85546875" bestFit="1" customWidth="1"/>
    <col min="59" max="59" width="2" bestFit="1" customWidth="1"/>
    <col min="60" max="60" width="4" bestFit="1" customWidth="1"/>
    <col min="61" max="61" width="9.85546875" bestFit="1" customWidth="1"/>
    <col min="62" max="62" width="2" bestFit="1" customWidth="1"/>
    <col min="63" max="63" width="4" bestFit="1" customWidth="1"/>
    <col min="64" max="64" width="14.28515625" bestFit="1" customWidth="1"/>
    <col min="65" max="65" width="2" bestFit="1" customWidth="1"/>
    <col min="66" max="66" width="4" bestFit="1" customWidth="1"/>
    <col min="67" max="67" width="4.28515625" bestFit="1" customWidth="1"/>
    <col min="68" max="68" width="2" bestFit="1" customWidth="1"/>
    <col min="69" max="69" width="4" bestFit="1" customWidth="1"/>
    <col min="70" max="70" width="9.85546875" bestFit="1" customWidth="1"/>
    <col min="71" max="71" width="2" bestFit="1" customWidth="1"/>
    <col min="72" max="72" width="4" bestFit="1" customWidth="1"/>
    <col min="73" max="73" width="9.85546875" bestFit="1" customWidth="1"/>
    <col min="74" max="74" width="2" bestFit="1" customWidth="1"/>
    <col min="75" max="75" width="4" bestFit="1" customWidth="1"/>
    <col min="76" max="76" width="9.85546875" bestFit="1" customWidth="1"/>
    <col min="77" max="77" width="4.28515625" bestFit="1" customWidth="1"/>
    <col min="78" max="78" width="6.140625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0491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DEW0491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t="str">
        <f>IF(OR('A créer'!D2="Oui",LEN('A créer'!D2)=0,LEN('A créer'!C2)=0),"",'A créer'!A2)</f>
        <v>0491</v>
      </c>
      <c r="AR2" s="2" t="str">
        <f>IF(OR('A créer'!D2="Oui",LEN('A créer'!D2)=0,LEN('A créer'!C2)=0),"","TAB")</f>
        <v>TAB</v>
      </c>
      <c r="AS2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t="str">
        <f>IF(OR('A créer'!D2="Oui",LEN('A créer'!D2)=0,LEN('A créer'!C2)=0),"","ZZZ")</f>
        <v>ZZZ</v>
      </c>
      <c r="AV2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t="str">
        <f>IF(OR('A créer'!D2="Oui",LEN('A créer'!D2)=0,LEN('A créer'!C2)=0),"","ZZZZZZ")</f>
        <v>ZZZZZZ</v>
      </c>
      <c r="AY2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t="str">
        <f>IF(OR('A créer'!D2="Oui",LEN('A créer'!D2)=0,LEN('A créer'!C2)=0),"","ZZZZZ")</f>
        <v>ZZZZZ</v>
      </c>
      <c r="BB2" t="str">
        <f>IF(OR('A créer'!D2="Oui",LEN('A créer'!D2)=0,LEN('A créer'!C2)=0),"",CONCATENATE("XXX",'A créer'!A2))</f>
        <v>XXX0491</v>
      </c>
      <c r="BC2" s="2" t="str">
        <f>IF(OR('A créer'!D2="Oui",LEN('A créer'!D2)=0,LEN('A créer'!C2)=0),"","TAB")</f>
        <v>TAB</v>
      </c>
      <c r="BD2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t="str">
        <f>IF(OR('A créer'!D2="Oui",LEN('A créer'!D2)=0,LEN('A créer'!C2)=0),"","ZZZZZZZZZZ")</f>
        <v>ZZZZZZZZZZ</v>
      </c>
      <c r="BG2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t="str">
        <f>IF(OR('A créer'!D2="Oui",LEN('A créer'!D2)=0,LEN('A créer'!C2)=0),"","ZZZZZZZZZZ")</f>
        <v>ZZZZZZZZZZ</v>
      </c>
      <c r="BJ2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t="str">
        <f>IF(OR('A créer'!D2="Oui",LEN('A créer'!D2)=0,LEN('A créer'!C2)=0),"","ZZZZZZZZZZZZZZZ")</f>
        <v>ZZZZZZZZZZZZZZZ</v>
      </c>
      <c r="BM2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t="str">
        <f>IF(OR('A créer'!D2="Oui",LEN('A créer'!D2)=0,LEN('A créer'!C2)=0),"","ZZZ")</f>
        <v>ZZZ</v>
      </c>
      <c r="BP2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t="str">
        <f>IF(OR('A créer'!D2="Oui",LEN('A créer'!D2)=0,LEN('A créer'!C2)=0),"","ZZZZZZZZZZ")</f>
        <v>ZZZZZZZZZZ</v>
      </c>
      <c r="BS2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t="str">
        <f>IF(OR('A créer'!D2="Oui",LEN('A créer'!D2)=0,LEN('A créer'!C2)=0),"","ZZZZZZZZZZ")</f>
        <v>ZZZZZZZZZZ</v>
      </c>
      <c r="BV2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2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0492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DRW0492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>*FN</v>
      </c>
      <c r="AO3" s="3" t="str">
        <f>IF(OR('A créer'!D3="Oui",LEN('A créer'!D3)=0,LEN('A créer'!C3)=0),"","\E")</f>
        <v>\E</v>
      </c>
      <c r="AP3" s="2" t="str">
        <f>IF(OR('A créer'!D3="Oui",LEN('A créer'!D3)=0,LEN('A créer'!C3)=0),"","TAB")</f>
        <v>TAB</v>
      </c>
      <c r="AQ3" s="6" t="str">
        <f>IF(OR('A créer'!D3="Oui",LEN('A créer'!D3)=0,LEN('A créer'!C3)=0),"",'A créer'!A3)</f>
        <v>0492</v>
      </c>
      <c r="AR3" s="2" t="str">
        <f>IF(OR('A créer'!D3="Oui",LEN('A créer'!D3)=0,LEN('A créer'!C3)=0),"","TAB")</f>
        <v>TAB</v>
      </c>
      <c r="AS3" s="6" t="str">
        <f>IF(OR('A créer'!D3="Oui",LEN('A créer'!D3)=0,LEN('A créer'!C3)=0),"","0")</f>
        <v>0</v>
      </c>
      <c r="AT3" s="2" t="str">
        <f>IF(OR('A créer'!D3="Oui",LEN('A créer'!D3)=0,LEN('A créer'!C3)=0),"","TAB")</f>
        <v>TAB</v>
      </c>
      <c r="AU3" s="6" t="str">
        <f>IF(OR('A créer'!D3="Oui",LEN('A créer'!D3)=0,LEN('A créer'!C3)=0),"","ZZZ")</f>
        <v>ZZZ</v>
      </c>
      <c r="AV3" s="6" t="str">
        <f>IF(OR('A créer'!D3="Oui",LEN('A créer'!D3)=0,LEN('A créer'!C3)=0),"","0")</f>
        <v>0</v>
      </c>
      <c r="AW3" s="2" t="str">
        <f>IF(OR('A créer'!D3="Oui",LEN('A créer'!D3)=0,LEN('A créer'!C3)=0),"","TAB")</f>
        <v>TAB</v>
      </c>
      <c r="AX3" s="6" t="str">
        <f>IF(OR('A créer'!D3="Oui",LEN('A créer'!D3)=0,LEN('A créer'!C3)=0),"","ZZZZZZ")</f>
        <v>ZZZZZZ</v>
      </c>
      <c r="AY3" s="6" t="str">
        <f>IF(OR('A créer'!D3="Oui",LEN('A créer'!D3)=0,LEN('A créer'!C3)=0),"","0")</f>
        <v>0</v>
      </c>
      <c r="AZ3" s="2" t="str">
        <f>IF(OR('A créer'!D3="Oui",LEN('A créer'!D3)=0,LEN('A créer'!C3)=0),"","TAB")</f>
        <v>TAB</v>
      </c>
      <c r="BA3" s="6" t="str">
        <f>IF(OR('A créer'!D3="Oui",LEN('A créer'!D3)=0,LEN('A créer'!C3)=0),"","ZZZZZ")</f>
        <v>ZZZZZ</v>
      </c>
      <c r="BB3" s="6" t="str">
        <f>IF(OR('A créer'!D3="Oui",LEN('A créer'!D3)=0,LEN('A créer'!C3)=0),"",CONCATENATE("XXX",'A créer'!A3))</f>
        <v>XXX0492</v>
      </c>
      <c r="BC3" s="2" t="str">
        <f>IF(OR('A créer'!D3="Oui",LEN('A créer'!D3)=0,LEN('A créer'!C3)=0),"","TAB")</f>
        <v>TAB</v>
      </c>
      <c r="BD3" s="6" t="str">
        <f>IF(OR('A créer'!D3="Oui",LEN('A créer'!D3)=0,LEN('A créer'!C3)=0),"","0")</f>
        <v>0</v>
      </c>
      <c r="BE3" s="2" t="str">
        <f>IF(OR('A créer'!D3="Oui",LEN('A créer'!D3)=0,LEN('A créer'!C3)=0),"","TAB")</f>
        <v>TAB</v>
      </c>
      <c r="BF3" s="6" t="str">
        <f>IF(OR('A créer'!D3="Oui",LEN('A créer'!D3)=0,LEN('A créer'!C3)=0),"","ZZZZZZZZZZ")</f>
        <v>ZZZZZZZZZZ</v>
      </c>
      <c r="BG3" s="6" t="str">
        <f>IF(OR('A créer'!D3="Oui",LEN('A créer'!D3)=0,LEN('A créer'!C3)=0),"","0")</f>
        <v>0</v>
      </c>
      <c r="BH3" s="2" t="str">
        <f>IF(OR('A créer'!D3="Oui",LEN('A créer'!D3)=0,LEN('A créer'!C3)=0),"","TAB")</f>
        <v>TAB</v>
      </c>
      <c r="BI3" s="6" t="str">
        <f>IF(OR('A créer'!D3="Oui",LEN('A créer'!D3)=0,LEN('A créer'!C3)=0),"","ZZZZZZZZZZ")</f>
        <v>ZZZZZZZZZZ</v>
      </c>
      <c r="BJ3" s="6" t="str">
        <f>IF(OR('A créer'!D3="Oui",LEN('A créer'!D3)=0,LEN('A créer'!C3)=0),"","0")</f>
        <v>0</v>
      </c>
      <c r="BK3" s="2" t="str">
        <f>IF(OR('A créer'!D3="Oui",LEN('A créer'!D3)=0,LEN('A créer'!C3)=0),"","TAB")</f>
        <v>TAB</v>
      </c>
      <c r="BL3" s="6" t="str">
        <f>IF(OR('A créer'!D3="Oui",LEN('A créer'!D3)=0,LEN('A créer'!C3)=0),"","ZZZZZZZZZZZZZZZ")</f>
        <v>ZZZZZZZZZZZZZZZ</v>
      </c>
      <c r="BM3" s="6" t="str">
        <f>IF(OR('A créer'!D3="Oui",LEN('A créer'!D3)=0,LEN('A créer'!C3)=0),"","0")</f>
        <v>0</v>
      </c>
      <c r="BN3" s="2" t="str">
        <f>IF(OR('A créer'!D3="Oui",LEN('A créer'!D3)=0,LEN('A créer'!C3)=0),"","TAB")</f>
        <v>TAB</v>
      </c>
      <c r="BO3" s="6" t="str">
        <f>IF(OR('A créer'!D3="Oui",LEN('A créer'!D3)=0,LEN('A créer'!C3)=0),"","ZZZ")</f>
        <v>ZZZ</v>
      </c>
      <c r="BP3" s="6" t="str">
        <f>IF(OR('A créer'!D3="Oui",LEN('A créer'!D3)=0,LEN('A créer'!C3)=0),"","0")</f>
        <v>0</v>
      </c>
      <c r="BQ3" s="2" t="str">
        <f>IF(OR('A créer'!D3="Oui",LEN('A créer'!D3)=0,LEN('A créer'!C3)=0),"","TAB")</f>
        <v>TAB</v>
      </c>
      <c r="BR3" s="6" t="str">
        <f>IF(OR('A créer'!D3="Oui",LEN('A créer'!D3)=0,LEN('A créer'!C3)=0),"","ZZZZZZZZZZ")</f>
        <v>ZZZZZZZZZZ</v>
      </c>
      <c r="BS3" s="6" t="str">
        <f>IF(OR('A créer'!D3="Oui",LEN('A créer'!D3)=0,LEN('A créer'!C3)=0),"","0")</f>
        <v>0</v>
      </c>
      <c r="BT3" s="2" t="str">
        <f>IF(OR('A créer'!D3="Oui",LEN('A créer'!D3)=0,LEN('A créer'!C3)=0),"","TAB")</f>
        <v>TAB</v>
      </c>
      <c r="BU3" s="6" t="str">
        <f>IF(OR('A créer'!D3="Oui",LEN('A créer'!D3)=0,LEN('A créer'!C3)=0),"","ZZZZZZZZZZ")</f>
        <v>ZZZZZZZZZZ</v>
      </c>
      <c r="BV3" s="6" t="str">
        <f>IF(OR('A créer'!D3="Oui",LEN('A créer'!D3)=0,LEN('A créer'!C3)=0),"","0")</f>
        <v>0</v>
      </c>
      <c r="BW3" s="2" t="str">
        <f>IF(OR('A créer'!D3="Oui",LEN('A créer'!D3)=0,LEN('A créer'!C3)=0),"","TAB")</f>
        <v>TAB</v>
      </c>
      <c r="BX3" s="6" t="str">
        <f>IF(OR('A créer'!D3="Oui",LEN('A créer'!D3)=0,LEN('A créer'!C3)=0),"","ZZZZZZZZZZ")</f>
        <v>ZZZZZZZZZZ</v>
      </c>
      <c r="BY3" s="2" t="str">
        <f>IF(OR('A créer'!D3="Oui",LEN('A créer'!D3)=0,LEN('A créer'!C3)=0),"","ENT")</f>
        <v>ENT</v>
      </c>
      <c r="BZ3" s="2" t="str">
        <f>IF(OR('A créer'!D3="Oui",LEN('A créer'!D3)=0,LEN('A créer'!C3)=0),"","*SAVE")</f>
        <v>*SAVE</v>
      </c>
    </row>
    <row r="4" spans="1:78" x14ac:dyDescent="0.2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0493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DSW0493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>*FN</v>
      </c>
      <c r="AO4" s="3" t="str">
        <f>IF(OR('A créer'!D4="Oui",LEN('A créer'!D4)=0,LEN('A créer'!C4)=0),"","\E")</f>
        <v>\E</v>
      </c>
      <c r="AP4" s="2" t="str">
        <f>IF(OR('A créer'!D4="Oui",LEN('A créer'!D4)=0,LEN('A créer'!C4)=0),"","TAB")</f>
        <v>TAB</v>
      </c>
      <c r="AQ4" s="6" t="str">
        <f>IF(OR('A créer'!D4="Oui",LEN('A créer'!D4)=0,LEN('A créer'!C4)=0),"",'A créer'!A4)</f>
        <v>0493</v>
      </c>
      <c r="AR4" s="2" t="str">
        <f>IF(OR('A créer'!D4="Oui",LEN('A créer'!D4)=0,LEN('A créer'!C4)=0),"","TAB")</f>
        <v>TAB</v>
      </c>
      <c r="AS4" s="6" t="str">
        <f>IF(OR('A créer'!D4="Oui",LEN('A créer'!D4)=0,LEN('A créer'!C4)=0),"","0")</f>
        <v>0</v>
      </c>
      <c r="AT4" s="2" t="str">
        <f>IF(OR('A créer'!D4="Oui",LEN('A créer'!D4)=0,LEN('A créer'!C4)=0),"","TAB")</f>
        <v>TAB</v>
      </c>
      <c r="AU4" s="6" t="str">
        <f>IF(OR('A créer'!D4="Oui",LEN('A créer'!D4)=0,LEN('A créer'!C4)=0),"","ZZZ")</f>
        <v>ZZZ</v>
      </c>
      <c r="AV4" s="6" t="str">
        <f>IF(OR('A créer'!D4="Oui",LEN('A créer'!D4)=0,LEN('A créer'!C4)=0),"","0")</f>
        <v>0</v>
      </c>
      <c r="AW4" s="2" t="str">
        <f>IF(OR('A créer'!D4="Oui",LEN('A créer'!D4)=0,LEN('A créer'!C4)=0),"","TAB")</f>
        <v>TAB</v>
      </c>
      <c r="AX4" s="6" t="str">
        <f>IF(OR('A créer'!D4="Oui",LEN('A créer'!D4)=0,LEN('A créer'!C4)=0),"","ZZZZZZ")</f>
        <v>ZZZZZZ</v>
      </c>
      <c r="AY4" s="6" t="str">
        <f>IF(OR('A créer'!D4="Oui",LEN('A créer'!D4)=0,LEN('A créer'!C4)=0),"","0")</f>
        <v>0</v>
      </c>
      <c r="AZ4" s="2" t="str">
        <f>IF(OR('A créer'!D4="Oui",LEN('A créer'!D4)=0,LEN('A créer'!C4)=0),"","TAB")</f>
        <v>TAB</v>
      </c>
      <c r="BA4" s="6" t="str">
        <f>IF(OR('A créer'!D4="Oui",LEN('A créer'!D4)=0,LEN('A créer'!C4)=0),"","ZZZZZ")</f>
        <v>ZZZZZ</v>
      </c>
      <c r="BB4" s="6" t="str">
        <f>IF(OR('A créer'!D4="Oui",LEN('A créer'!D4)=0,LEN('A créer'!C4)=0),"",CONCATENATE("XXX",'A créer'!A4))</f>
        <v>XXX0493</v>
      </c>
      <c r="BC4" s="2" t="str">
        <f>IF(OR('A créer'!D4="Oui",LEN('A créer'!D4)=0,LEN('A créer'!C4)=0),"","TAB")</f>
        <v>TAB</v>
      </c>
      <c r="BD4" s="6" t="str">
        <f>IF(OR('A créer'!D4="Oui",LEN('A créer'!D4)=0,LEN('A créer'!C4)=0),"","0")</f>
        <v>0</v>
      </c>
      <c r="BE4" s="2" t="str">
        <f>IF(OR('A créer'!D4="Oui",LEN('A créer'!D4)=0,LEN('A créer'!C4)=0),"","TAB")</f>
        <v>TAB</v>
      </c>
      <c r="BF4" s="6" t="str">
        <f>IF(OR('A créer'!D4="Oui",LEN('A créer'!D4)=0,LEN('A créer'!C4)=0),"","ZZZZZZZZZZ")</f>
        <v>ZZZZZZZZZZ</v>
      </c>
      <c r="BG4" s="6" t="str">
        <f>IF(OR('A créer'!D4="Oui",LEN('A créer'!D4)=0,LEN('A créer'!C4)=0),"","0")</f>
        <v>0</v>
      </c>
      <c r="BH4" s="2" t="str">
        <f>IF(OR('A créer'!D4="Oui",LEN('A créer'!D4)=0,LEN('A créer'!C4)=0),"","TAB")</f>
        <v>TAB</v>
      </c>
      <c r="BI4" s="6" t="str">
        <f>IF(OR('A créer'!D4="Oui",LEN('A créer'!D4)=0,LEN('A créer'!C4)=0),"","ZZZZZZZZZZ")</f>
        <v>ZZZZZZZZZZ</v>
      </c>
      <c r="BJ4" s="6" t="str">
        <f>IF(OR('A créer'!D4="Oui",LEN('A créer'!D4)=0,LEN('A créer'!C4)=0),"","0")</f>
        <v>0</v>
      </c>
      <c r="BK4" s="2" t="str">
        <f>IF(OR('A créer'!D4="Oui",LEN('A créer'!D4)=0,LEN('A créer'!C4)=0),"","TAB")</f>
        <v>TAB</v>
      </c>
      <c r="BL4" s="6" t="str">
        <f>IF(OR('A créer'!D4="Oui",LEN('A créer'!D4)=0,LEN('A créer'!C4)=0),"","ZZZZZZZZZZZZZZZ")</f>
        <v>ZZZZZZZZZZZZZZZ</v>
      </c>
      <c r="BM4" s="6" t="str">
        <f>IF(OR('A créer'!D4="Oui",LEN('A créer'!D4)=0,LEN('A créer'!C4)=0),"","0")</f>
        <v>0</v>
      </c>
      <c r="BN4" s="2" t="str">
        <f>IF(OR('A créer'!D4="Oui",LEN('A créer'!D4)=0,LEN('A créer'!C4)=0),"","TAB")</f>
        <v>TAB</v>
      </c>
      <c r="BO4" s="6" t="str">
        <f>IF(OR('A créer'!D4="Oui",LEN('A créer'!D4)=0,LEN('A créer'!C4)=0),"","ZZZ")</f>
        <v>ZZZ</v>
      </c>
      <c r="BP4" s="6" t="str">
        <f>IF(OR('A créer'!D4="Oui",LEN('A créer'!D4)=0,LEN('A créer'!C4)=0),"","0")</f>
        <v>0</v>
      </c>
      <c r="BQ4" s="2" t="str">
        <f>IF(OR('A créer'!D4="Oui",LEN('A créer'!D4)=0,LEN('A créer'!C4)=0),"","TAB")</f>
        <v>TAB</v>
      </c>
      <c r="BR4" s="6" t="str">
        <f>IF(OR('A créer'!D4="Oui",LEN('A créer'!D4)=0,LEN('A créer'!C4)=0),"","ZZZZZZZZZZ")</f>
        <v>ZZZZZZZZZZ</v>
      </c>
      <c r="BS4" s="6" t="str">
        <f>IF(OR('A créer'!D4="Oui",LEN('A créer'!D4)=0,LEN('A créer'!C4)=0),"","0")</f>
        <v>0</v>
      </c>
      <c r="BT4" s="2" t="str">
        <f>IF(OR('A créer'!D4="Oui",LEN('A créer'!D4)=0,LEN('A créer'!C4)=0),"","TAB")</f>
        <v>TAB</v>
      </c>
      <c r="BU4" s="6" t="str">
        <f>IF(OR('A créer'!D4="Oui",LEN('A créer'!D4)=0,LEN('A créer'!C4)=0),"","ZZZZZZZZZZ")</f>
        <v>ZZZZZZZZZZ</v>
      </c>
      <c r="BV4" s="6" t="str">
        <f>IF(OR('A créer'!D4="Oui",LEN('A créer'!D4)=0,LEN('A créer'!C4)=0),"","0")</f>
        <v>0</v>
      </c>
      <c r="BW4" s="2" t="str">
        <f>IF(OR('A créer'!D4="Oui",LEN('A créer'!D4)=0,LEN('A créer'!C4)=0),"","TAB")</f>
        <v>TAB</v>
      </c>
      <c r="BX4" s="6" t="str">
        <f>IF(OR('A créer'!D4="Oui",LEN('A créer'!D4)=0,LEN('A créer'!C4)=0),"","ZZZZZZZZZZ")</f>
        <v>ZZZZZZZZZZ</v>
      </c>
      <c r="BY4" s="2" t="str">
        <f>IF(OR('A créer'!D4="Oui",LEN('A créer'!D4)=0,LEN('A créer'!C4)=0),"","ENT")</f>
        <v>ENT</v>
      </c>
      <c r="BZ4" s="2" t="str">
        <f>IF(OR('A créer'!D4="Oui",LEN('A créer'!D4)=0,LEN('A créer'!C4)=0),"","*SAVE")</f>
        <v>*SAVE</v>
      </c>
    </row>
    <row r="5" spans="1:78" x14ac:dyDescent="0.25">
      <c r="A5" s="2" t="str">
        <f>IF(LEN('A créer'!C5)=0,"","*FN")</f>
        <v>*FN</v>
      </c>
      <c r="B5" s="3" t="str">
        <f>IF(LEN('A créer'!C5)=0,"","\E")</f>
        <v>\E</v>
      </c>
      <c r="C5" s="2" t="str">
        <f>IF(LEN('A créer'!C5)=0,"","Tab")</f>
        <v>Tab</v>
      </c>
      <c r="D5" s="6" t="str">
        <f>IF(LEN('A créer'!C5)=0,"",'A créer'!A5)</f>
        <v>0498</v>
      </c>
      <c r="E5" s="2" t="str">
        <f>IF(LEN('A créer'!C5)=0,"","Tab")</f>
        <v>Tab</v>
      </c>
      <c r="F5" s="6">
        <f>IF(LEN('A créer'!C5)=0,"",0)</f>
        <v>0</v>
      </c>
      <c r="G5" s="2" t="str">
        <f>IF(LEN('A créer'!C5)=0,"","Tab")</f>
        <v>Tab</v>
      </c>
      <c r="H5" s="6" t="str">
        <f>IF(LEN('A créer'!C5)=0,"","ZZZ")</f>
        <v>ZZZ</v>
      </c>
      <c r="I5" s="6" t="str">
        <f>IF(LEN('A créer'!C5)=0,"","0")</f>
        <v>0</v>
      </c>
      <c r="J5" s="2" t="str">
        <f>IF(LEN('A créer'!C5)=0,"","Tab")</f>
        <v>Tab</v>
      </c>
      <c r="K5" s="6" t="str">
        <f>IF(LEN('A créer'!C5)=0,"","ZZZZZZ")</f>
        <v>ZZZZZZ</v>
      </c>
      <c r="L5" s="6" t="str">
        <f>IF(LEN('A créer'!C5)=0,"","0")</f>
        <v>0</v>
      </c>
      <c r="M5" s="2" t="str">
        <f>IF(LEN('A créer'!C5)=0,"","Tab")</f>
        <v>Tab</v>
      </c>
      <c r="N5" s="6" t="str">
        <f>IF(LEN('A créer'!C5)=0,"","ZZZZZ")</f>
        <v>ZZZZZ</v>
      </c>
      <c r="O5" s="6" t="str">
        <f>IF(LEN('A créer'!C5)=0,"",CONCATENATE('A créer'!B5,'A créer'!A5))</f>
        <v>DMS0498</v>
      </c>
      <c r="P5" s="2" t="str">
        <f>IF(LEN('A créer'!C5)=0,"","Tab")</f>
        <v>Tab</v>
      </c>
      <c r="Q5" s="6" t="str">
        <f>IF(LEN('A créer'!C5)=0,"","0")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 t="str">
        <f>IF(LEN('A créer'!C5)=0,"","0")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 t="str">
        <f>IF(LEN('A créer'!C5)=0,"","0")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 t="str">
        <f>IF(LEN('A créer'!C5)=0,"","0")</f>
        <v>0</v>
      </c>
      <c r="AA5" s="2" t="str">
        <f>IF(LEN('A créer'!C5)=0,"","Tab")</f>
        <v>Tab</v>
      </c>
      <c r="AB5" s="6" t="str">
        <f>IF(LEN('A créer'!C5)=0,"","ZZZ")</f>
        <v>ZZZ</v>
      </c>
      <c r="AC5" s="6" t="str">
        <f>IF(LEN('A créer'!C5)=0,"","0")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 t="str">
        <f>IF(LEN('A créer'!C5)=0,"","0")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 t="str">
        <f>IF(LEN('A créer'!C5)=0,"","0")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  <c r="AN5" s="2" t="str">
        <f>IF(OR('A créer'!D5="Oui",LEN('A créer'!D5)=0,LEN('A créer'!C5)=0),"","*FN")</f>
        <v>*FN</v>
      </c>
      <c r="AO5" s="3" t="str">
        <f>IF(OR('A créer'!D5="Oui",LEN('A créer'!D5)=0,LEN('A créer'!C5)=0),"","\E")</f>
        <v>\E</v>
      </c>
      <c r="AP5" s="2" t="str">
        <f>IF(OR('A créer'!D5="Oui",LEN('A créer'!D5)=0,LEN('A créer'!C5)=0),"","TAB")</f>
        <v>TAB</v>
      </c>
      <c r="AQ5" s="6" t="str">
        <f>IF(OR('A créer'!D5="Oui",LEN('A créer'!D5)=0,LEN('A créer'!C5)=0),"",'A créer'!A5)</f>
        <v>0498</v>
      </c>
      <c r="AR5" s="2" t="str">
        <f>IF(OR('A créer'!D5="Oui",LEN('A créer'!D5)=0,LEN('A créer'!C5)=0),"","TAB")</f>
        <v>TAB</v>
      </c>
      <c r="AS5" s="6" t="str">
        <f>IF(OR('A créer'!D5="Oui",LEN('A créer'!D5)=0,LEN('A créer'!C5)=0),"","0")</f>
        <v>0</v>
      </c>
      <c r="AT5" s="2" t="str">
        <f>IF(OR('A créer'!D5="Oui",LEN('A créer'!D5)=0,LEN('A créer'!C5)=0),"","TAB")</f>
        <v>TAB</v>
      </c>
      <c r="AU5" s="6" t="str">
        <f>IF(OR('A créer'!D5="Oui",LEN('A créer'!D5)=0,LEN('A créer'!C5)=0),"","ZZZ")</f>
        <v>ZZZ</v>
      </c>
      <c r="AV5" s="6" t="str">
        <f>IF(OR('A créer'!D5="Oui",LEN('A créer'!D5)=0,LEN('A créer'!C5)=0),"","0")</f>
        <v>0</v>
      </c>
      <c r="AW5" s="2" t="str">
        <f>IF(OR('A créer'!D5="Oui",LEN('A créer'!D5)=0,LEN('A créer'!C5)=0),"","TAB")</f>
        <v>TAB</v>
      </c>
      <c r="AX5" s="6" t="str">
        <f>IF(OR('A créer'!D5="Oui",LEN('A créer'!D5)=0,LEN('A créer'!C5)=0),"","ZZZZZZ")</f>
        <v>ZZZZZZ</v>
      </c>
      <c r="AY5" s="6" t="str">
        <f>IF(OR('A créer'!D5="Oui",LEN('A créer'!D5)=0,LEN('A créer'!C5)=0),"","0")</f>
        <v>0</v>
      </c>
      <c r="AZ5" s="2" t="str">
        <f>IF(OR('A créer'!D5="Oui",LEN('A créer'!D5)=0,LEN('A créer'!C5)=0),"","TAB")</f>
        <v>TAB</v>
      </c>
      <c r="BA5" s="6" t="str">
        <f>IF(OR('A créer'!D5="Oui",LEN('A créer'!D5)=0,LEN('A créer'!C5)=0),"","ZZZZZ")</f>
        <v>ZZZZZ</v>
      </c>
      <c r="BB5" s="6" t="str">
        <f>IF(OR('A créer'!D5="Oui",LEN('A créer'!D5)=0,LEN('A créer'!C5)=0),"",CONCATENATE("XXX",'A créer'!A5))</f>
        <v>XXX0498</v>
      </c>
      <c r="BC5" s="2" t="str">
        <f>IF(OR('A créer'!D5="Oui",LEN('A créer'!D5)=0,LEN('A créer'!C5)=0),"","TAB")</f>
        <v>TAB</v>
      </c>
      <c r="BD5" s="6" t="str">
        <f>IF(OR('A créer'!D5="Oui",LEN('A créer'!D5)=0,LEN('A créer'!C5)=0),"","0")</f>
        <v>0</v>
      </c>
      <c r="BE5" s="2" t="str">
        <f>IF(OR('A créer'!D5="Oui",LEN('A créer'!D5)=0,LEN('A créer'!C5)=0),"","TAB")</f>
        <v>TAB</v>
      </c>
      <c r="BF5" s="6" t="str">
        <f>IF(OR('A créer'!D5="Oui",LEN('A créer'!D5)=0,LEN('A créer'!C5)=0),"","ZZZZZZZZZZ")</f>
        <v>ZZZZZZZZZZ</v>
      </c>
      <c r="BG5" s="6" t="str">
        <f>IF(OR('A créer'!D5="Oui",LEN('A créer'!D5)=0,LEN('A créer'!C5)=0),"","0")</f>
        <v>0</v>
      </c>
      <c r="BH5" s="2" t="str">
        <f>IF(OR('A créer'!D5="Oui",LEN('A créer'!D5)=0,LEN('A créer'!C5)=0),"","TAB")</f>
        <v>TAB</v>
      </c>
      <c r="BI5" s="6" t="str">
        <f>IF(OR('A créer'!D5="Oui",LEN('A créer'!D5)=0,LEN('A créer'!C5)=0),"","ZZZZZZZZZZ")</f>
        <v>ZZZZZZZZZZ</v>
      </c>
      <c r="BJ5" s="6" t="str">
        <f>IF(OR('A créer'!D5="Oui",LEN('A créer'!D5)=0,LEN('A créer'!C5)=0),"","0")</f>
        <v>0</v>
      </c>
      <c r="BK5" s="2" t="str">
        <f>IF(OR('A créer'!D5="Oui",LEN('A créer'!D5)=0,LEN('A créer'!C5)=0),"","TAB")</f>
        <v>TAB</v>
      </c>
      <c r="BL5" s="6" t="str">
        <f>IF(OR('A créer'!D5="Oui",LEN('A créer'!D5)=0,LEN('A créer'!C5)=0),"","ZZZZZZZZZZZZZZZ")</f>
        <v>ZZZZZZZZZZZZZZZ</v>
      </c>
      <c r="BM5" s="6" t="str">
        <f>IF(OR('A créer'!D5="Oui",LEN('A créer'!D5)=0,LEN('A créer'!C5)=0),"","0")</f>
        <v>0</v>
      </c>
      <c r="BN5" s="2" t="str">
        <f>IF(OR('A créer'!D5="Oui",LEN('A créer'!D5)=0,LEN('A créer'!C5)=0),"","TAB")</f>
        <v>TAB</v>
      </c>
      <c r="BO5" s="6" t="str">
        <f>IF(OR('A créer'!D5="Oui",LEN('A créer'!D5)=0,LEN('A créer'!C5)=0),"","ZZZ")</f>
        <v>ZZZ</v>
      </c>
      <c r="BP5" s="6" t="str">
        <f>IF(OR('A créer'!D5="Oui",LEN('A créer'!D5)=0,LEN('A créer'!C5)=0),"","0")</f>
        <v>0</v>
      </c>
      <c r="BQ5" s="2" t="str">
        <f>IF(OR('A créer'!D5="Oui",LEN('A créer'!D5)=0,LEN('A créer'!C5)=0),"","TAB")</f>
        <v>TAB</v>
      </c>
      <c r="BR5" s="6" t="str">
        <f>IF(OR('A créer'!D5="Oui",LEN('A créer'!D5)=0,LEN('A créer'!C5)=0),"","ZZZZZZZZZZ")</f>
        <v>ZZZZZZZZZZ</v>
      </c>
      <c r="BS5" s="6" t="str">
        <f>IF(OR('A créer'!D5="Oui",LEN('A créer'!D5)=0,LEN('A créer'!C5)=0),"","0")</f>
        <v>0</v>
      </c>
      <c r="BT5" s="2" t="str">
        <f>IF(OR('A créer'!D5="Oui",LEN('A créer'!D5)=0,LEN('A créer'!C5)=0),"","TAB")</f>
        <v>TAB</v>
      </c>
      <c r="BU5" s="6" t="str">
        <f>IF(OR('A créer'!D5="Oui",LEN('A créer'!D5)=0,LEN('A créer'!C5)=0),"","ZZZZZZZZZZ")</f>
        <v>ZZZZZZZZZZ</v>
      </c>
      <c r="BV5" s="6" t="str">
        <f>IF(OR('A créer'!D5="Oui",LEN('A créer'!D5)=0,LEN('A créer'!C5)=0),"","0")</f>
        <v>0</v>
      </c>
      <c r="BW5" s="2" t="str">
        <f>IF(OR('A créer'!D5="Oui",LEN('A créer'!D5)=0,LEN('A créer'!C5)=0),"","TAB")</f>
        <v>TAB</v>
      </c>
      <c r="BX5" s="6" t="str">
        <f>IF(OR('A créer'!D5="Oui",LEN('A créer'!D5)=0,LEN('A créer'!C5)=0),"","ZZZZZZZZZZ")</f>
        <v>ZZZZZZZZZZ</v>
      </c>
      <c r="BY5" s="2" t="str">
        <f>IF(OR('A créer'!D5="Oui",LEN('A créer'!D5)=0,LEN('A créer'!C5)=0),"","ENT")</f>
        <v>ENT</v>
      </c>
      <c r="BZ5" s="2" t="str">
        <f>IF(OR('A créer'!D5="Oui",LEN('A créer'!D5)=0,LEN('A créer'!C5)=0),"","*SAVE")</f>
        <v>*SAVE</v>
      </c>
    </row>
    <row r="6" spans="1:78" x14ac:dyDescent="0.2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0490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DOS0490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>*FN</v>
      </c>
      <c r="AO6" s="3" t="str">
        <f>IF(OR('A créer'!D6="Oui",LEN('A créer'!D6)=0,LEN('A créer'!C6)=0),"","\E")</f>
        <v>\E</v>
      </c>
      <c r="AP6" s="2" t="str">
        <f>IF(OR('A créer'!D6="Oui",LEN('A créer'!D6)=0,LEN('A créer'!C6)=0),"","TAB")</f>
        <v>TAB</v>
      </c>
      <c r="AQ6" s="6" t="str">
        <f>IF(OR('A créer'!D6="Oui",LEN('A créer'!D6)=0,LEN('A créer'!C6)=0),"",'A créer'!A6)</f>
        <v>0490</v>
      </c>
      <c r="AR6" s="2" t="str">
        <f>IF(OR('A créer'!D6="Oui",LEN('A créer'!D6)=0,LEN('A créer'!C6)=0),"","TAB")</f>
        <v>TAB</v>
      </c>
      <c r="AS6" s="6" t="str">
        <f>IF(OR('A créer'!D6="Oui",LEN('A créer'!D6)=0,LEN('A créer'!C6)=0),"","0")</f>
        <v>0</v>
      </c>
      <c r="AT6" s="2" t="str">
        <f>IF(OR('A créer'!D6="Oui",LEN('A créer'!D6)=0,LEN('A créer'!C6)=0),"","TAB")</f>
        <v>TAB</v>
      </c>
      <c r="AU6" s="6" t="str">
        <f>IF(OR('A créer'!D6="Oui",LEN('A créer'!D6)=0,LEN('A créer'!C6)=0),"","ZZZ")</f>
        <v>ZZZ</v>
      </c>
      <c r="AV6" s="6" t="str">
        <f>IF(OR('A créer'!D6="Oui",LEN('A créer'!D6)=0,LEN('A créer'!C6)=0),"","0")</f>
        <v>0</v>
      </c>
      <c r="AW6" s="2" t="str">
        <f>IF(OR('A créer'!D6="Oui",LEN('A créer'!D6)=0,LEN('A créer'!C6)=0),"","TAB")</f>
        <v>TAB</v>
      </c>
      <c r="AX6" s="6" t="str">
        <f>IF(OR('A créer'!D6="Oui",LEN('A créer'!D6)=0,LEN('A créer'!C6)=0),"","ZZZZZZ")</f>
        <v>ZZZZZZ</v>
      </c>
      <c r="AY6" s="6" t="str">
        <f>IF(OR('A créer'!D6="Oui",LEN('A créer'!D6)=0,LEN('A créer'!C6)=0),"","0")</f>
        <v>0</v>
      </c>
      <c r="AZ6" s="2" t="str">
        <f>IF(OR('A créer'!D6="Oui",LEN('A créer'!D6)=0,LEN('A créer'!C6)=0),"","TAB")</f>
        <v>TAB</v>
      </c>
      <c r="BA6" s="6" t="str">
        <f>IF(OR('A créer'!D6="Oui",LEN('A créer'!D6)=0,LEN('A créer'!C6)=0),"","ZZZZZ")</f>
        <v>ZZZZZ</v>
      </c>
      <c r="BB6" s="6" t="str">
        <f>IF(OR('A créer'!D6="Oui",LEN('A créer'!D6)=0,LEN('A créer'!C6)=0),"",CONCATENATE("XXX",'A créer'!A6))</f>
        <v>XXX0490</v>
      </c>
      <c r="BC6" s="2" t="str">
        <f>IF(OR('A créer'!D6="Oui",LEN('A créer'!D6)=0,LEN('A créer'!C6)=0),"","TAB")</f>
        <v>TAB</v>
      </c>
      <c r="BD6" s="6" t="str">
        <f>IF(OR('A créer'!D6="Oui",LEN('A créer'!D6)=0,LEN('A créer'!C6)=0),"","0")</f>
        <v>0</v>
      </c>
      <c r="BE6" s="2" t="str">
        <f>IF(OR('A créer'!D6="Oui",LEN('A créer'!D6)=0,LEN('A créer'!C6)=0),"","TAB")</f>
        <v>TAB</v>
      </c>
      <c r="BF6" s="6" t="str">
        <f>IF(OR('A créer'!D6="Oui",LEN('A créer'!D6)=0,LEN('A créer'!C6)=0),"","ZZZZZZZZZZ")</f>
        <v>ZZZZZZZZZZ</v>
      </c>
      <c r="BG6" s="6" t="str">
        <f>IF(OR('A créer'!D6="Oui",LEN('A créer'!D6)=0,LEN('A créer'!C6)=0),"","0")</f>
        <v>0</v>
      </c>
      <c r="BH6" s="2" t="str">
        <f>IF(OR('A créer'!D6="Oui",LEN('A créer'!D6)=0,LEN('A créer'!C6)=0),"","TAB")</f>
        <v>TAB</v>
      </c>
      <c r="BI6" s="6" t="str">
        <f>IF(OR('A créer'!D6="Oui",LEN('A créer'!D6)=0,LEN('A créer'!C6)=0),"","ZZZZZZZZZZ")</f>
        <v>ZZZZZZZZZZ</v>
      </c>
      <c r="BJ6" s="6" t="str">
        <f>IF(OR('A créer'!D6="Oui",LEN('A créer'!D6)=0,LEN('A créer'!C6)=0),"","0")</f>
        <v>0</v>
      </c>
      <c r="BK6" s="2" t="str">
        <f>IF(OR('A créer'!D6="Oui",LEN('A créer'!D6)=0,LEN('A créer'!C6)=0),"","TAB")</f>
        <v>TAB</v>
      </c>
      <c r="BL6" s="6" t="str">
        <f>IF(OR('A créer'!D6="Oui",LEN('A créer'!D6)=0,LEN('A créer'!C6)=0),"","ZZZZZZZZZZZZZZZ")</f>
        <v>ZZZZZZZZZZZZZZZ</v>
      </c>
      <c r="BM6" s="6" t="str">
        <f>IF(OR('A créer'!D6="Oui",LEN('A créer'!D6)=0,LEN('A créer'!C6)=0),"","0")</f>
        <v>0</v>
      </c>
      <c r="BN6" s="2" t="str">
        <f>IF(OR('A créer'!D6="Oui",LEN('A créer'!D6)=0,LEN('A créer'!C6)=0),"","TAB")</f>
        <v>TAB</v>
      </c>
      <c r="BO6" s="6" t="str">
        <f>IF(OR('A créer'!D6="Oui",LEN('A créer'!D6)=0,LEN('A créer'!C6)=0),"","ZZZ")</f>
        <v>ZZZ</v>
      </c>
      <c r="BP6" s="6" t="str">
        <f>IF(OR('A créer'!D6="Oui",LEN('A créer'!D6)=0,LEN('A créer'!C6)=0),"","0")</f>
        <v>0</v>
      </c>
      <c r="BQ6" s="2" t="str">
        <f>IF(OR('A créer'!D6="Oui",LEN('A créer'!D6)=0,LEN('A créer'!C6)=0),"","TAB")</f>
        <v>TAB</v>
      </c>
      <c r="BR6" s="6" t="str">
        <f>IF(OR('A créer'!D6="Oui",LEN('A créer'!D6)=0,LEN('A créer'!C6)=0),"","ZZZZZZZZZZ")</f>
        <v>ZZZZZZZZZZ</v>
      </c>
      <c r="BS6" s="6" t="str">
        <f>IF(OR('A créer'!D6="Oui",LEN('A créer'!D6)=0,LEN('A créer'!C6)=0),"","0")</f>
        <v>0</v>
      </c>
      <c r="BT6" s="2" t="str">
        <f>IF(OR('A créer'!D6="Oui",LEN('A créer'!D6)=0,LEN('A créer'!C6)=0),"","TAB")</f>
        <v>TAB</v>
      </c>
      <c r="BU6" s="6" t="str">
        <f>IF(OR('A créer'!D6="Oui",LEN('A créer'!D6)=0,LEN('A créer'!C6)=0),"","ZZZZZZZZZZ")</f>
        <v>ZZZZZZZZZZ</v>
      </c>
      <c r="BV6" s="6" t="str">
        <f>IF(OR('A créer'!D6="Oui",LEN('A créer'!D6)=0,LEN('A créer'!C6)=0),"","0")</f>
        <v>0</v>
      </c>
      <c r="BW6" s="2" t="str">
        <f>IF(OR('A créer'!D6="Oui",LEN('A créer'!D6)=0,LEN('A créer'!C6)=0),"","TAB")</f>
        <v>TAB</v>
      </c>
      <c r="BX6" s="6" t="str">
        <f>IF(OR('A créer'!D6="Oui",LEN('A créer'!D6)=0,LEN('A créer'!C6)=0),"","ZZZZZZZZZZ")</f>
        <v>ZZZZZZZZZZ</v>
      </c>
      <c r="BY6" s="2" t="str">
        <f>IF(OR('A créer'!D6="Oui",LEN('A créer'!D6)=0,LEN('A créer'!C6)=0),"","ENT")</f>
        <v>ENT</v>
      </c>
      <c r="BZ6" s="2" t="str">
        <f>IF(OR('A créer'!D6="Oui",LEN('A créer'!D6)=0,LEN('A créer'!C6)=0),"","*SAVE")</f>
        <v>*SAVE</v>
      </c>
    </row>
    <row r="7" spans="1:78" x14ac:dyDescent="0.2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6" t="str">
        <f>IF(LEN('A créer'!C7)=0,"",'A créer'!A7)</f>
        <v>0490</v>
      </c>
      <c r="E7" s="2" t="str">
        <f>IF(LEN('A créer'!C7)=0,"","Tab")</f>
        <v>Tab</v>
      </c>
      <c r="F7" s="6">
        <f>IF(LEN('A créer'!C7)=0,"",0)</f>
        <v>0</v>
      </c>
      <c r="G7" s="2" t="str">
        <f>IF(LEN('A créer'!C7)=0,"","Tab")</f>
        <v>Tab</v>
      </c>
      <c r="H7" s="6" t="str">
        <f>IF(LEN('A créer'!C7)=0,"","ZZZ")</f>
        <v>ZZZ</v>
      </c>
      <c r="I7" s="6" t="str">
        <f>IF(LEN('A créer'!C7)=0,"","0")</f>
        <v>0</v>
      </c>
      <c r="J7" s="2" t="str">
        <f>IF(LEN('A créer'!C7)=0,"","Tab")</f>
        <v>Tab</v>
      </c>
      <c r="K7" s="6" t="str">
        <f>IF(LEN('A créer'!C7)=0,"","ZZZZZZ")</f>
        <v>ZZZZZZ</v>
      </c>
      <c r="L7" s="6" t="str">
        <f>IF(LEN('A créer'!C7)=0,"","0")</f>
        <v>0</v>
      </c>
      <c r="M7" s="2" t="str">
        <f>IF(LEN('A créer'!C7)=0,"","Tab")</f>
        <v>Tab</v>
      </c>
      <c r="N7" s="6" t="str">
        <f>IF(LEN('A créer'!C7)=0,"","ZZZZZ")</f>
        <v>ZZZZZ</v>
      </c>
      <c r="O7" s="6" t="str">
        <f>IF(LEN('A créer'!C7)=0,"",CONCATENATE('A créer'!B7,'A créer'!A7))</f>
        <v>DCW0490</v>
      </c>
      <c r="P7" s="2" t="str">
        <f>IF(LEN('A créer'!C7)=0,"","Tab")</f>
        <v>Tab</v>
      </c>
      <c r="Q7" s="6" t="str">
        <f>IF(LEN('A créer'!C7)=0,"","0")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 t="str">
        <f>IF(LEN('A créer'!C7)=0,"","0")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 t="str">
        <f>IF(LEN('A créer'!C7)=0,"","0")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 t="str">
        <f>IF(LEN('A créer'!C7)=0,"","0")</f>
        <v>0</v>
      </c>
      <c r="AA7" s="2" t="str">
        <f>IF(LEN('A créer'!C7)=0,"","Tab")</f>
        <v>Tab</v>
      </c>
      <c r="AB7" s="6" t="str">
        <f>IF(LEN('A créer'!C7)=0,"","ZZZ")</f>
        <v>ZZZ</v>
      </c>
      <c r="AC7" s="6" t="str">
        <f>IF(LEN('A créer'!C7)=0,"","0")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 t="str">
        <f>IF(LEN('A créer'!C7)=0,"","0")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 t="str">
        <f>IF(LEN('A créer'!C7)=0,"","0")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>*FN</v>
      </c>
      <c r="AO7" s="3" t="str">
        <f>IF(OR('A créer'!D7="Oui",LEN('A créer'!D7)=0,LEN('A créer'!C7)=0),"","\E")</f>
        <v>\E</v>
      </c>
      <c r="AP7" s="2" t="str">
        <f>IF(OR('A créer'!D7="Oui",LEN('A créer'!D7)=0,LEN('A créer'!C7)=0),"","TAB")</f>
        <v>TAB</v>
      </c>
      <c r="AQ7" s="6" t="str">
        <f>IF(OR('A créer'!D7="Oui",LEN('A créer'!D7)=0,LEN('A créer'!C7)=0),"",'A créer'!A7)</f>
        <v>0490</v>
      </c>
      <c r="AR7" s="2" t="str">
        <f>IF(OR('A créer'!D7="Oui",LEN('A créer'!D7)=0,LEN('A créer'!C7)=0),"","TAB")</f>
        <v>TAB</v>
      </c>
      <c r="AS7" s="6" t="str">
        <f>IF(OR('A créer'!D7="Oui",LEN('A créer'!D7)=0,LEN('A créer'!C7)=0),"","0")</f>
        <v>0</v>
      </c>
      <c r="AT7" s="2" t="str">
        <f>IF(OR('A créer'!D7="Oui",LEN('A créer'!D7)=0,LEN('A créer'!C7)=0),"","TAB")</f>
        <v>TAB</v>
      </c>
      <c r="AU7" s="6" t="str">
        <f>IF(OR('A créer'!D7="Oui",LEN('A créer'!D7)=0,LEN('A créer'!C7)=0),"","ZZZ")</f>
        <v>ZZZ</v>
      </c>
      <c r="AV7" s="6" t="str">
        <f>IF(OR('A créer'!D7="Oui",LEN('A créer'!D7)=0,LEN('A créer'!C7)=0),"","0")</f>
        <v>0</v>
      </c>
      <c r="AW7" s="2" t="str">
        <f>IF(OR('A créer'!D7="Oui",LEN('A créer'!D7)=0,LEN('A créer'!C7)=0),"","TAB")</f>
        <v>TAB</v>
      </c>
      <c r="AX7" s="6" t="str">
        <f>IF(OR('A créer'!D7="Oui",LEN('A créer'!D7)=0,LEN('A créer'!C7)=0),"","ZZZZZZ")</f>
        <v>ZZZZZZ</v>
      </c>
      <c r="AY7" s="6" t="str">
        <f>IF(OR('A créer'!D7="Oui",LEN('A créer'!D7)=0,LEN('A créer'!C7)=0),"","0")</f>
        <v>0</v>
      </c>
      <c r="AZ7" s="2" t="str">
        <f>IF(OR('A créer'!D7="Oui",LEN('A créer'!D7)=0,LEN('A créer'!C7)=0),"","TAB")</f>
        <v>TAB</v>
      </c>
      <c r="BA7" s="6" t="str">
        <f>IF(OR('A créer'!D7="Oui",LEN('A créer'!D7)=0,LEN('A créer'!C7)=0),"","ZZZZZ")</f>
        <v>ZZZZZ</v>
      </c>
      <c r="BB7" s="6" t="str">
        <f>IF(OR('A créer'!D7="Oui",LEN('A créer'!D7)=0,LEN('A créer'!C7)=0),"",CONCATENATE("XXX",'A créer'!A7))</f>
        <v>XXX0490</v>
      </c>
      <c r="BC7" s="2" t="str">
        <f>IF(OR('A créer'!D7="Oui",LEN('A créer'!D7)=0,LEN('A créer'!C7)=0),"","TAB")</f>
        <v>TAB</v>
      </c>
      <c r="BD7" s="6" t="str">
        <f>IF(OR('A créer'!D7="Oui",LEN('A créer'!D7)=0,LEN('A créer'!C7)=0),"","0")</f>
        <v>0</v>
      </c>
      <c r="BE7" s="2" t="str">
        <f>IF(OR('A créer'!D7="Oui",LEN('A créer'!D7)=0,LEN('A créer'!C7)=0),"","TAB")</f>
        <v>TAB</v>
      </c>
      <c r="BF7" s="6" t="str">
        <f>IF(OR('A créer'!D7="Oui",LEN('A créer'!D7)=0,LEN('A créer'!C7)=0),"","ZZZZZZZZZZ")</f>
        <v>ZZZZZZZZZZ</v>
      </c>
      <c r="BG7" s="6" t="str">
        <f>IF(OR('A créer'!D7="Oui",LEN('A créer'!D7)=0,LEN('A créer'!C7)=0),"","0")</f>
        <v>0</v>
      </c>
      <c r="BH7" s="2" t="str">
        <f>IF(OR('A créer'!D7="Oui",LEN('A créer'!D7)=0,LEN('A créer'!C7)=0),"","TAB")</f>
        <v>TAB</v>
      </c>
      <c r="BI7" s="6" t="str">
        <f>IF(OR('A créer'!D7="Oui",LEN('A créer'!D7)=0,LEN('A créer'!C7)=0),"","ZZZZZZZZZZ")</f>
        <v>ZZZZZZZZZZ</v>
      </c>
      <c r="BJ7" s="6" t="str">
        <f>IF(OR('A créer'!D7="Oui",LEN('A créer'!D7)=0,LEN('A créer'!C7)=0),"","0")</f>
        <v>0</v>
      </c>
      <c r="BK7" s="2" t="str">
        <f>IF(OR('A créer'!D7="Oui",LEN('A créer'!D7)=0,LEN('A créer'!C7)=0),"","TAB")</f>
        <v>TAB</v>
      </c>
      <c r="BL7" s="6" t="str">
        <f>IF(OR('A créer'!D7="Oui",LEN('A créer'!D7)=0,LEN('A créer'!C7)=0),"","ZZZZZZZZZZZZZZZ")</f>
        <v>ZZZZZZZZZZZZZZZ</v>
      </c>
      <c r="BM7" s="6" t="str">
        <f>IF(OR('A créer'!D7="Oui",LEN('A créer'!D7)=0,LEN('A créer'!C7)=0),"","0")</f>
        <v>0</v>
      </c>
      <c r="BN7" s="2" t="str">
        <f>IF(OR('A créer'!D7="Oui",LEN('A créer'!D7)=0,LEN('A créer'!C7)=0),"","TAB")</f>
        <v>TAB</v>
      </c>
      <c r="BO7" s="6" t="str">
        <f>IF(OR('A créer'!D7="Oui",LEN('A créer'!D7)=0,LEN('A créer'!C7)=0),"","ZZZ")</f>
        <v>ZZZ</v>
      </c>
      <c r="BP7" s="6" t="str">
        <f>IF(OR('A créer'!D7="Oui",LEN('A créer'!D7)=0,LEN('A créer'!C7)=0),"","0")</f>
        <v>0</v>
      </c>
      <c r="BQ7" s="2" t="str">
        <f>IF(OR('A créer'!D7="Oui",LEN('A créer'!D7)=0,LEN('A créer'!C7)=0),"","TAB")</f>
        <v>TAB</v>
      </c>
      <c r="BR7" s="6" t="str">
        <f>IF(OR('A créer'!D7="Oui",LEN('A créer'!D7)=0,LEN('A créer'!C7)=0),"","ZZZZZZZZZZ")</f>
        <v>ZZZZZZZZZZ</v>
      </c>
      <c r="BS7" s="6" t="str">
        <f>IF(OR('A créer'!D7="Oui",LEN('A créer'!D7)=0,LEN('A créer'!C7)=0),"","0")</f>
        <v>0</v>
      </c>
      <c r="BT7" s="2" t="str">
        <f>IF(OR('A créer'!D7="Oui",LEN('A créer'!D7)=0,LEN('A créer'!C7)=0),"","TAB")</f>
        <v>TAB</v>
      </c>
      <c r="BU7" s="6" t="str">
        <f>IF(OR('A créer'!D7="Oui",LEN('A créer'!D7)=0,LEN('A créer'!C7)=0),"","ZZZZZZZZZZ")</f>
        <v>ZZZZZZZZZZ</v>
      </c>
      <c r="BV7" s="6" t="str">
        <f>IF(OR('A créer'!D7="Oui",LEN('A créer'!D7)=0,LEN('A créer'!C7)=0),"","0")</f>
        <v>0</v>
      </c>
      <c r="BW7" s="2" t="str">
        <f>IF(OR('A créer'!D7="Oui",LEN('A créer'!D7)=0,LEN('A créer'!C7)=0),"","TAB")</f>
        <v>TAB</v>
      </c>
      <c r="BX7" s="6" t="str">
        <f>IF(OR('A créer'!D7="Oui",LEN('A créer'!D7)=0,LEN('A créer'!C7)=0),"","ZZZZZZZZZZ")</f>
        <v>ZZZZZZZZZZ</v>
      </c>
      <c r="BY7" s="2" t="str">
        <f>IF(OR('A créer'!D7="Oui",LEN('A créer'!D7)=0,LEN('A créer'!C7)=0),"","ENT")</f>
        <v>ENT</v>
      </c>
      <c r="BZ7" s="2" t="str">
        <f>IF(OR('A créer'!D7="Oui",LEN('A créer'!D7)=0,LEN('A créer'!C7)=0),"","*SAVE")</f>
        <v>*SAVE</v>
      </c>
    </row>
    <row r="8" spans="1:78" x14ac:dyDescent="0.25">
      <c r="A8" s="2" t="str">
        <f>IF(LEN('A créer'!C8)=0,"","*FN")</f>
        <v>*FN</v>
      </c>
      <c r="B8" s="3" t="str">
        <f>IF(LEN('A créer'!C8)=0,"","\E")</f>
        <v>\E</v>
      </c>
      <c r="C8" s="2" t="str">
        <f>IF(LEN('A créer'!C8)=0,"","Tab")</f>
        <v>Tab</v>
      </c>
      <c r="D8" s="6" t="str">
        <f>IF(LEN('A créer'!C8)=0,"",'A créer'!A8)</f>
        <v>0490</v>
      </c>
      <c r="E8" s="2" t="str">
        <f>IF(LEN('A créer'!C8)=0,"","Tab")</f>
        <v>Tab</v>
      </c>
      <c r="F8" s="6">
        <f>IF(LEN('A créer'!C8)=0,"",0)</f>
        <v>0</v>
      </c>
      <c r="G8" s="2" t="str">
        <f>IF(LEN('A créer'!C8)=0,"","Tab")</f>
        <v>Tab</v>
      </c>
      <c r="H8" s="6" t="str">
        <f>IF(LEN('A créer'!C8)=0,"","ZZZ")</f>
        <v>ZZZ</v>
      </c>
      <c r="I8" s="6" t="str">
        <f>IF(LEN('A créer'!C8)=0,"","0")</f>
        <v>0</v>
      </c>
      <c r="J8" s="2" t="str">
        <f>IF(LEN('A créer'!C8)=0,"","Tab")</f>
        <v>Tab</v>
      </c>
      <c r="K8" s="6" t="str">
        <f>IF(LEN('A créer'!C8)=0,"","ZZZZZZ")</f>
        <v>ZZZZZZ</v>
      </c>
      <c r="L8" s="6" t="str">
        <f>IF(LEN('A créer'!C8)=0,"","0")</f>
        <v>0</v>
      </c>
      <c r="M8" s="2" t="str">
        <f>IF(LEN('A créer'!C8)=0,"","Tab")</f>
        <v>Tab</v>
      </c>
      <c r="N8" s="6" t="str">
        <f>IF(LEN('A créer'!C8)=0,"","ZZZZZ")</f>
        <v>ZZZZZ</v>
      </c>
      <c r="O8" s="6" t="str">
        <f>IF(LEN('A créer'!C8)=0,"",CONCATENATE('A créer'!B8,'A créer'!A8))</f>
        <v>DEW0490</v>
      </c>
      <c r="P8" s="2" t="str">
        <f>IF(LEN('A créer'!C8)=0,"","Tab")</f>
        <v>Tab</v>
      </c>
      <c r="Q8" s="6" t="str">
        <f>IF(LEN('A créer'!C8)=0,"","0")</f>
        <v>0</v>
      </c>
      <c r="R8" s="2" t="str">
        <f>IF(LEN('A créer'!C8)=0,"","Tab")</f>
        <v>Tab</v>
      </c>
      <c r="S8" s="6" t="str">
        <f>IF(LEN('A créer'!C8)=0,"","ZZZZZZZZZZ")</f>
        <v>ZZZZZZZZZZ</v>
      </c>
      <c r="T8" s="6" t="str">
        <f>IF(LEN('A créer'!C8)=0,"","0")</f>
        <v>0</v>
      </c>
      <c r="U8" s="2" t="str">
        <f>IF(LEN('A créer'!C8)=0,"","Tab")</f>
        <v>Tab</v>
      </c>
      <c r="V8" s="6" t="str">
        <f>IF(LEN('A créer'!C8)=0,"","ZZZZZZZZZZ")</f>
        <v>ZZZZZZZZZZ</v>
      </c>
      <c r="W8" s="6" t="str">
        <f>IF(LEN('A créer'!C8)=0,"","0")</f>
        <v>0</v>
      </c>
      <c r="X8" s="2" t="str">
        <f>IF(LEN('A créer'!C8)=0,"","Tab")</f>
        <v>Tab</v>
      </c>
      <c r="Y8" s="6" t="str">
        <f>IF(LEN('A créer'!C8)=0,"","ZZZZZZZZZZZZZZZ")</f>
        <v>ZZZZZZZZZZZZZZZ</v>
      </c>
      <c r="Z8" s="6" t="str">
        <f>IF(LEN('A créer'!C8)=0,"","0")</f>
        <v>0</v>
      </c>
      <c r="AA8" s="2" t="str">
        <f>IF(LEN('A créer'!C8)=0,"","Tab")</f>
        <v>Tab</v>
      </c>
      <c r="AB8" s="6" t="str">
        <f>IF(LEN('A créer'!C8)=0,"","ZZZ")</f>
        <v>ZZZ</v>
      </c>
      <c r="AC8" s="6" t="str">
        <f>IF(LEN('A créer'!C8)=0,"","0")</f>
        <v>0</v>
      </c>
      <c r="AD8" s="2" t="str">
        <f>IF(LEN('A créer'!C8)=0,"","Tab")</f>
        <v>Tab</v>
      </c>
      <c r="AE8" s="6" t="str">
        <f>IF(LEN('A créer'!C8)=0,"","ZZZZZZZZZZ")</f>
        <v>ZZZZZZZZZZ</v>
      </c>
      <c r="AF8" s="6" t="str">
        <f>IF(LEN('A créer'!C8)=0,"","0")</f>
        <v>0</v>
      </c>
      <c r="AG8" s="2" t="str">
        <f>IF(LEN('A créer'!C8)=0,"","Tab")</f>
        <v>Tab</v>
      </c>
      <c r="AH8" s="6" t="str">
        <f>IF(LEN('A créer'!C8)=0,"","ZZZZZZZZZZ")</f>
        <v>ZZZZZZZZZZ</v>
      </c>
      <c r="AI8" s="6" t="str">
        <f>IF(LEN('A créer'!C8)=0,"","0")</f>
        <v>0</v>
      </c>
      <c r="AJ8" s="2" t="str">
        <f>IF(LEN('A créer'!C8)=0,"","Tab")</f>
        <v>Tab</v>
      </c>
      <c r="AK8" s="6" t="str">
        <f>IF(LEN('A créer'!C8)=0,"","ZZZZZZZZZZ")</f>
        <v>ZZZZZZZZZZ</v>
      </c>
      <c r="AL8" s="2" t="str">
        <f>IF(LEN('A créer'!C8)=0,"","ENT")</f>
        <v>ENT</v>
      </c>
      <c r="AM8" s="2" t="str">
        <f>IF(LEN('A créer'!C8)=0,"","*SAVE")</f>
        <v>*SAVE</v>
      </c>
      <c r="AN8" s="2" t="str">
        <f>IF(OR('A créer'!D8="Oui",LEN('A créer'!D8)=0,LEN('A créer'!C8)=0),"","*FN")</f>
        <v>*FN</v>
      </c>
      <c r="AO8" s="3" t="str">
        <f>IF(OR('A créer'!D8="Oui",LEN('A créer'!D8)=0,LEN('A créer'!C8)=0),"","\E")</f>
        <v>\E</v>
      </c>
      <c r="AP8" s="2" t="str">
        <f>IF(OR('A créer'!D8="Oui",LEN('A créer'!D8)=0,LEN('A créer'!C8)=0),"","TAB")</f>
        <v>TAB</v>
      </c>
      <c r="AQ8" s="6" t="str">
        <f>IF(OR('A créer'!D8="Oui",LEN('A créer'!D8)=0,LEN('A créer'!C8)=0),"",'A créer'!A8)</f>
        <v>0490</v>
      </c>
      <c r="AR8" s="2" t="str">
        <f>IF(OR('A créer'!D8="Oui",LEN('A créer'!D8)=0,LEN('A créer'!C8)=0),"","TAB")</f>
        <v>TAB</v>
      </c>
      <c r="AS8" s="6" t="str">
        <f>IF(OR('A créer'!D8="Oui",LEN('A créer'!D8)=0,LEN('A créer'!C8)=0),"","0")</f>
        <v>0</v>
      </c>
      <c r="AT8" s="2" t="str">
        <f>IF(OR('A créer'!D8="Oui",LEN('A créer'!D8)=0,LEN('A créer'!C8)=0),"","TAB")</f>
        <v>TAB</v>
      </c>
      <c r="AU8" s="6" t="str">
        <f>IF(OR('A créer'!D8="Oui",LEN('A créer'!D8)=0,LEN('A créer'!C8)=0),"","ZZZ")</f>
        <v>ZZZ</v>
      </c>
      <c r="AV8" s="6" t="str">
        <f>IF(OR('A créer'!D8="Oui",LEN('A créer'!D8)=0,LEN('A créer'!C8)=0),"","0")</f>
        <v>0</v>
      </c>
      <c r="AW8" s="2" t="str">
        <f>IF(OR('A créer'!D8="Oui",LEN('A créer'!D8)=0,LEN('A créer'!C8)=0),"","TAB")</f>
        <v>TAB</v>
      </c>
      <c r="AX8" s="6" t="str">
        <f>IF(OR('A créer'!D8="Oui",LEN('A créer'!D8)=0,LEN('A créer'!C8)=0),"","ZZZZZZ")</f>
        <v>ZZZZZZ</v>
      </c>
      <c r="AY8" s="6" t="str">
        <f>IF(OR('A créer'!D8="Oui",LEN('A créer'!D8)=0,LEN('A créer'!C8)=0),"","0")</f>
        <v>0</v>
      </c>
      <c r="AZ8" s="2" t="str">
        <f>IF(OR('A créer'!D8="Oui",LEN('A créer'!D8)=0,LEN('A créer'!C8)=0),"","TAB")</f>
        <v>TAB</v>
      </c>
      <c r="BA8" s="6" t="str">
        <f>IF(OR('A créer'!D8="Oui",LEN('A créer'!D8)=0,LEN('A créer'!C8)=0),"","ZZZZZ")</f>
        <v>ZZZZZ</v>
      </c>
      <c r="BB8" s="6" t="str">
        <f>IF(OR('A créer'!D8="Oui",LEN('A créer'!D8)=0,LEN('A créer'!C8)=0),"",CONCATENATE("XXX",'A créer'!A8))</f>
        <v>XXX0490</v>
      </c>
      <c r="BC8" s="2" t="str">
        <f>IF(OR('A créer'!D8="Oui",LEN('A créer'!D8)=0,LEN('A créer'!C8)=0),"","TAB")</f>
        <v>TAB</v>
      </c>
      <c r="BD8" s="6" t="str">
        <f>IF(OR('A créer'!D8="Oui",LEN('A créer'!D8)=0,LEN('A créer'!C8)=0),"","0")</f>
        <v>0</v>
      </c>
      <c r="BE8" s="2" t="str">
        <f>IF(OR('A créer'!D8="Oui",LEN('A créer'!D8)=0,LEN('A créer'!C8)=0),"","TAB")</f>
        <v>TAB</v>
      </c>
      <c r="BF8" s="6" t="str">
        <f>IF(OR('A créer'!D8="Oui",LEN('A créer'!D8)=0,LEN('A créer'!C8)=0),"","ZZZZZZZZZZ")</f>
        <v>ZZZZZZZZZZ</v>
      </c>
      <c r="BG8" s="6" t="str">
        <f>IF(OR('A créer'!D8="Oui",LEN('A créer'!D8)=0,LEN('A créer'!C8)=0),"","0")</f>
        <v>0</v>
      </c>
      <c r="BH8" s="2" t="str">
        <f>IF(OR('A créer'!D8="Oui",LEN('A créer'!D8)=0,LEN('A créer'!C8)=0),"","TAB")</f>
        <v>TAB</v>
      </c>
      <c r="BI8" s="6" t="str">
        <f>IF(OR('A créer'!D8="Oui",LEN('A créer'!D8)=0,LEN('A créer'!C8)=0),"","ZZZZZZZZZZ")</f>
        <v>ZZZZZZZZZZ</v>
      </c>
      <c r="BJ8" s="6" t="str">
        <f>IF(OR('A créer'!D8="Oui",LEN('A créer'!D8)=0,LEN('A créer'!C8)=0),"","0")</f>
        <v>0</v>
      </c>
      <c r="BK8" s="2" t="str">
        <f>IF(OR('A créer'!D8="Oui",LEN('A créer'!D8)=0,LEN('A créer'!C8)=0),"","TAB")</f>
        <v>TAB</v>
      </c>
      <c r="BL8" s="6" t="str">
        <f>IF(OR('A créer'!D8="Oui",LEN('A créer'!D8)=0,LEN('A créer'!C8)=0),"","ZZZZZZZZZZZZZZZ")</f>
        <v>ZZZZZZZZZZZZZZZ</v>
      </c>
      <c r="BM8" s="6" t="str">
        <f>IF(OR('A créer'!D8="Oui",LEN('A créer'!D8)=0,LEN('A créer'!C8)=0),"","0")</f>
        <v>0</v>
      </c>
      <c r="BN8" s="2" t="str">
        <f>IF(OR('A créer'!D8="Oui",LEN('A créer'!D8)=0,LEN('A créer'!C8)=0),"","TAB")</f>
        <v>TAB</v>
      </c>
      <c r="BO8" s="6" t="str">
        <f>IF(OR('A créer'!D8="Oui",LEN('A créer'!D8)=0,LEN('A créer'!C8)=0),"","ZZZ")</f>
        <v>ZZZ</v>
      </c>
      <c r="BP8" s="6" t="str">
        <f>IF(OR('A créer'!D8="Oui",LEN('A créer'!D8)=0,LEN('A créer'!C8)=0),"","0")</f>
        <v>0</v>
      </c>
      <c r="BQ8" s="2" t="str">
        <f>IF(OR('A créer'!D8="Oui",LEN('A créer'!D8)=0,LEN('A créer'!C8)=0),"","TAB")</f>
        <v>TAB</v>
      </c>
      <c r="BR8" s="6" t="str">
        <f>IF(OR('A créer'!D8="Oui",LEN('A créer'!D8)=0,LEN('A créer'!C8)=0),"","ZZZZZZZZZZ")</f>
        <v>ZZZZZZZZZZ</v>
      </c>
      <c r="BS8" s="6" t="str">
        <f>IF(OR('A créer'!D8="Oui",LEN('A créer'!D8)=0,LEN('A créer'!C8)=0),"","0")</f>
        <v>0</v>
      </c>
      <c r="BT8" s="2" t="str">
        <f>IF(OR('A créer'!D8="Oui",LEN('A créer'!D8)=0,LEN('A créer'!C8)=0),"","TAB")</f>
        <v>TAB</v>
      </c>
      <c r="BU8" s="6" t="str">
        <f>IF(OR('A créer'!D8="Oui",LEN('A créer'!D8)=0,LEN('A créer'!C8)=0),"","ZZZZZZZZZZ")</f>
        <v>ZZZZZZZZZZ</v>
      </c>
      <c r="BV8" s="6" t="str">
        <f>IF(OR('A créer'!D8="Oui",LEN('A créer'!D8)=0,LEN('A créer'!C8)=0),"","0")</f>
        <v>0</v>
      </c>
      <c r="BW8" s="2" t="str">
        <f>IF(OR('A créer'!D8="Oui",LEN('A créer'!D8)=0,LEN('A créer'!C8)=0),"","TAB")</f>
        <v>TAB</v>
      </c>
      <c r="BX8" s="6" t="str">
        <f>IF(OR('A créer'!D8="Oui",LEN('A créer'!D8)=0,LEN('A créer'!C8)=0),"","ZZZZZZZZZZ")</f>
        <v>ZZZZZZZZZZ</v>
      </c>
      <c r="BY8" s="2" t="str">
        <f>IF(OR('A créer'!D8="Oui",LEN('A créer'!D8)=0,LEN('A créer'!C8)=0),"","ENT")</f>
        <v>ENT</v>
      </c>
      <c r="BZ8" s="2" t="str">
        <f>IF(OR('A créer'!D8="Oui",LEN('A créer'!D8)=0,LEN('A créer'!C8)=0),"","*SAVE")</f>
        <v>*SAVE</v>
      </c>
    </row>
    <row r="9" spans="1:78" x14ac:dyDescent="0.25">
      <c r="A9" s="2" t="str">
        <f>IF(LEN('A créer'!C9)=0,"","*FN")</f>
        <v>*FN</v>
      </c>
      <c r="B9" s="3" t="str">
        <f>IF(LEN('A créer'!C9)=0,"","\E")</f>
        <v>\E</v>
      </c>
      <c r="C9" s="2" t="str">
        <f>IF(LEN('A créer'!C9)=0,"","Tab")</f>
        <v>Tab</v>
      </c>
      <c r="D9" s="6" t="str">
        <f>IF(LEN('A créer'!C9)=0,"",'A créer'!A9)</f>
        <v>0490</v>
      </c>
      <c r="E9" s="2" t="str">
        <f>IF(LEN('A créer'!C9)=0,"","Tab")</f>
        <v>Tab</v>
      </c>
      <c r="F9" s="6">
        <f>IF(LEN('A créer'!C9)=0,"",0)</f>
        <v>0</v>
      </c>
      <c r="G9" s="2" t="str">
        <f>IF(LEN('A créer'!C9)=0,"","Tab")</f>
        <v>Tab</v>
      </c>
      <c r="H9" s="6" t="str">
        <f>IF(LEN('A créer'!C9)=0,"","ZZZ")</f>
        <v>ZZZ</v>
      </c>
      <c r="I9" s="6" t="str">
        <f>IF(LEN('A créer'!C9)=0,"","0")</f>
        <v>0</v>
      </c>
      <c r="J9" s="2" t="str">
        <f>IF(LEN('A créer'!C9)=0,"","Tab")</f>
        <v>Tab</v>
      </c>
      <c r="K9" s="6" t="str">
        <f>IF(LEN('A créer'!C9)=0,"","ZZZZZZ")</f>
        <v>ZZZZZZ</v>
      </c>
      <c r="L9" s="6" t="str">
        <f>IF(LEN('A créer'!C9)=0,"","0")</f>
        <v>0</v>
      </c>
      <c r="M9" s="2" t="str">
        <f>IF(LEN('A créer'!C9)=0,"","Tab")</f>
        <v>Tab</v>
      </c>
      <c r="N9" s="6" t="str">
        <f>IF(LEN('A créer'!C9)=0,"","ZZZZZ")</f>
        <v>ZZZZZ</v>
      </c>
      <c r="O9" s="6" t="str">
        <f>IF(LEN('A créer'!C9)=0,"",CONCATENATE('A créer'!B9,'A créer'!A9))</f>
        <v>DLS0490</v>
      </c>
      <c r="P9" s="2" t="str">
        <f>IF(LEN('A créer'!C9)=0,"","Tab")</f>
        <v>Tab</v>
      </c>
      <c r="Q9" s="6" t="str">
        <f>IF(LEN('A créer'!C9)=0,"","0")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 t="str">
        <f>IF(LEN('A créer'!C9)=0,"","0")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 t="str">
        <f>IF(LEN('A créer'!C9)=0,"","0")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 t="str">
        <f>IF(LEN('A créer'!C9)=0,"","0")</f>
        <v>0</v>
      </c>
      <c r="AA9" s="2" t="str">
        <f>IF(LEN('A créer'!C9)=0,"","Tab")</f>
        <v>Tab</v>
      </c>
      <c r="AB9" s="6" t="str">
        <f>IF(LEN('A créer'!C9)=0,"","ZZZ")</f>
        <v>ZZZ</v>
      </c>
      <c r="AC9" s="6" t="str">
        <f>IF(LEN('A créer'!C9)=0,"","0")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 t="str">
        <f>IF(LEN('A créer'!C9)=0,"","0")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 t="str">
        <f>IF(LEN('A créer'!C9)=0,"","0")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  <c r="AN9" s="2" t="str">
        <f>IF(OR('A créer'!D9="Oui",LEN('A créer'!D9)=0,LEN('A créer'!C9)=0),"","*FN")</f>
        <v>*FN</v>
      </c>
      <c r="AO9" s="3" t="str">
        <f>IF(OR('A créer'!D9="Oui",LEN('A créer'!D9)=0,LEN('A créer'!C9)=0),"","\E")</f>
        <v>\E</v>
      </c>
      <c r="AP9" s="2" t="str">
        <f>IF(OR('A créer'!D9="Oui",LEN('A créer'!D9)=0,LEN('A créer'!C9)=0),"","TAB")</f>
        <v>TAB</v>
      </c>
      <c r="AQ9" s="6" t="str">
        <f>IF(OR('A créer'!D9="Oui",LEN('A créer'!D9)=0,LEN('A créer'!C9)=0),"",'A créer'!A9)</f>
        <v>0490</v>
      </c>
      <c r="AR9" s="2" t="str">
        <f>IF(OR('A créer'!D9="Oui",LEN('A créer'!D9)=0,LEN('A créer'!C9)=0),"","TAB")</f>
        <v>TAB</v>
      </c>
      <c r="AS9" s="6" t="str">
        <f>IF(OR('A créer'!D9="Oui",LEN('A créer'!D9)=0,LEN('A créer'!C9)=0),"","0")</f>
        <v>0</v>
      </c>
      <c r="AT9" s="2" t="str">
        <f>IF(OR('A créer'!D9="Oui",LEN('A créer'!D9)=0,LEN('A créer'!C9)=0),"","TAB")</f>
        <v>TAB</v>
      </c>
      <c r="AU9" s="6" t="str">
        <f>IF(OR('A créer'!D9="Oui",LEN('A créer'!D9)=0,LEN('A créer'!C9)=0),"","ZZZ")</f>
        <v>ZZZ</v>
      </c>
      <c r="AV9" s="6" t="str">
        <f>IF(OR('A créer'!D9="Oui",LEN('A créer'!D9)=0,LEN('A créer'!C9)=0),"","0")</f>
        <v>0</v>
      </c>
      <c r="AW9" s="2" t="str">
        <f>IF(OR('A créer'!D9="Oui",LEN('A créer'!D9)=0,LEN('A créer'!C9)=0),"","TAB")</f>
        <v>TAB</v>
      </c>
      <c r="AX9" s="6" t="str">
        <f>IF(OR('A créer'!D9="Oui",LEN('A créer'!D9)=0,LEN('A créer'!C9)=0),"","ZZZZZZ")</f>
        <v>ZZZZZZ</v>
      </c>
      <c r="AY9" s="6" t="str">
        <f>IF(OR('A créer'!D9="Oui",LEN('A créer'!D9)=0,LEN('A créer'!C9)=0),"","0")</f>
        <v>0</v>
      </c>
      <c r="AZ9" s="2" t="str">
        <f>IF(OR('A créer'!D9="Oui",LEN('A créer'!D9)=0,LEN('A créer'!C9)=0),"","TAB")</f>
        <v>TAB</v>
      </c>
      <c r="BA9" s="6" t="str">
        <f>IF(OR('A créer'!D9="Oui",LEN('A créer'!D9)=0,LEN('A créer'!C9)=0),"","ZZZZZ")</f>
        <v>ZZZZZ</v>
      </c>
      <c r="BB9" s="6" t="str">
        <f>IF(OR('A créer'!D9="Oui",LEN('A créer'!D9)=0,LEN('A créer'!C9)=0),"",CONCATENATE("XXX",'A créer'!A9))</f>
        <v>XXX0490</v>
      </c>
      <c r="BC9" s="2" t="str">
        <f>IF(OR('A créer'!D9="Oui",LEN('A créer'!D9)=0,LEN('A créer'!C9)=0),"","TAB")</f>
        <v>TAB</v>
      </c>
      <c r="BD9" s="6" t="str">
        <f>IF(OR('A créer'!D9="Oui",LEN('A créer'!D9)=0,LEN('A créer'!C9)=0),"","0")</f>
        <v>0</v>
      </c>
      <c r="BE9" s="2" t="str">
        <f>IF(OR('A créer'!D9="Oui",LEN('A créer'!D9)=0,LEN('A créer'!C9)=0),"","TAB")</f>
        <v>TAB</v>
      </c>
      <c r="BF9" s="6" t="str">
        <f>IF(OR('A créer'!D9="Oui",LEN('A créer'!D9)=0,LEN('A créer'!C9)=0),"","ZZZZZZZZZZ")</f>
        <v>ZZZZZZZZZZ</v>
      </c>
      <c r="BG9" s="6" t="str">
        <f>IF(OR('A créer'!D9="Oui",LEN('A créer'!D9)=0,LEN('A créer'!C9)=0),"","0")</f>
        <v>0</v>
      </c>
      <c r="BH9" s="2" t="str">
        <f>IF(OR('A créer'!D9="Oui",LEN('A créer'!D9)=0,LEN('A créer'!C9)=0),"","TAB")</f>
        <v>TAB</v>
      </c>
      <c r="BI9" s="6" t="str">
        <f>IF(OR('A créer'!D9="Oui",LEN('A créer'!D9)=0,LEN('A créer'!C9)=0),"","ZZZZZZZZZZ")</f>
        <v>ZZZZZZZZZZ</v>
      </c>
      <c r="BJ9" s="6" t="str">
        <f>IF(OR('A créer'!D9="Oui",LEN('A créer'!D9)=0,LEN('A créer'!C9)=0),"","0")</f>
        <v>0</v>
      </c>
      <c r="BK9" s="2" t="str">
        <f>IF(OR('A créer'!D9="Oui",LEN('A créer'!D9)=0,LEN('A créer'!C9)=0),"","TAB")</f>
        <v>TAB</v>
      </c>
      <c r="BL9" s="6" t="str">
        <f>IF(OR('A créer'!D9="Oui",LEN('A créer'!D9)=0,LEN('A créer'!C9)=0),"","ZZZZZZZZZZZZZZZ")</f>
        <v>ZZZZZZZZZZZZZZZ</v>
      </c>
      <c r="BM9" s="6" t="str">
        <f>IF(OR('A créer'!D9="Oui",LEN('A créer'!D9)=0,LEN('A créer'!C9)=0),"","0")</f>
        <v>0</v>
      </c>
      <c r="BN9" s="2" t="str">
        <f>IF(OR('A créer'!D9="Oui",LEN('A créer'!D9)=0,LEN('A créer'!C9)=0),"","TAB")</f>
        <v>TAB</v>
      </c>
      <c r="BO9" s="6" t="str">
        <f>IF(OR('A créer'!D9="Oui",LEN('A créer'!D9)=0,LEN('A créer'!C9)=0),"","ZZZ")</f>
        <v>ZZZ</v>
      </c>
      <c r="BP9" s="6" t="str">
        <f>IF(OR('A créer'!D9="Oui",LEN('A créer'!D9)=0,LEN('A créer'!C9)=0),"","0")</f>
        <v>0</v>
      </c>
      <c r="BQ9" s="2" t="str">
        <f>IF(OR('A créer'!D9="Oui",LEN('A créer'!D9)=0,LEN('A créer'!C9)=0),"","TAB")</f>
        <v>TAB</v>
      </c>
      <c r="BR9" s="6" t="str">
        <f>IF(OR('A créer'!D9="Oui",LEN('A créer'!D9)=0,LEN('A créer'!C9)=0),"","ZZZZZZZZZZ")</f>
        <v>ZZZZZZZZZZ</v>
      </c>
      <c r="BS9" s="6" t="str">
        <f>IF(OR('A créer'!D9="Oui",LEN('A créer'!D9)=0,LEN('A créer'!C9)=0),"","0")</f>
        <v>0</v>
      </c>
      <c r="BT9" s="2" t="str">
        <f>IF(OR('A créer'!D9="Oui",LEN('A créer'!D9)=0,LEN('A créer'!C9)=0),"","TAB")</f>
        <v>TAB</v>
      </c>
      <c r="BU9" s="6" t="str">
        <f>IF(OR('A créer'!D9="Oui",LEN('A créer'!D9)=0,LEN('A créer'!C9)=0),"","ZZZZZZZZZZ")</f>
        <v>ZZZZZZZZZZ</v>
      </c>
      <c r="BV9" s="6" t="str">
        <f>IF(OR('A créer'!D9="Oui",LEN('A créer'!D9)=0,LEN('A créer'!C9)=0),"","0")</f>
        <v>0</v>
      </c>
      <c r="BW9" s="2" t="str">
        <f>IF(OR('A créer'!D9="Oui",LEN('A créer'!D9)=0,LEN('A créer'!C9)=0),"","TAB")</f>
        <v>TAB</v>
      </c>
      <c r="BX9" s="6" t="str">
        <f>IF(OR('A créer'!D9="Oui",LEN('A créer'!D9)=0,LEN('A créer'!C9)=0),"","ZZZZZZZZZZ")</f>
        <v>ZZZZZZZZZZ</v>
      </c>
      <c r="BY9" s="2" t="str">
        <f>IF(OR('A créer'!D9="Oui",LEN('A créer'!D9)=0,LEN('A créer'!C9)=0),"","ENT")</f>
        <v>ENT</v>
      </c>
      <c r="BZ9" s="2" t="str">
        <f>IF(OR('A créer'!D9="Oui",LEN('A créer'!D9)=0,LEN('A créer'!C9)=0),"","*SAVE")</f>
        <v>*SAVE</v>
      </c>
    </row>
    <row r="10" spans="1:78" x14ac:dyDescent="0.25">
      <c r="A10" s="2" t="str">
        <f>IF(LEN('A créer'!C10)=0,"","*FN")</f>
        <v>*FN</v>
      </c>
      <c r="B10" s="3" t="str">
        <f>IF(LEN('A créer'!C10)=0,"","\E")</f>
        <v>\E</v>
      </c>
      <c r="C10" s="2" t="str">
        <f>IF(LEN('A créer'!C10)=0,"","Tab")</f>
        <v>Tab</v>
      </c>
      <c r="D10" s="6" t="str">
        <f>IF(LEN('A créer'!C10)=0,"",'A créer'!A10)</f>
        <v>0490</v>
      </c>
      <c r="E10" s="2" t="str">
        <f>IF(LEN('A créer'!C10)=0,"","Tab")</f>
        <v>Tab</v>
      </c>
      <c r="F10" s="6">
        <f>IF(LEN('A créer'!C10)=0,"",0)</f>
        <v>0</v>
      </c>
      <c r="G10" s="2" t="str">
        <f>IF(LEN('A créer'!C10)=0,"","Tab")</f>
        <v>Tab</v>
      </c>
      <c r="H10" s="6" t="str">
        <f>IF(LEN('A créer'!C10)=0,"","ZZZ")</f>
        <v>ZZZ</v>
      </c>
      <c r="I10" s="6" t="str">
        <f>IF(LEN('A créer'!C10)=0,"","0")</f>
        <v>0</v>
      </c>
      <c r="J10" s="2" t="str">
        <f>IF(LEN('A créer'!C10)=0,"","Tab")</f>
        <v>Tab</v>
      </c>
      <c r="K10" s="6" t="str">
        <f>IF(LEN('A créer'!C10)=0,"","ZZZZZZ")</f>
        <v>ZZZZZZ</v>
      </c>
      <c r="L10" s="6" t="str">
        <f>IF(LEN('A créer'!C10)=0,"","0")</f>
        <v>0</v>
      </c>
      <c r="M10" s="2" t="str">
        <f>IF(LEN('A créer'!C10)=0,"","Tab")</f>
        <v>Tab</v>
      </c>
      <c r="N10" s="6" t="str">
        <f>IF(LEN('A créer'!C10)=0,"","ZZZZZ")</f>
        <v>ZZZZZ</v>
      </c>
      <c r="O10" s="6" t="str">
        <f>IF(LEN('A créer'!C10)=0,"",CONCATENATE('A créer'!B10,'A créer'!A10))</f>
        <v>DMS0490</v>
      </c>
      <c r="P10" s="2" t="str">
        <f>IF(LEN('A créer'!C10)=0,"","Tab")</f>
        <v>Tab</v>
      </c>
      <c r="Q10" s="6" t="str">
        <f>IF(LEN('A créer'!C10)=0,"","0")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 t="str">
        <f>IF(LEN('A créer'!C10)=0,"","0")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 t="str">
        <f>IF(LEN('A créer'!C10)=0,"","0")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 t="str">
        <f>IF(LEN('A créer'!C10)=0,"","0")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 t="str">
        <f>IF(LEN('A créer'!C10)=0,"","0")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 t="str">
        <f>IF(LEN('A créer'!C10)=0,"","0")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 t="str">
        <f>IF(LEN('A créer'!C10)=0,"","0")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  <c r="AN10" s="2" t="str">
        <f>IF(OR('A créer'!D10="Oui",LEN('A créer'!D10)=0,LEN('A créer'!C10)=0),"","*FN")</f>
        <v>*FN</v>
      </c>
      <c r="AO10" s="3" t="str">
        <f>IF(OR('A créer'!D10="Oui",LEN('A créer'!D10)=0,LEN('A créer'!C10)=0),"","\E")</f>
        <v>\E</v>
      </c>
      <c r="AP10" s="2" t="str">
        <f>IF(OR('A créer'!D10="Oui",LEN('A créer'!D10)=0,LEN('A créer'!C10)=0),"","TAB")</f>
        <v>TAB</v>
      </c>
      <c r="AQ10" s="6" t="str">
        <f>IF(OR('A créer'!D10="Oui",LEN('A créer'!D10)=0,LEN('A créer'!C10)=0),"",'A créer'!A10)</f>
        <v>0490</v>
      </c>
      <c r="AR10" s="2" t="str">
        <f>IF(OR('A créer'!D10="Oui",LEN('A créer'!D10)=0,LEN('A créer'!C10)=0),"","TAB")</f>
        <v>TAB</v>
      </c>
      <c r="AS10" s="6" t="str">
        <f>IF(OR('A créer'!D10="Oui",LEN('A créer'!D10)=0,LEN('A créer'!C10)=0),"","0")</f>
        <v>0</v>
      </c>
      <c r="AT10" s="2" t="str">
        <f>IF(OR('A créer'!D10="Oui",LEN('A créer'!D10)=0,LEN('A créer'!C10)=0),"","TAB")</f>
        <v>TAB</v>
      </c>
      <c r="AU10" s="6" t="str">
        <f>IF(OR('A créer'!D10="Oui",LEN('A créer'!D10)=0,LEN('A créer'!C10)=0),"","ZZZ")</f>
        <v>ZZZ</v>
      </c>
      <c r="AV10" s="6" t="str">
        <f>IF(OR('A créer'!D10="Oui",LEN('A créer'!D10)=0,LEN('A créer'!C10)=0),"","0")</f>
        <v>0</v>
      </c>
      <c r="AW10" s="2" t="str">
        <f>IF(OR('A créer'!D10="Oui",LEN('A créer'!D10)=0,LEN('A créer'!C10)=0),"","TAB")</f>
        <v>TAB</v>
      </c>
      <c r="AX10" s="6" t="str">
        <f>IF(OR('A créer'!D10="Oui",LEN('A créer'!D10)=0,LEN('A créer'!C10)=0),"","ZZZZZZ")</f>
        <v>ZZZZZZ</v>
      </c>
      <c r="AY10" s="6" t="str">
        <f>IF(OR('A créer'!D10="Oui",LEN('A créer'!D10)=0,LEN('A créer'!C10)=0),"","0")</f>
        <v>0</v>
      </c>
      <c r="AZ10" s="2" t="str">
        <f>IF(OR('A créer'!D10="Oui",LEN('A créer'!D10)=0,LEN('A créer'!C10)=0),"","TAB")</f>
        <v>TAB</v>
      </c>
      <c r="BA10" s="6" t="str">
        <f>IF(OR('A créer'!D10="Oui",LEN('A créer'!D10)=0,LEN('A créer'!C10)=0),"","ZZZZZ")</f>
        <v>ZZZZZ</v>
      </c>
      <c r="BB10" s="6" t="str">
        <f>IF(OR('A créer'!D10="Oui",LEN('A créer'!D10)=0,LEN('A créer'!C10)=0),"",CONCATENATE("XXX",'A créer'!A10))</f>
        <v>XXX0490</v>
      </c>
      <c r="BC10" s="2" t="str">
        <f>IF(OR('A créer'!D10="Oui",LEN('A créer'!D10)=0,LEN('A créer'!C10)=0),"","TAB")</f>
        <v>TAB</v>
      </c>
      <c r="BD10" s="6" t="str">
        <f>IF(OR('A créer'!D10="Oui",LEN('A créer'!D10)=0,LEN('A créer'!C10)=0),"","0")</f>
        <v>0</v>
      </c>
      <c r="BE10" s="2" t="str">
        <f>IF(OR('A créer'!D10="Oui",LEN('A créer'!D10)=0,LEN('A créer'!C10)=0),"","TAB")</f>
        <v>TAB</v>
      </c>
      <c r="BF10" s="6" t="str">
        <f>IF(OR('A créer'!D10="Oui",LEN('A créer'!D10)=0,LEN('A créer'!C10)=0),"","ZZZZZZZZZZ")</f>
        <v>ZZZZZZZZZZ</v>
      </c>
      <c r="BG10" s="6" t="str">
        <f>IF(OR('A créer'!D10="Oui",LEN('A créer'!D10)=0,LEN('A créer'!C10)=0),"","0")</f>
        <v>0</v>
      </c>
      <c r="BH10" s="2" t="str">
        <f>IF(OR('A créer'!D10="Oui",LEN('A créer'!D10)=0,LEN('A créer'!C10)=0),"","TAB")</f>
        <v>TAB</v>
      </c>
      <c r="BI10" s="6" t="str">
        <f>IF(OR('A créer'!D10="Oui",LEN('A créer'!D10)=0,LEN('A créer'!C10)=0),"","ZZZZZZZZZZ")</f>
        <v>ZZZZZZZZZZ</v>
      </c>
      <c r="BJ10" s="6" t="str">
        <f>IF(OR('A créer'!D10="Oui",LEN('A créer'!D10)=0,LEN('A créer'!C10)=0),"","0")</f>
        <v>0</v>
      </c>
      <c r="BK10" s="2" t="str">
        <f>IF(OR('A créer'!D10="Oui",LEN('A créer'!D10)=0,LEN('A créer'!C10)=0),"","TAB")</f>
        <v>TAB</v>
      </c>
      <c r="BL10" s="6" t="str">
        <f>IF(OR('A créer'!D10="Oui",LEN('A créer'!D10)=0,LEN('A créer'!C10)=0),"","ZZZZZZZZZZZZZZZ")</f>
        <v>ZZZZZZZZZZZZZZZ</v>
      </c>
      <c r="BM10" s="6" t="str">
        <f>IF(OR('A créer'!D10="Oui",LEN('A créer'!D10)=0,LEN('A créer'!C10)=0),"","0")</f>
        <v>0</v>
      </c>
      <c r="BN10" s="2" t="str">
        <f>IF(OR('A créer'!D10="Oui",LEN('A créer'!D10)=0,LEN('A créer'!C10)=0),"","TAB")</f>
        <v>TAB</v>
      </c>
      <c r="BO10" s="6" t="str">
        <f>IF(OR('A créer'!D10="Oui",LEN('A créer'!D10)=0,LEN('A créer'!C10)=0),"","ZZZ")</f>
        <v>ZZZ</v>
      </c>
      <c r="BP10" s="6" t="str">
        <f>IF(OR('A créer'!D10="Oui",LEN('A créer'!D10)=0,LEN('A créer'!C10)=0),"","0")</f>
        <v>0</v>
      </c>
      <c r="BQ10" s="2" t="str">
        <f>IF(OR('A créer'!D10="Oui",LEN('A créer'!D10)=0,LEN('A créer'!C10)=0),"","TAB")</f>
        <v>TAB</v>
      </c>
      <c r="BR10" s="6" t="str">
        <f>IF(OR('A créer'!D10="Oui",LEN('A créer'!D10)=0,LEN('A créer'!C10)=0),"","ZZZZZZZZZZ")</f>
        <v>ZZZZZZZZZZ</v>
      </c>
      <c r="BS10" s="6" t="str">
        <f>IF(OR('A créer'!D10="Oui",LEN('A créer'!D10)=0,LEN('A créer'!C10)=0),"","0")</f>
        <v>0</v>
      </c>
      <c r="BT10" s="2" t="str">
        <f>IF(OR('A créer'!D10="Oui",LEN('A créer'!D10)=0,LEN('A créer'!C10)=0),"","TAB")</f>
        <v>TAB</v>
      </c>
      <c r="BU10" s="6" t="str">
        <f>IF(OR('A créer'!D10="Oui",LEN('A créer'!D10)=0,LEN('A créer'!C10)=0),"","ZZZZZZZZZZ")</f>
        <v>ZZZZZZZZZZ</v>
      </c>
      <c r="BV10" s="6" t="str">
        <f>IF(OR('A créer'!D10="Oui",LEN('A créer'!D10)=0,LEN('A créer'!C10)=0),"","0")</f>
        <v>0</v>
      </c>
      <c r="BW10" s="2" t="str">
        <f>IF(OR('A créer'!D10="Oui",LEN('A créer'!D10)=0,LEN('A créer'!C10)=0),"","TAB")</f>
        <v>TAB</v>
      </c>
      <c r="BX10" s="6" t="str">
        <f>IF(OR('A créer'!D10="Oui",LEN('A créer'!D10)=0,LEN('A créer'!C10)=0),"","ZZZZZZZZZZ")</f>
        <v>ZZZZZZZZZZ</v>
      </c>
      <c r="BY10" s="2" t="str">
        <f>IF(OR('A créer'!D10="Oui",LEN('A créer'!D10)=0,LEN('A créer'!C10)=0),"","ENT")</f>
        <v>ENT</v>
      </c>
      <c r="BZ10" s="2" t="str">
        <f>IF(OR('A créer'!D10="Oui",LEN('A créer'!D10)=0,LEN('A créer'!C10)=0),"","*SAVE")</f>
        <v>*SAVE</v>
      </c>
    </row>
    <row r="11" spans="1:78" x14ac:dyDescent="0.25">
      <c r="A11" s="2" t="str">
        <f>IF(LEN('A créer'!C11)=0,"","*FN")</f>
        <v>*FN</v>
      </c>
      <c r="B11" s="3" t="str">
        <f>IF(LEN('A créer'!C11)=0,"","\E")</f>
        <v>\E</v>
      </c>
      <c r="C11" s="2" t="str">
        <f>IF(LEN('A créer'!C11)=0,"","Tab")</f>
        <v>Tab</v>
      </c>
      <c r="D11" s="6" t="str">
        <f>IF(LEN('A créer'!C11)=0,"",'A créer'!A11)</f>
        <v>0490</v>
      </c>
      <c r="E11" s="2" t="str">
        <f>IF(LEN('A créer'!C11)=0,"","Tab")</f>
        <v>Tab</v>
      </c>
      <c r="F11" s="6">
        <f>IF(LEN('A créer'!C11)=0,"",0)</f>
        <v>0</v>
      </c>
      <c r="G11" s="2" t="str">
        <f>IF(LEN('A créer'!C11)=0,"","Tab")</f>
        <v>Tab</v>
      </c>
      <c r="H11" s="6" t="str">
        <f>IF(LEN('A créer'!C11)=0,"","ZZZ")</f>
        <v>ZZZ</v>
      </c>
      <c r="I11" s="6" t="str">
        <f>IF(LEN('A créer'!C11)=0,"","0")</f>
        <v>0</v>
      </c>
      <c r="J11" s="2" t="str">
        <f>IF(LEN('A créer'!C11)=0,"","Tab")</f>
        <v>Tab</v>
      </c>
      <c r="K11" s="6" t="str">
        <f>IF(LEN('A créer'!C11)=0,"","ZZZZZZ")</f>
        <v>ZZZZZZ</v>
      </c>
      <c r="L11" s="6" t="str">
        <f>IF(LEN('A créer'!C11)=0,"","0")</f>
        <v>0</v>
      </c>
      <c r="M11" s="2" t="str">
        <f>IF(LEN('A créer'!C11)=0,"","Tab")</f>
        <v>Tab</v>
      </c>
      <c r="N11" s="6" t="str">
        <f>IF(LEN('A créer'!C11)=0,"","ZZZZZ")</f>
        <v>ZZZZZ</v>
      </c>
      <c r="O11" s="6" t="str">
        <f>IF(LEN('A créer'!C11)=0,"",CONCATENATE('A créer'!B11,'A créer'!A11))</f>
        <v>DNA0490</v>
      </c>
      <c r="P11" s="2" t="str">
        <f>IF(LEN('A créer'!C11)=0,"","Tab")</f>
        <v>Tab</v>
      </c>
      <c r="Q11" s="6" t="str">
        <f>IF(LEN('A créer'!C11)=0,"","0")</f>
        <v>0</v>
      </c>
      <c r="R11" s="2" t="str">
        <f>IF(LEN('A créer'!C11)=0,"","Tab")</f>
        <v>Tab</v>
      </c>
      <c r="S11" s="6" t="str">
        <f>IF(LEN('A créer'!C11)=0,"","ZZZZZZZZZZ")</f>
        <v>ZZZZZZZZZZ</v>
      </c>
      <c r="T11" s="6" t="str">
        <f>IF(LEN('A créer'!C11)=0,"","0")</f>
        <v>0</v>
      </c>
      <c r="U11" s="2" t="str">
        <f>IF(LEN('A créer'!C11)=0,"","Tab")</f>
        <v>Tab</v>
      </c>
      <c r="V11" s="6" t="str">
        <f>IF(LEN('A créer'!C11)=0,"","ZZZZZZZZZZ")</f>
        <v>ZZZZZZZZZZ</v>
      </c>
      <c r="W11" s="6" t="str">
        <f>IF(LEN('A créer'!C11)=0,"","0")</f>
        <v>0</v>
      </c>
      <c r="X11" s="2" t="str">
        <f>IF(LEN('A créer'!C11)=0,"","Tab")</f>
        <v>Tab</v>
      </c>
      <c r="Y11" s="6" t="str">
        <f>IF(LEN('A créer'!C11)=0,"","ZZZZZZZZZZZZZZZ")</f>
        <v>ZZZZZZZZZZZZZZZ</v>
      </c>
      <c r="Z11" s="6" t="str">
        <f>IF(LEN('A créer'!C11)=0,"","0")</f>
        <v>0</v>
      </c>
      <c r="AA11" s="2" t="str">
        <f>IF(LEN('A créer'!C11)=0,"","Tab")</f>
        <v>Tab</v>
      </c>
      <c r="AB11" s="6" t="str">
        <f>IF(LEN('A créer'!C11)=0,"","ZZZ")</f>
        <v>ZZZ</v>
      </c>
      <c r="AC11" s="6" t="str">
        <f>IF(LEN('A créer'!C11)=0,"","0")</f>
        <v>0</v>
      </c>
      <c r="AD11" s="2" t="str">
        <f>IF(LEN('A créer'!C11)=0,"","Tab")</f>
        <v>Tab</v>
      </c>
      <c r="AE11" s="6" t="str">
        <f>IF(LEN('A créer'!C11)=0,"","ZZZZZZZZZZ")</f>
        <v>ZZZZZZZZZZ</v>
      </c>
      <c r="AF11" s="6" t="str">
        <f>IF(LEN('A créer'!C11)=0,"","0")</f>
        <v>0</v>
      </c>
      <c r="AG11" s="2" t="str">
        <f>IF(LEN('A créer'!C11)=0,"","Tab")</f>
        <v>Tab</v>
      </c>
      <c r="AH11" s="6" t="str">
        <f>IF(LEN('A créer'!C11)=0,"","ZZZZZZZZZZ")</f>
        <v>ZZZZZZZZZZ</v>
      </c>
      <c r="AI11" s="6" t="str">
        <f>IF(LEN('A créer'!C11)=0,"","0")</f>
        <v>0</v>
      </c>
      <c r="AJ11" s="2" t="str">
        <f>IF(LEN('A créer'!C11)=0,"","Tab")</f>
        <v>Tab</v>
      </c>
      <c r="AK11" s="6" t="str">
        <f>IF(LEN('A créer'!C11)=0,"","ZZZZZZZZZZ")</f>
        <v>ZZZZZZZZZZ</v>
      </c>
      <c r="AL11" s="2" t="str">
        <f>IF(LEN('A créer'!C11)=0,"","ENT")</f>
        <v>ENT</v>
      </c>
      <c r="AM11" s="2" t="str">
        <f>IF(LEN('A créer'!C11)=0,"","*SAVE")</f>
        <v>*SAVE</v>
      </c>
      <c r="AN11" s="2" t="str">
        <f>IF(OR('A créer'!D11="Oui",LEN('A créer'!D11)=0,LEN('A créer'!C11)=0),"","*FN")</f>
        <v>*FN</v>
      </c>
      <c r="AO11" s="3" t="str">
        <f>IF(OR('A créer'!D11="Oui",LEN('A créer'!D11)=0,LEN('A créer'!C11)=0),"","\E")</f>
        <v>\E</v>
      </c>
      <c r="AP11" s="2" t="str">
        <f>IF(OR('A créer'!D11="Oui",LEN('A créer'!D11)=0,LEN('A créer'!C11)=0),"","TAB")</f>
        <v>TAB</v>
      </c>
      <c r="AQ11" s="6" t="str">
        <f>IF(OR('A créer'!D11="Oui",LEN('A créer'!D11)=0,LEN('A créer'!C11)=0),"",'A créer'!A11)</f>
        <v>0490</v>
      </c>
      <c r="AR11" s="2" t="str">
        <f>IF(OR('A créer'!D11="Oui",LEN('A créer'!D11)=0,LEN('A créer'!C11)=0),"","TAB")</f>
        <v>TAB</v>
      </c>
      <c r="AS11" s="6" t="str">
        <f>IF(OR('A créer'!D11="Oui",LEN('A créer'!D11)=0,LEN('A créer'!C11)=0),"","0")</f>
        <v>0</v>
      </c>
      <c r="AT11" s="2" t="str">
        <f>IF(OR('A créer'!D11="Oui",LEN('A créer'!D11)=0,LEN('A créer'!C11)=0),"","TAB")</f>
        <v>TAB</v>
      </c>
      <c r="AU11" s="6" t="str">
        <f>IF(OR('A créer'!D11="Oui",LEN('A créer'!D11)=0,LEN('A créer'!C11)=0),"","ZZZ")</f>
        <v>ZZZ</v>
      </c>
      <c r="AV11" s="6" t="str">
        <f>IF(OR('A créer'!D11="Oui",LEN('A créer'!D11)=0,LEN('A créer'!C11)=0),"","0")</f>
        <v>0</v>
      </c>
      <c r="AW11" s="2" t="str">
        <f>IF(OR('A créer'!D11="Oui",LEN('A créer'!D11)=0,LEN('A créer'!C11)=0),"","TAB")</f>
        <v>TAB</v>
      </c>
      <c r="AX11" s="6" t="str">
        <f>IF(OR('A créer'!D11="Oui",LEN('A créer'!D11)=0,LEN('A créer'!C11)=0),"","ZZZZZZ")</f>
        <v>ZZZZZZ</v>
      </c>
      <c r="AY11" s="6" t="str">
        <f>IF(OR('A créer'!D11="Oui",LEN('A créer'!D11)=0,LEN('A créer'!C11)=0),"","0")</f>
        <v>0</v>
      </c>
      <c r="AZ11" s="2" t="str">
        <f>IF(OR('A créer'!D11="Oui",LEN('A créer'!D11)=0,LEN('A créer'!C11)=0),"","TAB")</f>
        <v>TAB</v>
      </c>
      <c r="BA11" s="6" t="str">
        <f>IF(OR('A créer'!D11="Oui",LEN('A créer'!D11)=0,LEN('A créer'!C11)=0),"","ZZZZZ")</f>
        <v>ZZZZZ</v>
      </c>
      <c r="BB11" s="6" t="str">
        <f>IF(OR('A créer'!D11="Oui",LEN('A créer'!D11)=0,LEN('A créer'!C11)=0),"",CONCATENATE("XXX",'A créer'!A11))</f>
        <v>XXX0490</v>
      </c>
      <c r="BC11" s="2" t="str">
        <f>IF(OR('A créer'!D11="Oui",LEN('A créer'!D11)=0,LEN('A créer'!C11)=0),"","TAB")</f>
        <v>TAB</v>
      </c>
      <c r="BD11" s="6" t="str">
        <f>IF(OR('A créer'!D11="Oui",LEN('A créer'!D11)=0,LEN('A créer'!C11)=0),"","0")</f>
        <v>0</v>
      </c>
      <c r="BE11" s="2" t="str">
        <f>IF(OR('A créer'!D11="Oui",LEN('A créer'!D11)=0,LEN('A créer'!C11)=0),"","TAB")</f>
        <v>TAB</v>
      </c>
      <c r="BF11" s="6" t="str">
        <f>IF(OR('A créer'!D11="Oui",LEN('A créer'!D11)=0,LEN('A créer'!C11)=0),"","ZZZZZZZZZZ")</f>
        <v>ZZZZZZZZZZ</v>
      </c>
      <c r="BG11" s="6" t="str">
        <f>IF(OR('A créer'!D11="Oui",LEN('A créer'!D11)=0,LEN('A créer'!C11)=0),"","0")</f>
        <v>0</v>
      </c>
      <c r="BH11" s="2" t="str">
        <f>IF(OR('A créer'!D11="Oui",LEN('A créer'!D11)=0,LEN('A créer'!C11)=0),"","TAB")</f>
        <v>TAB</v>
      </c>
      <c r="BI11" s="6" t="str">
        <f>IF(OR('A créer'!D11="Oui",LEN('A créer'!D11)=0,LEN('A créer'!C11)=0),"","ZZZZZZZZZZ")</f>
        <v>ZZZZZZZZZZ</v>
      </c>
      <c r="BJ11" s="6" t="str">
        <f>IF(OR('A créer'!D11="Oui",LEN('A créer'!D11)=0,LEN('A créer'!C11)=0),"","0")</f>
        <v>0</v>
      </c>
      <c r="BK11" s="2" t="str">
        <f>IF(OR('A créer'!D11="Oui",LEN('A créer'!D11)=0,LEN('A créer'!C11)=0),"","TAB")</f>
        <v>TAB</v>
      </c>
      <c r="BL11" s="6" t="str">
        <f>IF(OR('A créer'!D11="Oui",LEN('A créer'!D11)=0,LEN('A créer'!C11)=0),"","ZZZZZZZZZZZZZZZ")</f>
        <v>ZZZZZZZZZZZZZZZ</v>
      </c>
      <c r="BM11" s="6" t="str">
        <f>IF(OR('A créer'!D11="Oui",LEN('A créer'!D11)=0,LEN('A créer'!C11)=0),"","0")</f>
        <v>0</v>
      </c>
      <c r="BN11" s="2" t="str">
        <f>IF(OR('A créer'!D11="Oui",LEN('A créer'!D11)=0,LEN('A créer'!C11)=0),"","TAB")</f>
        <v>TAB</v>
      </c>
      <c r="BO11" s="6" t="str">
        <f>IF(OR('A créer'!D11="Oui",LEN('A créer'!D11)=0,LEN('A créer'!C11)=0),"","ZZZ")</f>
        <v>ZZZ</v>
      </c>
      <c r="BP11" s="6" t="str">
        <f>IF(OR('A créer'!D11="Oui",LEN('A créer'!D11)=0,LEN('A créer'!C11)=0),"","0")</f>
        <v>0</v>
      </c>
      <c r="BQ11" s="2" t="str">
        <f>IF(OR('A créer'!D11="Oui",LEN('A créer'!D11)=0,LEN('A créer'!C11)=0),"","TAB")</f>
        <v>TAB</v>
      </c>
      <c r="BR11" s="6" t="str">
        <f>IF(OR('A créer'!D11="Oui",LEN('A créer'!D11)=0,LEN('A créer'!C11)=0),"","ZZZZZZZZZZ")</f>
        <v>ZZZZZZZZZZ</v>
      </c>
      <c r="BS11" s="6" t="str">
        <f>IF(OR('A créer'!D11="Oui",LEN('A créer'!D11)=0,LEN('A créer'!C11)=0),"","0")</f>
        <v>0</v>
      </c>
      <c r="BT11" s="2" t="str">
        <f>IF(OR('A créer'!D11="Oui",LEN('A créer'!D11)=0,LEN('A créer'!C11)=0),"","TAB")</f>
        <v>TAB</v>
      </c>
      <c r="BU11" s="6" t="str">
        <f>IF(OR('A créer'!D11="Oui",LEN('A créer'!D11)=0,LEN('A créer'!C11)=0),"","ZZZZZZZZZZ")</f>
        <v>ZZZZZZZZZZ</v>
      </c>
      <c r="BV11" s="6" t="str">
        <f>IF(OR('A créer'!D11="Oui",LEN('A créer'!D11)=0,LEN('A créer'!C11)=0),"","0")</f>
        <v>0</v>
      </c>
      <c r="BW11" s="2" t="str">
        <f>IF(OR('A créer'!D11="Oui",LEN('A créer'!D11)=0,LEN('A créer'!C11)=0),"","TAB")</f>
        <v>TAB</v>
      </c>
      <c r="BX11" s="6" t="str">
        <f>IF(OR('A créer'!D11="Oui",LEN('A créer'!D11)=0,LEN('A créer'!C11)=0),"","ZZZZZZZZZZ")</f>
        <v>ZZZZZZZZZZ</v>
      </c>
      <c r="BY11" s="2" t="str">
        <f>IF(OR('A créer'!D11="Oui",LEN('A créer'!D11)=0,LEN('A créer'!C11)=0),"","ENT")</f>
        <v>ENT</v>
      </c>
      <c r="BZ11" s="2" t="str">
        <f>IF(OR('A créer'!D11="Oui",LEN('A créer'!D11)=0,LEN('A créer'!C11)=0),"","*SAVE")</f>
        <v>*SAVE</v>
      </c>
    </row>
    <row r="12" spans="1:78" x14ac:dyDescent="0.25">
      <c r="A12" s="2" t="str">
        <f>IF(LEN('A créer'!C12)=0,"","*FN")</f>
        <v>*FN</v>
      </c>
      <c r="B12" s="3" t="str">
        <f>IF(LEN('A créer'!C12)=0,"","\E")</f>
        <v>\E</v>
      </c>
      <c r="C12" s="2" t="str">
        <f>IF(LEN('A créer'!C12)=0,"","Tab")</f>
        <v>Tab</v>
      </c>
      <c r="D12" s="6" t="str">
        <f>IF(LEN('A créer'!C12)=0,"",'A créer'!A12)</f>
        <v>0490</v>
      </c>
      <c r="E12" s="2" t="str">
        <f>IF(LEN('A créer'!C12)=0,"","Tab")</f>
        <v>Tab</v>
      </c>
      <c r="F12" s="6">
        <f>IF(LEN('A créer'!C12)=0,"",0)</f>
        <v>0</v>
      </c>
      <c r="G12" s="2" t="str">
        <f>IF(LEN('A créer'!C12)=0,"","Tab")</f>
        <v>Tab</v>
      </c>
      <c r="H12" s="6" t="str">
        <f>IF(LEN('A créer'!C12)=0,"","ZZZ")</f>
        <v>ZZZ</v>
      </c>
      <c r="I12" s="6" t="str">
        <f>IF(LEN('A créer'!C12)=0,"","0")</f>
        <v>0</v>
      </c>
      <c r="J12" s="2" t="str">
        <f>IF(LEN('A créer'!C12)=0,"","Tab")</f>
        <v>Tab</v>
      </c>
      <c r="K12" s="6" t="str">
        <f>IF(LEN('A créer'!C12)=0,"","ZZZZZZ")</f>
        <v>ZZZZZZ</v>
      </c>
      <c r="L12" s="6" t="str">
        <f>IF(LEN('A créer'!C12)=0,"","0")</f>
        <v>0</v>
      </c>
      <c r="M12" s="2" t="str">
        <f>IF(LEN('A créer'!C12)=0,"","Tab")</f>
        <v>Tab</v>
      </c>
      <c r="N12" s="6" t="str">
        <f>IF(LEN('A créer'!C12)=0,"","ZZZZZ")</f>
        <v>ZZZZZ</v>
      </c>
      <c r="O12" s="6" t="str">
        <f>IF(LEN('A créer'!C12)=0,"",CONCATENATE('A créer'!B12,'A créer'!A12))</f>
        <v>DRW0490</v>
      </c>
      <c r="P12" s="2" t="str">
        <f>IF(LEN('A créer'!C12)=0,"","Tab")</f>
        <v>Tab</v>
      </c>
      <c r="Q12" s="6" t="str">
        <f>IF(LEN('A créer'!C12)=0,"","0")</f>
        <v>0</v>
      </c>
      <c r="R12" s="2" t="str">
        <f>IF(LEN('A créer'!C12)=0,"","Tab")</f>
        <v>Tab</v>
      </c>
      <c r="S12" s="6" t="str">
        <f>IF(LEN('A créer'!C12)=0,"","ZZZZZZZZZZ")</f>
        <v>ZZZZZZZZZZ</v>
      </c>
      <c r="T12" s="6" t="str">
        <f>IF(LEN('A créer'!C12)=0,"","0")</f>
        <v>0</v>
      </c>
      <c r="U12" s="2" t="str">
        <f>IF(LEN('A créer'!C12)=0,"","Tab")</f>
        <v>Tab</v>
      </c>
      <c r="V12" s="6" t="str">
        <f>IF(LEN('A créer'!C12)=0,"","ZZZZZZZZZZ")</f>
        <v>ZZZZZZZZZZ</v>
      </c>
      <c r="W12" s="6" t="str">
        <f>IF(LEN('A créer'!C12)=0,"","0")</f>
        <v>0</v>
      </c>
      <c r="X12" s="2" t="str">
        <f>IF(LEN('A créer'!C12)=0,"","Tab")</f>
        <v>Tab</v>
      </c>
      <c r="Y12" s="6" t="str">
        <f>IF(LEN('A créer'!C12)=0,"","ZZZZZZZZZZZZZZZ")</f>
        <v>ZZZZZZZZZZZZZZZ</v>
      </c>
      <c r="Z12" s="6" t="str">
        <f>IF(LEN('A créer'!C12)=0,"","0")</f>
        <v>0</v>
      </c>
      <c r="AA12" s="2" t="str">
        <f>IF(LEN('A créer'!C12)=0,"","Tab")</f>
        <v>Tab</v>
      </c>
      <c r="AB12" s="6" t="str">
        <f>IF(LEN('A créer'!C12)=0,"","ZZZ")</f>
        <v>ZZZ</v>
      </c>
      <c r="AC12" s="6" t="str">
        <f>IF(LEN('A créer'!C12)=0,"","0")</f>
        <v>0</v>
      </c>
      <c r="AD12" s="2" t="str">
        <f>IF(LEN('A créer'!C12)=0,"","Tab")</f>
        <v>Tab</v>
      </c>
      <c r="AE12" s="6" t="str">
        <f>IF(LEN('A créer'!C12)=0,"","ZZZZZZZZZZ")</f>
        <v>ZZZZZZZZZZ</v>
      </c>
      <c r="AF12" s="6" t="str">
        <f>IF(LEN('A créer'!C12)=0,"","0")</f>
        <v>0</v>
      </c>
      <c r="AG12" s="2" t="str">
        <f>IF(LEN('A créer'!C12)=0,"","Tab")</f>
        <v>Tab</v>
      </c>
      <c r="AH12" s="6" t="str">
        <f>IF(LEN('A créer'!C12)=0,"","ZZZZZZZZZZ")</f>
        <v>ZZZZZZZZZZ</v>
      </c>
      <c r="AI12" s="6" t="str">
        <f>IF(LEN('A créer'!C12)=0,"","0")</f>
        <v>0</v>
      </c>
      <c r="AJ12" s="2" t="str">
        <f>IF(LEN('A créer'!C12)=0,"","Tab")</f>
        <v>Tab</v>
      </c>
      <c r="AK12" s="6" t="str">
        <f>IF(LEN('A créer'!C12)=0,"","ZZZZZZZZZZ")</f>
        <v>ZZZZZZZZZZ</v>
      </c>
      <c r="AL12" s="2" t="str">
        <f>IF(LEN('A créer'!C12)=0,"","ENT")</f>
        <v>ENT</v>
      </c>
      <c r="AM12" s="2" t="str">
        <f>IF(LEN('A créer'!C12)=0,"","*SAVE")</f>
        <v>*SAVE</v>
      </c>
      <c r="AN12" s="2" t="str">
        <f>IF(OR('A créer'!D12="Oui",LEN('A créer'!D12)=0,LEN('A créer'!C12)=0),"","*FN")</f>
        <v>*FN</v>
      </c>
      <c r="AO12" s="3" t="str">
        <f>IF(OR('A créer'!D12="Oui",LEN('A créer'!D12)=0,LEN('A créer'!C12)=0),"","\E")</f>
        <v>\E</v>
      </c>
      <c r="AP12" s="2" t="str">
        <f>IF(OR('A créer'!D12="Oui",LEN('A créer'!D12)=0,LEN('A créer'!C12)=0),"","TAB")</f>
        <v>TAB</v>
      </c>
      <c r="AQ12" s="6" t="str">
        <f>IF(OR('A créer'!D12="Oui",LEN('A créer'!D12)=0,LEN('A créer'!C12)=0),"",'A créer'!A12)</f>
        <v>0490</v>
      </c>
      <c r="AR12" s="2" t="str">
        <f>IF(OR('A créer'!D12="Oui",LEN('A créer'!D12)=0,LEN('A créer'!C12)=0),"","TAB")</f>
        <v>TAB</v>
      </c>
      <c r="AS12" s="6" t="str">
        <f>IF(OR('A créer'!D12="Oui",LEN('A créer'!D12)=0,LEN('A créer'!C12)=0),"","0")</f>
        <v>0</v>
      </c>
      <c r="AT12" s="2" t="str">
        <f>IF(OR('A créer'!D12="Oui",LEN('A créer'!D12)=0,LEN('A créer'!C12)=0),"","TAB")</f>
        <v>TAB</v>
      </c>
      <c r="AU12" s="6" t="str">
        <f>IF(OR('A créer'!D12="Oui",LEN('A créer'!D12)=0,LEN('A créer'!C12)=0),"","ZZZ")</f>
        <v>ZZZ</v>
      </c>
      <c r="AV12" s="6" t="str">
        <f>IF(OR('A créer'!D12="Oui",LEN('A créer'!D12)=0,LEN('A créer'!C12)=0),"","0")</f>
        <v>0</v>
      </c>
      <c r="AW12" s="2" t="str">
        <f>IF(OR('A créer'!D12="Oui",LEN('A créer'!D12)=0,LEN('A créer'!C12)=0),"","TAB")</f>
        <v>TAB</v>
      </c>
      <c r="AX12" s="6" t="str">
        <f>IF(OR('A créer'!D12="Oui",LEN('A créer'!D12)=0,LEN('A créer'!C12)=0),"","ZZZZZZ")</f>
        <v>ZZZZZZ</v>
      </c>
      <c r="AY12" s="6" t="str">
        <f>IF(OR('A créer'!D12="Oui",LEN('A créer'!D12)=0,LEN('A créer'!C12)=0),"","0")</f>
        <v>0</v>
      </c>
      <c r="AZ12" s="2" t="str">
        <f>IF(OR('A créer'!D12="Oui",LEN('A créer'!D12)=0,LEN('A créer'!C12)=0),"","TAB")</f>
        <v>TAB</v>
      </c>
      <c r="BA12" s="6" t="str">
        <f>IF(OR('A créer'!D12="Oui",LEN('A créer'!D12)=0,LEN('A créer'!C12)=0),"","ZZZZZ")</f>
        <v>ZZZZZ</v>
      </c>
      <c r="BB12" s="6" t="str">
        <f>IF(OR('A créer'!D12="Oui",LEN('A créer'!D12)=0,LEN('A créer'!C12)=0),"",CONCATENATE("XXX",'A créer'!A12))</f>
        <v>XXX0490</v>
      </c>
      <c r="BC12" s="2" t="str">
        <f>IF(OR('A créer'!D12="Oui",LEN('A créer'!D12)=0,LEN('A créer'!C12)=0),"","TAB")</f>
        <v>TAB</v>
      </c>
      <c r="BD12" s="6" t="str">
        <f>IF(OR('A créer'!D12="Oui",LEN('A créer'!D12)=0,LEN('A créer'!C12)=0),"","0")</f>
        <v>0</v>
      </c>
      <c r="BE12" s="2" t="str">
        <f>IF(OR('A créer'!D12="Oui",LEN('A créer'!D12)=0,LEN('A créer'!C12)=0),"","TAB")</f>
        <v>TAB</v>
      </c>
      <c r="BF12" s="6" t="str">
        <f>IF(OR('A créer'!D12="Oui",LEN('A créer'!D12)=0,LEN('A créer'!C12)=0),"","ZZZZZZZZZZ")</f>
        <v>ZZZZZZZZZZ</v>
      </c>
      <c r="BG12" s="6" t="str">
        <f>IF(OR('A créer'!D12="Oui",LEN('A créer'!D12)=0,LEN('A créer'!C12)=0),"","0")</f>
        <v>0</v>
      </c>
      <c r="BH12" s="2" t="str">
        <f>IF(OR('A créer'!D12="Oui",LEN('A créer'!D12)=0,LEN('A créer'!C12)=0),"","TAB")</f>
        <v>TAB</v>
      </c>
      <c r="BI12" s="6" t="str">
        <f>IF(OR('A créer'!D12="Oui",LEN('A créer'!D12)=0,LEN('A créer'!C12)=0),"","ZZZZZZZZZZ")</f>
        <v>ZZZZZZZZZZ</v>
      </c>
      <c r="BJ12" s="6" t="str">
        <f>IF(OR('A créer'!D12="Oui",LEN('A créer'!D12)=0,LEN('A créer'!C12)=0),"","0")</f>
        <v>0</v>
      </c>
      <c r="BK12" s="2" t="str">
        <f>IF(OR('A créer'!D12="Oui",LEN('A créer'!D12)=0,LEN('A créer'!C12)=0),"","TAB")</f>
        <v>TAB</v>
      </c>
      <c r="BL12" s="6" t="str">
        <f>IF(OR('A créer'!D12="Oui",LEN('A créer'!D12)=0,LEN('A créer'!C12)=0),"","ZZZZZZZZZZZZZZZ")</f>
        <v>ZZZZZZZZZZZZZZZ</v>
      </c>
      <c r="BM12" s="6" t="str">
        <f>IF(OR('A créer'!D12="Oui",LEN('A créer'!D12)=0,LEN('A créer'!C12)=0),"","0")</f>
        <v>0</v>
      </c>
      <c r="BN12" s="2" t="str">
        <f>IF(OR('A créer'!D12="Oui",LEN('A créer'!D12)=0,LEN('A créer'!C12)=0),"","TAB")</f>
        <v>TAB</v>
      </c>
      <c r="BO12" s="6" t="str">
        <f>IF(OR('A créer'!D12="Oui",LEN('A créer'!D12)=0,LEN('A créer'!C12)=0),"","ZZZ")</f>
        <v>ZZZ</v>
      </c>
      <c r="BP12" s="6" t="str">
        <f>IF(OR('A créer'!D12="Oui",LEN('A créer'!D12)=0,LEN('A créer'!C12)=0),"","0")</f>
        <v>0</v>
      </c>
      <c r="BQ12" s="2" t="str">
        <f>IF(OR('A créer'!D12="Oui",LEN('A créer'!D12)=0,LEN('A créer'!C12)=0),"","TAB")</f>
        <v>TAB</v>
      </c>
      <c r="BR12" s="6" t="str">
        <f>IF(OR('A créer'!D12="Oui",LEN('A créer'!D12)=0,LEN('A créer'!C12)=0),"","ZZZZZZZZZZ")</f>
        <v>ZZZZZZZZZZ</v>
      </c>
      <c r="BS12" s="6" t="str">
        <f>IF(OR('A créer'!D12="Oui",LEN('A créer'!D12)=0,LEN('A créer'!C12)=0),"","0")</f>
        <v>0</v>
      </c>
      <c r="BT12" s="2" t="str">
        <f>IF(OR('A créer'!D12="Oui",LEN('A créer'!D12)=0,LEN('A créer'!C12)=0),"","TAB")</f>
        <v>TAB</v>
      </c>
      <c r="BU12" s="6" t="str">
        <f>IF(OR('A créer'!D12="Oui",LEN('A créer'!D12)=0,LEN('A créer'!C12)=0),"","ZZZZZZZZZZ")</f>
        <v>ZZZZZZZZZZ</v>
      </c>
      <c r="BV12" s="6" t="str">
        <f>IF(OR('A créer'!D12="Oui",LEN('A créer'!D12)=0,LEN('A créer'!C12)=0),"","0")</f>
        <v>0</v>
      </c>
      <c r="BW12" s="2" t="str">
        <f>IF(OR('A créer'!D12="Oui",LEN('A créer'!D12)=0,LEN('A créer'!C12)=0),"","TAB")</f>
        <v>TAB</v>
      </c>
      <c r="BX12" s="6" t="str">
        <f>IF(OR('A créer'!D12="Oui",LEN('A créer'!D12)=0,LEN('A créer'!C12)=0),"","ZZZZZZZZZZ")</f>
        <v>ZZZZZZZZZZ</v>
      </c>
      <c r="BY12" s="2" t="str">
        <f>IF(OR('A créer'!D12="Oui",LEN('A créer'!D12)=0,LEN('A créer'!C12)=0),"","ENT")</f>
        <v>ENT</v>
      </c>
      <c r="BZ12" s="2" t="str">
        <f>IF(OR('A créer'!D12="Oui",LEN('A créer'!D12)=0,LEN('A créer'!C12)=0),"","*SAVE")</f>
        <v>*SAVE</v>
      </c>
    </row>
    <row r="13" spans="1:78" x14ac:dyDescent="0.25">
      <c r="A13" s="2" t="str">
        <f>IF(LEN('A créer'!C13)=0,"","*FN")</f>
        <v>*FN</v>
      </c>
      <c r="B13" s="3" t="str">
        <f>IF(LEN('A créer'!C13)=0,"","\E")</f>
        <v>\E</v>
      </c>
      <c r="C13" s="2" t="str">
        <f>IF(LEN('A créer'!C13)=0,"","Tab")</f>
        <v>Tab</v>
      </c>
      <c r="D13" s="6" t="str">
        <f>IF(LEN('A créer'!C13)=0,"",'A créer'!A13)</f>
        <v>0490</v>
      </c>
      <c r="E13" s="2" t="str">
        <f>IF(LEN('A créer'!C13)=0,"","Tab")</f>
        <v>Tab</v>
      </c>
      <c r="F13" s="6">
        <f>IF(LEN('A créer'!C13)=0,"",0)</f>
        <v>0</v>
      </c>
      <c r="G13" s="2" t="str">
        <f>IF(LEN('A créer'!C13)=0,"","Tab")</f>
        <v>Tab</v>
      </c>
      <c r="H13" s="6" t="str">
        <f>IF(LEN('A créer'!C13)=0,"","ZZZ")</f>
        <v>ZZZ</v>
      </c>
      <c r="I13" s="6" t="str">
        <f>IF(LEN('A créer'!C13)=0,"","0")</f>
        <v>0</v>
      </c>
      <c r="J13" s="2" t="str">
        <f>IF(LEN('A créer'!C13)=0,"","Tab")</f>
        <v>Tab</v>
      </c>
      <c r="K13" s="6" t="str">
        <f>IF(LEN('A créer'!C13)=0,"","ZZZZZZ")</f>
        <v>ZZZZZZ</v>
      </c>
      <c r="L13" s="6" t="str">
        <f>IF(LEN('A créer'!C13)=0,"","0")</f>
        <v>0</v>
      </c>
      <c r="M13" s="2" t="str">
        <f>IF(LEN('A créer'!C13)=0,"","Tab")</f>
        <v>Tab</v>
      </c>
      <c r="N13" s="6" t="str">
        <f>IF(LEN('A créer'!C13)=0,"","ZZZZZ")</f>
        <v>ZZZZZ</v>
      </c>
      <c r="O13" s="6" t="str">
        <f>IF(LEN('A créer'!C13)=0,"",CONCATENATE('A créer'!B13,'A créer'!A13))</f>
        <v>DSW0490</v>
      </c>
      <c r="P13" s="2" t="str">
        <f>IF(LEN('A créer'!C13)=0,"","Tab")</f>
        <v>Tab</v>
      </c>
      <c r="Q13" s="6" t="str">
        <f>IF(LEN('A créer'!C13)=0,"","0")</f>
        <v>0</v>
      </c>
      <c r="R13" s="2" t="str">
        <f>IF(LEN('A créer'!C13)=0,"","Tab")</f>
        <v>Tab</v>
      </c>
      <c r="S13" s="6" t="str">
        <f>IF(LEN('A créer'!C13)=0,"","ZZZZZZZZZZ")</f>
        <v>ZZZZZZZZZZ</v>
      </c>
      <c r="T13" s="6" t="str">
        <f>IF(LEN('A créer'!C13)=0,"","0")</f>
        <v>0</v>
      </c>
      <c r="U13" s="2" t="str">
        <f>IF(LEN('A créer'!C13)=0,"","Tab")</f>
        <v>Tab</v>
      </c>
      <c r="V13" s="6" t="str">
        <f>IF(LEN('A créer'!C13)=0,"","ZZZZZZZZZZ")</f>
        <v>ZZZZZZZZZZ</v>
      </c>
      <c r="W13" s="6" t="str">
        <f>IF(LEN('A créer'!C13)=0,"","0")</f>
        <v>0</v>
      </c>
      <c r="X13" s="2" t="str">
        <f>IF(LEN('A créer'!C13)=0,"","Tab")</f>
        <v>Tab</v>
      </c>
      <c r="Y13" s="6" t="str">
        <f>IF(LEN('A créer'!C13)=0,"","ZZZZZZZZZZZZZZZ")</f>
        <v>ZZZZZZZZZZZZZZZ</v>
      </c>
      <c r="Z13" s="6" t="str">
        <f>IF(LEN('A créer'!C13)=0,"","0")</f>
        <v>0</v>
      </c>
      <c r="AA13" s="2" t="str">
        <f>IF(LEN('A créer'!C13)=0,"","Tab")</f>
        <v>Tab</v>
      </c>
      <c r="AB13" s="6" t="str">
        <f>IF(LEN('A créer'!C13)=0,"","ZZZ")</f>
        <v>ZZZ</v>
      </c>
      <c r="AC13" s="6" t="str">
        <f>IF(LEN('A créer'!C13)=0,"","0")</f>
        <v>0</v>
      </c>
      <c r="AD13" s="2" t="str">
        <f>IF(LEN('A créer'!C13)=0,"","Tab")</f>
        <v>Tab</v>
      </c>
      <c r="AE13" s="6" t="str">
        <f>IF(LEN('A créer'!C13)=0,"","ZZZZZZZZZZ")</f>
        <v>ZZZZZZZZZZ</v>
      </c>
      <c r="AF13" s="6" t="str">
        <f>IF(LEN('A créer'!C13)=0,"","0")</f>
        <v>0</v>
      </c>
      <c r="AG13" s="2" t="str">
        <f>IF(LEN('A créer'!C13)=0,"","Tab")</f>
        <v>Tab</v>
      </c>
      <c r="AH13" s="6" t="str">
        <f>IF(LEN('A créer'!C13)=0,"","ZZZZZZZZZZ")</f>
        <v>ZZZZZZZZZZ</v>
      </c>
      <c r="AI13" s="6" t="str">
        <f>IF(LEN('A créer'!C13)=0,"","0")</f>
        <v>0</v>
      </c>
      <c r="AJ13" s="2" t="str">
        <f>IF(LEN('A créer'!C13)=0,"","Tab")</f>
        <v>Tab</v>
      </c>
      <c r="AK13" s="6" t="str">
        <f>IF(LEN('A créer'!C13)=0,"","ZZZZZZZZZZ")</f>
        <v>ZZZZZZZZZZ</v>
      </c>
      <c r="AL13" s="2" t="str">
        <f>IF(LEN('A créer'!C13)=0,"","ENT")</f>
        <v>ENT</v>
      </c>
      <c r="AM13" s="2" t="str">
        <f>IF(LEN('A créer'!C13)=0,"","*SAVE")</f>
        <v>*SAVE</v>
      </c>
      <c r="AN13" s="2" t="str">
        <f>IF(OR('A créer'!D13="Oui",LEN('A créer'!D13)=0,LEN('A créer'!C13)=0),"","*FN")</f>
        <v>*FN</v>
      </c>
      <c r="AO13" s="3" t="str">
        <f>IF(OR('A créer'!D13="Oui",LEN('A créer'!D13)=0,LEN('A créer'!C13)=0),"","\E")</f>
        <v>\E</v>
      </c>
      <c r="AP13" s="2" t="str">
        <f>IF(OR('A créer'!D13="Oui",LEN('A créer'!D13)=0,LEN('A créer'!C13)=0),"","TAB")</f>
        <v>TAB</v>
      </c>
      <c r="AQ13" s="6" t="str">
        <f>IF(OR('A créer'!D13="Oui",LEN('A créer'!D13)=0,LEN('A créer'!C13)=0),"",'A créer'!A13)</f>
        <v>0490</v>
      </c>
      <c r="AR13" s="2" t="str">
        <f>IF(OR('A créer'!D13="Oui",LEN('A créer'!D13)=0,LEN('A créer'!C13)=0),"","TAB")</f>
        <v>TAB</v>
      </c>
      <c r="AS13" s="6" t="str">
        <f>IF(OR('A créer'!D13="Oui",LEN('A créer'!D13)=0,LEN('A créer'!C13)=0),"","0")</f>
        <v>0</v>
      </c>
      <c r="AT13" s="2" t="str">
        <f>IF(OR('A créer'!D13="Oui",LEN('A créer'!D13)=0,LEN('A créer'!C13)=0),"","TAB")</f>
        <v>TAB</v>
      </c>
      <c r="AU13" s="6" t="str">
        <f>IF(OR('A créer'!D13="Oui",LEN('A créer'!D13)=0,LEN('A créer'!C13)=0),"","ZZZ")</f>
        <v>ZZZ</v>
      </c>
      <c r="AV13" s="6" t="str">
        <f>IF(OR('A créer'!D13="Oui",LEN('A créer'!D13)=0,LEN('A créer'!C13)=0),"","0")</f>
        <v>0</v>
      </c>
      <c r="AW13" s="2" t="str">
        <f>IF(OR('A créer'!D13="Oui",LEN('A créer'!D13)=0,LEN('A créer'!C13)=0),"","TAB")</f>
        <v>TAB</v>
      </c>
      <c r="AX13" s="6" t="str">
        <f>IF(OR('A créer'!D13="Oui",LEN('A créer'!D13)=0,LEN('A créer'!C13)=0),"","ZZZZZZ")</f>
        <v>ZZZZZZ</v>
      </c>
      <c r="AY13" s="6" t="str">
        <f>IF(OR('A créer'!D13="Oui",LEN('A créer'!D13)=0,LEN('A créer'!C13)=0),"","0")</f>
        <v>0</v>
      </c>
      <c r="AZ13" s="2" t="str">
        <f>IF(OR('A créer'!D13="Oui",LEN('A créer'!D13)=0,LEN('A créer'!C13)=0),"","TAB")</f>
        <v>TAB</v>
      </c>
      <c r="BA13" s="6" t="str">
        <f>IF(OR('A créer'!D13="Oui",LEN('A créer'!D13)=0,LEN('A créer'!C13)=0),"","ZZZZZ")</f>
        <v>ZZZZZ</v>
      </c>
      <c r="BB13" s="6" t="str">
        <f>IF(OR('A créer'!D13="Oui",LEN('A créer'!D13)=0,LEN('A créer'!C13)=0),"",CONCATENATE("XXX",'A créer'!A13))</f>
        <v>XXX0490</v>
      </c>
      <c r="BC13" s="2" t="str">
        <f>IF(OR('A créer'!D13="Oui",LEN('A créer'!D13)=0,LEN('A créer'!C13)=0),"","TAB")</f>
        <v>TAB</v>
      </c>
      <c r="BD13" s="6" t="str">
        <f>IF(OR('A créer'!D13="Oui",LEN('A créer'!D13)=0,LEN('A créer'!C13)=0),"","0")</f>
        <v>0</v>
      </c>
      <c r="BE13" s="2" t="str">
        <f>IF(OR('A créer'!D13="Oui",LEN('A créer'!D13)=0,LEN('A créer'!C13)=0),"","TAB")</f>
        <v>TAB</v>
      </c>
      <c r="BF13" s="6" t="str">
        <f>IF(OR('A créer'!D13="Oui",LEN('A créer'!D13)=0,LEN('A créer'!C13)=0),"","ZZZZZZZZZZ")</f>
        <v>ZZZZZZZZZZ</v>
      </c>
      <c r="BG13" s="6" t="str">
        <f>IF(OR('A créer'!D13="Oui",LEN('A créer'!D13)=0,LEN('A créer'!C13)=0),"","0")</f>
        <v>0</v>
      </c>
      <c r="BH13" s="2" t="str">
        <f>IF(OR('A créer'!D13="Oui",LEN('A créer'!D13)=0,LEN('A créer'!C13)=0),"","TAB")</f>
        <v>TAB</v>
      </c>
      <c r="BI13" s="6" t="str">
        <f>IF(OR('A créer'!D13="Oui",LEN('A créer'!D13)=0,LEN('A créer'!C13)=0),"","ZZZZZZZZZZ")</f>
        <v>ZZZZZZZZZZ</v>
      </c>
      <c r="BJ13" s="6" t="str">
        <f>IF(OR('A créer'!D13="Oui",LEN('A créer'!D13)=0,LEN('A créer'!C13)=0),"","0")</f>
        <v>0</v>
      </c>
      <c r="BK13" s="2" t="str">
        <f>IF(OR('A créer'!D13="Oui",LEN('A créer'!D13)=0,LEN('A créer'!C13)=0),"","TAB")</f>
        <v>TAB</v>
      </c>
      <c r="BL13" s="6" t="str">
        <f>IF(OR('A créer'!D13="Oui",LEN('A créer'!D13)=0,LEN('A créer'!C13)=0),"","ZZZZZZZZZZZZZZZ")</f>
        <v>ZZZZZZZZZZZZZZZ</v>
      </c>
      <c r="BM13" s="6" t="str">
        <f>IF(OR('A créer'!D13="Oui",LEN('A créer'!D13)=0,LEN('A créer'!C13)=0),"","0")</f>
        <v>0</v>
      </c>
      <c r="BN13" s="2" t="str">
        <f>IF(OR('A créer'!D13="Oui",LEN('A créer'!D13)=0,LEN('A créer'!C13)=0),"","TAB")</f>
        <v>TAB</v>
      </c>
      <c r="BO13" s="6" t="str">
        <f>IF(OR('A créer'!D13="Oui",LEN('A créer'!D13)=0,LEN('A créer'!C13)=0),"","ZZZ")</f>
        <v>ZZZ</v>
      </c>
      <c r="BP13" s="6" t="str">
        <f>IF(OR('A créer'!D13="Oui",LEN('A créer'!D13)=0,LEN('A créer'!C13)=0),"","0")</f>
        <v>0</v>
      </c>
      <c r="BQ13" s="2" t="str">
        <f>IF(OR('A créer'!D13="Oui",LEN('A créer'!D13)=0,LEN('A créer'!C13)=0),"","TAB")</f>
        <v>TAB</v>
      </c>
      <c r="BR13" s="6" t="str">
        <f>IF(OR('A créer'!D13="Oui",LEN('A créer'!D13)=0,LEN('A créer'!C13)=0),"","ZZZZZZZZZZ")</f>
        <v>ZZZZZZZZZZ</v>
      </c>
      <c r="BS13" s="6" t="str">
        <f>IF(OR('A créer'!D13="Oui",LEN('A créer'!D13)=0,LEN('A créer'!C13)=0),"","0")</f>
        <v>0</v>
      </c>
      <c r="BT13" s="2" t="str">
        <f>IF(OR('A créer'!D13="Oui",LEN('A créer'!D13)=0,LEN('A créer'!C13)=0),"","TAB")</f>
        <v>TAB</v>
      </c>
      <c r="BU13" s="6" t="str">
        <f>IF(OR('A créer'!D13="Oui",LEN('A créer'!D13)=0,LEN('A créer'!C13)=0),"","ZZZZZZZZZZ")</f>
        <v>ZZZZZZZZZZ</v>
      </c>
      <c r="BV13" s="6" t="str">
        <f>IF(OR('A créer'!D13="Oui",LEN('A créer'!D13)=0,LEN('A créer'!C13)=0),"","0")</f>
        <v>0</v>
      </c>
      <c r="BW13" s="2" t="str">
        <f>IF(OR('A créer'!D13="Oui",LEN('A créer'!D13)=0,LEN('A créer'!C13)=0),"","TAB")</f>
        <v>TAB</v>
      </c>
      <c r="BX13" s="6" t="str">
        <f>IF(OR('A créer'!D13="Oui",LEN('A créer'!D13)=0,LEN('A créer'!C13)=0),"","ZZZZZZZZZZ")</f>
        <v>ZZZZZZZZZZ</v>
      </c>
      <c r="BY13" s="2" t="str">
        <f>IF(OR('A créer'!D13="Oui",LEN('A créer'!D13)=0,LEN('A créer'!C13)=0),"","ENT")</f>
        <v>ENT</v>
      </c>
      <c r="BZ13" s="2" t="str">
        <f>IF(OR('A créer'!D13="Oui",LEN('A créer'!D13)=0,LEN('A créer'!C13)=0),"","*SAVE")</f>
        <v>*SAVE</v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A10" sqref="A10:AM10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6.5703125" bestFit="1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0491</v>
      </c>
      <c r="E2" s="2" t="str">
        <f>IF(LEN('A créer'!C2)=0,"","Tab")</f>
        <v>Tab</v>
      </c>
      <c r="F2" t="str">
        <f>IF(LEN('A créer'!C2)=0,"",'A créer'!B2)</f>
        <v>DEW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0492</v>
      </c>
      <c r="E3" s="2" t="str">
        <f>IF(LEN('A créer'!C3)=0,"","Tab")</f>
        <v>Tab</v>
      </c>
      <c r="F3" t="str">
        <f>IF(LEN('A créer'!C3)=0,"",'A créer'!B3)</f>
        <v>DRW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2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0493</v>
      </c>
      <c r="E4" s="2" t="str">
        <f>IF(LEN('A créer'!C4)=0,"","Tab")</f>
        <v>Tab</v>
      </c>
      <c r="F4" t="str">
        <f>IF(LEN('A créer'!C4)=0,"",'A créer'!B4)</f>
        <v>DSW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25">
      <c r="A5" s="2" t="str">
        <f>IF(LEN('A créer'!C5)=0,"","*FN")</f>
        <v>*FN</v>
      </c>
      <c r="B5" s="3" t="str">
        <f>IF(LEN('A créer'!C5)=0,"","\I")</f>
        <v>\I</v>
      </c>
      <c r="C5" s="2" t="str">
        <f>IF(LEN('A créer'!C5)=0,"","Tab")</f>
        <v>Tab</v>
      </c>
      <c r="D5" t="str">
        <f>IF(LEN('A créer'!C5)=0,"",'A créer'!A5)</f>
        <v>0498</v>
      </c>
      <c r="E5" s="2" t="str">
        <f>IF(LEN('A créer'!C5)=0,"","Tab")</f>
        <v>Tab</v>
      </c>
      <c r="F5" t="str">
        <f>IF(LEN('A créer'!C5)=0,"",'A créer'!B5)</f>
        <v>DMS</v>
      </c>
      <c r="G5" s="2" t="str">
        <f>IF(LEN('A créer'!C5)=0,"","Tab")</f>
        <v>Tab</v>
      </c>
      <c r="H5">
        <f>IF(LEN('A créer'!C5)=0,"",0)</f>
        <v>0</v>
      </c>
      <c r="I5" s="2" t="str">
        <f>IF(LEN('A créer'!C5)=0,"","Tab")</f>
        <v>Tab</v>
      </c>
      <c r="J5" t="str">
        <f>IF(LEN('A créer'!C5)=0,"","ZZZZZZ")</f>
        <v>ZZZZZZ</v>
      </c>
      <c r="K5">
        <f>IF(LEN('A créer'!C5)=0,"",0)</f>
        <v>0</v>
      </c>
      <c r="L5" s="2" t="str">
        <f>IF(LEN('A créer'!C5)=0,"","Tab")</f>
        <v>Tab</v>
      </c>
      <c r="M5" s="6" t="str">
        <f>IF(LEN('A créer'!C5)=0,"","ZZZZZ")</f>
        <v>ZZZZZ</v>
      </c>
      <c r="N5" s="6">
        <f>IF(LEN('A créer'!C5)=0,"",0)</f>
        <v>0</v>
      </c>
      <c r="O5" s="2" t="str">
        <f>IF(LEN('A créer'!C5)=0,"","Tab")</f>
        <v>Tab</v>
      </c>
      <c r="P5" s="6" t="str">
        <f>IF(LEN('A créer'!C5)=0,"","ZZZZZZZ")</f>
        <v>ZZZZZZZ</v>
      </c>
      <c r="Q5" s="6">
        <f>IF(LEN('A créer'!C5)=0,"",0)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>
        <f>IF(LEN('A créer'!C5)=0,"",0)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>
        <f>IF(LEN('A créer'!C5)=0,"",0)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>
        <f>IF(LEN('A créer'!C5)=0,"",0)</f>
        <v>0</v>
      </c>
      <c r="AA5" s="2" t="str">
        <f>IF(LEN('A créer'!C5)=0,"","Tab")</f>
        <v>Tab</v>
      </c>
      <c r="AB5" s="6" t="str">
        <f>IF(LEN('A créer'!C5)=0,"","ZZZ")</f>
        <v>ZZZ</v>
      </c>
      <c r="AC5" s="6">
        <f>IF(LEN('A créer'!C5)=0,"",0)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>
        <f>IF(LEN('A créer'!C5)=0,"",0)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>
        <f>IF(LEN('A créer'!C5)=0,"",0)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</row>
    <row r="6" spans="1:39" x14ac:dyDescent="0.2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0490</v>
      </c>
      <c r="E6" s="2" t="str">
        <f>IF(LEN('A créer'!C6)=0,"","Tab")</f>
        <v>Tab</v>
      </c>
      <c r="F6" t="str">
        <f>IF(LEN('A créer'!C6)=0,"",'A créer'!B6)</f>
        <v>DOS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2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0490</v>
      </c>
      <c r="E7" s="2" t="str">
        <f>IF(LEN('A créer'!C7)=0,"","Tab")</f>
        <v>Tab</v>
      </c>
      <c r="F7" t="str">
        <f>IF(LEN('A créer'!C7)=0,"",'A créer'!B7)</f>
        <v>DCW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6" t="str">
        <f>IF(LEN('A créer'!C7)=0,"","ZZZZZ")</f>
        <v>ZZZZZ</v>
      </c>
      <c r="N7" s="6">
        <f>IF(LEN('A créer'!C7)=0,"",0)</f>
        <v>0</v>
      </c>
      <c r="O7" s="2" t="str">
        <f>IF(LEN('A créer'!C7)=0,"","Tab")</f>
        <v>Tab</v>
      </c>
      <c r="P7" s="6" t="str">
        <f>IF(LEN('A créer'!C7)=0,"","ZZZZZZZ")</f>
        <v>ZZZZZZZ</v>
      </c>
      <c r="Q7" s="6">
        <f>IF(LEN('A créer'!C7)=0,"",0)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>
        <f>IF(LEN('A créer'!C7)=0,"",0)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>
        <f>IF(LEN('A créer'!C7)=0,"",0)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>
        <f>IF(LEN('A créer'!C7)=0,"",0)</f>
        <v>0</v>
      </c>
      <c r="AA7" s="2" t="str">
        <f>IF(LEN('A créer'!C7)=0,"","Tab")</f>
        <v>Tab</v>
      </c>
      <c r="AB7" s="6" t="str">
        <f>IF(LEN('A créer'!C7)=0,"","ZZZ")</f>
        <v>ZZZ</v>
      </c>
      <c r="AC7" s="6">
        <f>IF(LEN('A créer'!C7)=0,"",0)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>
        <f>IF(LEN('A créer'!C7)=0,"",0)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>
        <f>IF(LEN('A créer'!C7)=0,"",0)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25">
      <c r="A8" s="2" t="str">
        <f>IF(LEN('A créer'!C8)=0,"","*FN")</f>
        <v>*FN</v>
      </c>
      <c r="B8" s="3" t="str">
        <f>IF(LEN('A créer'!C8)=0,"","\I")</f>
        <v>\I</v>
      </c>
      <c r="C8" s="2" t="str">
        <f>IF(LEN('A créer'!C8)=0,"","Tab")</f>
        <v>Tab</v>
      </c>
      <c r="D8" t="str">
        <f>IF(LEN('A créer'!C8)=0,"",'A créer'!A8)</f>
        <v>0490</v>
      </c>
      <c r="E8" s="2" t="str">
        <f>IF(LEN('A créer'!C8)=0,"","Tab")</f>
        <v>Tab</v>
      </c>
      <c r="F8" t="str">
        <f>IF(LEN('A créer'!C8)=0,"",'A créer'!B8)</f>
        <v>DEW</v>
      </c>
      <c r="G8" s="2" t="str">
        <f>IF(LEN('A créer'!C8)=0,"","Tab")</f>
        <v>Tab</v>
      </c>
      <c r="H8">
        <f>IF(LEN('A créer'!C8)=0,"",0)</f>
        <v>0</v>
      </c>
      <c r="I8" s="2" t="str">
        <f>IF(LEN('A créer'!C8)=0,"","Tab")</f>
        <v>Tab</v>
      </c>
      <c r="J8" t="str">
        <f>IF(LEN('A créer'!C8)=0,"","ZZZZZZ")</f>
        <v>ZZZZZZ</v>
      </c>
      <c r="K8">
        <f>IF(LEN('A créer'!C8)=0,"",0)</f>
        <v>0</v>
      </c>
      <c r="L8" s="2" t="str">
        <f>IF(LEN('A créer'!C8)=0,"","Tab")</f>
        <v>Tab</v>
      </c>
      <c r="M8" s="6" t="str">
        <f>IF(LEN('A créer'!C8)=0,"","ZZZZZ")</f>
        <v>ZZZZZ</v>
      </c>
      <c r="N8" s="6">
        <f>IF(LEN('A créer'!C8)=0,"",0)</f>
        <v>0</v>
      </c>
      <c r="O8" s="2" t="str">
        <f>IF(LEN('A créer'!C8)=0,"","Tab")</f>
        <v>Tab</v>
      </c>
      <c r="P8" s="6" t="str">
        <f>IF(LEN('A créer'!C8)=0,"","ZZZZZZZ")</f>
        <v>ZZZZZZZ</v>
      </c>
      <c r="Q8" s="6">
        <f>IF(LEN('A créer'!C8)=0,"",0)</f>
        <v>0</v>
      </c>
      <c r="R8" s="2" t="str">
        <f>IF(LEN('A créer'!C8)=0,"","Tab")</f>
        <v>Tab</v>
      </c>
      <c r="S8" s="6" t="str">
        <f>IF(LEN('A créer'!C8)=0,"","ZZZZZZZZZZ")</f>
        <v>ZZZZZZZZZZ</v>
      </c>
      <c r="T8" s="6">
        <f>IF(LEN('A créer'!C8)=0,"",0)</f>
        <v>0</v>
      </c>
      <c r="U8" s="2" t="str">
        <f>IF(LEN('A créer'!C8)=0,"","Tab")</f>
        <v>Tab</v>
      </c>
      <c r="V8" s="6" t="str">
        <f>IF(LEN('A créer'!C8)=0,"","ZZZZZZZZZZ")</f>
        <v>ZZZZZZZZZZ</v>
      </c>
      <c r="W8" s="6">
        <f>IF(LEN('A créer'!C8)=0,"",0)</f>
        <v>0</v>
      </c>
      <c r="X8" s="2" t="str">
        <f>IF(LEN('A créer'!C8)=0,"","Tab")</f>
        <v>Tab</v>
      </c>
      <c r="Y8" s="6" t="str">
        <f>IF(LEN('A créer'!C8)=0,"","ZZZZZZZZZZZZZZZ")</f>
        <v>ZZZZZZZZZZZZZZZ</v>
      </c>
      <c r="Z8" s="6">
        <f>IF(LEN('A créer'!C8)=0,"",0)</f>
        <v>0</v>
      </c>
      <c r="AA8" s="2" t="str">
        <f>IF(LEN('A créer'!C8)=0,"","Tab")</f>
        <v>Tab</v>
      </c>
      <c r="AB8" s="6" t="str">
        <f>IF(LEN('A créer'!C8)=0,"","ZZZ")</f>
        <v>ZZZ</v>
      </c>
      <c r="AC8" s="6">
        <f>IF(LEN('A créer'!C8)=0,"",0)</f>
        <v>0</v>
      </c>
      <c r="AD8" s="2" t="str">
        <f>IF(LEN('A créer'!C8)=0,"","Tab")</f>
        <v>Tab</v>
      </c>
      <c r="AE8" s="6" t="str">
        <f>IF(LEN('A créer'!C8)=0,"","ZZZZZZZZZZ")</f>
        <v>ZZZZZZZZZZ</v>
      </c>
      <c r="AF8" s="6">
        <f>IF(LEN('A créer'!C8)=0,"",0)</f>
        <v>0</v>
      </c>
      <c r="AG8" s="2" t="str">
        <f>IF(LEN('A créer'!C8)=0,"","Tab")</f>
        <v>Tab</v>
      </c>
      <c r="AH8" s="6" t="str">
        <f>IF(LEN('A créer'!C8)=0,"","ZZZZZZZZZZ")</f>
        <v>ZZZZZZZZZZ</v>
      </c>
      <c r="AI8" s="6">
        <f>IF(LEN('A créer'!C8)=0,"",0)</f>
        <v>0</v>
      </c>
      <c r="AJ8" s="2" t="str">
        <f>IF(LEN('A créer'!C8)=0,"","Tab")</f>
        <v>Tab</v>
      </c>
      <c r="AK8" s="6" t="str">
        <f>IF(LEN('A créer'!C8)=0,"","ZZZZZZZZZZ")</f>
        <v>ZZZZZZZZZZ</v>
      </c>
      <c r="AL8" s="2" t="str">
        <f>IF(LEN('A créer'!C8)=0,"","ENT")</f>
        <v>ENT</v>
      </c>
      <c r="AM8" s="2" t="str">
        <f>IF(LEN('A créer'!C8)=0,"","*SAVE")</f>
        <v>*SAVE</v>
      </c>
    </row>
    <row r="9" spans="1:39" x14ac:dyDescent="0.25">
      <c r="A9" s="2" t="str">
        <f>IF(LEN('A créer'!C9)=0,"","*FN")</f>
        <v>*FN</v>
      </c>
      <c r="B9" s="3" t="str">
        <f>IF(LEN('A créer'!C9)=0,"","\I")</f>
        <v>\I</v>
      </c>
      <c r="C9" s="2" t="str">
        <f>IF(LEN('A créer'!C9)=0,"","Tab")</f>
        <v>Tab</v>
      </c>
      <c r="D9" t="str">
        <f>IF(LEN('A créer'!C9)=0,"",'A créer'!A9)</f>
        <v>0490</v>
      </c>
      <c r="E9" s="2" t="str">
        <f>IF(LEN('A créer'!C9)=0,"","Tab")</f>
        <v>Tab</v>
      </c>
      <c r="F9" t="str">
        <f>IF(LEN('A créer'!C9)=0,"",'A créer'!B9)</f>
        <v>DLS</v>
      </c>
      <c r="G9" s="2" t="str">
        <f>IF(LEN('A créer'!C9)=0,"","Tab")</f>
        <v>Tab</v>
      </c>
      <c r="H9">
        <f>IF(LEN('A créer'!C9)=0,"",0)</f>
        <v>0</v>
      </c>
      <c r="I9" s="2" t="str">
        <f>IF(LEN('A créer'!C9)=0,"","Tab")</f>
        <v>Tab</v>
      </c>
      <c r="J9" t="str">
        <f>IF(LEN('A créer'!C9)=0,"","ZZZZZZ")</f>
        <v>ZZZZZZ</v>
      </c>
      <c r="K9">
        <f>IF(LEN('A créer'!C9)=0,"",0)</f>
        <v>0</v>
      </c>
      <c r="L9" s="2" t="str">
        <f>IF(LEN('A créer'!C9)=0,"","Tab")</f>
        <v>Tab</v>
      </c>
      <c r="M9" s="6" t="str">
        <f>IF(LEN('A créer'!C9)=0,"","ZZZZZ")</f>
        <v>ZZZZZ</v>
      </c>
      <c r="N9" s="6">
        <f>IF(LEN('A créer'!C9)=0,"",0)</f>
        <v>0</v>
      </c>
      <c r="O9" s="2" t="str">
        <f>IF(LEN('A créer'!C9)=0,"","Tab")</f>
        <v>Tab</v>
      </c>
      <c r="P9" s="6" t="str">
        <f>IF(LEN('A créer'!C9)=0,"","ZZZZZZZ")</f>
        <v>ZZZZZZZ</v>
      </c>
      <c r="Q9" s="6">
        <f>IF(LEN('A créer'!C9)=0,"",0)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>
        <f>IF(LEN('A créer'!C9)=0,"",0)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>
        <f>IF(LEN('A créer'!C9)=0,"",0)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>
        <f>IF(LEN('A créer'!C9)=0,"",0)</f>
        <v>0</v>
      </c>
      <c r="AA9" s="2" t="str">
        <f>IF(LEN('A créer'!C9)=0,"","Tab")</f>
        <v>Tab</v>
      </c>
      <c r="AB9" s="6" t="str">
        <f>IF(LEN('A créer'!C9)=0,"","ZZZ")</f>
        <v>ZZZ</v>
      </c>
      <c r="AC9" s="6">
        <f>IF(LEN('A créer'!C9)=0,"",0)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>
        <f>IF(LEN('A créer'!C9)=0,"",0)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>
        <f>IF(LEN('A créer'!C9)=0,"",0)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</row>
    <row r="10" spans="1:39" x14ac:dyDescent="0.25">
      <c r="A10" s="2" t="str">
        <f>IF(LEN('A créer'!C10)=0,"","*FN")</f>
        <v>*FN</v>
      </c>
      <c r="B10" s="3" t="str">
        <f>IF(LEN('A créer'!C10)=0,"","\I")</f>
        <v>\I</v>
      </c>
      <c r="C10" s="2" t="str">
        <f>IF(LEN('A créer'!C10)=0,"","Tab")</f>
        <v>Tab</v>
      </c>
      <c r="D10" t="str">
        <f>IF(LEN('A créer'!C10)=0,"",'A créer'!A10)</f>
        <v>0490</v>
      </c>
      <c r="E10" s="2" t="str">
        <f>IF(LEN('A créer'!C10)=0,"","Tab")</f>
        <v>Tab</v>
      </c>
      <c r="F10" t="str">
        <f>IF(LEN('A créer'!C10)=0,"",'A créer'!B10)</f>
        <v>DMS</v>
      </c>
      <c r="G10" s="2" t="str">
        <f>IF(LEN('A créer'!C10)=0,"","Tab")</f>
        <v>Tab</v>
      </c>
      <c r="H10">
        <f>IF(LEN('A créer'!C10)=0,"",0)</f>
        <v>0</v>
      </c>
      <c r="I10" s="2" t="str">
        <f>IF(LEN('A créer'!C10)=0,"","Tab")</f>
        <v>Tab</v>
      </c>
      <c r="J10" t="str">
        <f>IF(LEN('A créer'!C10)=0,"","ZZZZZZ")</f>
        <v>ZZZZZZ</v>
      </c>
      <c r="K10">
        <f>IF(LEN('A créer'!C10)=0,"",0)</f>
        <v>0</v>
      </c>
      <c r="L10" s="2" t="str">
        <f>IF(LEN('A créer'!C10)=0,"","Tab")</f>
        <v>Tab</v>
      </c>
      <c r="M10" s="6" t="str">
        <f>IF(LEN('A créer'!C10)=0,"","ZZZZZ")</f>
        <v>ZZZZZ</v>
      </c>
      <c r="N10" s="6">
        <f>IF(LEN('A créer'!C10)=0,"",0)</f>
        <v>0</v>
      </c>
      <c r="O10" s="2" t="str">
        <f>IF(LEN('A créer'!C10)=0,"","Tab")</f>
        <v>Tab</v>
      </c>
      <c r="P10" s="6" t="str">
        <f>IF(LEN('A créer'!C10)=0,"","ZZZZZZZ")</f>
        <v>ZZZZZZZ</v>
      </c>
      <c r="Q10" s="6">
        <f>IF(LEN('A créer'!C10)=0,"",0)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>
        <f>IF(LEN('A créer'!C10)=0,"",0)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>
        <f>IF(LEN('A créer'!C10)=0,"",0)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>
        <f>IF(LEN('A créer'!C10)=0,"",0)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>
        <f>IF(LEN('A créer'!C10)=0,"",0)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>
        <f>IF(LEN('A créer'!C10)=0,"",0)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>
        <f>IF(LEN('A créer'!C10)=0,"",0)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</row>
    <row r="11" spans="1:39" x14ac:dyDescent="0.25">
      <c r="A11" s="2" t="str">
        <f>IF(LEN('A créer'!C11)=0,"","*FN")</f>
        <v>*FN</v>
      </c>
      <c r="B11" s="3" t="str">
        <f>IF(LEN('A créer'!C11)=0,"","\I")</f>
        <v>\I</v>
      </c>
      <c r="C11" s="2" t="str">
        <f>IF(LEN('A créer'!C11)=0,"","Tab")</f>
        <v>Tab</v>
      </c>
      <c r="D11" t="str">
        <f>IF(LEN('A créer'!C11)=0,"",'A créer'!A11)</f>
        <v>0490</v>
      </c>
      <c r="E11" s="2" t="str">
        <f>IF(LEN('A créer'!C11)=0,"","Tab")</f>
        <v>Tab</v>
      </c>
      <c r="F11" t="str">
        <f>IF(LEN('A créer'!C11)=0,"",'A créer'!B11)</f>
        <v>DNA</v>
      </c>
      <c r="G11" s="2" t="str">
        <f>IF(LEN('A créer'!C11)=0,"","Tab")</f>
        <v>Tab</v>
      </c>
      <c r="H11">
        <f>IF(LEN('A créer'!C11)=0,"",0)</f>
        <v>0</v>
      </c>
      <c r="I11" s="2" t="str">
        <f>IF(LEN('A créer'!C11)=0,"","Tab")</f>
        <v>Tab</v>
      </c>
      <c r="J11" t="str">
        <f>IF(LEN('A créer'!C11)=0,"","ZZZZZZ")</f>
        <v>ZZZZZZ</v>
      </c>
      <c r="K11">
        <f>IF(LEN('A créer'!C11)=0,"",0)</f>
        <v>0</v>
      </c>
      <c r="L11" s="2" t="str">
        <f>IF(LEN('A créer'!C11)=0,"","Tab")</f>
        <v>Tab</v>
      </c>
      <c r="M11" s="6" t="str">
        <f>IF(LEN('A créer'!C11)=0,"","ZZZZZ")</f>
        <v>ZZZZZ</v>
      </c>
      <c r="N11" s="6">
        <f>IF(LEN('A créer'!C11)=0,"",0)</f>
        <v>0</v>
      </c>
      <c r="O11" s="2" t="str">
        <f>IF(LEN('A créer'!C11)=0,"","Tab")</f>
        <v>Tab</v>
      </c>
      <c r="P11" s="6" t="str">
        <f>IF(LEN('A créer'!C11)=0,"","ZZZZZZZ")</f>
        <v>ZZZZZZZ</v>
      </c>
      <c r="Q11" s="6">
        <f>IF(LEN('A créer'!C11)=0,"",0)</f>
        <v>0</v>
      </c>
      <c r="R11" s="2" t="str">
        <f>IF(LEN('A créer'!C11)=0,"","Tab")</f>
        <v>Tab</v>
      </c>
      <c r="S11" s="6" t="str">
        <f>IF(LEN('A créer'!C11)=0,"","ZZZZZZZZZZ")</f>
        <v>ZZZZZZZZZZ</v>
      </c>
      <c r="T11" s="6">
        <f>IF(LEN('A créer'!C11)=0,"",0)</f>
        <v>0</v>
      </c>
      <c r="U11" s="2" t="str">
        <f>IF(LEN('A créer'!C11)=0,"","Tab")</f>
        <v>Tab</v>
      </c>
      <c r="V11" s="6" t="str">
        <f>IF(LEN('A créer'!C11)=0,"","ZZZZZZZZZZ")</f>
        <v>ZZZZZZZZZZ</v>
      </c>
      <c r="W11" s="6">
        <f>IF(LEN('A créer'!C11)=0,"",0)</f>
        <v>0</v>
      </c>
      <c r="X11" s="2" t="str">
        <f>IF(LEN('A créer'!C11)=0,"","Tab")</f>
        <v>Tab</v>
      </c>
      <c r="Y11" s="6" t="str">
        <f>IF(LEN('A créer'!C11)=0,"","ZZZZZZZZZZZZZZZ")</f>
        <v>ZZZZZZZZZZZZZZZ</v>
      </c>
      <c r="Z11" s="6">
        <f>IF(LEN('A créer'!C11)=0,"",0)</f>
        <v>0</v>
      </c>
      <c r="AA11" s="2" t="str">
        <f>IF(LEN('A créer'!C11)=0,"","Tab")</f>
        <v>Tab</v>
      </c>
      <c r="AB11" s="6" t="str">
        <f>IF(LEN('A créer'!C11)=0,"","ZZZ")</f>
        <v>ZZZ</v>
      </c>
      <c r="AC11" s="6">
        <f>IF(LEN('A créer'!C11)=0,"",0)</f>
        <v>0</v>
      </c>
      <c r="AD11" s="2" t="str">
        <f>IF(LEN('A créer'!C11)=0,"","Tab")</f>
        <v>Tab</v>
      </c>
      <c r="AE11" s="6" t="str">
        <f>IF(LEN('A créer'!C11)=0,"","ZZZZZZZZZZ")</f>
        <v>ZZZZZZZZZZ</v>
      </c>
      <c r="AF11" s="6">
        <f>IF(LEN('A créer'!C11)=0,"",0)</f>
        <v>0</v>
      </c>
      <c r="AG11" s="2" t="str">
        <f>IF(LEN('A créer'!C11)=0,"","Tab")</f>
        <v>Tab</v>
      </c>
      <c r="AH11" s="6" t="str">
        <f>IF(LEN('A créer'!C11)=0,"","ZZZZZZZZZZ")</f>
        <v>ZZZZZZZZZZ</v>
      </c>
      <c r="AI11" s="6">
        <f>IF(LEN('A créer'!C11)=0,"",0)</f>
        <v>0</v>
      </c>
      <c r="AJ11" s="2" t="str">
        <f>IF(LEN('A créer'!C11)=0,"","Tab")</f>
        <v>Tab</v>
      </c>
      <c r="AK11" s="6" t="str">
        <f>IF(LEN('A créer'!C11)=0,"","ZZZZZZZZZZ")</f>
        <v>ZZZZZZZZZZ</v>
      </c>
      <c r="AL11" s="2" t="str">
        <f>IF(LEN('A créer'!C11)=0,"","ENT")</f>
        <v>ENT</v>
      </c>
      <c r="AM11" s="2" t="str">
        <f>IF(LEN('A créer'!C11)=0,"","*SAVE")</f>
        <v>*SAVE</v>
      </c>
    </row>
    <row r="12" spans="1:39" x14ac:dyDescent="0.25">
      <c r="A12" s="2" t="str">
        <f>IF(LEN('A créer'!C12)=0,"","*FN")</f>
        <v>*FN</v>
      </c>
      <c r="B12" s="3" t="str">
        <f>IF(LEN('A créer'!C12)=0,"","\I")</f>
        <v>\I</v>
      </c>
      <c r="C12" s="2" t="str">
        <f>IF(LEN('A créer'!C12)=0,"","Tab")</f>
        <v>Tab</v>
      </c>
      <c r="D12" t="str">
        <f>IF(LEN('A créer'!C12)=0,"",'A créer'!A12)</f>
        <v>0490</v>
      </c>
      <c r="E12" s="2" t="str">
        <f>IF(LEN('A créer'!C12)=0,"","Tab")</f>
        <v>Tab</v>
      </c>
      <c r="F12" t="str">
        <f>IF(LEN('A créer'!C12)=0,"",'A créer'!B12)</f>
        <v>DRW</v>
      </c>
      <c r="G12" s="2" t="str">
        <f>IF(LEN('A créer'!C12)=0,"","Tab")</f>
        <v>Tab</v>
      </c>
      <c r="H12">
        <f>IF(LEN('A créer'!C12)=0,"",0)</f>
        <v>0</v>
      </c>
      <c r="I12" s="2" t="str">
        <f>IF(LEN('A créer'!C12)=0,"","Tab")</f>
        <v>Tab</v>
      </c>
      <c r="J12" t="str">
        <f>IF(LEN('A créer'!C12)=0,"","ZZZZZZ")</f>
        <v>ZZZZZZ</v>
      </c>
      <c r="K12">
        <f>IF(LEN('A créer'!C12)=0,"",0)</f>
        <v>0</v>
      </c>
      <c r="L12" s="2" t="str">
        <f>IF(LEN('A créer'!C12)=0,"","Tab")</f>
        <v>Tab</v>
      </c>
      <c r="M12" s="6" t="str">
        <f>IF(LEN('A créer'!C12)=0,"","ZZZZZ")</f>
        <v>ZZZZZ</v>
      </c>
      <c r="N12" s="6">
        <f>IF(LEN('A créer'!C12)=0,"",0)</f>
        <v>0</v>
      </c>
      <c r="O12" s="2" t="str">
        <f>IF(LEN('A créer'!C12)=0,"","Tab")</f>
        <v>Tab</v>
      </c>
      <c r="P12" s="6" t="str">
        <f>IF(LEN('A créer'!C12)=0,"","ZZZZZZZ")</f>
        <v>ZZZZZZZ</v>
      </c>
      <c r="Q12" s="6">
        <f>IF(LEN('A créer'!C12)=0,"",0)</f>
        <v>0</v>
      </c>
      <c r="R12" s="2" t="str">
        <f>IF(LEN('A créer'!C12)=0,"","Tab")</f>
        <v>Tab</v>
      </c>
      <c r="S12" s="6" t="str">
        <f>IF(LEN('A créer'!C12)=0,"","ZZZZZZZZZZ")</f>
        <v>ZZZZZZZZZZ</v>
      </c>
      <c r="T12" s="6">
        <f>IF(LEN('A créer'!C12)=0,"",0)</f>
        <v>0</v>
      </c>
      <c r="U12" s="2" t="str">
        <f>IF(LEN('A créer'!C12)=0,"","Tab")</f>
        <v>Tab</v>
      </c>
      <c r="V12" s="6" t="str">
        <f>IF(LEN('A créer'!C12)=0,"","ZZZZZZZZZZ")</f>
        <v>ZZZZZZZZZZ</v>
      </c>
      <c r="W12" s="6">
        <f>IF(LEN('A créer'!C12)=0,"",0)</f>
        <v>0</v>
      </c>
      <c r="X12" s="2" t="str">
        <f>IF(LEN('A créer'!C12)=0,"","Tab")</f>
        <v>Tab</v>
      </c>
      <c r="Y12" s="6" t="str">
        <f>IF(LEN('A créer'!C12)=0,"","ZZZZZZZZZZZZZZZ")</f>
        <v>ZZZZZZZZZZZZZZZ</v>
      </c>
      <c r="Z12" s="6">
        <f>IF(LEN('A créer'!C12)=0,"",0)</f>
        <v>0</v>
      </c>
      <c r="AA12" s="2" t="str">
        <f>IF(LEN('A créer'!C12)=0,"","Tab")</f>
        <v>Tab</v>
      </c>
      <c r="AB12" s="6" t="str">
        <f>IF(LEN('A créer'!C12)=0,"","ZZZ")</f>
        <v>ZZZ</v>
      </c>
      <c r="AC12" s="6">
        <f>IF(LEN('A créer'!C12)=0,"",0)</f>
        <v>0</v>
      </c>
      <c r="AD12" s="2" t="str">
        <f>IF(LEN('A créer'!C12)=0,"","Tab")</f>
        <v>Tab</v>
      </c>
      <c r="AE12" s="6" t="str">
        <f>IF(LEN('A créer'!C12)=0,"","ZZZZZZZZZZ")</f>
        <v>ZZZZZZZZZZ</v>
      </c>
      <c r="AF12" s="6">
        <f>IF(LEN('A créer'!C12)=0,"",0)</f>
        <v>0</v>
      </c>
      <c r="AG12" s="2" t="str">
        <f>IF(LEN('A créer'!C12)=0,"","Tab")</f>
        <v>Tab</v>
      </c>
      <c r="AH12" s="6" t="str">
        <f>IF(LEN('A créer'!C12)=0,"","ZZZZZZZZZZ")</f>
        <v>ZZZZZZZZZZ</v>
      </c>
      <c r="AI12" s="6">
        <f>IF(LEN('A créer'!C12)=0,"",0)</f>
        <v>0</v>
      </c>
      <c r="AJ12" s="2" t="str">
        <f>IF(LEN('A créer'!C12)=0,"","Tab")</f>
        <v>Tab</v>
      </c>
      <c r="AK12" s="6" t="str">
        <f>IF(LEN('A créer'!C12)=0,"","ZZZZZZZZZZ")</f>
        <v>ZZZZZZZZZZ</v>
      </c>
      <c r="AL12" s="2" t="str">
        <f>IF(LEN('A créer'!C12)=0,"","ENT")</f>
        <v>ENT</v>
      </c>
      <c r="AM12" s="2" t="str">
        <f>IF(LEN('A créer'!C12)=0,"","*SAVE")</f>
        <v>*SAVE</v>
      </c>
    </row>
    <row r="13" spans="1:39" x14ac:dyDescent="0.25">
      <c r="A13" s="2" t="str">
        <f>IF(LEN('A créer'!C13)=0,"","*FN")</f>
        <v>*FN</v>
      </c>
      <c r="B13" s="3" t="str">
        <f>IF(LEN('A créer'!C13)=0,"","\I")</f>
        <v>\I</v>
      </c>
      <c r="C13" s="2" t="str">
        <f>IF(LEN('A créer'!C13)=0,"","Tab")</f>
        <v>Tab</v>
      </c>
      <c r="D13" t="str">
        <f>IF(LEN('A créer'!C13)=0,"",'A créer'!A13)</f>
        <v>0490</v>
      </c>
      <c r="E13" s="2" t="str">
        <f>IF(LEN('A créer'!C13)=0,"","Tab")</f>
        <v>Tab</v>
      </c>
      <c r="F13" t="str">
        <f>IF(LEN('A créer'!C13)=0,"",'A créer'!B13)</f>
        <v>DSW</v>
      </c>
      <c r="G13" s="2" t="str">
        <f>IF(LEN('A créer'!C13)=0,"","Tab")</f>
        <v>Tab</v>
      </c>
      <c r="H13">
        <f>IF(LEN('A créer'!C13)=0,"",0)</f>
        <v>0</v>
      </c>
      <c r="I13" s="2" t="str">
        <f>IF(LEN('A créer'!C13)=0,"","Tab")</f>
        <v>Tab</v>
      </c>
      <c r="J13" t="str">
        <f>IF(LEN('A créer'!C13)=0,"","ZZZZZZ")</f>
        <v>ZZZZZZ</v>
      </c>
      <c r="K13">
        <f>IF(LEN('A créer'!C13)=0,"",0)</f>
        <v>0</v>
      </c>
      <c r="L13" s="2" t="str">
        <f>IF(LEN('A créer'!C13)=0,"","Tab")</f>
        <v>Tab</v>
      </c>
      <c r="M13" s="6" t="str">
        <f>IF(LEN('A créer'!C13)=0,"","ZZZZZ")</f>
        <v>ZZZZZ</v>
      </c>
      <c r="N13" s="6">
        <f>IF(LEN('A créer'!C13)=0,"",0)</f>
        <v>0</v>
      </c>
      <c r="O13" s="2" t="str">
        <f>IF(LEN('A créer'!C13)=0,"","Tab")</f>
        <v>Tab</v>
      </c>
      <c r="P13" s="6" t="str">
        <f>IF(LEN('A créer'!C13)=0,"","ZZZZZZZ")</f>
        <v>ZZZZZZZ</v>
      </c>
      <c r="Q13" s="6">
        <f>IF(LEN('A créer'!C13)=0,"",0)</f>
        <v>0</v>
      </c>
      <c r="R13" s="2" t="str">
        <f>IF(LEN('A créer'!C13)=0,"","Tab")</f>
        <v>Tab</v>
      </c>
      <c r="S13" s="6" t="str">
        <f>IF(LEN('A créer'!C13)=0,"","ZZZZZZZZZZ")</f>
        <v>ZZZZZZZZZZ</v>
      </c>
      <c r="T13" s="6">
        <f>IF(LEN('A créer'!C13)=0,"",0)</f>
        <v>0</v>
      </c>
      <c r="U13" s="2" t="str">
        <f>IF(LEN('A créer'!C13)=0,"","Tab")</f>
        <v>Tab</v>
      </c>
      <c r="V13" s="6" t="str">
        <f>IF(LEN('A créer'!C13)=0,"","ZZZZZZZZZZ")</f>
        <v>ZZZZZZZZZZ</v>
      </c>
      <c r="W13" s="6">
        <f>IF(LEN('A créer'!C13)=0,"",0)</f>
        <v>0</v>
      </c>
      <c r="X13" s="2" t="str">
        <f>IF(LEN('A créer'!C13)=0,"","Tab")</f>
        <v>Tab</v>
      </c>
      <c r="Y13" s="6" t="str">
        <f>IF(LEN('A créer'!C13)=0,"","ZZZZZZZZZZZZZZZ")</f>
        <v>ZZZZZZZZZZZZZZZ</v>
      </c>
      <c r="Z13" s="6">
        <f>IF(LEN('A créer'!C13)=0,"",0)</f>
        <v>0</v>
      </c>
      <c r="AA13" s="2" t="str">
        <f>IF(LEN('A créer'!C13)=0,"","Tab")</f>
        <v>Tab</v>
      </c>
      <c r="AB13" s="6" t="str">
        <f>IF(LEN('A créer'!C13)=0,"","ZZZ")</f>
        <v>ZZZ</v>
      </c>
      <c r="AC13" s="6">
        <f>IF(LEN('A créer'!C13)=0,"",0)</f>
        <v>0</v>
      </c>
      <c r="AD13" s="2" t="str">
        <f>IF(LEN('A créer'!C13)=0,"","Tab")</f>
        <v>Tab</v>
      </c>
      <c r="AE13" s="6" t="str">
        <f>IF(LEN('A créer'!C13)=0,"","ZZZZZZZZZZ")</f>
        <v>ZZZZZZZZZZ</v>
      </c>
      <c r="AF13" s="6">
        <f>IF(LEN('A créer'!C13)=0,"",0)</f>
        <v>0</v>
      </c>
      <c r="AG13" s="2" t="str">
        <f>IF(LEN('A créer'!C13)=0,"","Tab")</f>
        <v>Tab</v>
      </c>
      <c r="AH13" s="6" t="str">
        <f>IF(LEN('A créer'!C13)=0,"","ZZZZZZZZZZ")</f>
        <v>ZZZZZZZZZZ</v>
      </c>
      <c r="AI13" s="6">
        <f>IF(LEN('A créer'!C13)=0,"",0)</f>
        <v>0</v>
      </c>
      <c r="AJ13" s="2" t="str">
        <f>IF(LEN('A créer'!C13)=0,"","Tab")</f>
        <v>Tab</v>
      </c>
      <c r="AK13" s="6" t="str">
        <f>IF(LEN('A créer'!C13)=0,"","ZZZZZZZZZZ")</f>
        <v>ZZZZZZZZZZ</v>
      </c>
      <c r="AL13" s="2" t="str">
        <f>IF(LEN('A créer'!C13)=0,"","ENT")</f>
        <v>ENT</v>
      </c>
      <c r="AM13" s="2" t="str">
        <f>IF(LEN('A créer'!C13)=0,"","*SAVE")</f>
        <v>*SAVE</v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tabSelected="1" zoomScale="80" zoomScaleNormal="80" workbookViewId="0">
      <pane xSplit="1" ySplit="1" topLeftCell="T2" activePane="bottomRight" state="frozenSplit"/>
      <selection activeCell="G1" sqref="G1"/>
      <selection pane="topRight"/>
      <selection pane="bottomLeft" activeCell="A2" sqref="A2"/>
      <selection pane="bottomRight" activeCell="Y6" sqref="Y6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2.285156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26.5703125" customWidth="1"/>
    <col min="10" max="10" width="6.5703125" customWidth="1"/>
    <col min="11" max="11" width="4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95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95</v>
      </c>
      <c r="AN1" s="2" t="s">
        <v>95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t="str">
        <f>IF(OR('A créer'!D2="Oui",LEN('A créer'!D2)=0),"",'A créer'!I2)</f>
        <v>CALORIMER</v>
      </c>
      <c r="D2" s="2" t="str">
        <f>IF(OR('A créer'!D2="Oui",LEN('A créer'!D2)=0),"","Tab")</f>
        <v>Tab</v>
      </c>
      <c r="E2" t="str">
        <f>IF(OR('A créer'!D2="Oui",LEN('A créer'!D2)=0),"",'A créer'!C2)</f>
        <v>CALORIMER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t="str">
        <f>IF(OR('A créer'!D2="Oui",LEN('A créer'!D2)=0),"",'A créer'!J2)</f>
        <v>33, Place des Corolles - TOUR EUROPE - TSA 11400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>
        <f>IF(OR('A créer'!D2="Oui",LEN('A créer'!D2)=0),"",'A créer'!K2)</f>
        <v>92049</v>
      </c>
      <c r="M2" t="str">
        <f>IF(OR('A créer'!D2="Oui",LEN('A créer'!D2)=0),"",'A créer'!L2)</f>
        <v>PARIS LA DEFENSE CEDEX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DEW0491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CALORIMER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33, Place des Corolles - TOUR EUROPE - TSA 11400</v>
      </c>
      <c r="Z2" s="2" t="str">
        <f>IF(LEN('A créer'!D2)=0,"","Tab")</f>
        <v>Tab</v>
      </c>
      <c r="AA2" s="4" t="str">
        <f>IF('A créer'!F2="Oui","",IF(LEN('A créer'!F2)=0,"",'A créer'!O2))</f>
        <v/>
      </c>
      <c r="AB2" s="2" t="str">
        <f>IF(LEN('A créer'!D2)=0,"","Tab")</f>
        <v>Tab</v>
      </c>
      <c r="AC2" s="4" t="str">
        <f>IF('A créer'!F2="Oui","",IF(LEN('A créer'!F2)=0,"","contactfournisseur@csp.dalkia.fr"))</f>
        <v/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/>
      </c>
      <c r="AG2" s="2" t="str">
        <f>IF(LEN('A créer'!D2)=0,"","Tab")</f>
        <v>Tab</v>
      </c>
      <c r="AH2" s="4">
        <f>IF('A créer'!F2="Oui",'A créer'!K2,IF(LEN('A créer'!F2)=0,"",""))</f>
        <v>92049</v>
      </c>
      <c r="AI2" s="2" t="str">
        <f>IF(OR(LEN('A créer'!D2)=0,LEN(AH2)&gt;0),"","Tab")</f>
        <v/>
      </c>
      <c r="AJ2" t="str">
        <f>IF('A créer'!F2="Oui",'A créer'!L2,IF(LEN('A créer'!F2)=0,"","NOUVELLE ADRESSE FACTURATION"))</f>
        <v>PARIS LA DEFENSE CEDEX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DEW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>*FN</v>
      </c>
      <c r="B3" s="2" t="str">
        <f>IF(OR('A créer'!D3="Oui",LEN('A créer'!D3)=0),"","Tab")</f>
        <v>Tab</v>
      </c>
      <c r="C3" s="6" t="str">
        <f>IF(OR('A créer'!D3="Oui",LEN('A créer'!D3)=0),"",'A créer'!I3)</f>
        <v>CAMILLE CLAUDEL</v>
      </c>
      <c r="D3" s="2" t="str">
        <f>IF(OR('A créer'!D3="Oui",LEN('A créer'!D3)=0),"","Tab")</f>
        <v>Tab</v>
      </c>
      <c r="E3" s="6" t="str">
        <f>IF(OR('A créer'!D3="Oui",LEN('A créer'!D3)=0),"",'A créer'!C3)</f>
        <v>CAMILLE CLAUDEL ENERGIES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créer'!D3)=0),"","Tab")</f>
        <v>Tab</v>
      </c>
      <c r="I3" s="6" t="str">
        <f>IF(OR('A créer'!D3="Oui",LEN('A créer'!D3)=0),"",'A créer'!J3)</f>
        <v>33, Place des Corolles - TOUR EUROPE - TSA 11400</v>
      </c>
      <c r="J3" s="2" t="str">
        <f>IF(OR('A créer'!D3="Oui",LEN('A créer'!D3)=0),"","Tab 4")</f>
        <v>Tab 4</v>
      </c>
      <c r="K3" s="2" t="str">
        <f>IF(OR('A créer'!D3="Oui",LEN('A créer'!D3)=0),"","Tab")</f>
        <v>Tab</v>
      </c>
      <c r="L3" s="6">
        <f>IF(OR('A créer'!D3="Oui",LEN('A créer'!D3)=0),"",'A créer'!K3)</f>
        <v>92049</v>
      </c>
      <c r="M3" s="6" t="str">
        <f>IF(OR('A créer'!D3="Oui",LEN('A créer'!D3)=0),"",'A créer'!L3)</f>
        <v>PARIS LA DEFENSE CEDEX</v>
      </c>
      <c r="N3" s="2" t="str">
        <f>IF(OR('A créer'!D3="Oui",LEN('A créer'!D3)=0),"","Tab")</f>
        <v>Tab</v>
      </c>
      <c r="O3" s="2" t="str">
        <f>IF(OR('A créer'!D3="Oui",LEN('A créer'!D3)=0),"","ENT")</f>
        <v>ENT</v>
      </c>
      <c r="P3" s="2" t="str">
        <f>IF(OR('A créer'!D3="Oui",LEN('A créer'!D3)=0),"","*SAVE")</f>
        <v>*SAVE</v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DRW0492</v>
      </c>
      <c r="T3" s="2" t="s">
        <v>4</v>
      </c>
      <c r="U3" s="6" t="str">
        <f>IF('A créer'!F3="Oui",'A créer'!C3,IF(LEN('A créer'!F3)=0,"",CONCATENATE('A créer'!C3," (",'A créer'!M3,")")))</f>
        <v>CAMILLE CLAUDEL ENERGIES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33, Place des Corolles - TOUR EUROPE - TSA 11400</v>
      </c>
      <c r="Z3" s="2" t="str">
        <f>IF(LEN('A créer'!D3)=0,"","Tab")</f>
        <v>Tab</v>
      </c>
      <c r="AA3" s="4" t="str">
        <f>IF('A créer'!F3="Oui","",IF(LEN('A créer'!F3)=0,"",'A créer'!O3))</f>
        <v/>
      </c>
      <c r="AB3" s="2" t="str">
        <f>IF(LEN('A créer'!D3)=0,"","Tab")</f>
        <v>Tab</v>
      </c>
      <c r="AC3" s="4" t="str">
        <f>IF('A créer'!F3="Oui","",IF(LEN('A créer'!F3)=0,"","contactfournisseur@csp.dalkia.fr"))</f>
        <v/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/>
      </c>
      <c r="AG3" s="2" t="str">
        <f>IF(LEN('A créer'!D3)=0,"","Tab")</f>
        <v>Tab</v>
      </c>
      <c r="AH3" s="4">
        <f>IF('A créer'!F3="Oui",'A créer'!K3,IF(LEN('A créer'!F3)=0,"",""))</f>
        <v>92049</v>
      </c>
      <c r="AI3" s="2" t="str">
        <f>IF(OR(LEN('A créer'!D3)=0,LEN(AH3)&gt;0),"","Tab")</f>
        <v/>
      </c>
      <c r="AJ3" s="6" t="str">
        <f>IF('A créer'!F3="Oui",'A créer'!L3,IF(LEN('A créer'!F3)=0,"","NOUVELLE ADRESSE FACTURATION"))</f>
        <v>PARIS LA DEFENSE CEDEX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>DRW</v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25">
      <c r="A4" s="2" t="str">
        <f>IF(OR('A créer'!D4="Oui",LEN('A créer'!D4)=0),"","*FN")</f>
        <v>*FN</v>
      </c>
      <c r="B4" s="2" t="str">
        <f>IF(OR('A créer'!D4="Oui",LEN('A créer'!D4)=0),"","Tab")</f>
        <v>Tab</v>
      </c>
      <c r="C4" s="6" t="str">
        <f>IF(OR('A créer'!D4="Oui",LEN('A créer'!D4)=0),"",'A créer'!I4)</f>
        <v>EDDAL ECOMANCHE</v>
      </c>
      <c r="D4" s="2" t="str">
        <f>IF(OR('A créer'!D4="Oui",LEN('A créer'!D4)=0),"","Tab")</f>
        <v>Tab</v>
      </c>
      <c r="E4" s="6" t="str">
        <f>IF(OR('A créer'!D4="Oui",LEN('A créer'!D4)=0),"",'A créer'!C4)</f>
        <v>EDDAL ECOMANCHE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créer'!D4)=0),"","Tab")</f>
        <v>Tab</v>
      </c>
      <c r="I4" s="6" t="str">
        <f>IF(OR('A créer'!D4="Oui",LEN('A créer'!D4)=0),"",'A créer'!J4)</f>
        <v>33, Place des Corolles - TOUR EUROPE - TSA 11400</v>
      </c>
      <c r="J4" s="2" t="str">
        <f>IF(OR('A créer'!D4="Oui",LEN('A créer'!D4)=0),"","Tab 4")</f>
        <v>Tab 4</v>
      </c>
      <c r="K4" s="2" t="str">
        <f>IF(OR('A créer'!D4="Oui",LEN('A créer'!D4)=0),"","Tab")</f>
        <v>Tab</v>
      </c>
      <c r="L4" s="6">
        <f>IF(OR('A créer'!D4="Oui",LEN('A créer'!D4)=0),"",'A créer'!K4)</f>
        <v>92049</v>
      </c>
      <c r="M4" s="6" t="str">
        <f>IF(OR('A créer'!D4="Oui",LEN('A créer'!D4)=0),"",'A créer'!L4)</f>
        <v>PARIS LA DEFENSE CEDEX</v>
      </c>
      <c r="N4" s="2" t="str">
        <f>IF(OR('A créer'!D4="Oui",LEN('A créer'!D4)=0),"","Tab")</f>
        <v>Tab</v>
      </c>
      <c r="O4" s="2" t="str">
        <f>IF(OR('A créer'!D4="Oui",LEN('A créer'!D4)=0),"","ENT")</f>
        <v>ENT</v>
      </c>
      <c r="P4" s="2" t="str">
        <f>IF(OR('A créer'!D4="Oui",LEN('A créer'!D4)=0),"","*SAVE")</f>
        <v>*SAVE</v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DSW0493</v>
      </c>
      <c r="T4" s="2" t="s">
        <v>4</v>
      </c>
      <c r="U4" s="6" t="str">
        <f>IF('A créer'!F4="Oui",'A créer'!C4,IF(LEN('A créer'!F4)=0,"",CONCATENATE('A créer'!C4," (",'A créer'!M4,")")))</f>
        <v>EDDAL ECOMANCHE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33, Place des Corolles - TOUR EUROPE - TSA 11400</v>
      </c>
      <c r="Z4" s="2" t="str">
        <f>IF(LEN('A créer'!D4)=0,"","Tab")</f>
        <v>Tab</v>
      </c>
      <c r="AA4" s="4" t="str">
        <f>IF('A créer'!F4="Oui","",IF(LEN('A créer'!F4)=0,"",'A créer'!O4))</f>
        <v/>
      </c>
      <c r="AB4" s="2" t="str">
        <f>IF(LEN('A créer'!D4)=0,"","Tab")</f>
        <v>Tab</v>
      </c>
      <c r="AC4" s="4" t="str">
        <f>IF('A créer'!F4="Oui","",IF(LEN('A créer'!F4)=0,"","contactfournisseur@csp.dalkia.fr"))</f>
        <v/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/>
      </c>
      <c r="AG4" s="2" t="str">
        <f>IF(LEN('A créer'!D4)=0,"","Tab")</f>
        <v>Tab</v>
      </c>
      <c r="AH4" s="4">
        <f>IF('A créer'!F4="Oui",'A créer'!K4,IF(LEN('A créer'!F4)=0,"",""))</f>
        <v>92049</v>
      </c>
      <c r="AI4" s="2" t="str">
        <f>IF(OR(LEN('A créer'!D4)=0,LEN(AH4)&gt;0),"","Tab")</f>
        <v/>
      </c>
      <c r="AJ4" s="6" t="str">
        <f>IF('A créer'!F4="Oui",'A créer'!L4,IF(LEN('A créer'!F4)=0,"","NOUVELLE ADRESSE FACTURATION"))</f>
        <v>PARIS LA DEFENSE CEDEX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>DSW</v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25">
      <c r="A5" s="2" t="str">
        <f>IF(OR('A créer'!D5="Oui",LEN('A créer'!D5)=0),"","*FN")</f>
        <v>*FN</v>
      </c>
      <c r="B5" s="2" t="str">
        <f>IF(OR('A créer'!D5="Oui",LEN('A créer'!D5)=0),"","Tab")</f>
        <v>Tab</v>
      </c>
      <c r="C5" s="6" t="str">
        <f>IF(OR('A créer'!D5="Oui",LEN('A créer'!D5)=0),"",'A créer'!I5)</f>
        <v>ECO ROC NOIR</v>
      </c>
      <c r="D5" s="2" t="str">
        <f>IF(OR('A créer'!D5="Oui",LEN('A créer'!D5)=0),"","Tab")</f>
        <v>Tab</v>
      </c>
      <c r="E5" s="6" t="str">
        <f>IF(OR('A créer'!D5="Oui",LEN('A créer'!D5)=0),"",'A créer'!C5)</f>
        <v>ECO ROC NOIR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créer'!D5)=0),"","Tab")</f>
        <v>Tab</v>
      </c>
      <c r="I5" s="6" t="str">
        <f>IF(OR('A créer'!D5="Oui",LEN('A créer'!D5)=0),"",'A créer'!J5)</f>
        <v>33, Place des Corolles - TOUR EUROPE - TSA 11400</v>
      </c>
      <c r="J5" s="2" t="str">
        <f>IF(OR('A créer'!D5="Oui",LEN('A créer'!D5)=0),"","Tab 4")</f>
        <v>Tab 4</v>
      </c>
      <c r="K5" s="2" t="str">
        <f>IF(OR('A créer'!D5="Oui",LEN('A créer'!D5)=0),"","Tab")</f>
        <v>Tab</v>
      </c>
      <c r="L5" s="6">
        <f>IF(OR('A créer'!D5="Oui",LEN('A créer'!D5)=0),"",'A créer'!K5)</f>
        <v>92049</v>
      </c>
      <c r="M5" s="6" t="str">
        <f>IF(OR('A créer'!D5="Oui",LEN('A créer'!D5)=0),"",'A créer'!L5)</f>
        <v>PARIS LA DEFENSE CEDEX</v>
      </c>
      <c r="N5" s="2" t="str">
        <f>IF(OR('A créer'!D5="Oui",LEN('A créer'!D5)=0),"","Tab")</f>
        <v>Tab</v>
      </c>
      <c r="O5" s="2" t="str">
        <f>IF(OR('A créer'!D5="Oui",LEN('A créer'!D5)=0),"","ENT")</f>
        <v>ENT</v>
      </c>
      <c r="P5" s="2" t="str">
        <f>IF(OR('A créer'!D5="Oui",LEN('A créer'!D5)=0),"","*SAVE")</f>
        <v>*SAVE</v>
      </c>
      <c r="Q5" s="2" t="str">
        <f>IF(LEN('A créer'!D5)=0,"","*FN")</f>
        <v>*FN</v>
      </c>
      <c r="R5" s="2" t="str">
        <f>IF(LEN('A créer'!D5)=0,"","Tab")</f>
        <v>Tab</v>
      </c>
      <c r="S5" s="6" t="str">
        <f>IF(LEN('A créer'!D5)=0,"",CONCATENATE('A créer'!B5,'A créer'!A5))</f>
        <v>DMS0498</v>
      </c>
      <c r="T5" s="2" t="s">
        <v>4</v>
      </c>
      <c r="U5" s="6" t="str">
        <f>IF('A créer'!F5="Oui",'A créer'!C5,IF(LEN('A créer'!F5)=0,"",CONCATENATE('A créer'!C5," (",'A créer'!M5,")")))</f>
        <v>ECO ROC NOIR</v>
      </c>
      <c r="V5" s="2" t="str">
        <f>IF(LEN('A créer'!D5)=0,"","Tab")</f>
        <v>Tab</v>
      </c>
      <c r="W5" s="2" t="str">
        <f>IF(LEN('A créer'!D5)=0,"","Tab")</f>
        <v>Tab</v>
      </c>
      <c r="X5" s="2" t="str">
        <f>IF(LEN('A créer'!D5)=0,"","Tab")</f>
        <v>Tab</v>
      </c>
      <c r="Y5" s="6" t="str">
        <f>IF('A créer'!F5="Oui",'A créer'!J5,IF(LEN('A créer'!F5)=0,"",'A créer'!N5))</f>
        <v>33, Place des Corolles - TOUR EUROPE - TSA 11400</v>
      </c>
      <c r="Z5" s="2" t="str">
        <f>IF(LEN('A créer'!D5)=0,"","Tab")</f>
        <v>Tab</v>
      </c>
      <c r="AA5" s="4" t="str">
        <f>IF('A créer'!F5="Oui","",IF(LEN('A créer'!F5)=0,"",'A créer'!O5))</f>
        <v/>
      </c>
      <c r="AB5" s="2" t="str">
        <f>IF(LEN('A créer'!D5)=0,"","Tab")</f>
        <v>Tab</v>
      </c>
      <c r="AC5" s="4" t="str">
        <f>IF('A créer'!F5="Oui","",IF(LEN('A créer'!F5)=0,"","contactfournisseur@csp.dalkia.fr"))</f>
        <v/>
      </c>
      <c r="AD5" s="2" t="str">
        <f>IF(LEN('A créer'!D5)=0,"","Tab")</f>
        <v>Tab</v>
      </c>
      <c r="AE5" s="2" t="str">
        <f>IF(LEN('A créer'!D5)=0,"","Tab")</f>
        <v>Tab</v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>Tab</v>
      </c>
      <c r="AH5" s="4">
        <f>IF('A créer'!F5="Oui",'A créer'!K5,IF(LEN('A créer'!F5)=0,"",""))</f>
        <v>92049</v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>PARIS LA DEFENSE CEDEX</v>
      </c>
      <c r="AK5" s="2" t="str">
        <f>IF(LEN('A créer'!D5)=0,"","Tab")</f>
        <v>Tab</v>
      </c>
      <c r="AL5" s="2" t="str">
        <f>IF(LEN('A créer'!D5)=0,"","ENT")</f>
        <v>ENT</v>
      </c>
      <c r="AM5" s="2" t="str">
        <f>IF(LEN('A créer'!D5)=0,"","Tab 4")</f>
        <v>Tab 4</v>
      </c>
      <c r="AN5" s="2" t="str">
        <f>IF(LEN('A créer'!D5)=0,"","Tab 4")</f>
        <v>Tab 4</v>
      </c>
      <c r="AO5" s="2" t="str">
        <f>IF(LEN('A créer'!D5)=0,"","Tab")</f>
        <v>Tab</v>
      </c>
      <c r="AP5" s="2" t="str">
        <f>IF(LEN('A créer'!D5)=0,"","Tab")</f>
        <v>Tab</v>
      </c>
      <c r="AQ5" s="2" t="str">
        <f>IF(LEN('A créer'!D5)=0,"","Tab")</f>
        <v>Tab</v>
      </c>
      <c r="AR5" s="4" t="str">
        <f>IF(OR('A créer'!D5="Oui",LEN('A créer'!D5)=0),"",IF(LEN('A créer'!F5)=0,"",'A créer'!B5))</f>
        <v>DMS</v>
      </c>
      <c r="AS5" s="2" t="str">
        <f>IF(LEN('A créer'!D5)=0,"","Tab")</f>
        <v>Tab</v>
      </c>
      <c r="AT5" s="2" t="str">
        <f>IF(LEN('A créer'!D5)=0,"","ENT")</f>
        <v>ENT</v>
      </c>
      <c r="AU5" s="2" t="str">
        <f>IF(LEN('A créer'!D5)=0,"","*SAVE")</f>
        <v>*SAVE</v>
      </c>
    </row>
    <row r="6" spans="1:47" x14ac:dyDescent="0.25">
      <c r="A6" s="2" t="str">
        <f>IF(OR('A créer'!D6="Oui",LEN('A créer'!D6)=0),"","*FN")</f>
        <v>*FN</v>
      </c>
      <c r="B6" s="2" t="str">
        <f>IF(OR('A créer'!D6="Oui",LEN('A créer'!D6)=0),"","Tab")</f>
        <v>Tab</v>
      </c>
      <c r="C6" s="6" t="str">
        <f>IF(OR('A créer'!D6="Oui",LEN('A créer'!D6)=0),"",'A créer'!I6)</f>
        <v>DALKIA SMART BUILDING</v>
      </c>
      <c r="D6" s="2" t="str">
        <f>IF(OR('A créer'!D6="Oui",LEN('A créer'!D6)=0),"","Tab")</f>
        <v>Tab</v>
      </c>
      <c r="E6" s="6" t="str">
        <f>IF(OR('A créer'!D6="Oui",LEN('A créer'!D6)=0),"",'A créer'!C6)</f>
        <v>DALKIA SMART BUILDING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créer'!D6)=0),"","Tab")</f>
        <v>Tab</v>
      </c>
      <c r="I6" s="6" t="str">
        <f>IF(OR('A créer'!D6="Oui",LEN('A créer'!D6)=0),"",'A créer'!J6)</f>
        <v>33, Place des Corolles - TOUR EUROPE - TSA 11400</v>
      </c>
      <c r="J6" s="2" t="str">
        <f>IF(OR('A créer'!D6="Oui",LEN('A créer'!D6)=0),"","Tab 4")</f>
        <v>Tab 4</v>
      </c>
      <c r="K6" s="2" t="str">
        <f>IF(OR('A créer'!D6="Oui",LEN('A créer'!D6)=0),"","Tab")</f>
        <v>Tab</v>
      </c>
      <c r="L6" s="6">
        <f>IF(OR('A créer'!D6="Oui",LEN('A créer'!D6)=0),"",'A créer'!K6)</f>
        <v>92049</v>
      </c>
      <c r="M6" s="6" t="str">
        <f>IF(OR('A créer'!D6="Oui",LEN('A créer'!D6)=0),"",'A créer'!L6)</f>
        <v>PARIS LA DEFENSE CEDEX</v>
      </c>
      <c r="N6" s="2" t="str">
        <f>IF(OR('A créer'!D6="Oui",LEN('A créer'!D6)=0),"","Tab")</f>
        <v>Tab</v>
      </c>
      <c r="O6" s="2" t="str">
        <f>IF(OR('A créer'!D6="Oui",LEN('A créer'!D6)=0),"","ENT")</f>
        <v>ENT</v>
      </c>
      <c r="P6" s="2" t="str">
        <f>IF(OR('A créer'!D6="Oui",LEN('A créer'!D6)=0),"","*SAVE")</f>
        <v>*SAVE</v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DOS0490</v>
      </c>
      <c r="T6" s="2" t="s">
        <v>4</v>
      </c>
      <c r="U6" s="6" t="str">
        <f>IF('A créer'!F6="Oui",'A créer'!C6,IF(LEN('A créer'!F6)=0,"",CONCATENATE('A créer'!C6," (",'A créer'!M6,")")))</f>
        <v>DALKIA SMART BUILDING ()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>
        <f>IF('A créer'!F6="Oui",'A créer'!J6,IF(LEN('A créer'!F6)=0,"",'A créer'!N6))</f>
        <v>0</v>
      </c>
      <c r="Z6" s="2" t="str">
        <f>IF(LEN('A créer'!D6)=0,"","Tab")</f>
        <v>Tab</v>
      </c>
      <c r="AA6" s="4">
        <f>IF('A créer'!F6="Oui","",IF(LEN('A créer'!F6)=0,"",'A créer'!O6))</f>
        <v>0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>DOS</v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25">
      <c r="A7" s="2" t="str">
        <f>IF(OR('A créer'!D7="Oui",LEN('A créer'!D7)=0),"","*FN")</f>
        <v>*FN</v>
      </c>
      <c r="B7" s="2" t="str">
        <f>IF(OR('A créer'!D7="Oui",LEN('A créer'!D7)=0),"","Tab")</f>
        <v>Tab</v>
      </c>
      <c r="C7" s="6" t="str">
        <f>IF(OR('A créer'!D7="Oui",LEN('A créer'!D7)=0),"",'A créer'!I7)</f>
        <v>DALKIA SMART BUILDING</v>
      </c>
      <c r="D7" s="2" t="str">
        <f>IF(OR('A créer'!D7="Oui",LEN('A créer'!D7)=0),"","Tab")</f>
        <v>Tab</v>
      </c>
      <c r="E7" s="6" t="str">
        <f>IF(OR('A créer'!D7="Oui",LEN('A créer'!D7)=0),"",'A créer'!C7)</f>
        <v>DALKIA SMART BUILDING</v>
      </c>
      <c r="F7" s="2" t="str">
        <f>IF(OR('A créer'!D7="Oui",LEN('A créer'!D7)=0),"","Tab")</f>
        <v>Tab</v>
      </c>
      <c r="G7" s="2" t="str">
        <f>IF(OR('A créer'!D7="Oui",LEN('A créer'!D7)=0),"","Tab")</f>
        <v>Tab</v>
      </c>
      <c r="H7" s="2" t="str">
        <f>IF(OR('A créer'!D7="Oui",LEN('A créer'!D7)=0),"","Tab")</f>
        <v>Tab</v>
      </c>
      <c r="I7" s="6" t="str">
        <f>IF(OR('A créer'!D7="Oui",LEN('A créer'!D7)=0),"",'A créer'!J7)</f>
        <v>33, Place des Corolles - TOUR EUROPE - TSA 11400</v>
      </c>
      <c r="J7" s="2" t="str">
        <f>IF(OR('A créer'!D7="Oui",LEN('A créer'!D7)=0),"","Tab 4")</f>
        <v>Tab 4</v>
      </c>
      <c r="K7" s="2" t="str">
        <f>IF(OR('A créer'!D7="Oui",LEN('A créer'!D7)=0),"","Tab")</f>
        <v>Tab</v>
      </c>
      <c r="L7" s="6">
        <f>IF(OR('A créer'!D7="Oui",LEN('A créer'!D7)=0),"",'A créer'!K7)</f>
        <v>92049</v>
      </c>
      <c r="M7" s="6" t="str">
        <f>IF(OR('A créer'!D7="Oui",LEN('A créer'!D7)=0),"",'A créer'!L7)</f>
        <v>PARIS LA DEFENSE CEDEX</v>
      </c>
      <c r="N7" s="2" t="str">
        <f>IF(OR('A créer'!D7="Oui",LEN('A créer'!D7)=0),"","Tab")</f>
        <v>Tab</v>
      </c>
      <c r="O7" s="2" t="str">
        <f>IF(OR('A créer'!D7="Oui",LEN('A créer'!D7)=0),"","ENT")</f>
        <v>ENT</v>
      </c>
      <c r="P7" s="2" t="str">
        <f>IF(OR('A créer'!D7="Oui",LEN('A créer'!D7)=0),"","*SAVE")</f>
        <v>*SAVE</v>
      </c>
      <c r="Q7" s="2" t="str">
        <f>IF(LEN('A créer'!D7)=0,"","*FN")</f>
        <v>*FN</v>
      </c>
      <c r="R7" s="2" t="str">
        <f>IF(LEN('A créer'!D7)=0,"","Tab")</f>
        <v>Tab</v>
      </c>
      <c r="S7" s="6" t="str">
        <f>IF(LEN('A créer'!D7)=0,"",CONCATENATE('A créer'!B7,'A créer'!A7))</f>
        <v>DCW0490</v>
      </c>
      <c r="T7" s="2" t="s">
        <v>4</v>
      </c>
      <c r="U7" s="6" t="str">
        <f>IF('A créer'!F7="Oui",'A créer'!C7,IF(LEN('A créer'!F7)=0,"",CONCATENATE('A créer'!C7," (",'A créer'!M7,")")))</f>
        <v>DALKIA SMART BUILDING ()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6">
        <f>IF('A créer'!F7="Oui",'A créer'!J7,IF(LEN('A créer'!F7)=0,"",'A créer'!N7))</f>
        <v>0</v>
      </c>
      <c r="Z7" s="2" t="str">
        <f>IF(LEN('A créer'!D7)=0,"","Tab")</f>
        <v>Tab</v>
      </c>
      <c r="AA7" s="4">
        <f>IF('A créer'!F7="Oui","",IF(LEN('A créer'!F7)=0,"",'A créer'!O7))</f>
        <v>0</v>
      </c>
      <c r="AB7" s="2" t="str">
        <f>IF(LEN('A créer'!D7)=0,"","Tab")</f>
        <v>Tab</v>
      </c>
      <c r="AC7" s="4" t="str">
        <f>IF('A créer'!F7="Oui","",IF(LEN('A créer'!F7)=0,"","contactfournisseur@csp.dalkia.fr"))</f>
        <v>contactfournisseur@csp.dalkia.fr</v>
      </c>
      <c r="AD7" s="2" t="str">
        <f>IF(LEN('A créer'!D7)=0,"","Tab")</f>
        <v>Tab</v>
      </c>
      <c r="AE7" s="2" t="str">
        <f>IF(LEN('A créer'!D7)=0,"","Tab")</f>
        <v>Tab</v>
      </c>
      <c r="AF7" s="6" t="str">
        <f>IF('A créer'!F7="Oui","",IF(LEN('A créer'!F7)=0,"","ATTENTION adresse UNIQUEMENT pour la comptabilité fournisseurs"))</f>
        <v>ATTENTION adresse UNIQUEMENT pour la comptabilité fournisseurs</v>
      </c>
      <c r="AG7" s="2" t="str">
        <f>IF(LEN('A créer'!D7)=0,"","Tab")</f>
        <v>Tab</v>
      </c>
      <c r="AH7" s="4" t="str">
        <f>IF('A créer'!F7="Oui",'A créer'!K7,IF(LEN('A créer'!F7)=0,"",""))</f>
        <v/>
      </c>
      <c r="AI7" s="2" t="str">
        <f>IF(OR(LEN('A créer'!D7)=0,LEN(AH7)&gt;0),"","Tab")</f>
        <v>Tab</v>
      </c>
      <c r="AJ7" s="6" t="str">
        <f>IF('A créer'!F7="Oui",'A créer'!L7,IF(LEN('A créer'!F7)=0,"","NOUVELLE ADRESSE FACTURATION"))</f>
        <v>NOUVELLE ADRESSE FACTURATION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>DCW</v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25">
      <c r="A8" s="2" t="str">
        <f>IF(OR('A créer'!D8="Oui",LEN('A créer'!D8)=0),"","*FN")</f>
        <v>*FN</v>
      </c>
      <c r="B8" s="2" t="str">
        <f>IF(OR('A créer'!D8="Oui",LEN('A créer'!D8)=0),"","Tab")</f>
        <v>Tab</v>
      </c>
      <c r="C8" s="6" t="str">
        <f>IF(OR('A créer'!D8="Oui",LEN('A créer'!D8)=0),"",'A créer'!I8)</f>
        <v>DALKIA SMART BUILDING</v>
      </c>
      <c r="D8" s="2" t="str">
        <f>IF(OR('A créer'!D8="Oui",LEN('A créer'!D8)=0),"","Tab")</f>
        <v>Tab</v>
      </c>
      <c r="E8" s="6" t="str">
        <f>IF(OR('A créer'!D8="Oui",LEN('A créer'!D8)=0),"",'A créer'!C8)</f>
        <v>DALKIA SMART BUILDING</v>
      </c>
      <c r="F8" s="2" t="str">
        <f>IF(OR('A créer'!D8="Oui",LEN('A créer'!D8)=0),"","Tab")</f>
        <v>Tab</v>
      </c>
      <c r="G8" s="2" t="str">
        <f>IF(OR('A créer'!D8="Oui",LEN('A créer'!D8)=0),"","Tab")</f>
        <v>Tab</v>
      </c>
      <c r="H8" s="2" t="str">
        <f>IF(OR('A créer'!D8="Oui",LEN('A créer'!D8)=0),"","Tab")</f>
        <v>Tab</v>
      </c>
      <c r="I8" s="6" t="str">
        <f>IF(OR('A créer'!D8="Oui",LEN('A créer'!D8)=0),"",'A créer'!J8)</f>
        <v>33, Place des Corolles - TOUR EUROPE - TSA 11400</v>
      </c>
      <c r="J8" s="2" t="str">
        <f>IF(OR('A créer'!D8="Oui",LEN('A créer'!D8)=0),"","Tab 4")</f>
        <v>Tab 4</v>
      </c>
      <c r="K8" s="2" t="str">
        <f>IF(OR('A créer'!D8="Oui",LEN('A créer'!D8)=0),"","Tab")</f>
        <v>Tab</v>
      </c>
      <c r="L8" s="6">
        <f>IF(OR('A créer'!D8="Oui",LEN('A créer'!D8)=0),"",'A créer'!K8)</f>
        <v>92049</v>
      </c>
      <c r="M8" s="6" t="str">
        <f>IF(OR('A créer'!D8="Oui",LEN('A créer'!D8)=0),"",'A créer'!L8)</f>
        <v>PARIS LA DEFENSE CEDEX</v>
      </c>
      <c r="N8" s="2" t="str">
        <f>IF(OR('A créer'!D8="Oui",LEN('A créer'!D8)=0),"","Tab")</f>
        <v>Tab</v>
      </c>
      <c r="O8" s="2" t="str">
        <f>IF(OR('A créer'!D8="Oui",LEN('A créer'!D8)=0),"","ENT")</f>
        <v>ENT</v>
      </c>
      <c r="P8" s="2" t="str">
        <f>IF(OR('A créer'!D8="Oui",LEN('A créer'!D8)=0),"","*SAVE")</f>
        <v>*SAVE</v>
      </c>
      <c r="Q8" s="2" t="str">
        <f>IF(LEN('A créer'!D8)=0,"","*FN")</f>
        <v>*FN</v>
      </c>
      <c r="R8" s="2" t="str">
        <f>IF(LEN('A créer'!D8)=0,"","Tab")</f>
        <v>Tab</v>
      </c>
      <c r="S8" s="6" t="str">
        <f>IF(LEN('A créer'!D8)=0,"",CONCATENATE('A créer'!B8,'A créer'!A8))</f>
        <v>DEW0490</v>
      </c>
      <c r="T8" s="2" t="s">
        <v>4</v>
      </c>
      <c r="U8" s="6" t="str">
        <f>IF('A créer'!F8="Oui",'A créer'!C8,IF(LEN('A créer'!F8)=0,"",CONCATENATE('A créer'!C8," (",'A créer'!M8,")")))</f>
        <v>DALKIA SMART BUILDING ()</v>
      </c>
      <c r="V8" s="2" t="str">
        <f>IF(LEN('A créer'!D8)=0,"","Tab")</f>
        <v>Tab</v>
      </c>
      <c r="W8" s="2" t="str">
        <f>IF(LEN('A créer'!D8)=0,"","Tab")</f>
        <v>Tab</v>
      </c>
      <c r="X8" s="2" t="str">
        <f>IF(LEN('A créer'!D8)=0,"","Tab")</f>
        <v>Tab</v>
      </c>
      <c r="Y8" s="6">
        <f>IF('A créer'!F8="Oui",'A créer'!J8,IF(LEN('A créer'!F8)=0,"",'A créer'!N8))</f>
        <v>0</v>
      </c>
      <c r="Z8" s="2" t="str">
        <f>IF(LEN('A créer'!D8)=0,"","Tab")</f>
        <v>Tab</v>
      </c>
      <c r="AA8" s="4">
        <f>IF('A créer'!F8="Oui","",IF(LEN('A créer'!F8)=0,"",'A créer'!O8))</f>
        <v>0</v>
      </c>
      <c r="AB8" s="2" t="str">
        <f>IF(LEN('A créer'!D8)=0,"","Tab")</f>
        <v>Tab</v>
      </c>
      <c r="AC8" s="4" t="str">
        <f>IF('A créer'!F8="Oui","",IF(LEN('A créer'!F8)=0,"","contactfournisseur@csp.dalkia.fr"))</f>
        <v>contactfournisseur@csp.dalkia.fr</v>
      </c>
      <c r="AD8" s="2" t="str">
        <f>IF(LEN('A créer'!D8)=0,"","Tab")</f>
        <v>Tab</v>
      </c>
      <c r="AE8" s="2" t="str">
        <f>IF(LEN('A créer'!D8)=0,"","Tab")</f>
        <v>Tab</v>
      </c>
      <c r="AF8" s="6" t="str">
        <f>IF('A créer'!F8="Oui","",IF(LEN('A créer'!F8)=0,"","ATTENTION adresse UNIQUEMENT pour la comptabilité fournisseurs"))</f>
        <v>ATTENTION adresse UNIQUEMENT pour la comptabilité fournisseurs</v>
      </c>
      <c r="AG8" s="2" t="str">
        <f>IF(LEN('A créer'!D8)=0,"","Tab")</f>
        <v>Tab</v>
      </c>
      <c r="AH8" s="4" t="str">
        <f>IF('A créer'!F8="Oui",'A créer'!K8,IF(LEN('A créer'!F8)=0,"",""))</f>
        <v/>
      </c>
      <c r="AI8" s="2" t="str">
        <f>IF(OR(LEN('A créer'!D8)=0,LEN(AH8)&gt;0),"","Tab")</f>
        <v>Tab</v>
      </c>
      <c r="AJ8" s="6" t="str">
        <f>IF('A créer'!F8="Oui",'A créer'!L8,IF(LEN('A créer'!F8)=0,"","NOUVELLE ADRESSE FACTURATION"))</f>
        <v>NOUVELLE ADRESSE FACTURATION</v>
      </c>
      <c r="AK8" s="2" t="str">
        <f>IF(LEN('A créer'!D8)=0,"","Tab")</f>
        <v>Tab</v>
      </c>
      <c r="AL8" s="2" t="str">
        <f>IF(LEN('A créer'!D8)=0,"","ENT")</f>
        <v>ENT</v>
      </c>
      <c r="AM8" s="2" t="str">
        <f>IF(LEN('A créer'!D8)=0,"","Tab 4")</f>
        <v>Tab 4</v>
      </c>
      <c r="AN8" s="2" t="str">
        <f>IF(LEN('A créer'!D8)=0,"","Tab 4")</f>
        <v>Tab 4</v>
      </c>
      <c r="AO8" s="2" t="str">
        <f>IF(LEN('A créer'!D8)=0,"","Tab")</f>
        <v>Tab</v>
      </c>
      <c r="AP8" s="2" t="str">
        <f>IF(LEN('A créer'!D8)=0,"","Tab")</f>
        <v>Tab</v>
      </c>
      <c r="AQ8" s="2" t="str">
        <f>IF(LEN('A créer'!D8)=0,"","Tab")</f>
        <v>Tab</v>
      </c>
      <c r="AR8" s="4" t="str">
        <f>IF(OR('A créer'!D8="Oui",LEN('A créer'!D8)=0),"",IF(LEN('A créer'!F8)=0,"",'A créer'!B8))</f>
        <v>DEW</v>
      </c>
      <c r="AS8" s="2" t="str">
        <f>IF(LEN('A créer'!D8)=0,"","Tab")</f>
        <v>Tab</v>
      </c>
      <c r="AT8" s="2" t="str">
        <f>IF(LEN('A créer'!D8)=0,"","ENT")</f>
        <v>ENT</v>
      </c>
      <c r="AU8" s="2" t="str">
        <f>IF(LEN('A créer'!D8)=0,"","*SAVE")</f>
        <v>*SAVE</v>
      </c>
    </row>
    <row r="9" spans="1:47" x14ac:dyDescent="0.25">
      <c r="A9" s="2" t="str">
        <f>IF(OR('A créer'!D9="Oui",LEN('A créer'!D9)=0),"","*FN")</f>
        <v>*FN</v>
      </c>
      <c r="B9" s="2" t="str">
        <f>IF(OR('A créer'!D9="Oui",LEN('A créer'!D9)=0),"","Tab")</f>
        <v>Tab</v>
      </c>
      <c r="C9" s="6" t="str">
        <f>IF(OR('A créer'!D9="Oui",LEN('A créer'!D9)=0),"",'A créer'!I9)</f>
        <v>DALKIA SMART BUILDING</v>
      </c>
      <c r="D9" s="2" t="str">
        <f>IF(OR('A créer'!D9="Oui",LEN('A créer'!D9)=0),"","Tab")</f>
        <v>Tab</v>
      </c>
      <c r="E9" s="6" t="str">
        <f>IF(OR('A créer'!D9="Oui",LEN('A créer'!D9)=0),"",'A créer'!C9)</f>
        <v>DALKIA SMART BUILDING</v>
      </c>
      <c r="F9" s="2" t="str">
        <f>IF(OR('A créer'!D9="Oui",LEN('A créer'!D9)=0),"","Tab")</f>
        <v>Tab</v>
      </c>
      <c r="G9" s="2" t="str">
        <f>IF(OR('A créer'!D9="Oui",LEN('A créer'!D9)=0),"","Tab")</f>
        <v>Tab</v>
      </c>
      <c r="H9" s="2" t="str">
        <f>IF(OR('A créer'!D9="Oui",LEN('A créer'!D9)=0),"","Tab")</f>
        <v>Tab</v>
      </c>
      <c r="I9" s="6" t="str">
        <f>IF(OR('A créer'!D9="Oui",LEN('A créer'!D9)=0),"",'A créer'!J9)</f>
        <v>33, Place des Corolles - TOUR EUROPE - TSA 11400</v>
      </c>
      <c r="J9" s="2" t="str">
        <f>IF(OR('A créer'!D9="Oui",LEN('A créer'!D9)=0),"","Tab 4")</f>
        <v>Tab 4</v>
      </c>
      <c r="K9" s="2" t="str">
        <f>IF(OR('A créer'!D9="Oui",LEN('A créer'!D9)=0),"","Tab")</f>
        <v>Tab</v>
      </c>
      <c r="L9" s="6">
        <f>IF(OR('A créer'!D9="Oui",LEN('A créer'!D9)=0),"",'A créer'!K9)</f>
        <v>92049</v>
      </c>
      <c r="M9" s="6" t="str">
        <f>IF(OR('A créer'!D9="Oui",LEN('A créer'!D9)=0),"",'A créer'!L9)</f>
        <v>PARIS LA DEFENSE CEDEX</v>
      </c>
      <c r="N9" s="2" t="str">
        <f>IF(OR('A créer'!D9="Oui",LEN('A créer'!D9)=0),"","Tab")</f>
        <v>Tab</v>
      </c>
      <c r="O9" s="2" t="str">
        <f>IF(OR('A créer'!D9="Oui",LEN('A créer'!D9)=0),"","ENT")</f>
        <v>ENT</v>
      </c>
      <c r="P9" s="2" t="str">
        <f>IF(OR('A créer'!D9="Oui",LEN('A créer'!D9)=0),"","*SAVE")</f>
        <v>*SAVE</v>
      </c>
      <c r="Q9" s="2" t="str">
        <f>IF(LEN('A créer'!D9)=0,"","*FN")</f>
        <v>*FN</v>
      </c>
      <c r="R9" s="2" t="str">
        <f>IF(LEN('A créer'!D9)=0,"","Tab")</f>
        <v>Tab</v>
      </c>
      <c r="S9" s="6" t="str">
        <f>IF(LEN('A créer'!D9)=0,"",CONCATENATE('A créer'!B9,'A créer'!A9))</f>
        <v>DLS0490</v>
      </c>
      <c r="T9" s="2" t="s">
        <v>4</v>
      </c>
      <c r="U9" s="6" t="str">
        <f>IF('A créer'!F9="Oui",'A créer'!C9,IF(LEN('A créer'!F9)=0,"",CONCATENATE('A créer'!C9," (",'A créer'!M9,")")))</f>
        <v>DALKIA SMART BUILDING ()</v>
      </c>
      <c r="V9" s="2" t="str">
        <f>IF(LEN('A créer'!D9)=0,"","Tab")</f>
        <v>Tab</v>
      </c>
      <c r="W9" s="2" t="str">
        <f>IF(LEN('A créer'!D9)=0,"","Tab")</f>
        <v>Tab</v>
      </c>
      <c r="X9" s="2" t="str">
        <f>IF(LEN('A créer'!D9)=0,"","Tab")</f>
        <v>Tab</v>
      </c>
      <c r="Y9" s="6">
        <f>IF('A créer'!F9="Oui",'A créer'!J9,IF(LEN('A créer'!F9)=0,"",'A créer'!N9))</f>
        <v>0</v>
      </c>
      <c r="Z9" s="2" t="str">
        <f>IF(LEN('A créer'!D9)=0,"","Tab")</f>
        <v>Tab</v>
      </c>
      <c r="AA9" s="4">
        <f>IF('A créer'!F9="Oui","",IF(LEN('A créer'!F9)=0,"",'A créer'!O9))</f>
        <v>0</v>
      </c>
      <c r="AB9" s="2" t="str">
        <f>IF(LEN('A créer'!D9)=0,"","Tab")</f>
        <v>Tab</v>
      </c>
      <c r="AC9" s="4" t="str">
        <f>IF('A créer'!F9="Oui","",IF(LEN('A créer'!F9)=0,"","contactfournisseur@csp.dalkia.fr"))</f>
        <v>contactfournisseur@csp.dalkia.fr</v>
      </c>
      <c r="AD9" s="2" t="str">
        <f>IF(LEN('A créer'!D9)=0,"","Tab")</f>
        <v>Tab</v>
      </c>
      <c r="AE9" s="2" t="str">
        <f>IF(LEN('A créer'!D9)=0,"","Tab")</f>
        <v>Tab</v>
      </c>
      <c r="AF9" s="6" t="str">
        <f>IF('A créer'!F9="Oui","",IF(LEN('A créer'!F9)=0,"","ATTENTION adresse UNIQUEMENT pour la comptabilité fournisseurs"))</f>
        <v>ATTENTION adresse UNIQUEMENT pour la comptabilité fournisseurs</v>
      </c>
      <c r="AG9" s="2" t="str">
        <f>IF(LEN('A créer'!D9)=0,"","Tab")</f>
        <v>Tab</v>
      </c>
      <c r="AH9" s="4" t="str">
        <f>IF('A créer'!F9="Oui",'A créer'!K9,IF(LEN('A créer'!F9)=0,"",""))</f>
        <v/>
      </c>
      <c r="AI9" s="2" t="str">
        <f>IF(OR(LEN('A créer'!D9)=0,LEN(AH9)&gt;0),"","Tab")</f>
        <v>Tab</v>
      </c>
      <c r="AJ9" s="6" t="str">
        <f>IF('A créer'!F9="Oui",'A créer'!L9,IF(LEN('A créer'!F9)=0,"","NOUVELLE ADRESSE FACTURATION"))</f>
        <v>NOUVELLE ADRESSE FACTURATION</v>
      </c>
      <c r="AK9" s="2" t="str">
        <f>IF(LEN('A créer'!D9)=0,"","Tab")</f>
        <v>Tab</v>
      </c>
      <c r="AL9" s="2" t="str">
        <f>IF(LEN('A créer'!D9)=0,"","ENT")</f>
        <v>ENT</v>
      </c>
      <c r="AM9" s="2" t="str">
        <f>IF(LEN('A créer'!D9)=0,"","Tab 4")</f>
        <v>Tab 4</v>
      </c>
      <c r="AN9" s="2" t="str">
        <f>IF(LEN('A créer'!D9)=0,"","Tab 4")</f>
        <v>Tab 4</v>
      </c>
      <c r="AO9" s="2" t="str">
        <f>IF(LEN('A créer'!D9)=0,"","Tab")</f>
        <v>Tab</v>
      </c>
      <c r="AP9" s="2" t="str">
        <f>IF(LEN('A créer'!D9)=0,"","Tab")</f>
        <v>Tab</v>
      </c>
      <c r="AQ9" s="2" t="str">
        <f>IF(LEN('A créer'!D9)=0,"","Tab")</f>
        <v>Tab</v>
      </c>
      <c r="AR9" s="4" t="str">
        <f>IF(OR('A créer'!D9="Oui",LEN('A créer'!D9)=0),"",IF(LEN('A créer'!F9)=0,"",'A créer'!B9))</f>
        <v>DLS</v>
      </c>
      <c r="AS9" s="2" t="str">
        <f>IF(LEN('A créer'!D9)=0,"","Tab")</f>
        <v>Tab</v>
      </c>
      <c r="AT9" s="2" t="str">
        <f>IF(LEN('A créer'!D9)=0,"","ENT")</f>
        <v>ENT</v>
      </c>
      <c r="AU9" s="2" t="str">
        <f>IF(LEN('A créer'!D9)=0,"","*SAVE")</f>
        <v>*SAVE</v>
      </c>
    </row>
    <row r="10" spans="1:47" x14ac:dyDescent="0.25">
      <c r="A10" s="2" t="str">
        <f>IF(OR('A créer'!D10="Oui",LEN('A créer'!D10)=0),"","*FN")</f>
        <v>*FN</v>
      </c>
      <c r="B10" s="2" t="str">
        <f>IF(OR('A créer'!D10="Oui",LEN('A créer'!D10)=0),"","Tab")</f>
        <v>Tab</v>
      </c>
      <c r="C10" s="6" t="str">
        <f>IF(OR('A créer'!D10="Oui",LEN('A créer'!D10)=0),"",'A créer'!I10)</f>
        <v>DALKIA SMART BUILDING</v>
      </c>
      <c r="D10" s="2" t="str">
        <f>IF(OR('A créer'!D10="Oui",LEN('A créer'!D10)=0),"","Tab")</f>
        <v>Tab</v>
      </c>
      <c r="E10" s="6" t="str">
        <f>IF(OR('A créer'!D10="Oui",LEN('A créer'!D10)=0),"",'A créer'!C10)</f>
        <v>DALKIA SMART BUILDING</v>
      </c>
      <c r="F10" s="2" t="str">
        <f>IF(OR('A créer'!D10="Oui",LEN('A créer'!D10)=0),"","Tab")</f>
        <v>Tab</v>
      </c>
      <c r="G10" s="2" t="str">
        <f>IF(OR('A créer'!D10="Oui",LEN('A créer'!D10)=0),"","Tab")</f>
        <v>Tab</v>
      </c>
      <c r="H10" s="2" t="str">
        <f>IF(OR('A créer'!D10="Oui",LEN('A créer'!D10)=0),"","Tab")</f>
        <v>Tab</v>
      </c>
      <c r="I10" s="6" t="str">
        <f>IF(OR('A créer'!D10="Oui",LEN('A créer'!D10)=0),"",'A créer'!J10)</f>
        <v>33, Place des Corolles - TOUR EUROPE - TSA 11400</v>
      </c>
      <c r="J10" s="2" t="str">
        <f>IF(OR('A créer'!D10="Oui",LEN('A créer'!D10)=0),"","Tab 4")</f>
        <v>Tab 4</v>
      </c>
      <c r="K10" s="2" t="str">
        <f>IF(OR('A créer'!D10="Oui",LEN('A créer'!D10)=0),"","Tab")</f>
        <v>Tab</v>
      </c>
      <c r="L10" s="6">
        <f>IF(OR('A créer'!D10="Oui",LEN('A créer'!D10)=0),"",'A créer'!K10)</f>
        <v>92049</v>
      </c>
      <c r="M10" s="6" t="str">
        <f>IF(OR('A créer'!D10="Oui",LEN('A créer'!D10)=0),"",'A créer'!L10)</f>
        <v>PARIS LA DEFENSE CEDEX</v>
      </c>
      <c r="N10" s="2" t="str">
        <f>IF(OR('A créer'!D10="Oui",LEN('A créer'!D10)=0),"","Tab")</f>
        <v>Tab</v>
      </c>
      <c r="O10" s="2" t="str">
        <f>IF(OR('A créer'!D10="Oui",LEN('A créer'!D10)=0),"","ENT")</f>
        <v>ENT</v>
      </c>
      <c r="P10" s="2" t="str">
        <f>IF(OR('A créer'!D10="Oui",LEN('A créer'!D10)=0),"","*SAVE")</f>
        <v>*SAVE</v>
      </c>
      <c r="Q10" s="2" t="str">
        <f>IF(LEN('A créer'!D10)=0,"","*FN")</f>
        <v>*FN</v>
      </c>
      <c r="R10" s="2" t="str">
        <f>IF(LEN('A créer'!D10)=0,"","Tab")</f>
        <v>Tab</v>
      </c>
      <c r="S10" s="6" t="str">
        <f>IF(LEN('A créer'!D10)=0,"",CONCATENATE('A créer'!B10,'A créer'!A10))</f>
        <v>DMS0490</v>
      </c>
      <c r="T10" s="2" t="s">
        <v>4</v>
      </c>
      <c r="U10" s="6" t="str">
        <f>IF('A créer'!F10="Oui",'A créer'!C10,IF(LEN('A créer'!F10)=0,"",CONCATENATE('A créer'!C10," (",'A créer'!M10,")")))</f>
        <v>DALKIA SMART BUILDING ()</v>
      </c>
      <c r="V10" s="2" t="str">
        <f>IF(LEN('A créer'!D10)=0,"","Tab")</f>
        <v>Tab</v>
      </c>
      <c r="W10" s="2" t="str">
        <f>IF(LEN('A créer'!D10)=0,"","Tab")</f>
        <v>Tab</v>
      </c>
      <c r="X10" s="2" t="str">
        <f>IF(LEN('A créer'!D10)=0,"","Tab")</f>
        <v>Tab</v>
      </c>
      <c r="Y10" s="6">
        <f>IF('A créer'!F10="Oui",'A créer'!J10,IF(LEN('A créer'!F10)=0,"",'A créer'!N10))</f>
        <v>0</v>
      </c>
      <c r="Z10" s="2" t="str">
        <f>IF(LEN('A créer'!D10)=0,"","Tab")</f>
        <v>Tab</v>
      </c>
      <c r="AA10" s="4">
        <f>IF('A créer'!F10="Oui","",IF(LEN('A créer'!F10)=0,"",'A créer'!O10))</f>
        <v>0</v>
      </c>
      <c r="AB10" s="2" t="str">
        <f>IF(LEN('A créer'!D10)=0,"","Tab")</f>
        <v>Tab</v>
      </c>
      <c r="AC10" s="4" t="str">
        <f>IF('A créer'!F10="Oui","",IF(LEN('A créer'!F10)=0,"","contactfournisseur@csp.dalkia.fr"))</f>
        <v>contactfournisseur@csp.dalkia.fr</v>
      </c>
      <c r="AD10" s="2" t="str">
        <f>IF(LEN('A créer'!D10)=0,"","Tab")</f>
        <v>Tab</v>
      </c>
      <c r="AE10" s="2" t="str">
        <f>IF(LEN('A créer'!D10)=0,"","Tab")</f>
        <v>Tab</v>
      </c>
      <c r="AF10" s="6" t="str">
        <f>IF('A créer'!F10="Oui","",IF(LEN('A créer'!F10)=0,"","ATTENTION adresse UNIQUEMENT pour la comptabilité fournisseurs"))</f>
        <v>ATTENTION adresse UNIQUEMENT pour la comptabilité fournisseurs</v>
      </c>
      <c r="AG10" s="2" t="str">
        <f>IF(LEN('A créer'!D10)=0,"","Tab")</f>
        <v>Tab</v>
      </c>
      <c r="AH10" s="4" t="str">
        <f>IF('A créer'!F10="Oui",'A créer'!K10,IF(LEN('A créer'!F10)=0,"",""))</f>
        <v/>
      </c>
      <c r="AI10" s="2" t="str">
        <f>IF(OR(LEN('A créer'!D10)=0,LEN(AH10)&gt;0),"","Tab")</f>
        <v>Tab</v>
      </c>
      <c r="AJ10" s="6" t="str">
        <f>IF('A créer'!F10="Oui",'A créer'!L10,IF(LEN('A créer'!F10)=0,"","NOUVELLE ADRESSE FACTURATION"))</f>
        <v>NOUVELLE ADRESSE FACTURATION</v>
      </c>
      <c r="AK10" s="2" t="str">
        <f>IF(LEN('A créer'!D10)=0,"","Tab")</f>
        <v>Tab</v>
      </c>
      <c r="AL10" s="2" t="str">
        <f>IF(LEN('A créer'!D10)=0,"","ENT")</f>
        <v>ENT</v>
      </c>
      <c r="AM10" s="2" t="str">
        <f>IF(LEN('A créer'!D10)=0,"","Tab 4")</f>
        <v>Tab 4</v>
      </c>
      <c r="AN10" s="2" t="str">
        <f>IF(LEN('A créer'!D10)=0,"","Tab 4")</f>
        <v>Tab 4</v>
      </c>
      <c r="AO10" s="2" t="str">
        <f>IF(LEN('A créer'!D10)=0,"","Tab")</f>
        <v>Tab</v>
      </c>
      <c r="AP10" s="2" t="str">
        <f>IF(LEN('A créer'!D10)=0,"","Tab")</f>
        <v>Tab</v>
      </c>
      <c r="AQ10" s="2" t="str">
        <f>IF(LEN('A créer'!D10)=0,"","Tab")</f>
        <v>Tab</v>
      </c>
      <c r="AR10" s="4" t="str">
        <f>IF(OR('A créer'!D10="Oui",LEN('A créer'!D10)=0),"",IF(LEN('A créer'!F10)=0,"",'A créer'!B10))</f>
        <v>DMS</v>
      </c>
      <c r="AS10" s="2" t="str">
        <f>IF(LEN('A créer'!D10)=0,"","Tab")</f>
        <v>Tab</v>
      </c>
      <c r="AT10" s="2" t="str">
        <f>IF(LEN('A créer'!D10)=0,"","ENT")</f>
        <v>ENT</v>
      </c>
      <c r="AU10" s="2" t="str">
        <f>IF(LEN('A créer'!D10)=0,"","*SAVE")</f>
        <v>*SAVE</v>
      </c>
    </row>
    <row r="11" spans="1:47" x14ac:dyDescent="0.25">
      <c r="A11" s="2" t="str">
        <f>IF(OR('A créer'!D11="Oui",LEN('A créer'!D11)=0),"","*FN")</f>
        <v>*FN</v>
      </c>
      <c r="B11" s="2" t="str">
        <f>IF(OR('A créer'!D11="Oui",LEN('A créer'!D11)=0),"","Tab")</f>
        <v>Tab</v>
      </c>
      <c r="C11" s="6" t="str">
        <f>IF(OR('A créer'!D11="Oui",LEN('A créer'!D11)=0),"",'A créer'!I11)</f>
        <v>DALKIA SMART BUILDING</v>
      </c>
      <c r="D11" s="2" t="str">
        <f>IF(OR('A créer'!D11="Oui",LEN('A créer'!D11)=0),"","Tab")</f>
        <v>Tab</v>
      </c>
      <c r="E11" s="6" t="str">
        <f>IF(OR('A créer'!D11="Oui",LEN('A créer'!D11)=0),"",'A créer'!C11)</f>
        <v>DALKIA SMART BUILDING</v>
      </c>
      <c r="F11" s="2" t="str">
        <f>IF(OR('A créer'!D11="Oui",LEN('A créer'!D11)=0),"","Tab")</f>
        <v>Tab</v>
      </c>
      <c r="G11" s="2" t="str">
        <f>IF(OR('A créer'!D11="Oui",LEN('A créer'!D11)=0),"","Tab")</f>
        <v>Tab</v>
      </c>
      <c r="H11" s="2" t="str">
        <f>IF(OR('A créer'!D11="Oui",LEN('A créer'!D11)=0),"","Tab")</f>
        <v>Tab</v>
      </c>
      <c r="I11" s="6" t="str">
        <f>IF(OR('A créer'!D11="Oui",LEN('A créer'!D11)=0),"",'A créer'!J11)</f>
        <v>33, Place des Corolles - TOUR EUROPE - TSA 11400</v>
      </c>
      <c r="J11" s="2" t="str">
        <f>IF(OR('A créer'!D11="Oui",LEN('A créer'!D11)=0),"","Tab 4")</f>
        <v>Tab 4</v>
      </c>
      <c r="K11" s="2" t="str">
        <f>IF(OR('A créer'!D11="Oui",LEN('A créer'!D11)=0),"","Tab")</f>
        <v>Tab</v>
      </c>
      <c r="L11" s="6">
        <f>IF(OR('A créer'!D11="Oui",LEN('A créer'!D11)=0),"",'A créer'!K11)</f>
        <v>92049</v>
      </c>
      <c r="M11" s="6" t="str">
        <f>IF(OR('A créer'!D11="Oui",LEN('A créer'!D11)=0),"",'A créer'!L11)</f>
        <v>PARIS LA DEFENSE CEDEX</v>
      </c>
      <c r="N11" s="2" t="str">
        <f>IF(OR('A créer'!D11="Oui",LEN('A créer'!D11)=0),"","Tab")</f>
        <v>Tab</v>
      </c>
      <c r="O11" s="2" t="str">
        <f>IF(OR('A créer'!D11="Oui",LEN('A créer'!D11)=0),"","ENT")</f>
        <v>ENT</v>
      </c>
      <c r="P11" s="2" t="str">
        <f>IF(OR('A créer'!D11="Oui",LEN('A créer'!D11)=0),"","*SAVE")</f>
        <v>*SAVE</v>
      </c>
      <c r="Q11" s="2" t="str">
        <f>IF(LEN('A créer'!D11)=0,"","*FN")</f>
        <v>*FN</v>
      </c>
      <c r="R11" s="2" t="str">
        <f>IF(LEN('A créer'!D11)=0,"","Tab")</f>
        <v>Tab</v>
      </c>
      <c r="S11" s="6" t="str">
        <f>IF(LEN('A créer'!D11)=0,"",CONCATENATE('A créer'!B11,'A créer'!A11))</f>
        <v>DNA0490</v>
      </c>
      <c r="T11" s="2" t="s">
        <v>4</v>
      </c>
      <c r="U11" s="6" t="str">
        <f>IF('A créer'!F11="Oui",'A créer'!C11,IF(LEN('A créer'!F11)=0,"",CONCATENATE('A créer'!C11," (",'A créer'!M11,")")))</f>
        <v>DALKIA SMART BUILDING ()</v>
      </c>
      <c r="V11" s="2" t="str">
        <f>IF(LEN('A créer'!D11)=0,"","Tab")</f>
        <v>Tab</v>
      </c>
      <c r="W11" s="2" t="str">
        <f>IF(LEN('A créer'!D11)=0,"","Tab")</f>
        <v>Tab</v>
      </c>
      <c r="X11" s="2" t="str">
        <f>IF(LEN('A créer'!D11)=0,"","Tab")</f>
        <v>Tab</v>
      </c>
      <c r="Y11" s="6">
        <f>IF('A créer'!F11="Oui",'A créer'!J11,IF(LEN('A créer'!F11)=0,"",'A créer'!N11))</f>
        <v>0</v>
      </c>
      <c r="Z11" s="2" t="str">
        <f>IF(LEN('A créer'!D11)=0,"","Tab")</f>
        <v>Tab</v>
      </c>
      <c r="AA11" s="4">
        <f>IF('A créer'!F11="Oui","",IF(LEN('A créer'!F11)=0,"",'A créer'!O11))</f>
        <v>0</v>
      </c>
      <c r="AB11" s="2" t="str">
        <f>IF(LEN('A créer'!D11)=0,"","Tab")</f>
        <v>Tab</v>
      </c>
      <c r="AC11" s="4" t="str">
        <f>IF('A créer'!F11="Oui","",IF(LEN('A créer'!F11)=0,"","contactfournisseur@csp.dalkia.fr"))</f>
        <v>contactfournisseur@csp.dalkia.fr</v>
      </c>
      <c r="AD11" s="2" t="str">
        <f>IF(LEN('A créer'!D11)=0,"","Tab")</f>
        <v>Tab</v>
      </c>
      <c r="AE11" s="2" t="str">
        <f>IF(LEN('A créer'!D11)=0,"","Tab")</f>
        <v>Tab</v>
      </c>
      <c r="AF11" s="6" t="str">
        <f>IF('A créer'!F11="Oui","",IF(LEN('A créer'!F11)=0,"","ATTENTION adresse UNIQUEMENT pour la comptabilité fournisseurs"))</f>
        <v>ATTENTION adresse UNIQUEMENT pour la comptabilité fournisseurs</v>
      </c>
      <c r="AG11" s="2" t="str">
        <f>IF(LEN('A créer'!D11)=0,"","Tab")</f>
        <v>Tab</v>
      </c>
      <c r="AH11" s="4" t="str">
        <f>IF('A créer'!F11="Oui",'A créer'!K11,IF(LEN('A créer'!F11)=0,"",""))</f>
        <v/>
      </c>
      <c r="AI11" s="2" t="str">
        <f>IF(OR(LEN('A créer'!D11)=0,LEN(AH11)&gt;0),"","Tab")</f>
        <v>Tab</v>
      </c>
      <c r="AJ11" s="6" t="str">
        <f>IF('A créer'!F11="Oui",'A créer'!L11,IF(LEN('A créer'!F11)=0,"","NOUVELLE ADRESSE FACTURATION"))</f>
        <v>NOUVELLE ADRESSE FACTURATION</v>
      </c>
      <c r="AK11" s="2" t="str">
        <f>IF(LEN('A créer'!D11)=0,"","Tab")</f>
        <v>Tab</v>
      </c>
      <c r="AL11" s="2" t="str">
        <f>IF(LEN('A créer'!D11)=0,"","ENT")</f>
        <v>ENT</v>
      </c>
      <c r="AM11" s="2" t="str">
        <f>IF(LEN('A créer'!D11)=0,"","Tab 4")</f>
        <v>Tab 4</v>
      </c>
      <c r="AN11" s="2" t="str">
        <f>IF(LEN('A créer'!D11)=0,"","Tab 4")</f>
        <v>Tab 4</v>
      </c>
      <c r="AO11" s="2" t="str">
        <f>IF(LEN('A créer'!D11)=0,"","Tab")</f>
        <v>Tab</v>
      </c>
      <c r="AP11" s="2" t="str">
        <f>IF(LEN('A créer'!D11)=0,"","Tab")</f>
        <v>Tab</v>
      </c>
      <c r="AQ11" s="2" t="str">
        <f>IF(LEN('A créer'!D11)=0,"","Tab")</f>
        <v>Tab</v>
      </c>
      <c r="AR11" s="4" t="str">
        <f>IF(OR('A créer'!D11="Oui",LEN('A créer'!D11)=0),"",IF(LEN('A créer'!F11)=0,"",'A créer'!B11))</f>
        <v>DNA</v>
      </c>
      <c r="AS11" s="2" t="str">
        <f>IF(LEN('A créer'!D11)=0,"","Tab")</f>
        <v>Tab</v>
      </c>
      <c r="AT11" s="2" t="str">
        <f>IF(LEN('A créer'!D11)=0,"","ENT")</f>
        <v>ENT</v>
      </c>
      <c r="AU11" s="2" t="str">
        <f>IF(LEN('A créer'!D11)=0,"","*SAVE")</f>
        <v>*SAVE</v>
      </c>
    </row>
    <row r="12" spans="1:47" x14ac:dyDescent="0.25">
      <c r="A12" s="2" t="str">
        <f>IF(OR('A créer'!D12="Oui",LEN('A créer'!D12)=0),"","*FN")</f>
        <v>*FN</v>
      </c>
      <c r="B12" s="2" t="str">
        <f>IF(OR('A créer'!D12="Oui",LEN('A créer'!D12)=0),"","Tab")</f>
        <v>Tab</v>
      </c>
      <c r="C12" s="6" t="str">
        <f>IF(OR('A créer'!D12="Oui",LEN('A créer'!D12)=0),"",'A créer'!I12)</f>
        <v>DALKIA SMART BUILDING</v>
      </c>
      <c r="D12" s="2" t="str">
        <f>IF(OR('A créer'!D12="Oui",LEN('A créer'!D12)=0),"","Tab")</f>
        <v>Tab</v>
      </c>
      <c r="E12" s="6" t="str">
        <f>IF(OR('A créer'!D12="Oui",LEN('A créer'!D12)=0),"",'A créer'!C12)</f>
        <v>DALKIA SMART BUILDING</v>
      </c>
      <c r="F12" s="2" t="str">
        <f>IF(OR('A créer'!D12="Oui",LEN('A créer'!D12)=0),"","Tab")</f>
        <v>Tab</v>
      </c>
      <c r="G12" s="2" t="str">
        <f>IF(OR('A créer'!D12="Oui",LEN('A créer'!D12)=0),"","Tab")</f>
        <v>Tab</v>
      </c>
      <c r="H12" s="2" t="str">
        <f>IF(OR('A créer'!D12="Oui",LEN('A créer'!D12)=0),"","Tab")</f>
        <v>Tab</v>
      </c>
      <c r="I12" s="6" t="str">
        <f>IF(OR('A créer'!D12="Oui",LEN('A créer'!D12)=0),"",'A créer'!J12)</f>
        <v>33, Place des Corolles - TOUR EUROPE - TSA 11400</v>
      </c>
      <c r="J12" s="2" t="str">
        <f>IF(OR('A créer'!D12="Oui",LEN('A créer'!D12)=0),"","Tab 4")</f>
        <v>Tab 4</v>
      </c>
      <c r="K12" s="2" t="str">
        <f>IF(OR('A créer'!D12="Oui",LEN('A créer'!D12)=0),"","Tab")</f>
        <v>Tab</v>
      </c>
      <c r="L12" s="6">
        <f>IF(OR('A créer'!D12="Oui",LEN('A créer'!D12)=0),"",'A créer'!K12)</f>
        <v>92049</v>
      </c>
      <c r="M12" s="6" t="str">
        <f>IF(OR('A créer'!D12="Oui",LEN('A créer'!D12)=0),"",'A créer'!L12)</f>
        <v>PARIS LA DEFENSE CEDEX</v>
      </c>
      <c r="N12" s="2" t="str">
        <f>IF(OR('A créer'!D12="Oui",LEN('A créer'!D12)=0),"","Tab")</f>
        <v>Tab</v>
      </c>
      <c r="O12" s="2" t="str">
        <f>IF(OR('A créer'!D12="Oui",LEN('A créer'!D12)=0),"","ENT")</f>
        <v>ENT</v>
      </c>
      <c r="P12" s="2" t="str">
        <f>IF(OR('A créer'!D12="Oui",LEN('A créer'!D12)=0),"","*SAVE")</f>
        <v>*SAVE</v>
      </c>
      <c r="Q12" s="2" t="str">
        <f>IF(LEN('A créer'!D12)=0,"","*FN")</f>
        <v>*FN</v>
      </c>
      <c r="R12" s="2" t="str">
        <f>IF(LEN('A créer'!D12)=0,"","Tab")</f>
        <v>Tab</v>
      </c>
      <c r="S12" s="6" t="str">
        <f>IF(LEN('A créer'!D12)=0,"",CONCATENATE('A créer'!B12,'A créer'!A12))</f>
        <v>DRW0490</v>
      </c>
      <c r="T12" s="2" t="s">
        <v>4</v>
      </c>
      <c r="U12" s="6" t="str">
        <f>IF('A créer'!F12="Oui",'A créer'!C12,IF(LEN('A créer'!F12)=0,"",CONCATENATE('A créer'!C12," (",'A créer'!M12,")")))</f>
        <v>DALKIA SMART BUILDING ()</v>
      </c>
      <c r="V12" s="2" t="str">
        <f>IF(LEN('A créer'!D12)=0,"","Tab")</f>
        <v>Tab</v>
      </c>
      <c r="W12" s="2" t="str">
        <f>IF(LEN('A créer'!D12)=0,"","Tab")</f>
        <v>Tab</v>
      </c>
      <c r="X12" s="2" t="str">
        <f>IF(LEN('A créer'!D12)=0,"","Tab")</f>
        <v>Tab</v>
      </c>
      <c r="Y12" s="6">
        <f>IF('A créer'!F12="Oui",'A créer'!J12,IF(LEN('A créer'!F12)=0,"",'A créer'!N12))</f>
        <v>0</v>
      </c>
      <c r="Z12" s="2" t="str">
        <f>IF(LEN('A créer'!D12)=0,"","Tab")</f>
        <v>Tab</v>
      </c>
      <c r="AA12" s="4">
        <f>IF('A créer'!F12="Oui","",IF(LEN('A créer'!F12)=0,"",'A créer'!O12))</f>
        <v>0</v>
      </c>
      <c r="AB12" s="2" t="str">
        <f>IF(LEN('A créer'!D12)=0,"","Tab")</f>
        <v>Tab</v>
      </c>
      <c r="AC12" s="4" t="str">
        <f>IF('A créer'!F12="Oui","",IF(LEN('A créer'!F12)=0,"","contactfournisseur@csp.dalkia.fr"))</f>
        <v>contactfournisseur@csp.dalkia.fr</v>
      </c>
      <c r="AD12" s="2" t="str">
        <f>IF(LEN('A créer'!D12)=0,"","Tab")</f>
        <v>Tab</v>
      </c>
      <c r="AE12" s="2" t="str">
        <f>IF(LEN('A créer'!D12)=0,"","Tab")</f>
        <v>Tab</v>
      </c>
      <c r="AF12" s="6" t="str">
        <f>IF('A créer'!F12="Oui","",IF(LEN('A créer'!F12)=0,"","ATTENTION adresse UNIQUEMENT pour la comptabilité fournisseurs"))</f>
        <v>ATTENTION adresse UNIQUEMENT pour la comptabilité fournisseurs</v>
      </c>
      <c r="AG12" s="2" t="str">
        <f>IF(LEN('A créer'!D12)=0,"","Tab")</f>
        <v>Tab</v>
      </c>
      <c r="AH12" s="4" t="str">
        <f>IF('A créer'!F12="Oui",'A créer'!K12,IF(LEN('A créer'!F12)=0,"",""))</f>
        <v/>
      </c>
      <c r="AI12" s="2" t="str">
        <f>IF(OR(LEN('A créer'!D12)=0,LEN(AH12)&gt;0),"","Tab")</f>
        <v>Tab</v>
      </c>
      <c r="AJ12" s="6" t="str">
        <f>IF('A créer'!F12="Oui",'A créer'!L12,IF(LEN('A créer'!F12)=0,"","NOUVELLE ADRESSE FACTURATION"))</f>
        <v>NOUVELLE ADRESSE FACTURATION</v>
      </c>
      <c r="AK12" s="2" t="str">
        <f>IF(LEN('A créer'!D12)=0,"","Tab")</f>
        <v>Tab</v>
      </c>
      <c r="AL12" s="2" t="str">
        <f>IF(LEN('A créer'!D12)=0,"","ENT")</f>
        <v>ENT</v>
      </c>
      <c r="AM12" s="2" t="str">
        <f>IF(LEN('A créer'!D12)=0,"","Tab 4")</f>
        <v>Tab 4</v>
      </c>
      <c r="AN12" s="2" t="str">
        <f>IF(LEN('A créer'!D12)=0,"","Tab 4")</f>
        <v>Tab 4</v>
      </c>
      <c r="AO12" s="2" t="str">
        <f>IF(LEN('A créer'!D12)=0,"","Tab")</f>
        <v>Tab</v>
      </c>
      <c r="AP12" s="2" t="str">
        <f>IF(LEN('A créer'!D12)=0,"","Tab")</f>
        <v>Tab</v>
      </c>
      <c r="AQ12" s="2" t="str">
        <f>IF(LEN('A créer'!D12)=0,"","Tab")</f>
        <v>Tab</v>
      </c>
      <c r="AR12" s="4" t="str">
        <f>IF(OR('A créer'!D12="Oui",LEN('A créer'!D12)=0),"",IF(LEN('A créer'!F12)=0,"",'A créer'!B12))</f>
        <v>DRW</v>
      </c>
      <c r="AS12" s="2" t="str">
        <f>IF(LEN('A créer'!D12)=0,"","Tab")</f>
        <v>Tab</v>
      </c>
      <c r="AT12" s="2" t="str">
        <f>IF(LEN('A créer'!D12)=0,"","ENT")</f>
        <v>ENT</v>
      </c>
      <c r="AU12" s="2" t="str">
        <f>IF(LEN('A créer'!D12)=0,"","*SAVE")</f>
        <v>*SAVE</v>
      </c>
    </row>
    <row r="13" spans="1:47" x14ac:dyDescent="0.25">
      <c r="A13" s="2" t="str">
        <f>IF(OR('A créer'!D13="Oui",LEN('A créer'!D13)=0),"","*FN")</f>
        <v>*FN</v>
      </c>
      <c r="B13" s="2" t="str">
        <f>IF(OR('A créer'!D13="Oui",LEN('A créer'!D13)=0),"","Tab")</f>
        <v>Tab</v>
      </c>
      <c r="C13" s="6" t="str">
        <f>IF(OR('A créer'!D13="Oui",LEN('A créer'!D13)=0),"",'A créer'!I13)</f>
        <v>DALKIA SMART BUILDING</v>
      </c>
      <c r="D13" s="2" t="str">
        <f>IF(OR('A créer'!D13="Oui",LEN('A créer'!D13)=0),"","Tab")</f>
        <v>Tab</v>
      </c>
      <c r="E13" s="6" t="str">
        <f>IF(OR('A créer'!D13="Oui",LEN('A créer'!D13)=0),"",'A créer'!C13)</f>
        <v>DALKIA SMART BUILDING</v>
      </c>
      <c r="F13" s="2" t="str">
        <f>IF(OR('A créer'!D13="Oui",LEN('A créer'!D13)=0),"","Tab")</f>
        <v>Tab</v>
      </c>
      <c r="G13" s="2" t="str">
        <f>IF(OR('A créer'!D13="Oui",LEN('A créer'!D13)=0),"","Tab")</f>
        <v>Tab</v>
      </c>
      <c r="H13" s="2" t="str">
        <f>IF(OR('A créer'!D13="Oui",LEN('A créer'!D13)=0),"","Tab")</f>
        <v>Tab</v>
      </c>
      <c r="I13" s="6" t="str">
        <f>IF(OR('A créer'!D13="Oui",LEN('A créer'!D13)=0),"",'A créer'!J13)</f>
        <v>33, Place des Corolles - TOUR EUROPE - TSA 11400</v>
      </c>
      <c r="J13" s="2" t="str">
        <f>IF(OR('A créer'!D13="Oui",LEN('A créer'!D13)=0),"","Tab 4")</f>
        <v>Tab 4</v>
      </c>
      <c r="K13" s="2" t="str">
        <f>IF(OR('A créer'!D13="Oui",LEN('A créer'!D13)=0),"","Tab")</f>
        <v>Tab</v>
      </c>
      <c r="L13" s="6">
        <f>IF(OR('A créer'!D13="Oui",LEN('A créer'!D13)=0),"",'A créer'!K13)</f>
        <v>92049</v>
      </c>
      <c r="M13" s="6" t="str">
        <f>IF(OR('A créer'!D13="Oui",LEN('A créer'!D13)=0),"",'A créer'!L13)</f>
        <v>PARIS LA DEFENSE CEDEX</v>
      </c>
      <c r="N13" s="2" t="str">
        <f>IF(OR('A créer'!D13="Oui",LEN('A créer'!D13)=0),"","Tab")</f>
        <v>Tab</v>
      </c>
      <c r="O13" s="2" t="str">
        <f>IF(OR('A créer'!D13="Oui",LEN('A créer'!D13)=0),"","ENT")</f>
        <v>ENT</v>
      </c>
      <c r="P13" s="2" t="str">
        <f>IF(OR('A créer'!D13="Oui",LEN('A créer'!D13)=0),"","*SAVE")</f>
        <v>*SAVE</v>
      </c>
      <c r="Q13" s="2" t="str">
        <f>IF(LEN('A créer'!D13)=0,"","*FN")</f>
        <v>*FN</v>
      </c>
      <c r="R13" s="2" t="str">
        <f>IF(LEN('A créer'!D13)=0,"","Tab")</f>
        <v>Tab</v>
      </c>
      <c r="S13" s="6" t="str">
        <f>IF(LEN('A créer'!D13)=0,"",CONCATENATE('A créer'!B13,'A créer'!A13))</f>
        <v>DSW0490</v>
      </c>
      <c r="T13" s="2" t="s">
        <v>4</v>
      </c>
      <c r="U13" s="6" t="str">
        <f>IF('A créer'!F13="Oui",'A créer'!C13,IF(LEN('A créer'!F13)=0,"",CONCATENATE('A créer'!C13," (",'A créer'!M13,")")))</f>
        <v>DALKIA SMART BUILDING ()</v>
      </c>
      <c r="V13" s="2" t="str">
        <f>IF(LEN('A créer'!D13)=0,"","Tab")</f>
        <v>Tab</v>
      </c>
      <c r="W13" s="2" t="str">
        <f>IF(LEN('A créer'!D13)=0,"","Tab")</f>
        <v>Tab</v>
      </c>
      <c r="X13" s="2" t="str">
        <f>IF(LEN('A créer'!D13)=0,"","Tab")</f>
        <v>Tab</v>
      </c>
      <c r="Y13" s="6">
        <f>IF('A créer'!F13="Oui",'A créer'!J13,IF(LEN('A créer'!F13)=0,"",'A créer'!N13))</f>
        <v>0</v>
      </c>
      <c r="Z13" s="2" t="str">
        <f>IF(LEN('A créer'!D13)=0,"","Tab")</f>
        <v>Tab</v>
      </c>
      <c r="AA13" s="4">
        <f>IF('A créer'!F13="Oui","",IF(LEN('A créer'!F13)=0,"",'A créer'!O13))</f>
        <v>0</v>
      </c>
      <c r="AB13" s="2" t="str">
        <f>IF(LEN('A créer'!D13)=0,"","Tab")</f>
        <v>Tab</v>
      </c>
      <c r="AC13" s="4" t="str">
        <f>IF('A créer'!F13="Oui","",IF(LEN('A créer'!F13)=0,"","contactfournisseur@csp.dalkia.fr"))</f>
        <v>contactfournisseur@csp.dalkia.fr</v>
      </c>
      <c r="AD13" s="2" t="str">
        <f>IF(LEN('A créer'!D13)=0,"","Tab")</f>
        <v>Tab</v>
      </c>
      <c r="AE13" s="2" t="str">
        <f>IF(LEN('A créer'!D13)=0,"","Tab")</f>
        <v>Tab</v>
      </c>
      <c r="AF13" s="6" t="str">
        <f>IF('A créer'!F13="Oui","",IF(LEN('A créer'!F13)=0,"","ATTENTION adresse UNIQUEMENT pour la comptabilité fournisseurs"))</f>
        <v>ATTENTION adresse UNIQUEMENT pour la comptabilité fournisseurs</v>
      </c>
      <c r="AG13" s="2" t="str">
        <f>IF(LEN('A créer'!D13)=0,"","Tab")</f>
        <v>Tab</v>
      </c>
      <c r="AH13" s="4" t="str">
        <f>IF('A créer'!F13="Oui",'A créer'!K13,IF(LEN('A créer'!F13)=0,"",""))</f>
        <v/>
      </c>
      <c r="AI13" s="2" t="str">
        <f>IF(OR(LEN('A créer'!D13)=0,LEN(AH13)&gt;0),"","Tab")</f>
        <v>Tab</v>
      </c>
      <c r="AJ13" s="6" t="str">
        <f>IF('A créer'!F13="Oui",'A créer'!L13,IF(LEN('A créer'!F13)=0,"","NOUVELLE ADRESSE FACTURATION"))</f>
        <v>NOUVELLE ADRESSE FACTURATION</v>
      </c>
      <c r="AK13" s="2" t="str">
        <f>IF(LEN('A créer'!D13)=0,"","Tab")</f>
        <v>Tab</v>
      </c>
      <c r="AL13" s="2" t="str">
        <f>IF(LEN('A créer'!D13)=0,"","ENT")</f>
        <v>ENT</v>
      </c>
      <c r="AM13" s="2" t="str">
        <f>IF(LEN('A créer'!D13)=0,"","Tab 4")</f>
        <v>Tab 4</v>
      </c>
      <c r="AN13" s="2" t="str">
        <f>IF(LEN('A créer'!D13)=0,"","Tab 4")</f>
        <v>Tab 4</v>
      </c>
      <c r="AO13" s="2" t="str">
        <f>IF(LEN('A créer'!D13)=0,"","Tab")</f>
        <v>Tab</v>
      </c>
      <c r="AP13" s="2" t="str">
        <f>IF(LEN('A créer'!D13)=0,"","Tab")</f>
        <v>Tab</v>
      </c>
      <c r="AQ13" s="2" t="str">
        <f>IF(LEN('A créer'!D13)=0,"","Tab")</f>
        <v>Tab</v>
      </c>
      <c r="AR13" s="4" t="str">
        <f>IF(OR('A créer'!D13="Oui",LEN('A créer'!D13)=0),"",IF(LEN('A créer'!F13)=0,"",'A créer'!B13))</f>
        <v>DSW</v>
      </c>
      <c r="AS13" s="2" t="str">
        <f>IF(LEN('A créer'!D13)=0,"","Tab")</f>
        <v>Tab</v>
      </c>
      <c r="AT13" s="2" t="str">
        <f>IF(LEN('A créer'!D13)=0,"","ENT")</f>
        <v>ENT</v>
      </c>
      <c r="AU13" s="2" t="str">
        <f>IF(LEN('A créer'!D13)=0,"","*SAVE")</f>
        <v>*SAVE</v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Split"/>
      <selection pane="bottomLeft" activeCell="A3" sqref="A3:I10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0491</v>
      </c>
      <c r="D2" s="2" t="str">
        <f>IF(LEN('A créer'!C2)=0,"","Tab")</f>
        <v>Tab</v>
      </c>
      <c r="E2" t="str">
        <f>IF(LEN('A créer'!C2)=0,"",'A créer'!B2)</f>
        <v>DEW</v>
      </c>
      <c r="F2" s="2" t="str">
        <f>IF(LEN('A créer'!C2)=0,"","Tab")</f>
        <v>Tab</v>
      </c>
      <c r="G2" t="str">
        <f>IF(LEN('A créer'!C2)=0,"",'A créer'!G2)</f>
        <v>S2575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0492</v>
      </c>
      <c r="D3" s="2" t="str">
        <f>IF(LEN('A créer'!C3)=0,"","Tab")</f>
        <v>Tab</v>
      </c>
      <c r="E3" t="str">
        <f>IF(LEN('A créer'!C3)=0,"",'A créer'!B3)</f>
        <v>DRW</v>
      </c>
      <c r="F3" s="2" t="str">
        <f>IF(LEN('A créer'!C3)=0,"","Tab")</f>
        <v>Tab</v>
      </c>
      <c r="G3" t="str">
        <f>IF(LEN('A créer'!C3)=0,"",'A créer'!G3)</f>
        <v>YS2572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2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0493</v>
      </c>
      <c r="D4" s="2" t="str">
        <f>IF(LEN('A créer'!C4)=0,"","Tab")</f>
        <v>Tab</v>
      </c>
      <c r="E4" t="str">
        <f>IF(LEN('A créer'!C4)=0,"",'A créer'!B4)</f>
        <v>DSW</v>
      </c>
      <c r="F4" s="2" t="str">
        <f>IF(LEN('A créer'!C4)=0,"","Tab")</f>
        <v>Tab</v>
      </c>
      <c r="G4" t="str">
        <f>IF(LEN('A créer'!C4)=0,"",'A créer'!G4)</f>
        <v>YSV128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25">
      <c r="A5" s="2" t="str">
        <f>IF(LEN('A créer'!C5)=0,"","*FN")</f>
        <v>*FN</v>
      </c>
      <c r="B5" s="2" t="str">
        <f>IF(LEN('A créer'!A5)=0,"","Tab")</f>
        <v>Tab</v>
      </c>
      <c r="C5" t="str">
        <f>IF(LEN('A créer'!C5)=0,"",'A créer'!A5)</f>
        <v>0498</v>
      </c>
      <c r="D5" s="2" t="str">
        <f>IF(LEN('A créer'!C5)=0,"","Tab")</f>
        <v>Tab</v>
      </c>
      <c r="E5" t="str">
        <f>IF(LEN('A créer'!C5)=0,"",'A créer'!B5)</f>
        <v>DMS</v>
      </c>
      <c r="F5" s="2" t="str">
        <f>IF(LEN('A créer'!C5)=0,"","Tab")</f>
        <v>Tab</v>
      </c>
      <c r="G5" t="str">
        <f>IF(LEN('A créer'!C5)=0,"",'A créer'!G5)</f>
        <v>YS2570</v>
      </c>
      <c r="H5" s="2" t="str">
        <f>IF(LEN('A créer'!C5)=0,"","Tab")</f>
        <v>Tab</v>
      </c>
      <c r="I5" s="2" t="str">
        <f>IF(LEN('A créer'!C5)=0,"","*SAVE")</f>
        <v>*SAVE</v>
      </c>
    </row>
    <row r="6" spans="1:9" x14ac:dyDescent="0.2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0490</v>
      </c>
      <c r="D6" s="2" t="str">
        <f>IF(LEN('A créer'!C6)=0,"","Tab")</f>
        <v>Tab</v>
      </c>
      <c r="E6" t="str">
        <f>IF(LEN('A créer'!C6)=0,"",'A créer'!B6)</f>
        <v>DOS</v>
      </c>
      <c r="F6" s="2" t="str">
        <f>IF(LEN('A créer'!C6)=0,"","Tab")</f>
        <v>Tab</v>
      </c>
      <c r="G6" t="str">
        <f>IF(LEN('A créer'!C6)=0,"",'A créer'!G6)</f>
        <v>S2520C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2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0490</v>
      </c>
      <c r="D7" s="2" t="str">
        <f>IF(LEN('A créer'!C7)=0,"","Tab")</f>
        <v>Tab</v>
      </c>
      <c r="E7" t="str">
        <f>IF(LEN('A créer'!C7)=0,"",'A créer'!B7)</f>
        <v>DCW</v>
      </c>
      <c r="F7" s="2" t="str">
        <f>IF(LEN('A créer'!C7)=0,"","Tab")</f>
        <v>Tab</v>
      </c>
      <c r="G7" t="str">
        <f>IF(LEN('A créer'!C7)=0,"",'A créer'!G7)</f>
        <v>S2520E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25">
      <c r="A8" s="2" t="str">
        <f>IF(LEN('A créer'!C8)=0,"","*FN")</f>
        <v>*FN</v>
      </c>
      <c r="B8" s="2" t="str">
        <f>IF(LEN('A créer'!A8)=0,"","Tab")</f>
        <v>Tab</v>
      </c>
      <c r="C8" t="str">
        <f>IF(LEN('A créer'!C8)=0,"",'A créer'!A8)</f>
        <v>0490</v>
      </c>
      <c r="D8" s="2" t="str">
        <f>IF(LEN('A créer'!C8)=0,"","Tab")</f>
        <v>Tab</v>
      </c>
      <c r="E8" t="str">
        <f>IF(LEN('A créer'!C8)=0,"",'A créer'!B8)</f>
        <v>DEW</v>
      </c>
      <c r="F8" s="2" t="str">
        <f>IF(LEN('A créer'!C8)=0,"","Tab")</f>
        <v>Tab</v>
      </c>
      <c r="G8" t="str">
        <f>IF(LEN('A créer'!C8)=0,"",'A créer'!G8)</f>
        <v>S2520L</v>
      </c>
      <c r="H8" s="2" t="str">
        <f>IF(LEN('A créer'!C8)=0,"","Tab")</f>
        <v>Tab</v>
      </c>
      <c r="I8" s="2" t="str">
        <f>IF(LEN('A créer'!C8)=0,"","*SAVE")</f>
        <v>*SAVE</v>
      </c>
    </row>
    <row r="9" spans="1:9" x14ac:dyDescent="0.25">
      <c r="A9" s="2" t="str">
        <f>IF(LEN('A créer'!C9)=0,"","*FN")</f>
        <v>*FN</v>
      </c>
      <c r="B9" s="2" t="str">
        <f>IF(LEN('A créer'!A9)=0,"","Tab")</f>
        <v>Tab</v>
      </c>
      <c r="C9" t="str">
        <f>IF(LEN('A créer'!C9)=0,"",'A créer'!A9)</f>
        <v>0490</v>
      </c>
      <c r="D9" s="2" t="str">
        <f>IF(LEN('A créer'!C9)=0,"","Tab")</f>
        <v>Tab</v>
      </c>
      <c r="E9" t="str">
        <f>IF(LEN('A créer'!C9)=0,"",'A créer'!B9)</f>
        <v>DLS</v>
      </c>
      <c r="F9" s="2" t="str">
        <f>IF(LEN('A créer'!C9)=0,"","Tab")</f>
        <v>Tab</v>
      </c>
      <c r="G9" t="str">
        <f>IF(LEN('A créer'!C9)=0,"",'A créer'!G9)</f>
        <v>S2520A</v>
      </c>
      <c r="H9" s="2" t="str">
        <f>IF(LEN('A créer'!C9)=0,"","Tab")</f>
        <v>Tab</v>
      </c>
      <c r="I9" s="2" t="str">
        <f>IF(LEN('A créer'!C9)=0,"","*SAVE")</f>
        <v>*SAVE</v>
      </c>
    </row>
    <row r="10" spans="1:9" x14ac:dyDescent="0.25">
      <c r="A10" s="2" t="str">
        <f>IF(LEN('A créer'!C10)=0,"","*FN")</f>
        <v>*FN</v>
      </c>
      <c r="B10" s="2" t="str">
        <f>IF(LEN('A créer'!A10)=0,"","Tab")</f>
        <v>Tab</v>
      </c>
      <c r="C10" t="str">
        <f>IF(LEN('A créer'!C10)=0,"",'A créer'!A10)</f>
        <v>0490</v>
      </c>
      <c r="D10" s="2" t="str">
        <f>IF(LEN('A créer'!C10)=0,"","Tab")</f>
        <v>Tab</v>
      </c>
      <c r="E10" t="str">
        <f>IF(LEN('A créer'!C10)=0,"",'A créer'!B10)</f>
        <v>DMS</v>
      </c>
      <c r="F10" s="2" t="str">
        <f>IF(LEN('A créer'!C10)=0,"","Tab")</f>
        <v>Tab</v>
      </c>
      <c r="G10" t="str">
        <f>IF(LEN('A créer'!C10)=0,"",'A créer'!G10)</f>
        <v>S2520M</v>
      </c>
      <c r="H10" s="2" t="str">
        <f>IF(LEN('A créer'!C10)=0,"","Tab")</f>
        <v>Tab</v>
      </c>
      <c r="I10" s="2" t="str">
        <f>IF(LEN('A créer'!C10)=0,"","*SAVE")</f>
        <v>*SAVE</v>
      </c>
    </row>
    <row r="11" spans="1:9" x14ac:dyDescent="0.25">
      <c r="A11" s="2" t="str">
        <f>IF(LEN('A créer'!C11)=0,"","*FN")</f>
        <v>*FN</v>
      </c>
      <c r="B11" s="2" t="str">
        <f>IF(LEN('A créer'!A11)=0,"","Tab")</f>
        <v>Tab</v>
      </c>
      <c r="C11" t="str">
        <f>IF(LEN('A créer'!C11)=0,"",'A créer'!A11)</f>
        <v>0490</v>
      </c>
      <c r="D11" s="2" t="str">
        <f>IF(LEN('A créer'!C11)=0,"","Tab")</f>
        <v>Tab</v>
      </c>
      <c r="E11" t="str">
        <f>IF(LEN('A créer'!C11)=0,"",'A créer'!B11)</f>
        <v>DNA</v>
      </c>
      <c r="F11" s="2" t="str">
        <f>IF(LEN('A créer'!C11)=0,"","Tab")</f>
        <v>Tab</v>
      </c>
      <c r="G11" t="str">
        <f>IF(LEN('A créer'!C11)=0,"",'A créer'!G11)</f>
        <v>S2520B</v>
      </c>
      <c r="H11" s="2" t="str">
        <f>IF(LEN('A créer'!C11)=0,"","Tab")</f>
        <v>Tab</v>
      </c>
      <c r="I11" s="2" t="str">
        <f>IF(LEN('A créer'!C11)=0,"","*SAVE")</f>
        <v>*SAVE</v>
      </c>
    </row>
    <row r="12" spans="1:9" x14ac:dyDescent="0.25">
      <c r="A12" s="2" t="str">
        <f>IF(LEN('A créer'!C12)=0,"","*FN")</f>
        <v>*FN</v>
      </c>
      <c r="B12" s="2" t="str">
        <f>IF(LEN('A créer'!A12)=0,"","Tab")</f>
        <v>Tab</v>
      </c>
      <c r="C12" t="str">
        <f>IF(LEN('A créer'!C12)=0,"",'A créer'!A12)</f>
        <v>0490</v>
      </c>
      <c r="D12" s="2" t="str">
        <f>IF(LEN('A créer'!C12)=0,"","Tab")</f>
        <v>Tab</v>
      </c>
      <c r="E12" t="str">
        <f>IF(LEN('A créer'!C12)=0,"",'A créer'!B12)</f>
        <v>DRW</v>
      </c>
      <c r="F12" s="2" t="str">
        <f>IF(LEN('A créer'!C12)=0,"","Tab")</f>
        <v>Tab</v>
      </c>
      <c r="G12" t="str">
        <f>IF(LEN('A créer'!C12)=0,"",'A créer'!G12)</f>
        <v>S2520I</v>
      </c>
      <c r="H12" s="2" t="str">
        <f>IF(LEN('A créer'!C12)=0,"","Tab")</f>
        <v>Tab</v>
      </c>
      <c r="I12" s="2" t="str">
        <f>IF(LEN('A créer'!C12)=0,"","*SAVE")</f>
        <v>*SAVE</v>
      </c>
    </row>
    <row r="13" spans="1:9" x14ac:dyDescent="0.25">
      <c r="A13" s="2" t="str">
        <f>IF(LEN('A créer'!C13)=0,"","*FN")</f>
        <v>*FN</v>
      </c>
      <c r="B13" s="2" t="str">
        <f>IF(LEN('A créer'!A13)=0,"","Tab")</f>
        <v>Tab</v>
      </c>
      <c r="C13" t="str">
        <f>IF(LEN('A créer'!C13)=0,"",'A créer'!A13)</f>
        <v>0490</v>
      </c>
      <c r="D13" s="2" t="str">
        <f>IF(LEN('A créer'!C13)=0,"","Tab")</f>
        <v>Tab</v>
      </c>
      <c r="E13" t="str">
        <f>IF(LEN('A créer'!C13)=0,"",'A créer'!B13)</f>
        <v>DSW</v>
      </c>
      <c r="F13" s="2" t="str">
        <f>IF(LEN('A créer'!C13)=0,"","Tab")</f>
        <v>Tab</v>
      </c>
      <c r="G13" t="str">
        <f>IF(LEN('A créer'!C13)=0,"",'A créer'!G13)</f>
        <v>S2520N</v>
      </c>
      <c r="H13" s="2" t="str">
        <f>IF(LEN('A créer'!C13)=0,"","Tab")</f>
        <v>Tab</v>
      </c>
      <c r="I13" s="2" t="str">
        <f>IF(LEN('A créer'!C13)=0,"","*SAVE")</f>
        <v>*SAVE</v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pane="bottomLeft" activeCell="C10" sqref="C10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créer'!P2)=0,"",'A créer'!P2)</f>
        <v/>
      </c>
      <c r="D2" s="2" t="str">
        <f>IF(LEN('A créer'!C2)=0,"","Tab")</f>
        <v>Tab</v>
      </c>
      <c r="E2" t="str">
        <f>IF(LEN('A créer'!P2)=0,"","17060")</f>
        <v/>
      </c>
      <c r="F2" s="2" t="str">
        <f>IF(LEN('A créer'!C2)=0,"","Tab")</f>
        <v>Tab</v>
      </c>
      <c r="G2" t="str">
        <f>IF(LEN('A créer'!P2)=0,"","01/01/2002")</f>
        <v/>
      </c>
      <c r="H2" s="2" t="str">
        <f>IF(LEN('A créer'!C2)=0,"","*SAVE")</f>
        <v>*SAVE</v>
      </c>
    </row>
    <row r="3" spans="1:8" x14ac:dyDescent="0.25">
      <c r="A3" s="2" t="str">
        <f>IF(LEN('A créer'!C3)=0,"","*FN")</f>
        <v>*FN</v>
      </c>
      <c r="B3" s="2" t="str">
        <f>IF(LEN('A créer'!A3)=0,"","Tab")</f>
        <v>Tab</v>
      </c>
      <c r="C3" t="str">
        <f>IF(LEN('A créer'!P3)=0,"",'A créer'!P3)</f>
        <v/>
      </c>
      <c r="D3" s="2" t="str">
        <f>IF(LEN('A créer'!C3)=0,"","Tab")</f>
        <v>Tab</v>
      </c>
      <c r="E3" t="str">
        <f>IF(LEN('A créer'!P3)=0,"","17060")</f>
        <v/>
      </c>
      <c r="F3" s="2" t="str">
        <f>IF(LEN('A créer'!C3)=0,"","Tab")</f>
        <v>Tab</v>
      </c>
      <c r="G3" t="str">
        <f>IF(LEN('A créer'!P3)=0,"","01/01/2002")</f>
        <v/>
      </c>
      <c r="H3" s="2" t="str">
        <f>IF(LEN('A créer'!C3)=0,"","*SAVE")</f>
        <v>*SAVE</v>
      </c>
    </row>
    <row r="4" spans="1:8" x14ac:dyDescent="0.25">
      <c r="A4" s="2" t="str">
        <f>IF(LEN('A créer'!C4)=0,"","*FN")</f>
        <v>*FN</v>
      </c>
      <c r="B4" s="2" t="str">
        <f>IF(LEN('A créer'!A4)=0,"","Tab")</f>
        <v>Tab</v>
      </c>
      <c r="C4" t="str">
        <f>IF(LEN('A créer'!P4)=0,"",'A créer'!P4)</f>
        <v/>
      </c>
      <c r="D4" s="2" t="str">
        <f>IF(LEN('A créer'!C4)=0,"","Tab")</f>
        <v>Tab</v>
      </c>
      <c r="E4" t="str">
        <f>IF(LEN('A créer'!P4)=0,"","17060")</f>
        <v/>
      </c>
      <c r="F4" s="2" t="str">
        <f>IF(LEN('A créer'!C4)=0,"","Tab")</f>
        <v>Tab</v>
      </c>
      <c r="G4" t="str">
        <f>IF(LEN('A créer'!P4)=0,"","01/01/2002")</f>
        <v/>
      </c>
      <c r="H4" s="2" t="str">
        <f>IF(LEN('A créer'!C4)=0,"","*SAVE")</f>
        <v>*SAVE</v>
      </c>
    </row>
    <row r="5" spans="1:8" x14ac:dyDescent="0.25">
      <c r="A5" s="2" t="str">
        <f>IF(LEN('A créer'!C5)=0,"","*FN")</f>
        <v>*FN</v>
      </c>
      <c r="B5" s="2" t="str">
        <f>IF(LEN('A créer'!A5)=0,"","Tab")</f>
        <v>Tab</v>
      </c>
      <c r="C5" t="str">
        <f>IF(LEN('A créer'!P5)=0,"",'A créer'!P5)</f>
        <v/>
      </c>
      <c r="D5" s="2" t="str">
        <f>IF(LEN('A créer'!C5)=0,"","Tab")</f>
        <v>Tab</v>
      </c>
      <c r="E5" t="str">
        <f>IF(LEN('A créer'!P5)=0,"","17060")</f>
        <v/>
      </c>
      <c r="F5" s="2" t="str">
        <f>IF(LEN('A créer'!C5)=0,"","Tab")</f>
        <v>Tab</v>
      </c>
      <c r="G5" t="str">
        <f>IF(LEN('A créer'!P5)=0,"","01/01/2002")</f>
        <v/>
      </c>
      <c r="H5" s="2" t="str">
        <f>IF(LEN('A créer'!C5)=0,"","*SAVE")</f>
        <v>*SAVE</v>
      </c>
    </row>
    <row r="6" spans="1:8" x14ac:dyDescent="0.25">
      <c r="A6" s="2" t="str">
        <f>IF(LEN('A créer'!C6)=0,"","*FN")</f>
        <v>*FN</v>
      </c>
      <c r="B6" s="2" t="str">
        <f>IF(LEN('A créer'!A6)=0,"","Tab")</f>
        <v>Tab</v>
      </c>
      <c r="C6" t="str">
        <f>IF(LEN('A créer'!P6)=0,"",'A créer'!P6)</f>
        <v/>
      </c>
      <c r="D6" s="2" t="str">
        <f>IF(LEN('A créer'!C6)=0,"","Tab")</f>
        <v>Tab</v>
      </c>
      <c r="E6" t="str">
        <f>IF(LEN('A créer'!P6)=0,"","17060")</f>
        <v/>
      </c>
      <c r="F6" s="2" t="str">
        <f>IF(LEN('A créer'!C6)=0,"","Tab")</f>
        <v>Tab</v>
      </c>
      <c r="G6" t="str">
        <f>IF(LEN('A créer'!P6)=0,"","01/01/2002")</f>
        <v/>
      </c>
      <c r="H6" s="2" t="str">
        <f>IF(LEN('A créer'!C6)=0,"","*SAVE")</f>
        <v>*SAVE</v>
      </c>
    </row>
    <row r="7" spans="1:8" x14ac:dyDescent="0.25">
      <c r="A7" s="2" t="str">
        <f>IF(LEN('A créer'!C7)=0,"","*FN")</f>
        <v>*FN</v>
      </c>
      <c r="B7" s="2" t="str">
        <f>IF(LEN('A créer'!A7)=0,"","Tab")</f>
        <v>Tab</v>
      </c>
      <c r="C7" t="str">
        <f>IF(LEN('A créer'!P7)=0,"",'A créer'!P7)</f>
        <v/>
      </c>
      <c r="D7" s="2" t="str">
        <f>IF(LEN('A créer'!C7)=0,"","Tab")</f>
        <v>Tab</v>
      </c>
      <c r="E7" t="str">
        <f>IF(LEN('A créer'!P7)=0,"","17060")</f>
        <v/>
      </c>
      <c r="F7" s="2" t="str">
        <f>IF(LEN('A créer'!C7)=0,"","Tab")</f>
        <v>Tab</v>
      </c>
      <c r="G7" t="str">
        <f>IF(LEN('A créer'!P7)=0,"","01/01/2002")</f>
        <v/>
      </c>
      <c r="H7" s="2" t="str">
        <f>IF(LEN('A créer'!C7)=0,"","*SAVE")</f>
        <v>*SAVE</v>
      </c>
    </row>
    <row r="8" spans="1:8" x14ac:dyDescent="0.25">
      <c r="A8" s="2" t="str">
        <f>IF(LEN('A créer'!C8)=0,"","*FN")</f>
        <v>*FN</v>
      </c>
      <c r="B8" s="2" t="str">
        <f>IF(LEN('A créer'!A8)=0,"","Tab")</f>
        <v>Tab</v>
      </c>
      <c r="C8" t="str">
        <f>IF(LEN('A créer'!P8)=0,"",'A créer'!P8)</f>
        <v/>
      </c>
      <c r="D8" s="2" t="str">
        <f>IF(LEN('A créer'!C8)=0,"","Tab")</f>
        <v>Tab</v>
      </c>
      <c r="E8" t="str">
        <f>IF(LEN('A créer'!P8)=0,"","17060")</f>
        <v/>
      </c>
      <c r="F8" s="2" t="str">
        <f>IF(LEN('A créer'!C8)=0,"","Tab")</f>
        <v>Tab</v>
      </c>
      <c r="G8" t="str">
        <f>IF(LEN('A créer'!P8)=0,"","01/01/2002")</f>
        <v/>
      </c>
      <c r="H8" s="2" t="str">
        <f>IF(LEN('A créer'!C8)=0,"","*SAVE")</f>
        <v>*SAVE</v>
      </c>
    </row>
    <row r="9" spans="1:8" x14ac:dyDescent="0.25">
      <c r="A9" s="2" t="str">
        <f>IF(LEN('A créer'!C9)=0,"","*FN")</f>
        <v>*FN</v>
      </c>
      <c r="B9" s="2" t="str">
        <f>IF(LEN('A créer'!A9)=0,"","Tab")</f>
        <v>Tab</v>
      </c>
      <c r="C9" t="str">
        <f>IF(LEN('A créer'!P9)=0,"",'A créer'!P9)</f>
        <v/>
      </c>
      <c r="D9" s="2" t="str">
        <f>IF(LEN('A créer'!C9)=0,"","Tab")</f>
        <v>Tab</v>
      </c>
      <c r="E9" t="str">
        <f>IF(LEN('A créer'!P9)=0,"","17060")</f>
        <v/>
      </c>
      <c r="F9" s="2" t="str">
        <f>IF(LEN('A créer'!C9)=0,"","Tab")</f>
        <v>Tab</v>
      </c>
      <c r="G9" t="str">
        <f>IF(LEN('A créer'!P9)=0,"","01/01/2002")</f>
        <v/>
      </c>
      <c r="H9" s="2" t="str">
        <f>IF(LEN('A créer'!C9)=0,"","*SAVE")</f>
        <v>*SAVE</v>
      </c>
    </row>
    <row r="10" spans="1:8" x14ac:dyDescent="0.25">
      <c r="A10" s="2" t="str">
        <f>IF(LEN('A créer'!C10)=0,"","*FN")</f>
        <v>*FN</v>
      </c>
      <c r="B10" s="2" t="str">
        <f>IF(LEN('A créer'!A10)=0,"","Tab")</f>
        <v>Tab</v>
      </c>
      <c r="C10" t="str">
        <f>IF(LEN('A créer'!P10)=0,"",'A créer'!P10)</f>
        <v/>
      </c>
      <c r="D10" s="2" t="str">
        <f>IF(LEN('A créer'!C10)=0,"","Tab")</f>
        <v>Tab</v>
      </c>
      <c r="E10" t="str">
        <f>IF(LEN('A créer'!P10)=0,"","17060")</f>
        <v/>
      </c>
      <c r="F10" s="2" t="str">
        <f>IF(LEN('A créer'!C10)=0,"","Tab")</f>
        <v>Tab</v>
      </c>
      <c r="G10" t="str">
        <f>IF(LEN('A créer'!P10)=0,"","01/01/2002")</f>
        <v/>
      </c>
      <c r="H10" s="2" t="str">
        <f>IF(LEN('A créer'!C10)=0,"","*SAVE")</f>
        <v>*SAVE</v>
      </c>
    </row>
    <row r="11" spans="1:8" x14ac:dyDescent="0.25">
      <c r="A11" s="2" t="str">
        <f>IF(LEN('A créer'!C11)=0,"","*FN")</f>
        <v>*FN</v>
      </c>
      <c r="B11" s="2" t="str">
        <f>IF(LEN('A créer'!A11)=0,"","Tab")</f>
        <v>Tab</v>
      </c>
      <c r="C11" t="str">
        <f>IF(LEN('A créer'!P11)=0,"",'A créer'!P11)</f>
        <v/>
      </c>
      <c r="D11" s="2" t="str">
        <f>IF(LEN('A créer'!C11)=0,"","Tab")</f>
        <v>Tab</v>
      </c>
      <c r="E11" t="str">
        <f>IF(LEN('A créer'!P11)=0,"","17060")</f>
        <v/>
      </c>
      <c r="F11" s="2" t="str">
        <f>IF(LEN('A créer'!C11)=0,"","Tab")</f>
        <v>Tab</v>
      </c>
      <c r="G11" t="str">
        <f>IF(LEN('A créer'!P11)=0,"","01/01/2002")</f>
        <v/>
      </c>
      <c r="H11" s="2" t="str">
        <f>IF(LEN('A créer'!C11)=0,"","*SAVE")</f>
        <v>*SAVE</v>
      </c>
    </row>
    <row r="12" spans="1:8" x14ac:dyDescent="0.25">
      <c r="A12" s="2" t="str">
        <f>IF(LEN('A créer'!C12)=0,"","*FN")</f>
        <v>*FN</v>
      </c>
      <c r="B12" s="2" t="str">
        <f>IF(LEN('A créer'!A12)=0,"","Tab")</f>
        <v>Tab</v>
      </c>
      <c r="C12" t="str">
        <f>IF(LEN('A créer'!P12)=0,"",'A créer'!P12)</f>
        <v/>
      </c>
      <c r="D12" s="2" t="str">
        <f>IF(LEN('A créer'!C12)=0,"","Tab")</f>
        <v>Tab</v>
      </c>
      <c r="E12" t="str">
        <f>IF(LEN('A créer'!P12)=0,"","17060")</f>
        <v/>
      </c>
      <c r="F12" s="2" t="str">
        <f>IF(LEN('A créer'!C12)=0,"","Tab")</f>
        <v>Tab</v>
      </c>
      <c r="G12" t="str">
        <f>IF(LEN('A créer'!P12)=0,"","01/01/2002")</f>
        <v/>
      </c>
      <c r="H12" s="2" t="str">
        <f>IF(LEN('A créer'!C12)=0,"","*SAVE")</f>
        <v>*SAVE</v>
      </c>
    </row>
    <row r="13" spans="1:8" x14ac:dyDescent="0.25">
      <c r="A13" s="2" t="str">
        <f>IF(LEN('A créer'!C13)=0,"","*FN")</f>
        <v>*FN</v>
      </c>
      <c r="B13" s="2" t="str">
        <f>IF(LEN('A créer'!A13)=0,"","Tab")</f>
        <v>Tab</v>
      </c>
      <c r="C13" t="str">
        <f>IF(LEN('A créer'!P13)=0,"",'A créer'!P13)</f>
        <v/>
      </c>
      <c r="D13" s="2" t="str">
        <f>IF(LEN('A créer'!C13)=0,"","Tab")</f>
        <v>Tab</v>
      </c>
      <c r="E13" t="str">
        <f>IF(LEN('A créer'!P13)=0,"","17060")</f>
        <v/>
      </c>
      <c r="F13" s="2" t="str">
        <f>IF(LEN('A créer'!C13)=0,"","Tab")</f>
        <v>Tab</v>
      </c>
      <c r="G13" t="str">
        <f>IF(LEN('A créer'!P13)=0,"","01/01/2002")</f>
        <v/>
      </c>
      <c r="H13" s="2" t="str">
        <f>IF(LEN('A créer'!C13)=0,"","*SAVE")</f>
        <v>*SAVE</v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DEW0491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>TAB</v>
      </c>
      <c r="B3" s="6" t="str">
        <f>CONCATENATE('A créer'!B3,'A créer'!A3)</f>
        <v>DRW0492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25">
      <c r="A4" s="2" t="str">
        <f>IF(LEN('A créer'!$C4)=0,"","TAB")</f>
        <v>TAB</v>
      </c>
      <c r="B4" s="6" t="str">
        <f>CONCATENATE('A créer'!B4,'A créer'!A4)</f>
        <v>DSW0493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25">
      <c r="A5" s="2" t="str">
        <f>IF(LEN('A créer'!$C5)=0,"","TAB")</f>
        <v>TAB</v>
      </c>
      <c r="B5" s="6" t="str">
        <f>CONCATENATE('A créer'!B5,'A créer'!A5)</f>
        <v>DMS0498</v>
      </c>
      <c r="C5" s="2" t="str">
        <f>IF(LEN('A créer'!$C5)=0,"","TAB")</f>
        <v>TAB</v>
      </c>
      <c r="D5" s="2" t="str">
        <f>IF(LEN('A créer'!$C5)=0,"","ENT")</f>
        <v>ENT</v>
      </c>
      <c r="E5" s="2" t="str">
        <f>IF(LEN('A créer'!$C5)=0,"","TAB")</f>
        <v>TAB</v>
      </c>
      <c r="F5" s="2" t="str">
        <f>IF(LEN('A créer'!$C5)=0,"","TAB")</f>
        <v>TAB</v>
      </c>
      <c r="G5" s="2" t="str">
        <f>IF(LEN('A créer'!$C5)=0,"","ENT")</f>
        <v>ENT</v>
      </c>
      <c r="H5" s="2" t="str">
        <f>IF(LEN('A créer'!$C5)=0,"","ENT")</f>
        <v>ENT</v>
      </c>
    </row>
    <row r="6" spans="1:8" x14ac:dyDescent="0.25">
      <c r="A6" s="2" t="str">
        <f>IF(LEN('A créer'!$C6)=0,"","TAB")</f>
        <v>TAB</v>
      </c>
      <c r="B6" s="6" t="str">
        <f>CONCATENATE('A créer'!B6,'A créer'!A6)</f>
        <v>DOS0490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25">
      <c r="A7" s="2" t="str">
        <f>IF(LEN('A créer'!$C7)=0,"","TAB")</f>
        <v>TAB</v>
      </c>
      <c r="B7" s="6" t="str">
        <f>CONCATENATE('A créer'!B7,'A créer'!A7)</f>
        <v>DCW0490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25">
      <c r="A8" s="2" t="str">
        <f>IF(LEN('A créer'!$C8)=0,"","TAB")</f>
        <v>TAB</v>
      </c>
      <c r="B8" s="6" t="str">
        <f>CONCATENATE('A créer'!B8,'A créer'!A8)</f>
        <v>DEW0490</v>
      </c>
      <c r="C8" s="2" t="str">
        <f>IF(LEN('A créer'!$C8)=0,"","TAB")</f>
        <v>TAB</v>
      </c>
      <c r="D8" s="2" t="str">
        <f>IF(LEN('A créer'!$C8)=0,"","ENT")</f>
        <v>ENT</v>
      </c>
      <c r="E8" s="2" t="str">
        <f>IF(LEN('A créer'!$C8)=0,"","TAB")</f>
        <v>TAB</v>
      </c>
      <c r="F8" s="2" t="str">
        <f>IF(LEN('A créer'!$C8)=0,"","TAB")</f>
        <v>TAB</v>
      </c>
      <c r="G8" s="2" t="str">
        <f>IF(LEN('A créer'!$C8)=0,"","ENT")</f>
        <v>ENT</v>
      </c>
      <c r="H8" s="2" t="str">
        <f>IF(LEN('A créer'!$C8)=0,"","ENT")</f>
        <v>ENT</v>
      </c>
    </row>
    <row r="9" spans="1:8" x14ac:dyDescent="0.25">
      <c r="A9" s="2" t="str">
        <f>IF(LEN('A créer'!$C9)=0,"","TAB")</f>
        <v>TAB</v>
      </c>
      <c r="B9" s="6" t="str">
        <f>CONCATENATE('A créer'!B9,'A créer'!A9)</f>
        <v>DLS0490</v>
      </c>
      <c r="C9" s="2" t="str">
        <f>IF(LEN('A créer'!$C9)=0,"","TAB")</f>
        <v>TAB</v>
      </c>
      <c r="D9" s="2" t="str">
        <f>IF(LEN('A créer'!$C9)=0,"","ENT")</f>
        <v>ENT</v>
      </c>
      <c r="E9" s="2" t="str">
        <f>IF(LEN('A créer'!$C9)=0,"","TAB")</f>
        <v>TAB</v>
      </c>
      <c r="F9" s="2" t="str">
        <f>IF(LEN('A créer'!$C9)=0,"","TAB")</f>
        <v>TAB</v>
      </c>
      <c r="G9" s="2" t="str">
        <f>IF(LEN('A créer'!$C9)=0,"","ENT")</f>
        <v>ENT</v>
      </c>
      <c r="H9" s="2" t="str">
        <f>IF(LEN('A créer'!$C9)=0,"","ENT")</f>
        <v>ENT</v>
      </c>
    </row>
    <row r="10" spans="1:8" x14ac:dyDescent="0.25">
      <c r="A10" s="2" t="str">
        <f>IF(LEN('A créer'!$C10)=0,"","TAB")</f>
        <v>TAB</v>
      </c>
      <c r="B10" s="6" t="str">
        <f>CONCATENATE('A créer'!B10,'A créer'!A10)</f>
        <v>DMS0490</v>
      </c>
      <c r="C10" s="2" t="str">
        <f>IF(LEN('A créer'!$C10)=0,"","TAB")</f>
        <v>TAB</v>
      </c>
      <c r="D10" s="2" t="str">
        <f>IF(LEN('A créer'!$C10)=0,"","ENT")</f>
        <v>ENT</v>
      </c>
      <c r="E10" s="2" t="str">
        <f>IF(LEN('A créer'!$C10)=0,"","TAB")</f>
        <v>TAB</v>
      </c>
      <c r="F10" s="2" t="str">
        <f>IF(LEN('A créer'!$C10)=0,"","TAB")</f>
        <v>TAB</v>
      </c>
      <c r="G10" s="2" t="str">
        <f>IF(LEN('A créer'!$C10)=0,"","ENT")</f>
        <v>ENT</v>
      </c>
      <c r="H10" s="2" t="str">
        <f>IF(LEN('A créer'!$C10)=0,"","ENT")</f>
        <v>ENT</v>
      </c>
    </row>
    <row r="11" spans="1:8" x14ac:dyDescent="0.25">
      <c r="A11" s="2" t="str">
        <f>IF(LEN('A créer'!$C11)=0,"","TAB")</f>
        <v>TAB</v>
      </c>
      <c r="B11" s="6" t="str">
        <f>CONCATENATE('A créer'!B11,'A créer'!A11)</f>
        <v>DNA0490</v>
      </c>
      <c r="C11" s="2" t="str">
        <f>IF(LEN('A créer'!$C11)=0,"","TAB")</f>
        <v>TAB</v>
      </c>
      <c r="D11" s="2" t="str">
        <f>IF(LEN('A créer'!$C11)=0,"","ENT")</f>
        <v>ENT</v>
      </c>
      <c r="E11" s="2" t="str">
        <f>IF(LEN('A créer'!$C11)=0,"","TAB")</f>
        <v>TAB</v>
      </c>
      <c r="F11" s="2" t="str">
        <f>IF(LEN('A créer'!$C11)=0,"","TAB")</f>
        <v>TAB</v>
      </c>
      <c r="G11" s="2" t="str">
        <f>IF(LEN('A créer'!$C11)=0,"","ENT")</f>
        <v>ENT</v>
      </c>
      <c r="H11" s="2" t="str">
        <f>IF(LEN('A créer'!$C11)=0,"","ENT")</f>
        <v>ENT</v>
      </c>
    </row>
    <row r="12" spans="1:8" x14ac:dyDescent="0.25">
      <c r="A12" s="2" t="str">
        <f>IF(LEN('A créer'!$C12)=0,"","TAB")</f>
        <v>TAB</v>
      </c>
      <c r="B12" s="6" t="str">
        <f>CONCATENATE('A créer'!B12,'A créer'!A12)</f>
        <v>DRW0490</v>
      </c>
      <c r="C12" s="2" t="str">
        <f>IF(LEN('A créer'!$C12)=0,"","TAB")</f>
        <v>TAB</v>
      </c>
      <c r="D12" s="2" t="str">
        <f>IF(LEN('A créer'!$C12)=0,"","ENT")</f>
        <v>ENT</v>
      </c>
      <c r="E12" s="2" t="str">
        <f>IF(LEN('A créer'!$C12)=0,"","TAB")</f>
        <v>TAB</v>
      </c>
      <c r="F12" s="2" t="str">
        <f>IF(LEN('A créer'!$C12)=0,"","TAB")</f>
        <v>TAB</v>
      </c>
      <c r="G12" s="2" t="str">
        <f>IF(LEN('A créer'!$C12)=0,"","ENT")</f>
        <v>ENT</v>
      </c>
      <c r="H12" s="2" t="str">
        <f>IF(LEN('A créer'!$C12)=0,"","ENT")</f>
        <v>ENT</v>
      </c>
    </row>
    <row r="13" spans="1:8" x14ac:dyDescent="0.25">
      <c r="A13" s="2" t="str">
        <f>IF(LEN('A créer'!$C13)=0,"","TAB")</f>
        <v>TAB</v>
      </c>
      <c r="B13" s="6" t="str">
        <f>CONCATENATE('A créer'!B13,'A créer'!A13)</f>
        <v>DSW0490</v>
      </c>
      <c r="C13" s="2" t="str">
        <f>IF(LEN('A créer'!$C13)=0,"","TAB")</f>
        <v>TAB</v>
      </c>
      <c r="D13" s="2" t="str">
        <f>IF(LEN('A créer'!$C13)=0,"","ENT")</f>
        <v>ENT</v>
      </c>
      <c r="E13" s="2" t="str">
        <f>IF(LEN('A créer'!$C13)=0,"","TAB")</f>
        <v>TAB</v>
      </c>
      <c r="F13" s="2" t="str">
        <f>IF(LEN('A créer'!$C13)=0,"","TAB")</f>
        <v>TAB</v>
      </c>
      <c r="G13" s="2" t="str">
        <f>IF(LEN('A créer'!$C13)=0,"","ENT")</f>
        <v>ENT</v>
      </c>
      <c r="H13" s="2" t="str">
        <f>IF(LEN('A créer'!$C13)=0,"","ENT")</f>
        <v>ENT</v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J10" sqref="J10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DEW0491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DRW0492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2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DSW0493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25">
      <c r="A5" s="2" t="str">
        <f>IF(LEN('A créer'!C5)=0,"","*FN")</f>
        <v>*FN</v>
      </c>
      <c r="B5" s="2" t="str">
        <f>IF(LEN('A créer'!C5)=0,"","Tab")</f>
        <v>Tab</v>
      </c>
      <c r="C5" s="8" t="str">
        <f>CONCATENATE('A créer'!B5,'A créer'!A5)</f>
        <v>DMS0498</v>
      </c>
      <c r="D5" s="2" t="str">
        <f>IF(LEN('A créer'!C5)=0,"","Tab")</f>
        <v>Tab</v>
      </c>
      <c r="E5" s="2" t="str">
        <f>IF(LEN('A créer'!C5)=0,"","*SAVE")</f>
        <v>*SAVE</v>
      </c>
    </row>
    <row r="6" spans="1:5" x14ac:dyDescent="0.2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DOS0490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25">
      <c r="A7" s="2" t="str">
        <f>IF(LEN('A créer'!C7)=0,"","*FN")</f>
        <v>*FN</v>
      </c>
      <c r="B7" s="2" t="str">
        <f>IF(LEN('A créer'!C7)=0,"","Tab")</f>
        <v>Tab</v>
      </c>
      <c r="C7" s="8" t="str">
        <f>CONCATENATE('A créer'!B7,'A créer'!A7)</f>
        <v>DCW0490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25">
      <c r="A8" s="2" t="str">
        <f>IF(LEN('A créer'!C8)=0,"","*FN")</f>
        <v>*FN</v>
      </c>
      <c r="B8" s="2" t="str">
        <f>IF(LEN('A créer'!C8)=0,"","Tab")</f>
        <v>Tab</v>
      </c>
      <c r="C8" s="8" t="str">
        <f>CONCATENATE('A créer'!B8,'A créer'!A8)</f>
        <v>DEW0490</v>
      </c>
      <c r="D8" s="2" t="str">
        <f>IF(LEN('A créer'!C8)=0,"","Tab")</f>
        <v>Tab</v>
      </c>
      <c r="E8" s="2" t="str">
        <f>IF(LEN('A créer'!C8)=0,"","*SAVE")</f>
        <v>*SAVE</v>
      </c>
    </row>
    <row r="9" spans="1:5" x14ac:dyDescent="0.25">
      <c r="A9" s="2" t="str">
        <f>IF(LEN('A créer'!C9)=0,"","*FN")</f>
        <v>*FN</v>
      </c>
      <c r="B9" s="2" t="str">
        <f>IF(LEN('A créer'!C9)=0,"","Tab")</f>
        <v>Tab</v>
      </c>
      <c r="C9" s="8" t="str">
        <f>CONCATENATE('A créer'!B9,'A créer'!A9)</f>
        <v>DLS0490</v>
      </c>
      <c r="D9" s="2" t="str">
        <f>IF(LEN('A créer'!C9)=0,"","Tab")</f>
        <v>Tab</v>
      </c>
      <c r="E9" s="2" t="str">
        <f>IF(LEN('A créer'!C9)=0,"","*SAVE")</f>
        <v>*SAVE</v>
      </c>
    </row>
    <row r="10" spans="1:5" x14ac:dyDescent="0.25">
      <c r="A10" s="2" t="str">
        <f>IF(LEN('A créer'!C10)=0,"","*FN")</f>
        <v>*FN</v>
      </c>
      <c r="B10" s="2" t="str">
        <f>IF(LEN('A créer'!C10)=0,"","Tab")</f>
        <v>Tab</v>
      </c>
      <c r="C10" s="8" t="str">
        <f>CONCATENATE('A créer'!B10,'A créer'!A10)</f>
        <v>DMS0490</v>
      </c>
      <c r="D10" s="2" t="str">
        <f>IF(LEN('A créer'!C10)=0,"","Tab")</f>
        <v>Tab</v>
      </c>
      <c r="E10" s="2" t="str">
        <f>IF(LEN('A créer'!C10)=0,"","*SAVE")</f>
        <v>*SAVE</v>
      </c>
    </row>
    <row r="11" spans="1:5" x14ac:dyDescent="0.25">
      <c r="A11" s="2" t="str">
        <f>IF(LEN('A créer'!C11)=0,"","*FN")</f>
        <v>*FN</v>
      </c>
      <c r="B11" s="2" t="str">
        <f>IF(LEN('A créer'!C11)=0,"","Tab")</f>
        <v>Tab</v>
      </c>
      <c r="C11" s="8" t="str">
        <f>CONCATENATE('A créer'!B11,'A créer'!A11)</f>
        <v>DNA0490</v>
      </c>
      <c r="D11" s="2" t="str">
        <f>IF(LEN('A créer'!C11)=0,"","Tab")</f>
        <v>Tab</v>
      </c>
      <c r="E11" s="2" t="str">
        <f>IF(LEN('A créer'!C11)=0,"","*SAVE")</f>
        <v>*SAVE</v>
      </c>
    </row>
    <row r="12" spans="1:5" x14ac:dyDescent="0.25">
      <c r="A12" s="2" t="str">
        <f>IF(LEN('A créer'!C12)=0,"","*FN")</f>
        <v>*FN</v>
      </c>
      <c r="B12" s="2" t="str">
        <f>IF(LEN('A créer'!C12)=0,"","Tab")</f>
        <v>Tab</v>
      </c>
      <c r="C12" s="8" t="str">
        <f>CONCATENATE('A créer'!B12,'A créer'!A12)</f>
        <v>DRW0490</v>
      </c>
      <c r="D12" s="2" t="str">
        <f>IF(LEN('A créer'!C12)=0,"","Tab")</f>
        <v>Tab</v>
      </c>
      <c r="E12" s="2" t="str">
        <f>IF(LEN('A créer'!C12)=0,"","*SAVE")</f>
        <v>*SAVE</v>
      </c>
    </row>
    <row r="13" spans="1:5" x14ac:dyDescent="0.25">
      <c r="A13" s="2" t="str">
        <f>IF(LEN('A créer'!C13)=0,"","*FN")</f>
        <v>*FN</v>
      </c>
      <c r="B13" s="2" t="str">
        <f>IF(LEN('A créer'!C13)=0,"","Tab")</f>
        <v>Tab</v>
      </c>
      <c r="C13" s="8" t="str">
        <f>CONCATENATE('A créer'!B13,'A créer'!A13)</f>
        <v>DSW0490</v>
      </c>
      <c r="D13" s="2" t="str">
        <f>IF(LEN('A créer'!C13)=0,"","Tab")</f>
        <v>Tab</v>
      </c>
      <c r="E13" s="2" t="str">
        <f>IF(LEN('A créer'!C13)=0,"","*SAVE")</f>
        <v>*SAVE</v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AD2" sqref="AD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1.5703125" style="6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DEW0491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DEW0491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créer'!$E2&gt;0)),"","*ML(237,126)")</f>
        <v>*ML(237,126)</v>
      </c>
      <c r="P2" s="2" t="str">
        <f>IF(OR(LEN('A créer'!$C2)=0,'A créer'!$E2="Oui"),"","*FN")</f>
        <v>*FN</v>
      </c>
      <c r="Q2" s="6" t="str">
        <f>IF(OR(LEN('A créer'!$C2)=0,'A créer'!$E2="Oui"),"",'A créer'!A2)</f>
        <v>0491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DEW0491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créer'!$E2="Oui"),"","*ML(237,126)")</f>
        <v>*ML(237,126)</v>
      </c>
    </row>
    <row r="3" spans="1:30" x14ac:dyDescent="0.25">
      <c r="A3" s="2" t="str">
        <f>IF(AND(LEN('A créer'!$C3)=0,LEN('A créer'!$E3&gt;0)),"","*FN")</f>
        <v>*FN</v>
      </c>
      <c r="B3" s="6" t="str">
        <f>IF(AND(LEN('A créer'!$C3)=0,LEN('A créer'!$E3&gt;0)),"",CONCATENATE('A créer'!B3,'A créer'!A3))</f>
        <v>DRW0492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DRW0492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créer'!$E3&gt;0)),"","*ML(237,126)")</f>
        <v>*ML(237,126)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0492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DRW0492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créer'!$E3="Oui"),"","*ML(237,126)")</f>
        <v>*ML(237,126)</v>
      </c>
    </row>
    <row r="4" spans="1:30" x14ac:dyDescent="0.25">
      <c r="A4" s="2" t="str">
        <f>IF(AND(LEN('A créer'!$C4)=0,LEN('A créer'!$E4&gt;0)),"","*FN")</f>
        <v>*FN</v>
      </c>
      <c r="B4" s="6" t="str">
        <f>IF(AND(LEN('A créer'!$C4)=0,LEN('A créer'!$E4&gt;0)),"",CONCATENATE('A créer'!B4,'A créer'!A4))</f>
        <v>DSW0493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DSW0493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créer'!$E4&gt;0)),"","*ML(237,126)")</f>
        <v>*ML(237,126)</v>
      </c>
      <c r="P4" s="2" t="str">
        <f>IF(OR(LEN('A créer'!$C4)=0,'A créer'!$E4="Oui"),"","*FN")</f>
        <v>*FN</v>
      </c>
      <c r="Q4" s="6" t="str">
        <f>IF(OR(LEN('A créer'!$C4)=0,'A créer'!$E4="Oui"),"",'A créer'!A4)</f>
        <v>0493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DSW0493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créer'!$E4="Oui"),"","*ML(237,126)")</f>
        <v>*ML(237,126)</v>
      </c>
    </row>
    <row r="5" spans="1:30" x14ac:dyDescent="0.25">
      <c r="A5" s="2" t="str">
        <f>IF(AND(LEN('A créer'!$C5)=0,LEN('A créer'!$E5&gt;0)),"","*FN")</f>
        <v>*FN</v>
      </c>
      <c r="B5" s="6" t="str">
        <f>IF(AND(LEN('A créer'!$C5)=0,LEN('A créer'!$E5&gt;0)),"",CONCATENATE('A créer'!B5,'A créer'!A5))</f>
        <v>DMS0498</v>
      </c>
      <c r="C5" s="2" t="str">
        <f>IF(AND(LEN('A créer'!$C5)=0,LEN('A créer'!$E5&gt;0)),"","TAB")</f>
        <v>TAB</v>
      </c>
      <c r="D5" s="6" t="str">
        <f>IF(AND(LEN('A créer'!$C5)=0,LEN('A créer'!$E5&gt;0)),"","Setup Business Group")</f>
        <v>Setup Business Group</v>
      </c>
      <c r="E5" s="2" t="str">
        <f>IF(AND(LEN('A créer'!$C5)=0,LEN('A créer'!$E5&gt;0)),"","TAB 4")</f>
        <v>TAB 4</v>
      </c>
      <c r="F5" s="2" t="str">
        <f>IF(AND(LEN('A créer'!$C5)=0,LEN('A créer'!$E5&gt;0)),"","TAB 4")</f>
        <v>TAB 4</v>
      </c>
      <c r="G5" s="2" t="str">
        <f>IF(AND(LEN('A créer'!$C5)=0,LEN('A créer'!$E5&gt;0)),"","TAB")</f>
        <v>TAB</v>
      </c>
      <c r="H5" s="2" t="str">
        <f>IF(AND(LEN('A créer'!$C5)=0,LEN('A créer'!$E5&gt;0)),"","TAB")</f>
        <v>TAB</v>
      </c>
      <c r="I5" s="2" t="str">
        <f>IF(AND(LEN('A créer'!$C5)=0,LEN('A créer'!$E5&gt;0)),"","TAB")</f>
        <v>TAB</v>
      </c>
      <c r="J5" s="6" t="str">
        <f>IF(AND(LEN('A créer'!$C5)=0,LEN('A créer'!$E5&gt;0)),"","\Sécuriser les organisations par hiérarchie")</f>
        <v>\Sécuriser les organisations par hiérarchie</v>
      </c>
      <c r="K5" s="2" t="str">
        <f>IF(AND(LEN('A créer'!$C5)=0,LEN('A créer'!$E5&gt;0)),"","TAB 4")</f>
        <v>TAB 4</v>
      </c>
      <c r="L5" s="6" t="str">
        <f>IF(AND(LEN('A créer'!$C5)=0,LEN('A créer'!$E5&gt;0)),"",CONCATENATE('A créer'!B5,'A créer'!A5))</f>
        <v>DMS0498</v>
      </c>
      <c r="M5" s="2" t="str">
        <f>IF(AND(LEN('A créer'!$C5)=0,LEN('A créer'!$E5&gt;0)),"","TAB")</f>
        <v>TAB</v>
      </c>
      <c r="N5" s="2" t="str">
        <f>IF(AND(LEN('A créer'!$C5)=0,LEN('A créer'!$E5&gt;0)),"","*SAVE")</f>
        <v>*SAVE</v>
      </c>
      <c r="O5" s="2" t="str">
        <f>IF(AND(LEN('A créer'!$C5)=0,LEN('A créer'!$E5&gt;0)),"","*ML(237,126)")</f>
        <v>*ML(237,126)</v>
      </c>
      <c r="P5" s="2" t="str">
        <f>IF(OR(LEN('A créer'!$C5)=0,'A créer'!$E5="Oui"),"","*FN")</f>
        <v>*FN</v>
      </c>
      <c r="Q5" s="6" t="str">
        <f>IF(OR(LEN('A créer'!$C5)=0,'A créer'!$E5="Oui"),"",'A créer'!A5)</f>
        <v>0498</v>
      </c>
      <c r="R5" s="2" t="str">
        <f>IF(OR(LEN('A créer'!$C5)=0,'A créer'!$E5="Oui"),"","TAB")</f>
        <v>TAB</v>
      </c>
      <c r="S5" s="6" t="str">
        <f>IF(OR(LEN('A créer'!$C5)=0,'A créer'!$E5="Oui"),"","Setup Business Group")</f>
        <v>Setup Business Group</v>
      </c>
      <c r="T5" s="2" t="str">
        <f>IF(OR(LEN('A créer'!$C5)=0,'A créer'!$E5="Oui"),"","TAB 4")</f>
        <v>TAB 4</v>
      </c>
      <c r="U5" s="2" t="str">
        <f>IF(OR(LEN('A créer'!$C5)=0,'A créer'!$E5="Oui"),"","TAB 4")</f>
        <v>TAB 4</v>
      </c>
      <c r="V5" s="2" t="str">
        <f>IF(OR(LEN('A créer'!$C5)=0,'A créer'!$E5="Oui"),"","TAB")</f>
        <v>TAB</v>
      </c>
      <c r="W5" s="2" t="str">
        <f>IF(OR(LEN('A créer'!$C5)=0,'A créer'!$E5="Oui"),"","TAB")</f>
        <v>TAB</v>
      </c>
      <c r="X5" s="2" t="str">
        <f>IF(OR(LEN('A créer'!$C5)=0,'A créer'!$E5="Oui"),"","TAB")</f>
        <v>TAB</v>
      </c>
      <c r="Y5" s="6" t="str">
        <f>IF(OR(LEN('A créer'!$C5)=0,'A créer'!$E5="Oui"),"","\Sécuriser les organisations par hiérarchie")</f>
        <v>\Sécuriser les organisations par hiérarchie</v>
      </c>
      <c r="Z5" s="2" t="str">
        <f>IF(OR(LEN('A créer'!$C5)=0,'A créer'!$E5="Oui"),"","TAB 4")</f>
        <v>TAB 4</v>
      </c>
      <c r="AA5" s="6" t="str">
        <f>IF(OR(LEN('A créer'!$C5)=0,'A créer'!$E5="Oui"),"",CONCATENATE('A créer'!B5,'A créer'!A5))</f>
        <v>DMS0498</v>
      </c>
      <c r="AB5" s="2" t="str">
        <f>IF(OR(LEN('A créer'!$C5)=0,'A créer'!$E5="Oui"),"","TAB")</f>
        <v>TAB</v>
      </c>
      <c r="AC5" s="2" t="str">
        <f>IF(OR(LEN('A créer'!$C5)=0,'A créer'!$E5="Oui"),"","*SAVE")</f>
        <v>*SAVE</v>
      </c>
      <c r="AD5" s="2" t="str">
        <f>IF(OR(LEN('A créer'!$C5)=0,'A créer'!$E5="Oui"),"","*ML(237,126)")</f>
        <v>*ML(237,126)</v>
      </c>
    </row>
    <row r="6" spans="1:30" x14ac:dyDescent="0.25">
      <c r="A6" s="2" t="str">
        <f>IF(AND(LEN('A créer'!$C6)=0,LEN('A créer'!$E6&gt;0)),"","*FN")</f>
        <v>*FN</v>
      </c>
      <c r="B6" s="6" t="str">
        <f>IF(AND(LEN('A créer'!$C6)=0,LEN('A créer'!$E6&gt;0)),"",CONCATENATE('A créer'!B6,'A créer'!A6))</f>
        <v>DOS0490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DOS0490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créer'!$E6&gt;0)),"","*ML(237,126)")</f>
        <v>*ML(237,126)</v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créer'!$E6="Oui"),"","*ML(237,126)")</f>
        <v/>
      </c>
    </row>
    <row r="7" spans="1:30" x14ac:dyDescent="0.25">
      <c r="A7" s="2" t="str">
        <f>IF(AND(LEN('A créer'!$C7)=0,LEN('A créer'!$E7&gt;0)),"","*FN")</f>
        <v>*FN</v>
      </c>
      <c r="B7" s="6" t="str">
        <f>IF(AND(LEN('A créer'!$C7)=0,LEN('A créer'!$E7&gt;0)),"",CONCATENATE('A créer'!B7,'A créer'!A7))</f>
        <v>DCW0490</v>
      </c>
      <c r="C7" s="2" t="str">
        <f>IF(AND(LEN('A créer'!$C7)=0,LEN('A créer'!$E7&gt;0)),"","TAB")</f>
        <v>TAB</v>
      </c>
      <c r="D7" s="6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6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6" t="str">
        <f>IF(AND(LEN('A créer'!$C7)=0,LEN('A créer'!$E7&gt;0)),"",CONCATENATE('A créer'!B7,'A créer'!A7))</f>
        <v>DCW0490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créer'!$E7&gt;0)),"","*ML(237,126)")</f>
        <v>*ML(237,126)</v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créer'!$E7="Oui"),"","*ML(237,126)")</f>
        <v/>
      </c>
    </row>
    <row r="8" spans="1:30" x14ac:dyDescent="0.25">
      <c r="A8" s="2" t="str">
        <f>IF(AND(LEN('A créer'!$C8)=0,LEN('A créer'!$E8&gt;0)),"","*FN")</f>
        <v>*FN</v>
      </c>
      <c r="B8" s="6" t="str">
        <f>IF(AND(LEN('A créer'!$C8)=0,LEN('A créer'!$E8&gt;0)),"",CONCATENATE('A créer'!B8,'A créer'!A8))</f>
        <v>DEW0490</v>
      </c>
      <c r="C8" s="2" t="str">
        <f>IF(AND(LEN('A créer'!$C8)=0,LEN('A créer'!$E8&gt;0)),"","TAB")</f>
        <v>TAB</v>
      </c>
      <c r="D8" s="6" t="str">
        <f>IF(AND(LEN('A créer'!$C8)=0,LEN('A créer'!$E8&gt;0)),"","Setup Business Group")</f>
        <v>Setup Business Group</v>
      </c>
      <c r="E8" s="2" t="str">
        <f>IF(AND(LEN('A créer'!$C8)=0,LEN('A créer'!$E8&gt;0)),"","TAB 4")</f>
        <v>TAB 4</v>
      </c>
      <c r="F8" s="2" t="str">
        <f>IF(AND(LEN('A créer'!$C8)=0,LEN('A créer'!$E8&gt;0)),"","TAB 4")</f>
        <v>TAB 4</v>
      </c>
      <c r="G8" s="2" t="str">
        <f>IF(AND(LEN('A créer'!$C8)=0,LEN('A créer'!$E8&gt;0)),"","TAB")</f>
        <v>TAB</v>
      </c>
      <c r="H8" s="2" t="str">
        <f>IF(AND(LEN('A créer'!$C8)=0,LEN('A créer'!$E8&gt;0)),"","TAB")</f>
        <v>TAB</v>
      </c>
      <c r="I8" s="2" t="str">
        <f>IF(AND(LEN('A créer'!$C8)=0,LEN('A créer'!$E8&gt;0)),"","TAB")</f>
        <v>TAB</v>
      </c>
      <c r="J8" s="6" t="str">
        <f>IF(AND(LEN('A créer'!$C8)=0,LEN('A créer'!$E8&gt;0)),"","\Sécuriser les organisations par hiérarchie")</f>
        <v>\Sécuriser les organisations par hiérarchie</v>
      </c>
      <c r="K8" s="2" t="str">
        <f>IF(AND(LEN('A créer'!$C8)=0,LEN('A créer'!$E8&gt;0)),"","TAB 4")</f>
        <v>TAB 4</v>
      </c>
      <c r="L8" s="6" t="str">
        <f>IF(AND(LEN('A créer'!$C8)=0,LEN('A créer'!$E8&gt;0)),"",CONCATENATE('A créer'!B8,'A créer'!A8))</f>
        <v>DEW0490</v>
      </c>
      <c r="M8" s="2" t="str">
        <f>IF(AND(LEN('A créer'!$C8)=0,LEN('A créer'!$E8&gt;0)),"","TAB")</f>
        <v>TAB</v>
      </c>
      <c r="N8" s="2" t="str">
        <f>IF(AND(LEN('A créer'!$C8)=0,LEN('A créer'!$E8&gt;0)),"","*SAVE")</f>
        <v>*SAVE</v>
      </c>
      <c r="O8" s="2" t="str">
        <f>IF(AND(LEN('A créer'!$C8)=0,LEN('A créer'!$E8&gt;0)),"","*ML(237,126)")</f>
        <v>*ML(237,126)</v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créer'!$E8="Oui"),"","*ML(237,126)")</f>
        <v/>
      </c>
    </row>
    <row r="9" spans="1:30" x14ac:dyDescent="0.25">
      <c r="A9" s="2" t="str">
        <f>IF(AND(LEN('A créer'!$C9)=0,LEN('A créer'!$E9&gt;0)),"","*FN")</f>
        <v>*FN</v>
      </c>
      <c r="B9" s="6" t="str">
        <f>IF(AND(LEN('A créer'!$C9)=0,LEN('A créer'!$E9&gt;0)),"",CONCATENATE('A créer'!B9,'A créer'!A9))</f>
        <v>DLS0490</v>
      </c>
      <c r="C9" s="2" t="str">
        <f>IF(AND(LEN('A créer'!$C9)=0,LEN('A créer'!$E9&gt;0)),"","TAB")</f>
        <v>TAB</v>
      </c>
      <c r="D9" s="6" t="str">
        <f>IF(AND(LEN('A créer'!$C9)=0,LEN('A créer'!$E9&gt;0)),"","Setup Business Group")</f>
        <v>Setup Business Group</v>
      </c>
      <c r="E9" s="2" t="str">
        <f>IF(AND(LEN('A créer'!$C9)=0,LEN('A créer'!$E9&gt;0)),"","TAB 4")</f>
        <v>TAB 4</v>
      </c>
      <c r="F9" s="2" t="str">
        <f>IF(AND(LEN('A créer'!$C9)=0,LEN('A créer'!$E9&gt;0)),"","TAB 4")</f>
        <v>TAB 4</v>
      </c>
      <c r="G9" s="2" t="str">
        <f>IF(AND(LEN('A créer'!$C9)=0,LEN('A créer'!$E9&gt;0)),"","TAB")</f>
        <v>TAB</v>
      </c>
      <c r="H9" s="2" t="str">
        <f>IF(AND(LEN('A créer'!$C9)=0,LEN('A créer'!$E9&gt;0)),"","TAB")</f>
        <v>TAB</v>
      </c>
      <c r="I9" s="2" t="str">
        <f>IF(AND(LEN('A créer'!$C9)=0,LEN('A créer'!$E9&gt;0)),"","TAB")</f>
        <v>TAB</v>
      </c>
      <c r="J9" s="6" t="str">
        <f>IF(AND(LEN('A créer'!$C9)=0,LEN('A créer'!$E9&gt;0)),"","\Sécuriser les organisations par hiérarchie")</f>
        <v>\Sécuriser les organisations par hiérarchie</v>
      </c>
      <c r="K9" s="2" t="str">
        <f>IF(AND(LEN('A créer'!$C9)=0,LEN('A créer'!$E9&gt;0)),"","TAB 4")</f>
        <v>TAB 4</v>
      </c>
      <c r="L9" s="6" t="str">
        <f>IF(AND(LEN('A créer'!$C9)=0,LEN('A créer'!$E9&gt;0)),"",CONCATENATE('A créer'!B9,'A créer'!A9))</f>
        <v>DLS0490</v>
      </c>
      <c r="M9" s="2" t="str">
        <f>IF(AND(LEN('A créer'!$C9)=0,LEN('A créer'!$E9&gt;0)),"","TAB")</f>
        <v>TAB</v>
      </c>
      <c r="N9" s="2" t="str">
        <f>IF(AND(LEN('A créer'!$C9)=0,LEN('A créer'!$E9&gt;0)),"","*SAVE")</f>
        <v>*SAVE</v>
      </c>
      <c r="O9" s="2" t="str">
        <f>IF(AND(LEN('A créer'!$C9)=0,LEN('A créer'!$E9&gt;0)),"","*ML(237,126)")</f>
        <v>*ML(237,126)</v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>*FN</v>
      </c>
      <c r="B10" s="6" t="str">
        <f>IF(AND(LEN('A créer'!$C10)=0,LEN('A créer'!$E10&gt;0)),"",CONCATENATE('A créer'!B10,'A créer'!A10))</f>
        <v>DMS0490</v>
      </c>
      <c r="C10" s="2" t="str">
        <f>IF(AND(LEN('A créer'!$C10)=0,LEN('A créer'!$E10&gt;0)),"","TAB")</f>
        <v>TAB</v>
      </c>
      <c r="D10" s="6" t="str">
        <f>IF(AND(LEN('A créer'!$C10)=0,LEN('A créer'!$E10&gt;0)),"","Setup Business Group")</f>
        <v>Setup Business Group</v>
      </c>
      <c r="E10" s="2" t="str">
        <f>IF(AND(LEN('A créer'!$C10)=0,LEN('A créer'!$E10&gt;0)),"","TAB 4")</f>
        <v>TAB 4</v>
      </c>
      <c r="F10" s="2" t="str">
        <f>IF(AND(LEN('A créer'!$C10)=0,LEN('A créer'!$E10&gt;0)),"","TAB 4")</f>
        <v>TAB 4</v>
      </c>
      <c r="G10" s="2" t="str">
        <f>IF(AND(LEN('A créer'!$C10)=0,LEN('A créer'!$E10&gt;0)),"","TAB")</f>
        <v>TAB</v>
      </c>
      <c r="H10" s="2" t="str">
        <f>IF(AND(LEN('A créer'!$C10)=0,LEN('A créer'!$E10&gt;0)),"","TAB")</f>
        <v>TAB</v>
      </c>
      <c r="I10" s="2" t="str">
        <f>IF(AND(LEN('A créer'!$C10)=0,LEN('A créer'!$E10&gt;0)),"","TAB")</f>
        <v>TAB</v>
      </c>
      <c r="J10" s="6" t="str">
        <f>IF(AND(LEN('A créer'!$C10)=0,LEN('A créer'!$E10&gt;0)),"","\Sécuriser les organisations par hiérarchie")</f>
        <v>\Sécuriser les organisations par hiérarchie</v>
      </c>
      <c r="K10" s="2" t="str">
        <f>IF(AND(LEN('A créer'!$C10)=0,LEN('A créer'!$E10&gt;0)),"","TAB 4")</f>
        <v>TAB 4</v>
      </c>
      <c r="L10" s="6" t="str">
        <f>IF(AND(LEN('A créer'!$C10)=0,LEN('A créer'!$E10&gt;0)),"",CONCATENATE('A créer'!B10,'A créer'!A10))</f>
        <v>DMS0490</v>
      </c>
      <c r="M10" s="2" t="str">
        <f>IF(AND(LEN('A créer'!$C10)=0,LEN('A créer'!$E10&gt;0)),"","TAB")</f>
        <v>TAB</v>
      </c>
      <c r="N10" s="2" t="str">
        <f>IF(AND(LEN('A créer'!$C10)=0,LEN('A créer'!$E10&gt;0)),"","*SAVE")</f>
        <v>*SAVE</v>
      </c>
      <c r="O10" s="2" t="str">
        <f>IF(AND(LEN('A créer'!$C10)=0,LEN('A créer'!$E10&gt;0)),"","*ML(237,126)")</f>
        <v>*ML(237,126)</v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>*FN</v>
      </c>
      <c r="B11" s="6" t="str">
        <f>IF(AND(LEN('A créer'!$C11)=0,LEN('A créer'!$E11&gt;0)),"",CONCATENATE('A créer'!B11,'A créer'!A11))</f>
        <v>DNA0490</v>
      </c>
      <c r="C11" s="2" t="str">
        <f>IF(AND(LEN('A créer'!$C11)=0,LEN('A créer'!$E11&gt;0)),"","TAB")</f>
        <v>TAB</v>
      </c>
      <c r="D11" s="6" t="str">
        <f>IF(AND(LEN('A créer'!$C11)=0,LEN('A créer'!$E11&gt;0)),"","Setup Business Group")</f>
        <v>Setup Business Group</v>
      </c>
      <c r="E11" s="2" t="str">
        <f>IF(AND(LEN('A créer'!$C11)=0,LEN('A créer'!$E11&gt;0)),"","TAB 4")</f>
        <v>TAB 4</v>
      </c>
      <c r="F11" s="2" t="str">
        <f>IF(AND(LEN('A créer'!$C11)=0,LEN('A créer'!$E11&gt;0)),"","TAB 4")</f>
        <v>TAB 4</v>
      </c>
      <c r="G11" s="2" t="str">
        <f>IF(AND(LEN('A créer'!$C11)=0,LEN('A créer'!$E11&gt;0)),"","TAB")</f>
        <v>TAB</v>
      </c>
      <c r="H11" s="2" t="str">
        <f>IF(AND(LEN('A créer'!$C11)=0,LEN('A créer'!$E11&gt;0)),"","TAB")</f>
        <v>TAB</v>
      </c>
      <c r="I11" s="2" t="str">
        <f>IF(AND(LEN('A créer'!$C11)=0,LEN('A créer'!$E11&gt;0)),"","TAB")</f>
        <v>TAB</v>
      </c>
      <c r="J11" s="6" t="str">
        <f>IF(AND(LEN('A créer'!$C11)=0,LEN('A créer'!$E11&gt;0)),"","\Sécuriser les organisations par hiérarchie")</f>
        <v>\Sécuriser les organisations par hiérarchie</v>
      </c>
      <c r="K11" s="2" t="str">
        <f>IF(AND(LEN('A créer'!$C11)=0,LEN('A créer'!$E11&gt;0)),"","TAB 4")</f>
        <v>TAB 4</v>
      </c>
      <c r="L11" s="6" t="str">
        <f>IF(AND(LEN('A créer'!$C11)=0,LEN('A créer'!$E11&gt;0)),"",CONCATENATE('A créer'!B11,'A créer'!A11))</f>
        <v>DNA0490</v>
      </c>
      <c r="M11" s="2" t="str">
        <f>IF(AND(LEN('A créer'!$C11)=0,LEN('A créer'!$E11&gt;0)),"","TAB")</f>
        <v>TAB</v>
      </c>
      <c r="N11" s="2" t="str">
        <f>IF(AND(LEN('A créer'!$C11)=0,LEN('A créer'!$E11&gt;0)),"","*SAVE")</f>
        <v>*SAVE</v>
      </c>
      <c r="O11" s="2" t="str">
        <f>IF(AND(LEN('A créer'!$C11)=0,LEN('A créer'!$E11&gt;0)),"","*ML(237,126)")</f>
        <v>*ML(237,126)</v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>*FN</v>
      </c>
      <c r="B12" s="6" t="str">
        <f>IF(AND(LEN('A créer'!$C12)=0,LEN('A créer'!$E12&gt;0)),"",CONCATENATE('A créer'!B12,'A créer'!A12))</f>
        <v>DRW0490</v>
      </c>
      <c r="C12" s="2" t="str">
        <f>IF(AND(LEN('A créer'!$C12)=0,LEN('A créer'!$E12&gt;0)),"","TAB")</f>
        <v>TAB</v>
      </c>
      <c r="D12" s="6" t="str">
        <f>IF(AND(LEN('A créer'!$C12)=0,LEN('A créer'!$E12&gt;0)),"","Setup Business Group")</f>
        <v>Setup Business Group</v>
      </c>
      <c r="E12" s="2" t="str">
        <f>IF(AND(LEN('A créer'!$C12)=0,LEN('A créer'!$E12&gt;0)),"","TAB 4")</f>
        <v>TAB 4</v>
      </c>
      <c r="F12" s="2" t="str">
        <f>IF(AND(LEN('A créer'!$C12)=0,LEN('A créer'!$E12&gt;0)),"","TAB 4")</f>
        <v>TAB 4</v>
      </c>
      <c r="G12" s="2" t="str">
        <f>IF(AND(LEN('A créer'!$C12)=0,LEN('A créer'!$E12&gt;0)),"","TAB")</f>
        <v>TAB</v>
      </c>
      <c r="H12" s="2" t="str">
        <f>IF(AND(LEN('A créer'!$C12)=0,LEN('A créer'!$E12&gt;0)),"","TAB")</f>
        <v>TAB</v>
      </c>
      <c r="I12" s="2" t="str">
        <f>IF(AND(LEN('A créer'!$C12)=0,LEN('A créer'!$E12&gt;0)),"","TAB")</f>
        <v>TAB</v>
      </c>
      <c r="J12" s="6" t="str">
        <f>IF(AND(LEN('A créer'!$C12)=0,LEN('A créer'!$E12&gt;0)),"","\Sécuriser les organisations par hiérarchie")</f>
        <v>\Sécuriser les organisations par hiérarchie</v>
      </c>
      <c r="K12" s="2" t="str">
        <f>IF(AND(LEN('A créer'!$C12)=0,LEN('A créer'!$E12&gt;0)),"","TAB 4")</f>
        <v>TAB 4</v>
      </c>
      <c r="L12" s="6" t="str">
        <f>IF(AND(LEN('A créer'!$C12)=0,LEN('A créer'!$E12&gt;0)),"",CONCATENATE('A créer'!B12,'A créer'!A12))</f>
        <v>DRW0490</v>
      </c>
      <c r="M12" s="2" t="str">
        <f>IF(AND(LEN('A créer'!$C12)=0,LEN('A créer'!$E12&gt;0)),"","TAB")</f>
        <v>TAB</v>
      </c>
      <c r="N12" s="2" t="str">
        <f>IF(AND(LEN('A créer'!$C12)=0,LEN('A créer'!$E12&gt;0)),"","*SAVE")</f>
        <v>*SAVE</v>
      </c>
      <c r="O12" s="2" t="str">
        <f>IF(AND(LEN('A créer'!$C12)=0,LEN('A créer'!$E12&gt;0)),"","*ML(237,126)")</f>
        <v>*ML(237,126)</v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>*FN</v>
      </c>
      <c r="B13" s="6" t="str">
        <f>IF(AND(LEN('A créer'!$C13)=0,LEN('A créer'!$E13&gt;0)),"",CONCATENATE('A créer'!B13,'A créer'!A13))</f>
        <v>DSW0490</v>
      </c>
      <c r="C13" s="2" t="str">
        <f>IF(AND(LEN('A créer'!$C13)=0,LEN('A créer'!$E13&gt;0)),"","TAB")</f>
        <v>TAB</v>
      </c>
      <c r="D13" s="6" t="str">
        <f>IF(AND(LEN('A créer'!$C13)=0,LEN('A créer'!$E13&gt;0)),"","Setup Business Group")</f>
        <v>Setup Business Group</v>
      </c>
      <c r="E13" s="2" t="str">
        <f>IF(AND(LEN('A créer'!$C13)=0,LEN('A créer'!$E13&gt;0)),"","TAB 4")</f>
        <v>TAB 4</v>
      </c>
      <c r="F13" s="2" t="str">
        <f>IF(AND(LEN('A créer'!$C13)=0,LEN('A créer'!$E13&gt;0)),"","TAB 4")</f>
        <v>TAB 4</v>
      </c>
      <c r="G13" s="2" t="str">
        <f>IF(AND(LEN('A créer'!$C13)=0,LEN('A créer'!$E13&gt;0)),"","TAB")</f>
        <v>TAB</v>
      </c>
      <c r="H13" s="2" t="str">
        <f>IF(AND(LEN('A créer'!$C13)=0,LEN('A créer'!$E13&gt;0)),"","TAB")</f>
        <v>TAB</v>
      </c>
      <c r="I13" s="2" t="str">
        <f>IF(AND(LEN('A créer'!$C13)=0,LEN('A créer'!$E13&gt;0)),"","TAB")</f>
        <v>TAB</v>
      </c>
      <c r="J13" s="6" t="str">
        <f>IF(AND(LEN('A créer'!$C13)=0,LEN('A créer'!$E13&gt;0)),"","\Sécuriser les organisations par hiérarchie")</f>
        <v>\Sécuriser les organisations par hiérarchie</v>
      </c>
      <c r="K13" s="2" t="str">
        <f>IF(AND(LEN('A créer'!$C13)=0,LEN('A créer'!$E13&gt;0)),"","TAB 4")</f>
        <v>TAB 4</v>
      </c>
      <c r="L13" s="6" t="str">
        <f>IF(AND(LEN('A créer'!$C13)=0,LEN('A créer'!$E13&gt;0)),"",CONCATENATE('A créer'!B13,'A créer'!A13))</f>
        <v>DSW0490</v>
      </c>
      <c r="M13" s="2" t="str">
        <f>IF(AND(LEN('A créer'!$C13)=0,LEN('A créer'!$E13&gt;0)),"","TAB")</f>
        <v>TAB</v>
      </c>
      <c r="N13" s="2" t="str">
        <f>IF(AND(LEN('A créer'!$C13)=0,LEN('A créer'!$E13&gt;0)),"","*SAVE")</f>
        <v>*SAVE</v>
      </c>
      <c r="O13" s="2" t="str">
        <f>IF(AND(LEN('A créer'!$C13)=0,LEN('A créer'!$E13&gt;0)),"","*ML(237,126)")</f>
        <v>*ML(237,126)</v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6" t="str">
        <f>IF(AND(LEN('A créer'!$C14)=0,LEN('A créer'!$E14&gt;0)),"",CONCATENATE('A créer'!B14,'A créer'!A14))</f>
        <v/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6" t="str">
        <f>IF(AND(LEN('A créer'!$C15)=0,LEN('A créer'!$E15&gt;0)),"",CONCATENATE('A créer'!B15,'A créer'!A15))</f>
        <v/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6" activePane="bottomLeft" state="frozenSplit"/>
      <selection pane="bottomLeft" activeCell="B22" sqref="B2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DEW0491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DRW0492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2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DSW0493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25">
      <c r="A5" s="2" t="str">
        <f>IF(LEN('A créer'!$C5)=0,"","TAB")</f>
        <v>TAB</v>
      </c>
      <c r="B5" s="2" t="str">
        <f>IF(LEN('A créer'!$C5)=0,"","TAB")</f>
        <v>TAB</v>
      </c>
      <c r="C5" s="6" t="str">
        <f>IF(LEN('A créer'!$C5)=0,"","\Un profil de sécurité nommé")</f>
        <v>\Un profil de sécurité nommé</v>
      </c>
      <c r="D5" s="2" t="str">
        <f>IF(LEN('A créer'!$C5)=0,"","TAB")</f>
        <v>TAB</v>
      </c>
      <c r="E5" s="2" t="str">
        <f>IF(LEN('A créer'!$C5)=0,"","TAB")</f>
        <v>TAB</v>
      </c>
      <c r="F5" s="6" t="str">
        <f>IF(LEN('A créer'!$C5)=0,"",CONCATENATE('A créer'!B5,'A créer'!A5))</f>
        <v>DMS0498</v>
      </c>
      <c r="G5" s="2" t="str">
        <f>IF(LEN('A créer'!$C5)=0,"","TAB")</f>
        <v>TAB</v>
      </c>
      <c r="H5" s="2" t="str">
        <f>IF(LEN('A créer'!$C5)=0,"","ENT")</f>
        <v>ENT</v>
      </c>
      <c r="I5" s="2" t="str">
        <f>IF(LEN('A créer'!$C5)=0,"","TAB")</f>
        <v>TAB</v>
      </c>
      <c r="J5" s="2" t="str">
        <f>IF(LEN('A créer'!$C5)=0,"","TAB")</f>
        <v>TAB</v>
      </c>
      <c r="K5" s="2" t="str">
        <f>IF(LEN('A créer'!$C5)=0,"","ENT")</f>
        <v>ENT</v>
      </c>
      <c r="L5" s="2" t="str">
        <f>IF(LEN('A créer'!$C5)=0,"","ENT")</f>
        <v>ENT</v>
      </c>
    </row>
    <row r="6" spans="1:12" x14ac:dyDescent="0.2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DOS0490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25">
      <c r="A7" s="2" t="str">
        <f>IF(LEN('A créer'!$C7)=0,"","TAB")</f>
        <v>TAB</v>
      </c>
      <c r="B7" s="2" t="str">
        <f>IF(LEN('A créer'!$C7)=0,"","TAB")</f>
        <v>TAB</v>
      </c>
      <c r="C7" s="6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6" t="str">
        <f>IF(LEN('A créer'!$C7)=0,"",CONCATENATE('A créer'!B7,'A créer'!A7))</f>
        <v>DCW0490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25">
      <c r="A8" s="2" t="str">
        <f>IF(LEN('A créer'!$C8)=0,"","TAB")</f>
        <v>TAB</v>
      </c>
      <c r="B8" s="2" t="str">
        <f>IF(LEN('A créer'!$C8)=0,"","TAB")</f>
        <v>TAB</v>
      </c>
      <c r="C8" s="6" t="str">
        <f>IF(LEN('A créer'!$C8)=0,"","\Un profil de sécurité nommé")</f>
        <v>\Un profil de sécurité nommé</v>
      </c>
      <c r="D8" s="2" t="str">
        <f>IF(LEN('A créer'!$C8)=0,"","TAB")</f>
        <v>TAB</v>
      </c>
      <c r="E8" s="2" t="str">
        <f>IF(LEN('A créer'!$C8)=0,"","TAB")</f>
        <v>TAB</v>
      </c>
      <c r="F8" s="6" t="str">
        <f>IF(LEN('A créer'!$C8)=0,"",CONCATENATE('A créer'!B8,'A créer'!A8))</f>
        <v>DEW0490</v>
      </c>
      <c r="G8" s="2" t="str">
        <f>IF(LEN('A créer'!$C8)=0,"","TAB")</f>
        <v>TAB</v>
      </c>
      <c r="H8" s="2" t="str">
        <f>IF(LEN('A créer'!$C8)=0,"","ENT")</f>
        <v>ENT</v>
      </c>
      <c r="I8" s="2" t="str">
        <f>IF(LEN('A créer'!$C8)=0,"","TAB")</f>
        <v>TAB</v>
      </c>
      <c r="J8" s="2" t="str">
        <f>IF(LEN('A créer'!$C8)=0,"","TAB")</f>
        <v>TAB</v>
      </c>
      <c r="K8" s="2" t="str">
        <f>IF(LEN('A créer'!$C8)=0,"","ENT")</f>
        <v>ENT</v>
      </c>
      <c r="L8" s="2" t="str">
        <f>IF(LEN('A créer'!$C8)=0,"","ENT")</f>
        <v>ENT</v>
      </c>
    </row>
    <row r="9" spans="1:12" x14ac:dyDescent="0.25">
      <c r="A9" s="2" t="str">
        <f>IF(LEN('A créer'!$C9)=0,"","TAB")</f>
        <v>TAB</v>
      </c>
      <c r="B9" s="2" t="str">
        <f>IF(LEN('A créer'!$C9)=0,"","TAB")</f>
        <v>TAB</v>
      </c>
      <c r="C9" s="6" t="str">
        <f>IF(LEN('A créer'!$C9)=0,"","\Un profil de sécurité nommé")</f>
        <v>\Un profil de sécurité nommé</v>
      </c>
      <c r="D9" s="2" t="str">
        <f>IF(LEN('A créer'!$C9)=0,"","TAB")</f>
        <v>TAB</v>
      </c>
      <c r="E9" s="2" t="str">
        <f>IF(LEN('A créer'!$C9)=0,"","TAB")</f>
        <v>TAB</v>
      </c>
      <c r="F9" s="6" t="str">
        <f>IF(LEN('A créer'!$C9)=0,"",CONCATENATE('A créer'!B9,'A créer'!A9))</f>
        <v>DLS0490</v>
      </c>
      <c r="G9" s="2" t="str">
        <f>IF(LEN('A créer'!$C9)=0,"","TAB")</f>
        <v>TAB</v>
      </c>
      <c r="H9" s="2" t="str">
        <f>IF(LEN('A créer'!$C9)=0,"","ENT")</f>
        <v>ENT</v>
      </c>
      <c r="I9" s="2" t="str">
        <f>IF(LEN('A créer'!$C9)=0,"","TAB")</f>
        <v>TAB</v>
      </c>
      <c r="J9" s="2" t="str">
        <f>IF(LEN('A créer'!$C9)=0,"","TAB")</f>
        <v>TAB</v>
      </c>
      <c r="K9" s="2" t="str">
        <f>IF(LEN('A créer'!$C9)=0,"","ENT")</f>
        <v>ENT</v>
      </c>
      <c r="L9" s="2" t="str">
        <f>IF(LEN('A créer'!$C9)=0,"","ENT")</f>
        <v>ENT</v>
      </c>
    </row>
    <row r="10" spans="1:12" x14ac:dyDescent="0.25">
      <c r="A10" s="2" t="str">
        <f>IF(LEN('A créer'!$C10)=0,"","TAB")</f>
        <v>TAB</v>
      </c>
      <c r="B10" s="2" t="str">
        <f>IF(LEN('A créer'!$C10)=0,"","TAB")</f>
        <v>TAB</v>
      </c>
      <c r="C10" s="6" t="str">
        <f>IF(LEN('A créer'!$C10)=0,"","\Un profil de sécurité nommé")</f>
        <v>\Un profil de sécurité nommé</v>
      </c>
      <c r="D10" s="2" t="str">
        <f>IF(LEN('A créer'!$C10)=0,"","TAB")</f>
        <v>TAB</v>
      </c>
      <c r="E10" s="2" t="str">
        <f>IF(LEN('A créer'!$C10)=0,"","TAB")</f>
        <v>TAB</v>
      </c>
      <c r="F10" s="6" t="str">
        <f>IF(LEN('A créer'!$C10)=0,"",CONCATENATE('A créer'!B10,'A créer'!A10))</f>
        <v>DMS0490</v>
      </c>
      <c r="G10" s="2" t="str">
        <f>IF(LEN('A créer'!$C10)=0,"","TAB")</f>
        <v>TAB</v>
      </c>
      <c r="H10" s="2" t="str">
        <f>IF(LEN('A créer'!$C10)=0,"","ENT")</f>
        <v>ENT</v>
      </c>
      <c r="I10" s="2" t="str">
        <f>IF(LEN('A créer'!$C10)=0,"","TAB")</f>
        <v>TAB</v>
      </c>
      <c r="J10" s="2" t="str">
        <f>IF(LEN('A créer'!$C10)=0,"","TAB")</f>
        <v>TAB</v>
      </c>
      <c r="K10" s="2" t="str">
        <f>IF(LEN('A créer'!$C10)=0,"","ENT")</f>
        <v>ENT</v>
      </c>
      <c r="L10" s="2" t="str">
        <f>IF(LEN('A créer'!$C10)=0,"","ENT")</f>
        <v>ENT</v>
      </c>
    </row>
    <row r="11" spans="1:12" x14ac:dyDescent="0.25">
      <c r="A11" s="2" t="str">
        <f>IF(LEN('A créer'!$C11)=0,"","TAB")</f>
        <v>TAB</v>
      </c>
      <c r="B11" s="2" t="str">
        <f>IF(LEN('A créer'!$C11)=0,"","TAB")</f>
        <v>TAB</v>
      </c>
      <c r="C11" s="6" t="str">
        <f>IF(LEN('A créer'!$C11)=0,"","\Un profil de sécurité nommé")</f>
        <v>\Un profil de sécurité nommé</v>
      </c>
      <c r="D11" s="2" t="str">
        <f>IF(LEN('A créer'!$C11)=0,"","TAB")</f>
        <v>TAB</v>
      </c>
      <c r="E11" s="2" t="str">
        <f>IF(LEN('A créer'!$C11)=0,"","TAB")</f>
        <v>TAB</v>
      </c>
      <c r="F11" s="6" t="str">
        <f>IF(LEN('A créer'!$C11)=0,"",CONCATENATE('A créer'!B11,'A créer'!A11))</f>
        <v>DNA0490</v>
      </c>
      <c r="G11" s="2" t="str">
        <f>IF(LEN('A créer'!$C11)=0,"","TAB")</f>
        <v>TAB</v>
      </c>
      <c r="H11" s="2" t="str">
        <f>IF(LEN('A créer'!$C11)=0,"","ENT")</f>
        <v>ENT</v>
      </c>
      <c r="I11" s="2" t="str">
        <f>IF(LEN('A créer'!$C11)=0,"","TAB")</f>
        <v>TAB</v>
      </c>
      <c r="J11" s="2" t="str">
        <f>IF(LEN('A créer'!$C11)=0,"","TAB")</f>
        <v>TAB</v>
      </c>
      <c r="K11" s="2" t="str">
        <f>IF(LEN('A créer'!$C11)=0,"","ENT")</f>
        <v>ENT</v>
      </c>
      <c r="L11" s="2" t="str">
        <f>IF(LEN('A créer'!$C11)=0,"","ENT")</f>
        <v>ENT</v>
      </c>
    </row>
    <row r="12" spans="1:12" x14ac:dyDescent="0.25">
      <c r="A12" s="2" t="str">
        <f>IF(LEN('A créer'!$C12)=0,"","TAB")</f>
        <v>TAB</v>
      </c>
      <c r="B12" s="2" t="str">
        <f>IF(LEN('A créer'!$C12)=0,"","TAB")</f>
        <v>TAB</v>
      </c>
      <c r="C12" s="6" t="str">
        <f>IF(LEN('A créer'!$C12)=0,"","\Un profil de sécurité nommé")</f>
        <v>\Un profil de sécurité nommé</v>
      </c>
      <c r="D12" s="2" t="str">
        <f>IF(LEN('A créer'!$C12)=0,"","TAB")</f>
        <v>TAB</v>
      </c>
      <c r="E12" s="2" t="str">
        <f>IF(LEN('A créer'!$C12)=0,"","TAB")</f>
        <v>TAB</v>
      </c>
      <c r="F12" s="6" t="str">
        <f>IF(LEN('A créer'!$C12)=0,"",CONCATENATE('A créer'!B12,'A créer'!A12))</f>
        <v>DRW0490</v>
      </c>
      <c r="G12" s="2" t="str">
        <f>IF(LEN('A créer'!$C12)=0,"","TAB")</f>
        <v>TAB</v>
      </c>
      <c r="H12" s="2" t="str">
        <f>IF(LEN('A créer'!$C12)=0,"","ENT")</f>
        <v>ENT</v>
      </c>
      <c r="I12" s="2" t="str">
        <f>IF(LEN('A créer'!$C12)=0,"","TAB")</f>
        <v>TAB</v>
      </c>
      <c r="J12" s="2" t="str">
        <f>IF(LEN('A créer'!$C12)=0,"","TAB")</f>
        <v>TAB</v>
      </c>
      <c r="K12" s="2" t="str">
        <f>IF(LEN('A créer'!$C12)=0,"","ENT")</f>
        <v>ENT</v>
      </c>
      <c r="L12" s="2" t="str">
        <f>IF(LEN('A créer'!$C12)=0,"","ENT")</f>
        <v>ENT</v>
      </c>
    </row>
    <row r="13" spans="1:12" x14ac:dyDescent="0.25">
      <c r="A13" s="2" t="str">
        <f>IF(LEN('A créer'!$C13)=0,"","TAB")</f>
        <v>TAB</v>
      </c>
      <c r="B13" s="2" t="str">
        <f>IF(LEN('A créer'!$C13)=0,"","TAB")</f>
        <v>TAB</v>
      </c>
      <c r="C13" s="6" t="str">
        <f>IF(LEN('A créer'!$C13)=0,"","\Un profil de sécurité nommé")</f>
        <v>\Un profil de sécurité nommé</v>
      </c>
      <c r="D13" s="2" t="str">
        <f>IF(LEN('A créer'!$C13)=0,"","TAB")</f>
        <v>TAB</v>
      </c>
      <c r="E13" s="2" t="str">
        <f>IF(LEN('A créer'!$C13)=0,"","TAB")</f>
        <v>TAB</v>
      </c>
      <c r="F13" s="6" t="str">
        <f>IF(LEN('A créer'!$C13)=0,"",CONCATENATE('A créer'!B13,'A créer'!A13))</f>
        <v>DSW0490</v>
      </c>
      <c r="G13" s="2" t="str">
        <f>IF(LEN('A créer'!$C13)=0,"","TAB")</f>
        <v>TAB</v>
      </c>
      <c r="H13" s="2" t="str">
        <f>IF(LEN('A créer'!$C13)=0,"","ENT")</f>
        <v>ENT</v>
      </c>
      <c r="I13" s="2" t="str">
        <f>IF(LEN('A créer'!$C13)=0,"","TAB")</f>
        <v>TAB</v>
      </c>
      <c r="J13" s="2" t="str">
        <f>IF(LEN('A créer'!$C13)=0,"","TAB")</f>
        <v>TAB</v>
      </c>
      <c r="K13" s="2" t="str">
        <f>IF(LEN('A créer'!$C13)=0,"","ENT")</f>
        <v>ENT</v>
      </c>
      <c r="L13" s="2" t="str">
        <f>IF(LEN('A créer'!$C13)=0,"","ENT")</f>
        <v>ENT</v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5" sqref="A5:C5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75</v>
      </c>
      <c r="B1" s="12" t="s">
        <v>76</v>
      </c>
      <c r="C1" s="12" t="s">
        <v>77</v>
      </c>
    </row>
    <row r="2" spans="1:3" x14ac:dyDescent="0.25">
      <c r="A2" s="11" t="s">
        <v>80</v>
      </c>
      <c r="B2" s="11" t="s">
        <v>81</v>
      </c>
      <c r="C2" s="13" t="s">
        <v>38</v>
      </c>
    </row>
    <row r="3" spans="1:3" x14ac:dyDescent="0.25">
      <c r="A3" s="11" t="s">
        <v>82</v>
      </c>
      <c r="B3" s="11" t="s">
        <v>83</v>
      </c>
      <c r="C3" s="13" t="s">
        <v>43</v>
      </c>
    </row>
    <row r="4" spans="1:3" x14ac:dyDescent="0.25">
      <c r="A4" s="11" t="s">
        <v>84</v>
      </c>
      <c r="B4" s="11" t="s">
        <v>85</v>
      </c>
      <c r="C4" s="13" t="s">
        <v>39</v>
      </c>
    </row>
    <row r="5" spans="1:3" x14ac:dyDescent="0.25">
      <c r="A5" s="11" t="s">
        <v>86</v>
      </c>
      <c r="B5" s="11" t="s">
        <v>87</v>
      </c>
      <c r="C5" s="13" t="s">
        <v>40</v>
      </c>
    </row>
    <row r="6" spans="1:3" x14ac:dyDescent="0.25">
      <c r="A6" s="11" t="s">
        <v>88</v>
      </c>
      <c r="B6" s="11" t="s">
        <v>89</v>
      </c>
      <c r="C6" s="13" t="s">
        <v>44</v>
      </c>
    </row>
    <row r="7" spans="1:3" x14ac:dyDescent="0.25">
      <c r="A7" s="14" t="s">
        <v>78</v>
      </c>
      <c r="B7" s="13" t="s">
        <v>79</v>
      </c>
      <c r="C7" s="13" t="s">
        <v>3</v>
      </c>
    </row>
    <row r="8" spans="1:3" x14ac:dyDescent="0.25">
      <c r="A8" s="11" t="s">
        <v>90</v>
      </c>
      <c r="B8" s="11" t="s">
        <v>91</v>
      </c>
      <c r="C8" s="13" t="s">
        <v>41</v>
      </c>
    </row>
    <row r="9" spans="1:3" x14ac:dyDescent="0.2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2022-05-13T14:18:03Z</dcterms:modified>
</cp:coreProperties>
</file>