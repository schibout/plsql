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22024\SVD\"/>
    </mc:Choice>
  </mc:AlternateContent>
  <bookViews>
    <workbookView xWindow="285" yWindow="45" windowWidth="15870" windowHeight="5835" tabRatio="723" firstSheet="11" activeTab="1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4" i="9"/>
  <c r="BC5" i="9"/>
  <c r="BC6" i="9"/>
  <c r="BC7" i="9"/>
  <c r="BC8" i="9"/>
  <c r="BC9" i="9"/>
  <c r="BC10" i="9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<sst xmlns="http://schemas.openxmlformats.org/spreadsheetml/2006/main" count="533" uniqueCount="119">
  <si>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</si>
  <si>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</si>
  <si>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</si>
  <si>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</si>
  <si>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</si>
  <si>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</si>
  <si>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</si>
  <si>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</si>
  <si>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</si>
  <si>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</si>
  <si>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</si>
  <si>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</si>
  <si>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</si>
  <si>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</si>
  <si>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</si>
  <si>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</si>
  <si>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</si>
  <si>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</si>
  <si>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</si>
  <si>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</si>
  <si>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</si>
  <si>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</si>
  <si>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</si>
  <si>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</si>
  <si>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</si>
  <si>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</si>
  <si>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</si>
  <si>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</si>
  <si>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</si>
  <si>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</si>
  <si>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</si>
  <si>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</si>
  <si>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</si>
  <si>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</si>
  <si>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</si>
  <si>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</si>
  <si>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</si>
  <si>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</si>
  <si>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</si>
  <si>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</si>
  <si>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</si>
  <si>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</si>
  <si>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</si>
  <si>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</si>
  <si>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</si>
  <si>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</si>
  <si>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</si>
  <si>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</si>
  <si>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</si>
  <si>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</si>
  <si>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</si>
  <si>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</si>
  <si>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</si>
  <si>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</si>
  <si>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</si>
  <si>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</si>
  <si>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</si>
  <si>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</si>
  <si>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</si>
  <si>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</si>
  <si>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</si>
  <si>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</si>
  <si>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</si>
  <si>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</si>
  <si>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</si>
  <si>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</si>
  <si>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</si>
  <si>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</si>
  <si>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</si>
  <si>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</si>
  <si>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</si>
  <si>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</si>
  <si>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</si>
  <si>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</si>
  <si>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</si>
  <si>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</si>
  <si>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</si>
  <si>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</si>
  <si>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</si>
  <si>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</si>
  <si>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</si>
  <si>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</si>
  <si>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</si>
  <si>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</si>
  <si>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</si>
  <si>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</si>
  <si>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</si>
  <si>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</si>
  <si>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</si>
  <si>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</si>
  <si>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</si>
  <si>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</si>
  <si>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</si>
  <si>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PARIS LA DEFENSE CEDEX</t>
  </si>
  <si>
    <t>Tab 4</t>
  </si>
  <si>
    <t>*ML(603,115)</t>
  </si>
  <si>
    <t>SOCIETE GENERALE</t>
  </si>
  <si>
    <t>*ML(602,118)</t>
  </si>
  <si>
    <t>0515</t>
  </si>
  <si>
    <t>DK 28</t>
  </si>
  <si>
    <t>YS2328</t>
  </si>
  <si>
    <t>TOUR EUROPE - 33, Place des Corolles</t>
  </si>
  <si>
    <t>FB0084605S</t>
  </si>
  <si>
    <t>0516</t>
  </si>
  <si>
    <t>DK 29</t>
  </si>
  <si>
    <t>0517</t>
  </si>
  <si>
    <t>0518</t>
  </si>
  <si>
    <t>0519</t>
  </si>
  <si>
    <t>DK 30</t>
  </si>
  <si>
    <t>DK 31</t>
  </si>
  <si>
    <t>DK 32</t>
  </si>
  <si>
    <t>YS2329</t>
  </si>
  <si>
    <t>FB0084606T</t>
  </si>
  <si>
    <t>YS2330</t>
  </si>
  <si>
    <t>FB0084607V</t>
  </si>
  <si>
    <t>FB0084608W</t>
  </si>
  <si>
    <t>YS2331</t>
  </si>
  <si>
    <t>YS2332</t>
  </si>
  <si>
    <t>FB0084609X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</si>
</sst>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49" fontId="27" fillId="2" borderId="13" xfId="0" applyNumberFormat="1" applyFont="1" applyFill="1" applyBorder="1" applyAlignment="1">
      <alignment horizontal="center"/>
    </xf>
    <xf numFmtId="49" fontId="23" fillId="0" borderId="13" xfId="0" applyNumberFormat="1" applyFont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A6" sqref="A6"/>
    </sheetView>
  </sheetViews>
  <sheetFormatPr baseColWidth="10" defaultRowHeight="15" x14ac:dyDescent="0.25"/>
  <cols>
    <col min="1" max="1" width="7" bestFit="1" customWidth="1"/>
    <col min="2" max="2" width="6.85546875" bestFit="1" customWidth="1"/>
    <col min="3" max="3" width="26" bestFit="1" customWidth="1"/>
    <col min="4" max="4" width="4.42578125" bestFit="1" customWidth="1"/>
    <col min="5" max="5" width="4.42578125" customWidth="1"/>
    <col min="6" max="6" width="10.85546875" customWidth="1"/>
    <col min="7" max="7" width="9.5703125" customWidth="1"/>
    <col min="8" max="8" width="8.85546875" customWidth="1"/>
    <col min="9" max="9" width="28.5703125" customWidth="1"/>
    <col min="10" max="10" width="49.140625" customWidth="1"/>
    <col min="11" max="11" width="7.85546875" bestFit="1" customWidth="1"/>
    <col min="12" max="12" width="37.140625" customWidth="1"/>
    <col min="13" max="13" width="13" customWidth="1"/>
    <col min="14" max="14" width="11" customWidth="1"/>
    <col min="15" max="15" width="20.28515625" bestFit="1" customWidth="1"/>
    <col min="16" max="16" width="9" customWidth="1"/>
    <col min="17" max="17" width="31" customWidth="1"/>
    <col min="18" max="18" width="14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ht="16.5" thickBot="1" x14ac:dyDescent="0.3">
      <c r="A2" s="1" t="s">
        <v>98</v>
      </c>
      <c r="B2" s="6" t="s">
        <v>3</v>
      </c>
      <c r="C2" s="15" t="s">
        <v>99</v>
      </c>
      <c r="D2" s="6" t="s">
        <v>34</v>
      </c>
      <c r="E2" s="6" t="s">
        <v>34</v>
      </c>
      <c r="F2" s="6" t="s">
        <v>34</v>
      </c>
      <c r="G2" s="6" t="s">
        <v>100</v>
      </c>
      <c r="H2" s="22" t="s">
        <v>3</v>
      </c>
      <c r="I2" s="17" t="s">
        <v>99</v>
      </c>
      <c r="J2" s="6" t="s">
        <v>101</v>
      </c>
      <c r="K2" s="18">
        <v>92099</v>
      </c>
      <c r="L2" s="16" t="s">
        <v>93</v>
      </c>
      <c r="M2" s="6"/>
      <c r="N2" s="6"/>
      <c r="O2" s="10"/>
      <c r="P2" s="19">
        <v>513573</v>
      </c>
      <c r="Q2" s="6" t="s">
        <v>96</v>
      </c>
      <c r="R2" s="25" t="s">
        <v>102</v>
      </c>
    </row>
    <row r="3" spans="1:19" ht="16.5" thickBot="1" x14ac:dyDescent="0.3">
      <c r="A3" s="1" t="s">
        <v>103</v>
      </c>
      <c r="B3" s="6" t="s">
        <v>3</v>
      </c>
      <c r="C3" s="15" t="s">
        <v>104</v>
      </c>
      <c r="D3" s="6" t="s">
        <v>34</v>
      </c>
      <c r="E3" s="6" t="s">
        <v>34</v>
      </c>
      <c r="F3" s="6" t="s">
        <v>34</v>
      </c>
      <c r="G3" s="6" t="s">
        <v>111</v>
      </c>
      <c r="H3" s="22" t="s">
        <v>3</v>
      </c>
      <c r="I3" s="17" t="s">
        <v>104</v>
      </c>
      <c r="J3" s="6" t="s">
        <v>101</v>
      </c>
      <c r="K3" s="18">
        <v>92099</v>
      </c>
      <c r="L3" s="16" t="s">
        <v>93</v>
      </c>
      <c r="M3" s="6"/>
      <c r="N3" s="6"/>
      <c r="O3" s="10"/>
      <c r="P3" s="19">
        <v>513574</v>
      </c>
      <c r="Q3" s="6" t="s">
        <v>96</v>
      </c>
      <c r="R3" s="20" t="s">
        <v>112</v>
      </c>
      <c r="S3" s="6"/>
    </row>
    <row r="4" spans="1:19" s="4" customFormat="1" ht="16.5" thickBot="1" x14ac:dyDescent="0.3">
      <c r="A4" s="1" t="s">
        <v>105</v>
      </c>
      <c r="B4" s="6" t="s">
        <v>3</v>
      </c>
      <c r="C4" s="15" t="s">
        <v>108</v>
      </c>
      <c r="D4" s="6" t="s">
        <v>34</v>
      </c>
      <c r="E4" s="6" t="s">
        <v>34</v>
      </c>
      <c r="F4" s="6" t="s">
        <v>34</v>
      </c>
      <c r="G4" s="6" t="s">
        <v>113</v>
      </c>
      <c r="H4" s="22" t="s">
        <v>3</v>
      </c>
      <c r="I4" s="17" t="s">
        <v>108</v>
      </c>
      <c r="J4" s="6" t="s">
        <v>101</v>
      </c>
      <c r="K4" s="18">
        <v>92099</v>
      </c>
      <c r="L4" s="16" t="s">
        <v>93</v>
      </c>
      <c r="M4" s="6"/>
      <c r="N4" s="6"/>
      <c r="O4" s="10"/>
      <c r="P4" s="19">
        <v>513575</v>
      </c>
      <c r="Q4" s="6" t="s">
        <v>96</v>
      </c>
      <c r="R4" s="24" t="s">
        <v>114</v>
      </c>
    </row>
    <row r="5" spans="1:19" ht="16.5" thickBot="1" x14ac:dyDescent="0.3">
      <c r="A5" s="1" t="s">
        <v>106</v>
      </c>
      <c r="B5" s="6" t="s">
        <v>3</v>
      </c>
      <c r="C5" s="15" t="s">
        <v>109</v>
      </c>
      <c r="D5" s="6" t="s">
        <v>34</v>
      </c>
      <c r="E5" s="6" t="s">
        <v>34</v>
      </c>
      <c r="F5" s="6" t="s">
        <v>34</v>
      </c>
      <c r="G5" s="6" t="s">
        <v>116</v>
      </c>
      <c r="H5" s="22" t="s">
        <v>3</v>
      </c>
      <c r="I5" s="17" t="s">
        <v>109</v>
      </c>
      <c r="J5" s="6" t="s">
        <v>101</v>
      </c>
      <c r="K5" s="18">
        <v>92099</v>
      </c>
      <c r="L5" s="16" t="s">
        <v>93</v>
      </c>
      <c r="M5" s="6"/>
      <c r="N5" s="6"/>
      <c r="O5" s="10"/>
      <c r="P5" s="19">
        <v>513576</v>
      </c>
      <c r="Q5" s="6" t="s">
        <v>96</v>
      </c>
      <c r="R5" s="24" t="s">
        <v>115</v>
      </c>
      <c r="S5" s="6"/>
    </row>
    <row r="6" spans="1:19" ht="16.5" thickBot="1" x14ac:dyDescent="0.3">
      <c r="A6" s="1" t="s">
        <v>107</v>
      </c>
      <c r="B6" s="6" t="s">
        <v>3</v>
      </c>
      <c r="C6" s="15" t="s">
        <v>110</v>
      </c>
      <c r="D6" s="6" t="s">
        <v>34</v>
      </c>
      <c r="E6" s="6" t="s">
        <v>34</v>
      </c>
      <c r="F6" s="6" t="s">
        <v>34</v>
      </c>
      <c r="G6" s="6" t="s">
        <v>117</v>
      </c>
      <c r="H6" s="22" t="s">
        <v>3</v>
      </c>
      <c r="I6" s="17" t="s">
        <v>110</v>
      </c>
      <c r="J6" s="6" t="s">
        <v>101</v>
      </c>
      <c r="K6" s="18">
        <v>92099</v>
      </c>
      <c r="L6" s="16" t="s">
        <v>93</v>
      </c>
      <c r="M6" s="6"/>
      <c r="N6" s="21"/>
      <c r="O6" s="21"/>
      <c r="P6" s="19">
        <v>513577</v>
      </c>
      <c r="Q6" s="6" t="s">
        <v>96</v>
      </c>
      <c r="R6" s="24" t="s">
        <v>118</v>
      </c>
      <c r="S6" s="6"/>
    </row>
    <row r="7" spans="1:19" ht="16.5" thickBot="1" x14ac:dyDescent="0.3">
      <c r="A7" s="1"/>
      <c r="B7" s="6"/>
      <c r="C7" s="15"/>
      <c r="D7" s="6"/>
      <c r="E7" s="6"/>
      <c r="F7" s="6"/>
      <c r="G7" s="6"/>
      <c r="H7" s="22"/>
      <c r="I7" s="17"/>
      <c r="J7" s="6"/>
      <c r="K7" s="18"/>
      <c r="L7" s="16"/>
      <c r="O7" s="10"/>
      <c r="P7" s="19"/>
      <c r="Q7" s="6"/>
      <c r="R7" s="20"/>
      <c r="S7" s="6"/>
    </row>
    <row r="8" spans="1:19" ht="16.5" thickBot="1" x14ac:dyDescent="0.3">
      <c r="A8" s="1"/>
      <c r="B8" s="6"/>
      <c r="C8" s="15"/>
      <c r="D8" s="6"/>
      <c r="E8" s="6"/>
      <c r="F8" s="6"/>
      <c r="G8" s="6"/>
      <c r="H8" s="22"/>
      <c r="I8" s="17"/>
      <c r="J8" s="6"/>
      <c r="K8" s="18"/>
      <c r="L8" s="16"/>
      <c r="O8" s="10"/>
      <c r="P8" s="19"/>
      <c r="Q8" s="6"/>
      <c r="R8" s="24"/>
      <c r="S8" s="6"/>
    </row>
    <row r="9" spans="1:19" ht="16.5" thickBot="1" x14ac:dyDescent="0.3">
      <c r="A9" s="1"/>
      <c r="B9" s="6"/>
      <c r="C9" s="15"/>
      <c r="D9" s="6"/>
      <c r="E9" s="6"/>
      <c r="F9" s="6"/>
      <c r="G9" s="6"/>
      <c r="H9" s="22"/>
      <c r="I9" s="17"/>
      <c r="J9" s="6"/>
      <c r="K9" s="18"/>
      <c r="L9" s="16"/>
      <c r="O9" s="10"/>
      <c r="P9" s="19"/>
      <c r="Q9" s="6"/>
      <c r="R9" s="24"/>
      <c r="S9" s="6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22"/>
      <c r="I10" s="17"/>
      <c r="J10" s="6"/>
      <c r="K10" s="18"/>
      <c r="L10" s="16"/>
      <c r="M10" s="6"/>
      <c r="N10" s="21"/>
      <c r="O10" s="21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N11" s="21"/>
      <c r="O11" s="21"/>
      <c r="P11" s="19"/>
      <c r="Q11" s="6"/>
      <c r="R11" s="23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21"/>
      <c r="O12" s="21"/>
      <c r="P12" s="19"/>
      <c r="Q12" s="6"/>
      <c r="R12" s="26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21"/>
      <c r="O13" s="21"/>
      <c r="P13" s="19"/>
      <c r="Q13" s="6"/>
      <c r="R13" s="26"/>
      <c r="S13" s="6"/>
    </row>
    <row r="14" spans="1:19" ht="16.5" thickBot="1" x14ac:dyDescent="0.3">
      <c r="A14" s="1"/>
      <c r="D14" s="6"/>
      <c r="E14" s="6"/>
      <c r="F14" s="6"/>
      <c r="H14" s="22"/>
      <c r="I14" s="22"/>
      <c r="J14" s="22"/>
      <c r="K14" s="18"/>
      <c r="L14" s="16"/>
      <c r="R14" s="26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0"/>
  <sheetViews>
    <sheetView zoomScale="90" zoomScaleNormal="90" workbookViewId="0">
      <pane ySplit="1" topLeftCell="A2" activePane="bottomLeft" state="frozenSplit"/>
      <selection pane="bottomLeft" activeCell="A2" sqref="A2:G6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A0515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A0515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0515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>*FN</v>
      </c>
      <c r="B3" s="6" t="str">
        <f>IF(OR('A créer'!D3="Oui",LEN('A créer'!D3)=0),"",CONCATENATE("A",'A créer'!A3))</f>
        <v>A0516</v>
      </c>
      <c r="C3" s="2" t="str">
        <f>IF(OR('A créer'!D3="Oui",LEN('A créer'!D3)=0),"","Tab")</f>
        <v>Tab</v>
      </c>
      <c r="D3" s="6" t="str">
        <f>IF(OR('A créer'!D3="Oui",LEN('A créer'!D3)=0),"",CONCATENATE("A",'A créer'!A3))</f>
        <v>A0516</v>
      </c>
      <c r="E3" s="2" t="str">
        <f>IF(OR('A créer'!D3="Oui",LEN('A créer'!D3)=0),"","Tab")</f>
        <v>Tab</v>
      </c>
      <c r="F3" s="6" t="str">
        <f>IF(OR('A créer'!D3="Oui",LEN('A créer'!D3)=0),"",CONCATENATE("STE ",'A créer'!A3))</f>
        <v>STE 0516</v>
      </c>
      <c r="G3" s="2" t="str">
        <f>IF(OR('A créer'!D3="Oui",LEN('A créer'!D3)=0),"","*SAVE")</f>
        <v>*SAVE</v>
      </c>
    </row>
    <row r="4" spans="1:7" x14ac:dyDescent="0.25">
      <c r="A4" s="2" t="str">
        <f>IF(OR('A créer'!D4="Oui",LEN('A créer'!D4)=0),"","*FN")</f>
        <v>*FN</v>
      </c>
      <c r="B4" s="6" t="str">
        <f>IF(OR('A créer'!D4="Oui",LEN('A créer'!D4)=0),"",CONCATENATE("A",'A créer'!A4))</f>
        <v>A0517</v>
      </c>
      <c r="C4" s="2" t="str">
        <f>IF(OR('A créer'!D4="Oui",LEN('A créer'!D4)=0),"","Tab")</f>
        <v>Tab</v>
      </c>
      <c r="D4" s="6" t="str">
        <f>IF(OR('A créer'!D4="Oui",LEN('A créer'!D4)=0),"",CONCATENATE("A",'A créer'!A4))</f>
        <v>A0517</v>
      </c>
      <c r="E4" s="2" t="str">
        <f>IF(OR('A créer'!D4="Oui",LEN('A créer'!D4)=0),"","Tab")</f>
        <v>Tab</v>
      </c>
      <c r="F4" s="6" t="str">
        <f>IF(OR('A créer'!D4="Oui",LEN('A créer'!D4)=0),"",CONCATENATE("STE ",'A créer'!A4))</f>
        <v>STE 0517</v>
      </c>
      <c r="G4" s="2" t="str">
        <f>IF(OR('A créer'!D4="Oui",LEN('A créer'!D4)=0),"","*SAVE")</f>
        <v>*SAVE</v>
      </c>
    </row>
    <row r="5" spans="1:7" x14ac:dyDescent="0.25">
      <c r="A5" s="2" t="str">
        <f>IF(OR('A créer'!D5="Oui",LEN('A créer'!D5)=0),"","*FN")</f>
        <v>*FN</v>
      </c>
      <c r="B5" s="6" t="str">
        <f>IF(OR('A créer'!D5="Oui",LEN('A créer'!D5)=0),"",CONCATENATE("A",'A créer'!A5))</f>
        <v>A0518</v>
      </c>
      <c r="C5" s="2" t="str">
        <f>IF(OR('A créer'!D5="Oui",LEN('A créer'!D5)=0),"","Tab")</f>
        <v>Tab</v>
      </c>
      <c r="D5" s="6" t="str">
        <f>IF(OR('A créer'!D5="Oui",LEN('A créer'!D5)=0),"",CONCATENATE("A",'A créer'!A5))</f>
        <v>A0518</v>
      </c>
      <c r="E5" s="2" t="str">
        <f>IF(OR('A créer'!D5="Oui",LEN('A créer'!D5)=0),"","Tab")</f>
        <v>Tab</v>
      </c>
      <c r="F5" s="6" t="str">
        <f>IF(OR('A créer'!D5="Oui",LEN('A créer'!D5)=0),"",CONCATENATE("STE ",'A créer'!A5))</f>
        <v>STE 0518</v>
      </c>
      <c r="G5" s="2" t="str">
        <f>IF(OR('A créer'!D5="Oui",LEN('A créer'!D5)=0),"","*SAVE")</f>
        <v>*SAVE</v>
      </c>
    </row>
    <row r="6" spans="1:7" x14ac:dyDescent="0.25">
      <c r="A6" s="2" t="str">
        <f>IF(OR('A créer'!D6="Oui",LEN('A créer'!D6)=0),"","*FN")</f>
        <v>*FN</v>
      </c>
      <c r="B6" s="6" t="str">
        <f>IF(OR('A créer'!D6="Oui",LEN('A créer'!D6)=0),"",CONCATENATE("A",'A créer'!A6))</f>
        <v>A0519</v>
      </c>
      <c r="C6" s="2" t="str">
        <f>IF(OR('A créer'!D6="Oui",LEN('A créer'!D6)=0),"","Tab")</f>
        <v>Tab</v>
      </c>
      <c r="D6" s="6" t="str">
        <f>IF(OR('A créer'!D6="Oui",LEN('A créer'!D6)=0),"",CONCATENATE("A",'A créer'!A6))</f>
        <v>A0519</v>
      </c>
      <c r="E6" s="2" t="str">
        <f>IF(OR('A créer'!D6="Oui",LEN('A créer'!D6)=0),"","Tab")</f>
        <v>Tab</v>
      </c>
      <c r="F6" s="6" t="str">
        <f>IF(OR('A créer'!D6="Oui",LEN('A créer'!D6)=0),"",CONCATENATE("STE ",'A créer'!A6))</f>
        <v>STE 0519</v>
      </c>
      <c r="G6" s="2" t="str">
        <f>IF(OR('A créer'!D6="Oui",LEN('A créer'!D6)=0),"","*SAVE")</f>
        <v>*SAVE</v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0"/>
  <sheetViews>
    <sheetView zoomScale="80" zoomScaleNormal="80" workbookViewId="0">
      <pane ySplit="1" topLeftCell="A2" activePane="bottomLeft" state="frozenSplit"/>
      <selection pane="bottomLeft" activeCell="B2" sqref="B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YS2328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28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YS2329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DK 29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6" t="str">
        <f>IF(LEN('A créer'!G4)=0,"",'A créer'!G4)</f>
        <v>YS2330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DK 30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>*FN</v>
      </c>
      <c r="B5" s="6" t="str">
        <f>IF(LEN('A créer'!G5)=0,"",'A créer'!G5)</f>
        <v>YS2331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DK 31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25">
      <c r="A6" s="2" t="str">
        <f>IF(LEN('A créer'!G6)=0,"","*FN")</f>
        <v>*FN</v>
      </c>
      <c r="B6" s="6" t="str">
        <f>IF(LEN('A créer'!G6)=0,"",'A créer'!G6)</f>
        <v>YS2332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DK 32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Q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10.28515625" customWidth="1"/>
    <col min="53" max="53" width="4" bestFit="1" customWidth="1"/>
    <col min="54" max="54" width="6.1406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0515</v>
      </c>
      <c r="C2" s="2" t="str">
        <f>IF(OR('A créer'!D2="Oui",LEN('A créer'!D2)=0),"","Tab")</f>
        <v>Tab</v>
      </c>
      <c r="D2" t="str">
        <f>IF(OR('A créer'!D2="Oui",LEN('A créer'!D2)=0),"",'A créer'!C2)</f>
        <v>DK 28</v>
      </c>
      <c r="E2" s="2" t="s">
        <v>94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DOS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>YS2328</v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A515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0515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A0515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0515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 x14ac:dyDescent="0.25">
      <c r="A3" s="2" t="str">
        <f>IF(OR('A créer'!D3="Oui",LEN('A créer'!D3)=0),"","*FN")</f>
        <v>*FN</v>
      </c>
      <c r="B3" s="6" t="str">
        <f>IF(OR('A créer'!D3="Oui",LEN('A créer'!D3)=0),"",'A créer'!A3)</f>
        <v>0516</v>
      </c>
      <c r="C3" s="2" t="str">
        <f>IF(OR('A créer'!D3="Oui",LEN('A créer'!D3)=0),"","Tab")</f>
        <v>Tab</v>
      </c>
      <c r="D3" s="6" t="str">
        <f>IF(OR('A créer'!D3="Oui",LEN('A créer'!D3)=0),"",'A créer'!C3)</f>
        <v>DK 29</v>
      </c>
      <c r="E3" s="2" t="s">
        <v>94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6" t="str">
        <f>IF(OR('A créer'!D3="Oui",LEN('A créer'!D3)=0),"","Oui")</f>
        <v>Oui</v>
      </c>
      <c r="J3" s="2" t="str">
        <f>IF(OR('A créer'!D3="Oui",LEN('A créer'!D3)=0),"","Tab")</f>
        <v>Tab</v>
      </c>
      <c r="K3" s="6" t="str">
        <f>IF(OR('A créer'!D3="Oui",LEN('A créer'!D3)=0),"",'A créer'!H3)</f>
        <v>DOS</v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>Tab</v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6" t="str">
        <f>IF(OR('A créer'!D3="Oui",LEN('A créer'!D3)=0),"",IF($K3="DOS",'A créer'!G3,""))</f>
        <v>YS2329</v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6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6" t="str">
        <f>IF(OR('A créer'!D3="Oui",LEN('A créer'!D3)=0),"",CONCATENATE("A",RIGHT('A créer'!A3,3)))</f>
        <v>A516</v>
      </c>
      <c r="AI3" s="2" t="str">
        <f>IF(OR('A créer'!D3="Oui",LEN('A créer'!D3)=0),"","Tab")</f>
        <v>Tab</v>
      </c>
      <c r="AJ3" s="6" t="str">
        <f>IF(OR('A créer'!D3="Oui",LEN('A créer'!D3)=0),"",CONCATENATE('A créer'!A3," Regroupement"))</f>
        <v>0516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6" t="str">
        <f>IF(OR('A créer'!D3="Oui",LEN('A créer'!D3)=0),"",CONCATENATE("A",'A créer'!A3))</f>
        <v>A0516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6" t="str">
        <f>IF(OR('A créer'!D3="Oui",LEN('A créer'!D3)=0),"","Non")</f>
        <v>Non</v>
      </c>
      <c r="AS3" s="2" t="str">
        <f>IF(OR('A créer'!D3="Oui",LEN('A créer'!D3)=0),"","Tab")</f>
        <v>Tab</v>
      </c>
      <c r="AT3" s="6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6" t="str">
        <f>IF(OR('A créer'!D3="Oui",LEN('A créer'!D3)=0),"",'A créer'!A3)</f>
        <v>0516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 x14ac:dyDescent="0.25">
      <c r="A4" s="2" t="str">
        <f>IF(OR('A créer'!D4="Oui",LEN('A créer'!D4)=0),"","*FN")</f>
        <v>*FN</v>
      </c>
      <c r="B4" s="6" t="str">
        <f>IF(OR('A créer'!D4="Oui",LEN('A créer'!D4)=0),"",'A créer'!A4)</f>
        <v>0517</v>
      </c>
      <c r="C4" s="2" t="str">
        <f>IF(OR('A créer'!D4="Oui",LEN('A créer'!D4)=0),"","Tab")</f>
        <v>Tab</v>
      </c>
      <c r="D4" s="6" t="str">
        <f>IF(OR('A créer'!D4="Oui",LEN('A créer'!D4)=0),"",'A créer'!C4)</f>
        <v>DK 30</v>
      </c>
      <c r="E4" s="2" t="s">
        <v>94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créer'!D4)=0),"","ENT")</f>
        <v>ENT</v>
      </c>
      <c r="I4" s="6" t="str">
        <f>IF(OR('A créer'!D4="Oui",LEN('A créer'!D4)=0),"","Oui")</f>
        <v>Oui</v>
      </c>
      <c r="J4" s="2" t="str">
        <f>IF(OR('A créer'!D4="Oui",LEN('A créer'!D4)=0),"","Tab")</f>
        <v>Tab</v>
      </c>
      <c r="K4" s="6" t="str">
        <f>IF(OR('A créer'!D4="Oui",LEN('A créer'!D4)=0),"",'A créer'!H4)</f>
        <v>DOS</v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>Tab</v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>Tab</v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>Tab</v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>Tab</v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>Tab</v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>Tab</v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>Tab</v>
      </c>
      <c r="Z4" s="6" t="str">
        <f>IF(OR('A créer'!D4="Oui",LEN('A créer'!D4)=0),"",IF($K4="DOS",'A créer'!G4,""))</f>
        <v>YS2330</v>
      </c>
      <c r="AA4" s="2" t="str">
        <f>IF(OR('A créer'!D4="Oui",LEN('A créer'!D4)=0),"","Tab")</f>
        <v>Tab</v>
      </c>
      <c r="AB4" s="2" t="str">
        <f>IF(OR('A créer'!D4="Oui",LEN('A créer'!D4)=0),"","Tab")</f>
        <v>Tab</v>
      </c>
      <c r="AC4" s="6" t="str">
        <f>IF(OR('A créer'!D4="Oui",LEN('A créer'!D4)=0),"","OUI")</f>
        <v>OUI</v>
      </c>
      <c r="AD4" s="2" t="str">
        <f>IF(OR('A créer'!D4="Oui",LEN('A créer'!D4)=0),"","Tab")</f>
        <v>Tab</v>
      </c>
      <c r="AE4" s="2" t="str">
        <f>IF(OR('A créer'!D4="Oui",LEN('A créer'!D4)=0),"","ENT")</f>
        <v>ENT</v>
      </c>
      <c r="AF4" s="2" t="str">
        <f>IF(OR('A créer'!D4="Oui",LEN('A créer'!D4)=0),"","*SAVE")</f>
        <v>*SAVE</v>
      </c>
      <c r="AG4" s="2" t="str">
        <f>IF(OR('A créer'!D4="Oui",LEN('A créer'!D4)=0),"","*FN")</f>
        <v>*FN</v>
      </c>
      <c r="AH4" s="6" t="str">
        <f>IF(OR('A créer'!D4="Oui",LEN('A créer'!D4)=0),"",CONCATENATE("A",RIGHT('A créer'!A4,3)))</f>
        <v>A517</v>
      </c>
      <c r="AI4" s="2" t="str">
        <f>IF(OR('A créer'!D4="Oui",LEN('A créer'!D4)=0),"","Tab")</f>
        <v>Tab</v>
      </c>
      <c r="AJ4" s="6" t="str">
        <f>IF(OR('A créer'!D4="Oui",LEN('A créer'!D4)=0),"",CONCATENATE('A créer'!A4," Regroupement"))</f>
        <v>0517 Regroupement</v>
      </c>
      <c r="AK4" s="2" t="str">
        <f>IF(OR('A créer'!D4="Oui",LEN('A créer'!D4)=0),"","Tab 4")</f>
        <v>Tab 4</v>
      </c>
      <c r="AL4" s="2" t="str">
        <f>IF(OR('A créer'!D4="Oui",LEN('A créer'!D4)=0),"","*SB")</f>
        <v>*SB</v>
      </c>
      <c r="AM4" s="2" t="str">
        <f>IF(OR('A créer'!D4="Oui",LEN('A créer'!D4)=0),"","Tab")</f>
        <v>Tab</v>
      </c>
      <c r="AN4" s="6" t="str">
        <f>IF(OR('A créer'!D4="Oui",LEN('A créer'!D4)=0),"",CONCATENATE("A",'A créer'!A4))</f>
        <v>A0517</v>
      </c>
      <c r="AO4" s="2" t="str">
        <f>IF(OR('A créer'!D4="Oui",LEN('A créer'!D4)=0),"","Tab")</f>
        <v>Tab</v>
      </c>
      <c r="AP4" s="2" t="str">
        <f>IF(OR('A créer'!D4="Oui",LEN('A créer'!D4)=0),"","Tab")</f>
        <v>Tab</v>
      </c>
      <c r="AQ4" s="2" t="str">
        <f>IF(OR('A créer'!D4="Oui",LEN('A créer'!D4)=0),"","ENT")</f>
        <v>ENT</v>
      </c>
      <c r="AR4" s="6" t="str">
        <f>IF(OR('A créer'!D4="Oui",LEN('A créer'!D4)=0),"","Non")</f>
        <v>Non</v>
      </c>
      <c r="AS4" s="2" t="str">
        <f>IF(OR('A créer'!D4="Oui",LEN('A créer'!D4)=0),"","Tab")</f>
        <v>Tab</v>
      </c>
      <c r="AT4" s="6" t="str">
        <f>IF(OR('A créer'!D4="Oui",LEN('A créer'!D4)=0),"","T")</f>
        <v>T</v>
      </c>
      <c r="AU4" s="2" t="str">
        <f>IF(OR('A créer'!D4="Oui",LEN('A créer'!D4)=0),"","Tab")</f>
        <v>Tab</v>
      </c>
      <c r="AV4" s="2" t="str">
        <f>IF(OR('A créer'!D4="Oui",LEN('A créer'!D4)=0),"","ENT")</f>
        <v>ENT</v>
      </c>
      <c r="AW4" s="2" t="str">
        <f>IF(OR('A créer'!D4="Oui",LEN('A créer'!D4)=0),"","*SAVE")</f>
        <v>*SAVE</v>
      </c>
      <c r="AX4" s="2" t="str">
        <f>IF(OR('A créer'!D4="Oui",LEN('A créer'!D4)=0),"","*UP")</f>
        <v>*UP</v>
      </c>
      <c r="AY4" s="2" t="str">
        <f>IF(OR('A créer'!D4="Oui",LEN('A créer'!D4)=0),"","*Aé")</f>
        <v>*Aé</v>
      </c>
      <c r="AZ4" s="6" t="str">
        <f>IF(OR('A créer'!D4="Oui",LEN('A créer'!D4)=0),"",'A créer'!A4)</f>
        <v>0517</v>
      </c>
      <c r="BA4" s="2" t="str">
        <f>IF(OR('A créer'!D4="Oui",LEN('A créer'!D4)=0),"","Tab")</f>
        <v>Tab</v>
      </c>
      <c r="BB4" s="2" t="str">
        <f>IF(OR('A créer'!D4="Oui",LEN('A créer'!D4)=0),"","*SAVE")</f>
        <v>*SAVE</v>
      </c>
      <c r="BC4" s="2" t="str">
        <f>IF(OR('A créer'!D4="Oui",LEN('A créer'!D4)=0),"","*ML(601,114)")</f>
        <v>*ML(601,114)</v>
      </c>
    </row>
    <row r="5" spans="1:55" x14ac:dyDescent="0.25">
      <c r="A5" s="2" t="str">
        <f>IF(OR('A créer'!D5="Oui",LEN('A créer'!D5)=0),"","*FN")</f>
        <v>*FN</v>
      </c>
      <c r="B5" s="6" t="str">
        <f>IF(OR('A créer'!D5="Oui",LEN('A créer'!D5)=0),"",'A créer'!A5)</f>
        <v>0518</v>
      </c>
      <c r="C5" s="2" t="str">
        <f>IF(OR('A créer'!D5="Oui",LEN('A créer'!D5)=0),"","Tab")</f>
        <v>Tab</v>
      </c>
      <c r="D5" s="6" t="str">
        <f>IF(OR('A créer'!D5="Oui",LEN('A créer'!D5)=0),"",'A créer'!C5)</f>
        <v>DK 31</v>
      </c>
      <c r="E5" s="2" t="s">
        <v>94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créer'!D5)=0),"","ENT")</f>
        <v>ENT</v>
      </c>
      <c r="I5" s="6" t="str">
        <f>IF(OR('A créer'!D5="Oui",LEN('A créer'!D5)=0),"","Oui")</f>
        <v>Oui</v>
      </c>
      <c r="J5" s="2" t="str">
        <f>IF(OR('A créer'!D5="Oui",LEN('A créer'!D5)=0),"","Tab")</f>
        <v>Tab</v>
      </c>
      <c r="K5" s="6" t="str">
        <f>IF(OR('A créer'!D5="Oui",LEN('A créer'!D5)=0),"",'A créer'!H5)</f>
        <v>DOS</v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>Tab</v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>Tab</v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>Tab</v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>Tab</v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>Tab</v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>Tab</v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>Tab</v>
      </c>
      <c r="Z5" s="6" t="str">
        <f>IF(OR('A créer'!D5="Oui",LEN('A créer'!D5)=0),"",IF($K5="DOS",'A créer'!G5,""))</f>
        <v>YS2331</v>
      </c>
      <c r="AA5" s="2" t="str">
        <f>IF(OR('A créer'!D5="Oui",LEN('A créer'!D5)=0),"","Tab")</f>
        <v>Tab</v>
      </c>
      <c r="AB5" s="2" t="str">
        <f>IF(OR('A créer'!D5="Oui",LEN('A créer'!D5)=0),"","Tab")</f>
        <v>Tab</v>
      </c>
      <c r="AC5" s="6" t="str">
        <f>IF(OR('A créer'!D5="Oui",LEN('A créer'!D5)=0),"","OUI")</f>
        <v>OUI</v>
      </c>
      <c r="AD5" s="2" t="str">
        <f>IF(OR('A créer'!D5="Oui",LEN('A créer'!D5)=0),"","Tab")</f>
        <v>Tab</v>
      </c>
      <c r="AE5" s="2" t="str">
        <f>IF(OR('A créer'!D5="Oui",LEN('A créer'!D5)=0),"","ENT")</f>
        <v>ENT</v>
      </c>
      <c r="AF5" s="2" t="str">
        <f>IF(OR('A créer'!D5="Oui",LEN('A créer'!D5)=0),"","*SAVE")</f>
        <v>*SAVE</v>
      </c>
      <c r="AG5" s="2" t="str">
        <f>IF(OR('A créer'!D5="Oui",LEN('A créer'!D5)=0),"","*FN")</f>
        <v>*FN</v>
      </c>
      <c r="AH5" s="6" t="str">
        <f>IF(OR('A créer'!D5="Oui",LEN('A créer'!D5)=0),"",CONCATENATE("A",RIGHT('A créer'!A5,3)))</f>
        <v>A518</v>
      </c>
      <c r="AI5" s="2" t="str">
        <f>IF(OR('A créer'!D5="Oui",LEN('A créer'!D5)=0),"","Tab")</f>
        <v>Tab</v>
      </c>
      <c r="AJ5" s="6" t="str">
        <f>IF(OR('A créer'!D5="Oui",LEN('A créer'!D5)=0),"",CONCATENATE('A créer'!A5," Regroupement"))</f>
        <v>0518 Regroupement</v>
      </c>
      <c r="AK5" s="2" t="str">
        <f>IF(OR('A créer'!D5="Oui",LEN('A créer'!D5)=0),"","Tab 4")</f>
        <v>Tab 4</v>
      </c>
      <c r="AL5" s="2" t="str">
        <f>IF(OR('A créer'!D5="Oui",LEN('A créer'!D5)=0),"","*SB")</f>
        <v>*SB</v>
      </c>
      <c r="AM5" s="2" t="str">
        <f>IF(OR('A créer'!D5="Oui",LEN('A créer'!D5)=0),"","Tab")</f>
        <v>Tab</v>
      </c>
      <c r="AN5" s="6" t="str">
        <f>IF(OR('A créer'!D5="Oui",LEN('A créer'!D5)=0),"",CONCATENATE("A",'A créer'!A5))</f>
        <v>A0518</v>
      </c>
      <c r="AO5" s="2" t="str">
        <f>IF(OR('A créer'!D5="Oui",LEN('A créer'!D5)=0),"","Tab")</f>
        <v>Tab</v>
      </c>
      <c r="AP5" s="2" t="str">
        <f>IF(OR('A créer'!D5="Oui",LEN('A créer'!D5)=0),"","Tab")</f>
        <v>Tab</v>
      </c>
      <c r="AQ5" s="2" t="str">
        <f>IF(OR('A créer'!D5="Oui",LEN('A créer'!D5)=0),"","ENT")</f>
        <v>ENT</v>
      </c>
      <c r="AR5" s="6" t="str">
        <f>IF(OR('A créer'!D5="Oui",LEN('A créer'!D5)=0),"","Non")</f>
        <v>Non</v>
      </c>
      <c r="AS5" s="2" t="str">
        <f>IF(OR('A créer'!D5="Oui",LEN('A créer'!D5)=0),"","Tab")</f>
        <v>Tab</v>
      </c>
      <c r="AT5" s="6" t="str">
        <f>IF(OR('A créer'!D5="Oui",LEN('A créer'!D5)=0),"","T")</f>
        <v>T</v>
      </c>
      <c r="AU5" s="2" t="str">
        <f>IF(OR('A créer'!D5="Oui",LEN('A créer'!D5)=0),"","Tab")</f>
        <v>Tab</v>
      </c>
      <c r="AV5" s="2" t="str">
        <f>IF(OR('A créer'!D5="Oui",LEN('A créer'!D5)=0),"","ENT")</f>
        <v>ENT</v>
      </c>
      <c r="AW5" s="2" t="str">
        <f>IF(OR('A créer'!D5="Oui",LEN('A créer'!D5)=0),"","*SAVE")</f>
        <v>*SAVE</v>
      </c>
      <c r="AX5" s="2" t="str">
        <f>IF(OR('A créer'!D5="Oui",LEN('A créer'!D5)=0),"","*UP")</f>
        <v>*UP</v>
      </c>
      <c r="AY5" s="2" t="str">
        <f>IF(OR('A créer'!D5="Oui",LEN('A créer'!D5)=0),"","*Aé")</f>
        <v>*Aé</v>
      </c>
      <c r="AZ5" s="6" t="str">
        <f>IF(OR('A créer'!D5="Oui",LEN('A créer'!D5)=0),"",'A créer'!A5)</f>
        <v>0518</v>
      </c>
      <c r="BA5" s="2" t="str">
        <f>IF(OR('A créer'!D5="Oui",LEN('A créer'!D5)=0),"","Tab")</f>
        <v>Tab</v>
      </c>
      <c r="BB5" s="2" t="str">
        <f>IF(OR('A créer'!D5="Oui",LEN('A créer'!D5)=0),"","*SAVE")</f>
        <v>*SAVE</v>
      </c>
      <c r="BC5" s="2" t="str">
        <f>IF(OR('A créer'!D5="Oui",LEN('A créer'!D5)=0),"","*ML(601,114)")</f>
        <v>*ML(601,114)</v>
      </c>
    </row>
    <row r="6" spans="1:55" x14ac:dyDescent="0.25">
      <c r="A6" s="2" t="str">
        <f>IF(OR('A créer'!D6="Oui",LEN('A créer'!D6)=0),"","*FN")</f>
        <v>*FN</v>
      </c>
      <c r="B6" s="6" t="str">
        <f>IF(OR('A créer'!D6="Oui",LEN('A créer'!D6)=0),"",'A créer'!A6)</f>
        <v>0519</v>
      </c>
      <c r="C6" s="2" t="str">
        <f>IF(OR('A créer'!D6="Oui",LEN('A créer'!D6)=0),"","Tab")</f>
        <v>Tab</v>
      </c>
      <c r="D6" s="6" t="str">
        <f>IF(OR('A créer'!D6="Oui",LEN('A créer'!D6)=0),"",'A créer'!C6)</f>
        <v>DK 32</v>
      </c>
      <c r="E6" s="2" t="s">
        <v>94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6" t="str">
        <f>IF(OR('A créer'!D6="Oui",LEN('A créer'!D6)=0),"","Oui")</f>
        <v>Oui</v>
      </c>
      <c r="J6" s="2" t="str">
        <f>IF(OR('A créer'!D6="Oui",LEN('A créer'!D6)=0),"","Tab")</f>
        <v>Tab</v>
      </c>
      <c r="K6" s="6" t="str">
        <f>IF(OR('A créer'!D6="Oui",LEN('A créer'!D6)=0),"",'A créer'!H6)</f>
        <v>DOS</v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>Tab</v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6" t="str">
        <f>IF(OR('A créer'!D6="Oui",LEN('A créer'!D6)=0),"",IF($K6="DOS",'A créer'!G6,""))</f>
        <v>YS2332</v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6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6" t="str">
        <f>IF(OR('A créer'!D6="Oui",LEN('A créer'!D6)=0),"",CONCATENATE("A",RIGHT('A créer'!A6,3)))</f>
        <v>A519</v>
      </c>
      <c r="AI6" s="2" t="str">
        <f>IF(OR('A créer'!D6="Oui",LEN('A créer'!D6)=0),"","Tab")</f>
        <v>Tab</v>
      </c>
      <c r="AJ6" s="6" t="str">
        <f>IF(OR('A créer'!D6="Oui",LEN('A créer'!D6)=0),"",CONCATENATE('A créer'!A6," Regroupement"))</f>
        <v>0519 Regroupement</v>
      </c>
      <c r="AK6" s="2" t="str">
        <f>IF(OR('A créer'!D6="Oui",LEN('A créer'!D6)=0),"","Tab 4")</f>
        <v>Tab 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6" t="str">
        <f>IF(OR('A créer'!D6="Oui",LEN('A créer'!D6)=0),"",CONCATENATE("A",'A créer'!A6))</f>
        <v>A0519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6" t="str">
        <f>IF(OR('A créer'!D6="Oui",LEN('A créer'!D6)=0),"","Non")</f>
        <v>Non</v>
      </c>
      <c r="AS6" s="2" t="str">
        <f>IF(OR('A créer'!D6="Oui",LEN('A créer'!D6)=0),"","Tab")</f>
        <v>Tab</v>
      </c>
      <c r="AT6" s="6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6" t="str">
        <f>IF(OR('A créer'!D6="Oui",LEN('A créer'!D6)=0),"",'A créer'!A6)</f>
        <v>0519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tr">
        <f>IF(OR('A créer'!D6="Oui",LEN('A créer'!D6)=0),"","*ML(601,114)")</f>
        <v>*ML(601,114)</v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créer'!D7)=0),"","*ML(601,114)")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créer'!D8)=0),"","*ML(601,114)")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créer'!D9)=0),"","*ML(601,114)")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créer'!D10)=0),"","*ML(601,114)")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créer'!D11)=0),"","*ML(751,97)")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créer'!D12)=0),"","*ML(751,97)")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E4" sqref="AE4"/>
    </sheetView>
  </sheetViews>
  <sheetFormatPr baseColWidth="10" defaultRowHeight="15" x14ac:dyDescent="0.25"/>
  <cols>
    <col min="1" max="1" width="5.140625" bestFit="1" customWidth="1"/>
    <col min="2" max="2" width="9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8.425781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DOS0515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DOS0515-DK 28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YS2328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XXX0515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XXX-DK 28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YS2328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0515</v>
      </c>
      <c r="AG2" s="2" t="str">
        <f>IF(OR('A créer'!D2="Oui",LEN('A créer'!D2)=0),"","Tab")</f>
        <v>Tab</v>
      </c>
      <c r="AH2" t="str">
        <f>IF(OR('A créer'!D2="Oui",LEN('A créer'!D2)=0),"",'A créer'!C2)</f>
        <v>DK 28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DOS0515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XXX0515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97</v>
      </c>
    </row>
    <row r="3" spans="1:52" x14ac:dyDescent="0.25">
      <c r="A3" s="2" t="str">
        <f>IF(OR('A créer'!D3="Oui",LEN('A créer'!D3)=0),IF(AND(LEN('A créer'!B3)&gt;0,'A créer'!B3&lt;&gt;'A créer'!H3)=TRUE,"*FN",""),"*FN")</f>
        <v>*FN</v>
      </c>
      <c r="B3" s="6" t="str">
        <f>IF(OR('A créer'!D3="Oui",LEN('A créer'!D3)=0),IF(LEN('A créer'!B3)&gt;0,IF('A créer'!B3='A créer'!H3,"",CONCATENATE('A créer'!B3,'A créer'!A3)),""),CONCATENATE('A créer'!B3,'A créer'!A3))</f>
        <v>DOS0516</v>
      </c>
      <c r="C3" s="2" t="str">
        <f>IF(OR('A créer'!D3="Oui",LEN('A créer'!D3)=0),IF(AND(LEN('A créer'!B3)&gt;0,'A créer'!B3&lt;&gt;'A créer'!H3)=TRUE,"Tab",""),"Tab")</f>
        <v>Tab</v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DOS0516-DK 29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6" t="str">
        <f>IF('A créer'!D3="Oui",IF(AND(LEN('A créer'!B3)&gt;0,'A créer'!B3&lt;&gt;'A créer'!H3)=TRUE,'A créer'!G3,""),'A créer'!G3)</f>
        <v>YS2329</v>
      </c>
      <c r="J3" s="2" t="str">
        <f>IF(OR('A créer'!D3="Oui",LEN('A créer'!D3)=0),IF(AND(LEN('A créer'!B3)&gt;0,'A créer'!B3&lt;&gt;'A créer'!H3)=TRUE,"Tab",""),"Tab")</f>
        <v>Tab</v>
      </c>
      <c r="K3" s="6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6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6" t="str">
        <f>IF(OR('A créer'!D3="Oui",LEN('A créer'!D3)=0),"",CONCATENATE("XXX",'A créer'!A3))</f>
        <v>XXX0516</v>
      </c>
      <c r="R3" s="2" t="str">
        <f>IF(OR('A créer'!D3="Oui",LEN('A créer'!D3)=0),"","Tab")</f>
        <v>Tab</v>
      </c>
      <c r="S3" s="6" t="str">
        <f>IF(OR('A créer'!D3="Oui",LEN('A créer'!D3)=0),"",CONCATENATE("XXX-",'A créer'!C3))</f>
        <v>XXX-DK 29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6" t="str">
        <f>IF(OR('A créer'!D3="Oui",LEN('A créer'!D3)=0),"",'A créer'!G3)</f>
        <v>YS2329</v>
      </c>
      <c r="Y3" s="2" t="str">
        <f>IF(OR('A créer'!D3="Oui",LEN('A créer'!D3)=0),"","Tab")</f>
        <v>Tab</v>
      </c>
      <c r="Z3" s="6" t="str">
        <f>IF(OR('A créer'!D3="Oui",LEN('A créer'!D3)=0),"","Oui")</f>
        <v>Oui</v>
      </c>
      <c r="AA3" s="2" t="str">
        <f>IF(OR('A créer'!D3="Oui",LEN('A créer'!D3)=0),"","Tab")</f>
        <v>Tab</v>
      </c>
      <c r="AB3" s="6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6" t="str">
        <f>IF(OR('A créer'!D3="Oui",LEN('A créer'!D3)=0),"",'A créer'!A3)</f>
        <v>0516</v>
      </c>
      <c r="AG3" s="2" t="str">
        <f>IF(OR('A créer'!D3="Oui",LEN('A créer'!D3)=0),"","Tab")</f>
        <v>Tab</v>
      </c>
      <c r="AH3" s="6" t="str">
        <f>IF(OR('A créer'!D3="Oui",LEN('A créer'!D3)=0),"",'A créer'!C3)</f>
        <v>DK 29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6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6" t="str">
        <f>IF(OR('A créer'!D3="Oui",LEN('A créer'!D3)=0),"",CONCATENATE('A créer'!B3,'A créer'!A3))</f>
        <v>DOS0516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6" t="str">
        <f>IF(OR('A créer'!D3="Oui",LEN('A créer'!D3)=0),"",CONCATENATE("XXX",'A créer'!A3))</f>
        <v>XXX0516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97</v>
      </c>
    </row>
    <row r="4" spans="1:52" x14ac:dyDescent="0.25">
      <c r="A4" s="2" t="str">
        <f>IF(OR('A créer'!D4="Oui",LEN('A créer'!D4)=0),IF(AND(LEN('A créer'!B4)&gt;0,'A créer'!B4&lt;&gt;'A créer'!H4)=TRUE,"*FN",""),"*FN")</f>
        <v>*FN</v>
      </c>
      <c r="B4" s="6" t="str">
        <f>IF(OR('A créer'!D4="Oui",LEN('A créer'!D4)=0),IF(LEN('A créer'!B4)&gt;0,IF('A créer'!B4='A créer'!H4,"",CONCATENATE('A créer'!B4,'A créer'!A4)),""),CONCATENATE('A créer'!B4,'A créer'!A4))</f>
        <v>DOS0517</v>
      </c>
      <c r="C4" s="2" t="str">
        <f>IF(OR('A créer'!D4="Oui",LEN('A créer'!D4)=0),IF(AND(LEN('A créer'!B4)&gt;0,'A créer'!B4&lt;&gt;'A créer'!H4)=TRUE,"Tab",""),"Tab")</f>
        <v>Tab</v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>DOS0517-DK 30</v>
      </c>
      <c r="E4" s="2" t="str">
        <f>IF(OR('A créer'!D4="Oui",LEN('A créer'!D4)=0),IF(AND(LEN('A créer'!B4)&gt;0,'A créer'!B4&lt;&gt;'A créer'!H4)=TRUE,"Tab 4",""),"Tab 4")</f>
        <v>Tab 4</v>
      </c>
      <c r="F4" s="2" t="str">
        <f>IF(OR('A créer'!D4="Oui",LEN('A créer'!D4)=0),IF(AND(LEN('A créer'!B4)&gt;0,'A créer'!B4&lt;&gt;'A créer'!H4)=TRUE,"Tab",""),"Tab")</f>
        <v>Tab</v>
      </c>
      <c r="G4" s="2" t="str">
        <f>IF(OR('A créer'!D4="Oui",LEN('A créer'!D4)=0),IF(AND(LEN('A créer'!B4)&gt;0,'A créer'!B4&lt;&gt;'A créer'!H4)=TRUE,"Tab",""),"Tab")</f>
        <v>Tab</v>
      </c>
      <c r="H4" s="2" t="str">
        <f>IF(OR('A créer'!D4="Oui",LEN('A créer'!D4)=0),IF(AND(LEN('A créer'!B4)&gt;0,'A créer'!B4&lt;&gt;'A créer'!H4)=TRUE,"ENT",""),"ENT")</f>
        <v>ENT</v>
      </c>
      <c r="I4" s="6" t="str">
        <f>IF('A créer'!D4="Oui",IF(AND(LEN('A créer'!B4)&gt;0,'A créer'!B4&lt;&gt;'A créer'!H4)=TRUE,'A créer'!G4,""),'A créer'!G4)</f>
        <v>YS2330</v>
      </c>
      <c r="J4" s="2" t="str">
        <f>IF(OR('A créer'!D4="Oui",LEN('A créer'!D4)=0),IF(AND(LEN('A créer'!B4)&gt;0,'A créer'!B4&lt;&gt;'A créer'!H4)=TRUE,"Tab",""),"Tab")</f>
        <v>Tab</v>
      </c>
      <c r="K4" s="6" t="str">
        <f>IF(OR('A créer'!D4="Oui",LEN('A créer'!D4)=0),IF(AND(LEN('A créer'!B4)&gt;0,'A créer'!B4&lt;&gt;'A créer'!H4)=TRUE,"Oui",""),"Oui")</f>
        <v>Oui</v>
      </c>
      <c r="L4" s="2" t="str">
        <f>IF(OR('A créer'!D4="Oui",LEN('A créer'!D4)=0),IF(AND(LEN('A créer'!B4)&gt;0,'A créer'!B4&lt;&gt;'A créer'!H4)=TRUE,"Tab",""),"Tab")</f>
        <v>Tab</v>
      </c>
      <c r="M4" s="6" t="str">
        <f>IF(OR('A créer'!D4="Oui",LEN('A créer'!D4)=0),IF(AND(LEN('A créer'!B4)&gt;0,'A créer'!B4&lt;&gt;'A créer'!H4)=TRUE,'A créer'!E4,""),'A créer'!E4)</f>
        <v>Non</v>
      </c>
      <c r="N4" s="2" t="str">
        <f>IF(OR('A créer'!D4="Oui",LEN('A créer'!D4)=0),IF(AND(LEN('A créer'!B4)&gt;0,'A créer'!B4&lt;&gt;'A créer'!H4)=TRUE,"ENT",""),"ENT")</f>
        <v>ENT</v>
      </c>
      <c r="O4" s="2" t="str">
        <f>IF(OR('A créer'!D4="Oui",LEN('A créer'!D4)=0),IF(AND(LEN('A créer'!B4)&gt;0,'A créer'!B4&lt;&gt;'A créer'!H4)=TRUE,"*SAVE",""),"*SAVE")</f>
        <v>*SAVE</v>
      </c>
      <c r="P4" s="2" t="str">
        <f>IF(OR('A créer'!D4="Oui",LEN('A créer'!D4)=0),"","*FN")</f>
        <v>*FN</v>
      </c>
      <c r="Q4" s="6" t="str">
        <f>IF(OR('A créer'!D4="Oui",LEN('A créer'!D4)=0),"",CONCATENATE("XXX",'A créer'!A4))</f>
        <v>XXX0517</v>
      </c>
      <c r="R4" s="2" t="str">
        <f>IF(OR('A créer'!D4="Oui",LEN('A créer'!D4)=0),"","Tab")</f>
        <v>Tab</v>
      </c>
      <c r="S4" s="6" t="str">
        <f>IF(OR('A créer'!D4="Oui",LEN('A créer'!D4)=0),"",CONCATENATE("XXX-",'A créer'!C4))</f>
        <v>XXX-DK 30</v>
      </c>
      <c r="T4" s="2" t="str">
        <f>IF(OR('A créer'!D4="Oui",LEN('A créer'!D4)=0),"","Tab 4")</f>
        <v>Tab 4</v>
      </c>
      <c r="U4" s="2" t="str">
        <f>IF(OR('A créer'!D4="Oui",LEN('A créer'!D4)=0),"","Tab")</f>
        <v>Tab</v>
      </c>
      <c r="V4" s="2" t="str">
        <f>IF(OR('A créer'!D4="Oui",LEN('A créer'!D4)=0),"","Tab")</f>
        <v>Tab</v>
      </c>
      <c r="W4" s="2" t="str">
        <f>IF(OR('A créer'!D4="Oui",LEN('A créer'!D4)=0),"","ENT")</f>
        <v>ENT</v>
      </c>
      <c r="X4" s="6" t="str">
        <f>IF(OR('A créer'!D4="Oui",LEN('A créer'!D4)=0),"",'A créer'!G4)</f>
        <v>YS2330</v>
      </c>
      <c r="Y4" s="2" t="str">
        <f>IF(OR('A créer'!D4="Oui",LEN('A créer'!D4)=0),"","Tab")</f>
        <v>Tab</v>
      </c>
      <c r="Z4" s="6" t="str">
        <f>IF(OR('A créer'!D4="Oui",LEN('A créer'!D4)=0),"","Oui")</f>
        <v>Oui</v>
      </c>
      <c r="AA4" s="2" t="str">
        <f>IF(OR('A créer'!D4="Oui",LEN('A créer'!D4)=0),"","Tab")</f>
        <v>Tab</v>
      </c>
      <c r="AB4" s="6" t="str">
        <f>IF(OR('A créer'!D4="Oui",LEN('A créer'!D4)=0),"","NON")</f>
        <v>NON</v>
      </c>
      <c r="AC4" s="2" t="str">
        <f>IF(OR('A créer'!D4="Oui",LEN('A créer'!D4)=0),"","ENT")</f>
        <v>ENT</v>
      </c>
      <c r="AD4" s="2" t="str">
        <f>IF(OR('A créer'!D4="Oui",LEN('A créer'!D4)=0),"","*SAVE")</f>
        <v>*SAVE</v>
      </c>
      <c r="AE4" s="2" t="str">
        <f>IF(OR('A créer'!D4="Oui",LEN('A créer'!D4)=0),"","*FN")</f>
        <v>*FN</v>
      </c>
      <c r="AF4" s="6" t="str">
        <f>IF(OR('A créer'!D4="Oui",LEN('A créer'!D4)=0),"",'A créer'!A4)</f>
        <v>0517</v>
      </c>
      <c r="AG4" s="2" t="str">
        <f>IF(OR('A créer'!D4="Oui",LEN('A créer'!D4)=0),"","Tab")</f>
        <v>Tab</v>
      </c>
      <c r="AH4" s="6" t="str">
        <f>IF(OR('A créer'!D4="Oui",LEN('A créer'!D4)=0),"",'A créer'!C4)</f>
        <v>DK 30</v>
      </c>
      <c r="AI4" s="2" t="str">
        <f>IF(OR('A créer'!D4="Oui",LEN('A créer'!D4)=0),"","Tab 4")</f>
        <v>Tab 4</v>
      </c>
      <c r="AJ4" s="2" t="str">
        <f>IF(OR('A créer'!D4="Oui",LEN('A créer'!D4)=0),"","*SB")</f>
        <v>*SB</v>
      </c>
      <c r="AK4" s="2" t="str">
        <f>IF(OR('A créer'!D4="Oui",LEN('A créer'!D4)=0),"","Tab")</f>
        <v>Tab</v>
      </c>
      <c r="AL4" s="6" t="str">
        <f>IF(OR('A créer'!D4="Oui",LEN('A créer'!D4)=0),"","InterCoSte")</f>
        <v>InterCoSte</v>
      </c>
      <c r="AM4" s="2" t="str">
        <f>IF(OR('A créer'!D4="Oui",LEN('A créer'!D4)=0),"","Tab")</f>
        <v>Tab</v>
      </c>
      <c r="AN4" s="2" t="str">
        <f>IF(OR('A créer'!D4="Oui",LEN('A créer'!D4)=0),"","Tab")</f>
        <v>Tab</v>
      </c>
      <c r="AO4" s="2" t="str">
        <f>IF(OR('A créer'!D4="Oui",LEN('A créer'!D4)=0),"","ENT")</f>
        <v>ENT</v>
      </c>
      <c r="AP4" s="2" t="str">
        <f>IF(OR('A créer'!D4="Oui",LEN('A créer'!D4)=0),"","ENT")</f>
        <v>ENT</v>
      </c>
      <c r="AQ4" s="2" t="str">
        <f>IF(OR('A créer'!D4="Oui",LEN('A créer'!D4)=0),"","*SAVE")</f>
        <v>*SAVE</v>
      </c>
      <c r="AR4" s="2" t="str">
        <f>IF(OR('A créer'!D4="Oui",LEN('A créer'!D4)=0),"","*UP")</f>
        <v>*UP</v>
      </c>
      <c r="AS4" s="2" t="str">
        <f>IF(OR('A créer'!D4="Oui",LEN('A créer'!D4)=0),"","*Aé")</f>
        <v>*Aé</v>
      </c>
      <c r="AT4" s="6" t="str">
        <f>IF(OR('A créer'!D4="Oui",LEN('A créer'!D4)=0),"",CONCATENATE('A créer'!B4,'A créer'!A4))</f>
        <v>DOS0517</v>
      </c>
      <c r="AU4" s="2" t="str">
        <f>IF(OR('A créer'!D4="Oui",LEN('A créer'!D4)=0),"","Tab")</f>
        <v>Tab</v>
      </c>
      <c r="AV4" s="2" t="str">
        <f>IF(OR('A créer'!D4="Oui",LEN('A créer'!D4)=0),"","*DN")</f>
        <v>*DN</v>
      </c>
      <c r="AW4" s="6" t="str">
        <f>IF(OR('A créer'!D4="Oui",LEN('A créer'!D4)=0),"",CONCATENATE("XXX",'A créer'!A4))</f>
        <v>XXX0517</v>
      </c>
      <c r="AX4" s="2" t="str">
        <f>IF(OR('A créer'!D4="Oui",LEN('A créer'!D4)=0),"","Tab")</f>
        <v>Tab</v>
      </c>
      <c r="AY4" s="2" t="str">
        <f>IF(OR('A créer'!D4="Oui",LEN('A créer'!D4)=0),"","*SAVE")</f>
        <v>*SAVE</v>
      </c>
      <c r="AZ4" s="2" t="s">
        <v>97</v>
      </c>
    </row>
    <row r="5" spans="1:52" x14ac:dyDescent="0.25">
      <c r="A5" s="2" t="str">
        <f>IF(OR('A créer'!D5="Oui",LEN('A créer'!D5)=0),IF(AND(LEN('A créer'!B5)&gt;0,'A créer'!B5&lt;&gt;'A créer'!H5)=TRUE,"*FN",""),"*FN")</f>
        <v>*FN</v>
      </c>
      <c r="B5" s="6" t="str">
        <f>IF(OR('A créer'!D5="Oui",LEN('A créer'!D5)=0),IF(LEN('A créer'!B5)&gt;0,IF('A créer'!B5='A créer'!H5,"",CONCATENATE('A créer'!B5,'A créer'!A5)),""),CONCATENATE('A créer'!B5,'A créer'!A5))</f>
        <v>DOS0518</v>
      </c>
      <c r="C5" s="2" t="str">
        <f>IF(OR('A créer'!D5="Oui",LEN('A créer'!D5)=0),IF(AND(LEN('A créer'!B5)&gt;0,'A créer'!B5&lt;&gt;'A créer'!H5)=TRUE,"Tab",""),"Tab")</f>
        <v>Tab</v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>DOS0518-DK 31</v>
      </c>
      <c r="E5" s="2" t="str">
        <f>IF(OR('A créer'!D5="Oui",LEN('A créer'!D5)=0),IF(AND(LEN('A créer'!B5)&gt;0,'A créer'!B5&lt;&gt;'A créer'!H5)=TRUE,"Tab 4",""),"Tab 4")</f>
        <v>Tab 4</v>
      </c>
      <c r="F5" s="2" t="str">
        <f>IF(OR('A créer'!D5="Oui",LEN('A créer'!D5)=0),IF(AND(LEN('A créer'!B5)&gt;0,'A créer'!B5&lt;&gt;'A créer'!H5)=TRUE,"Tab",""),"Tab")</f>
        <v>Tab</v>
      </c>
      <c r="G5" s="2" t="str">
        <f>IF(OR('A créer'!D5="Oui",LEN('A créer'!D5)=0),IF(AND(LEN('A créer'!B5)&gt;0,'A créer'!B5&lt;&gt;'A créer'!H5)=TRUE,"Tab",""),"Tab")</f>
        <v>Tab</v>
      </c>
      <c r="H5" s="2" t="str">
        <f>IF(OR('A créer'!D5="Oui",LEN('A créer'!D5)=0),IF(AND(LEN('A créer'!B5)&gt;0,'A créer'!B5&lt;&gt;'A créer'!H5)=TRUE,"ENT",""),"ENT")</f>
        <v>ENT</v>
      </c>
      <c r="I5" s="6" t="str">
        <f>IF('A créer'!D5="Oui",IF(AND(LEN('A créer'!B5)&gt;0,'A créer'!B5&lt;&gt;'A créer'!H5)=TRUE,'A créer'!G5,""),'A créer'!G5)</f>
        <v>YS2331</v>
      </c>
      <c r="J5" s="2" t="str">
        <f>IF(OR('A créer'!D5="Oui",LEN('A créer'!D5)=0),IF(AND(LEN('A créer'!B5)&gt;0,'A créer'!B5&lt;&gt;'A créer'!H5)=TRUE,"Tab",""),"Tab")</f>
        <v>Tab</v>
      </c>
      <c r="K5" s="6" t="str">
        <f>IF(OR('A créer'!D5="Oui",LEN('A créer'!D5)=0),IF(AND(LEN('A créer'!B5)&gt;0,'A créer'!B5&lt;&gt;'A créer'!H5)=TRUE,"Oui",""),"Oui")</f>
        <v>Oui</v>
      </c>
      <c r="L5" s="2" t="str">
        <f>IF(OR('A créer'!D5="Oui",LEN('A créer'!D5)=0),IF(AND(LEN('A créer'!B5)&gt;0,'A créer'!B5&lt;&gt;'A créer'!H5)=TRUE,"Tab",""),"Tab")</f>
        <v>Tab</v>
      </c>
      <c r="M5" s="6" t="str">
        <f>IF(OR('A créer'!D5="Oui",LEN('A créer'!D5)=0),IF(AND(LEN('A créer'!B5)&gt;0,'A créer'!B5&lt;&gt;'A créer'!H5)=TRUE,'A créer'!E5,""),'A créer'!E5)</f>
        <v>Non</v>
      </c>
      <c r="N5" s="2" t="str">
        <f>IF(OR('A créer'!D5="Oui",LEN('A créer'!D5)=0),IF(AND(LEN('A créer'!B5)&gt;0,'A créer'!B5&lt;&gt;'A créer'!H5)=TRUE,"ENT",""),"ENT")</f>
        <v>ENT</v>
      </c>
      <c r="O5" s="2" t="str">
        <f>IF(OR('A créer'!D5="Oui",LEN('A créer'!D5)=0),IF(AND(LEN('A créer'!B5)&gt;0,'A créer'!B5&lt;&gt;'A créer'!H5)=TRUE,"*SAVE",""),"*SAVE")</f>
        <v>*SAVE</v>
      </c>
      <c r="P5" s="2" t="str">
        <f>IF(OR('A créer'!D5="Oui",LEN('A créer'!D5)=0),"","*FN")</f>
        <v>*FN</v>
      </c>
      <c r="Q5" s="6" t="str">
        <f>IF(OR('A créer'!D5="Oui",LEN('A créer'!D5)=0),"",CONCATENATE("XXX",'A créer'!A5))</f>
        <v>XXX0518</v>
      </c>
      <c r="R5" s="2" t="str">
        <f>IF(OR('A créer'!D5="Oui",LEN('A créer'!D5)=0),"","Tab")</f>
        <v>Tab</v>
      </c>
      <c r="S5" s="6" t="str">
        <f>IF(OR('A créer'!D5="Oui",LEN('A créer'!D5)=0),"",CONCATENATE("XXX-",'A créer'!C5))</f>
        <v>XXX-DK 31</v>
      </c>
      <c r="T5" s="2" t="str">
        <f>IF(OR('A créer'!D5="Oui",LEN('A créer'!D5)=0),"","Tab 4")</f>
        <v>Tab 4</v>
      </c>
      <c r="U5" s="2" t="str">
        <f>IF(OR('A créer'!D5="Oui",LEN('A créer'!D5)=0),"","Tab")</f>
        <v>Tab</v>
      </c>
      <c r="V5" s="2" t="str">
        <f>IF(OR('A créer'!D5="Oui",LEN('A créer'!D5)=0),"","Tab")</f>
        <v>Tab</v>
      </c>
      <c r="W5" s="2" t="str">
        <f>IF(OR('A créer'!D5="Oui",LEN('A créer'!D5)=0),"","ENT")</f>
        <v>ENT</v>
      </c>
      <c r="X5" s="6" t="str">
        <f>IF(OR('A créer'!D5="Oui",LEN('A créer'!D5)=0),"",'A créer'!G5)</f>
        <v>YS2331</v>
      </c>
      <c r="Y5" s="2" t="str">
        <f>IF(OR('A créer'!D5="Oui",LEN('A créer'!D5)=0),"","Tab")</f>
        <v>Tab</v>
      </c>
      <c r="Z5" s="6" t="str">
        <f>IF(OR('A créer'!D5="Oui",LEN('A créer'!D5)=0),"","Oui")</f>
        <v>Oui</v>
      </c>
      <c r="AA5" s="2" t="str">
        <f>IF(OR('A créer'!D5="Oui",LEN('A créer'!D5)=0),"","Tab")</f>
        <v>Tab</v>
      </c>
      <c r="AB5" s="6" t="str">
        <f>IF(OR('A créer'!D5="Oui",LEN('A créer'!D5)=0),"","NON")</f>
        <v>NON</v>
      </c>
      <c r="AC5" s="2" t="str">
        <f>IF(OR('A créer'!D5="Oui",LEN('A créer'!D5)=0),"","ENT")</f>
        <v>ENT</v>
      </c>
      <c r="AD5" s="2" t="str">
        <f>IF(OR('A créer'!D5="Oui",LEN('A créer'!D5)=0),"","*SAVE")</f>
        <v>*SAVE</v>
      </c>
      <c r="AE5" s="2" t="str">
        <f>IF(OR('A créer'!D5="Oui",LEN('A créer'!D5)=0),"","*FN")</f>
        <v>*FN</v>
      </c>
      <c r="AF5" s="6" t="str">
        <f>IF(OR('A créer'!D5="Oui",LEN('A créer'!D5)=0),"",'A créer'!A5)</f>
        <v>0518</v>
      </c>
      <c r="AG5" s="2" t="str">
        <f>IF(OR('A créer'!D5="Oui",LEN('A créer'!D5)=0),"","Tab")</f>
        <v>Tab</v>
      </c>
      <c r="AH5" s="6" t="str">
        <f>IF(OR('A créer'!D5="Oui",LEN('A créer'!D5)=0),"",'A créer'!C5)</f>
        <v>DK 31</v>
      </c>
      <c r="AI5" s="2" t="str">
        <f>IF(OR('A créer'!D5="Oui",LEN('A créer'!D5)=0),"","Tab 4")</f>
        <v>Tab 4</v>
      </c>
      <c r="AJ5" s="2" t="str">
        <f>IF(OR('A créer'!D5="Oui",LEN('A créer'!D5)=0),"","*SB")</f>
        <v>*SB</v>
      </c>
      <c r="AK5" s="2" t="str">
        <f>IF(OR('A créer'!D5="Oui",LEN('A créer'!D5)=0),"","Tab")</f>
        <v>Tab</v>
      </c>
      <c r="AL5" s="6" t="str">
        <f>IF(OR('A créer'!D5="Oui",LEN('A créer'!D5)=0),"","InterCoSte")</f>
        <v>InterCoSte</v>
      </c>
      <c r="AM5" s="2" t="str">
        <f>IF(OR('A créer'!D5="Oui",LEN('A créer'!D5)=0),"","Tab")</f>
        <v>Tab</v>
      </c>
      <c r="AN5" s="2" t="str">
        <f>IF(OR('A créer'!D5="Oui",LEN('A créer'!D5)=0),"","Tab")</f>
        <v>Tab</v>
      </c>
      <c r="AO5" s="2" t="str">
        <f>IF(OR('A créer'!D5="Oui",LEN('A créer'!D5)=0),"","ENT")</f>
        <v>ENT</v>
      </c>
      <c r="AP5" s="2" t="str">
        <f>IF(OR('A créer'!D5="Oui",LEN('A créer'!D5)=0),"","ENT")</f>
        <v>ENT</v>
      </c>
      <c r="AQ5" s="2" t="str">
        <f>IF(OR('A créer'!D5="Oui",LEN('A créer'!D5)=0),"","*SAVE")</f>
        <v>*SAVE</v>
      </c>
      <c r="AR5" s="2" t="str">
        <f>IF(OR('A créer'!D5="Oui",LEN('A créer'!D5)=0),"","*UP")</f>
        <v>*UP</v>
      </c>
      <c r="AS5" s="2" t="str">
        <f>IF(OR('A créer'!D5="Oui",LEN('A créer'!D5)=0),"","*Aé")</f>
        <v>*Aé</v>
      </c>
      <c r="AT5" s="6" t="str">
        <f>IF(OR('A créer'!D5="Oui",LEN('A créer'!D5)=0),"",CONCATENATE('A créer'!B5,'A créer'!A5))</f>
        <v>DOS0518</v>
      </c>
      <c r="AU5" s="2" t="str">
        <f>IF(OR('A créer'!D5="Oui",LEN('A créer'!D5)=0),"","Tab")</f>
        <v>Tab</v>
      </c>
      <c r="AV5" s="2" t="str">
        <f>IF(OR('A créer'!D5="Oui",LEN('A créer'!D5)=0),"","*DN")</f>
        <v>*DN</v>
      </c>
      <c r="AW5" s="6" t="str">
        <f>IF(OR('A créer'!D5="Oui",LEN('A créer'!D5)=0),"",CONCATENATE("XXX",'A créer'!A5))</f>
        <v>XXX0518</v>
      </c>
      <c r="AX5" s="2" t="str">
        <f>IF(OR('A créer'!D5="Oui",LEN('A créer'!D5)=0),"","Tab")</f>
        <v>Tab</v>
      </c>
      <c r="AY5" s="2" t="str">
        <f>IF(OR('A créer'!D5="Oui",LEN('A créer'!D5)=0),"","*SAVE")</f>
        <v>*SAVE</v>
      </c>
      <c r="AZ5" s="2" t="s">
        <v>97</v>
      </c>
    </row>
    <row r="6" spans="1:52" x14ac:dyDescent="0.25">
      <c r="A6" s="2" t="str">
        <f>IF(OR('A créer'!D6="Oui",LEN('A créer'!D6)=0),IF(AND(LEN('A créer'!B6)&gt;0,'A créer'!B6&lt;&gt;'A créer'!H6)=TRUE,"*FN",""),"*FN")</f>
        <v>*FN</v>
      </c>
      <c r="B6" s="6" t="str">
        <f>IF(OR('A créer'!D6="Oui",LEN('A créer'!D6)=0),IF(LEN('A créer'!B6)&gt;0,IF('A créer'!B6='A créer'!H6,"",CONCATENATE('A créer'!B6,'A créer'!A6)),""),CONCATENATE('A créer'!B6,'A créer'!A6))</f>
        <v>DOS0519</v>
      </c>
      <c r="C6" s="2" t="str">
        <f>IF(OR('A créer'!D6="Oui",LEN('A créer'!D6)=0),IF(AND(LEN('A créer'!B6)&gt;0,'A créer'!B6&lt;&gt;'A créer'!H6)=TRUE,"Tab",""),"Tab")</f>
        <v>Tab</v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DOS0519-DK 32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6" t="str">
        <f>IF('A créer'!D6="Oui",IF(AND(LEN('A créer'!B6)&gt;0,'A créer'!B6&lt;&gt;'A créer'!H6)=TRUE,'A créer'!G6,""),'A créer'!G6)</f>
        <v>YS2332</v>
      </c>
      <c r="J6" s="2" t="str">
        <f>IF(OR('A créer'!D6="Oui",LEN('A créer'!D6)=0),IF(AND(LEN('A créer'!B6)&gt;0,'A créer'!B6&lt;&gt;'A créer'!H6)=TRUE,"Tab",""),"Tab")</f>
        <v>Tab</v>
      </c>
      <c r="K6" s="6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6" t="str">
        <f>IF(OR('A créer'!D6="Oui",LEN('A créer'!D6)=0),IF(AND(LEN('A créer'!B6)&gt;0,'A créer'!B6&lt;&gt;'A créer'!H6)=TRUE,'A créer'!E6,""),'A créer'!E6)</f>
        <v>Non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6" t="str">
        <f>IF(OR('A créer'!D6="Oui",LEN('A créer'!D6)=0),"",CONCATENATE("XXX",'A créer'!A6))</f>
        <v>XXX0519</v>
      </c>
      <c r="R6" s="2" t="str">
        <f>IF(OR('A créer'!D6="Oui",LEN('A créer'!D6)=0),"","Tab")</f>
        <v>Tab</v>
      </c>
      <c r="S6" s="6" t="str">
        <f>IF(OR('A créer'!D6="Oui",LEN('A créer'!D6)=0),"",CONCATENATE("XXX-",'A créer'!C6))</f>
        <v>XXX-DK 32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6" t="str">
        <f>IF(OR('A créer'!D6="Oui",LEN('A créer'!D6)=0),"",'A créer'!G6)</f>
        <v>YS2332</v>
      </c>
      <c r="Y6" s="2" t="str">
        <f>IF(OR('A créer'!D6="Oui",LEN('A créer'!D6)=0),"","Tab")</f>
        <v>Tab</v>
      </c>
      <c r="Z6" s="6" t="str">
        <f>IF(OR('A créer'!D6="Oui",LEN('A créer'!D6)=0),"","Oui")</f>
        <v>Oui</v>
      </c>
      <c r="AA6" s="2" t="str">
        <f>IF(OR('A créer'!D6="Oui",LEN('A créer'!D6)=0),"","Tab")</f>
        <v>Tab</v>
      </c>
      <c r="AB6" s="6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6" t="str">
        <f>IF(OR('A créer'!D6="Oui",LEN('A créer'!D6)=0),"",'A créer'!A6)</f>
        <v>0519</v>
      </c>
      <c r="AG6" s="2" t="str">
        <f>IF(OR('A créer'!D6="Oui",LEN('A créer'!D6)=0),"","Tab")</f>
        <v>Tab</v>
      </c>
      <c r="AH6" s="6" t="str">
        <f>IF(OR('A créer'!D6="Oui",LEN('A créer'!D6)=0),"",'A créer'!C6)</f>
        <v>DK 32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6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6" t="str">
        <f>IF(OR('A créer'!D6="Oui",LEN('A créer'!D6)=0),"",CONCATENATE('A créer'!B6,'A créer'!A6))</f>
        <v>DOS0519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6" t="str">
        <f>IF(OR('A créer'!D6="Oui",LEN('A créer'!D6)=0),"",CONCATENATE("XXX",'A créer'!A6))</f>
        <v>XXX0519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">
        <v>97</v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">
        <v>97</v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">
        <v>97</v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">
        <v>97</v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">
        <v>97</v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">
        <v>95</v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">
        <v>95</v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">
        <v>95</v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="80" zoomScaleNormal="80" workbookViewId="0">
      <pane ySplit="1" topLeftCell="A2" activePane="bottomLeft" state="frozenSplit"/>
      <selection pane="bottomLeft" activeCell="D7" sqref="D7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11.5703125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513573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0515 DK 28/DOS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513574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0516 DK 29/DOS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513575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SOCIETE GENERALE 0517 DK 30/DOS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513576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SOCIETE GENERALE 0518 DK 31/DOS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94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2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513577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SOCIETE GENERALE 0519 DK 32/DOS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="80" zoomScaleNormal="80" workbookViewId="0">
      <pane ySplit="1" topLeftCell="A2" activePane="bottomLeft" state="frozenSplit"/>
      <selection pane="bottomLeft" activeCell="M4" sqref="M4"/>
    </sheetView>
  </sheetViews>
  <sheetFormatPr baseColWidth="10" defaultRowHeight="15" x14ac:dyDescent="0.25"/>
  <cols>
    <col min="1" max="1" width="4.28515625" bestFit="1" customWidth="1"/>
    <col min="2" max="2" width="8.42578125" bestFit="1" customWidth="1"/>
    <col min="3" max="3" width="4" bestFit="1" customWidth="1"/>
    <col min="4" max="4" width="20" customWidth="1"/>
    <col min="5" max="5" width="5.42578125" bestFit="1" customWidth="1"/>
    <col min="6" max="7" width="4" bestFit="1" customWidth="1"/>
    <col min="8" max="8" width="4.28515625" bestFit="1" customWidth="1"/>
    <col min="9" max="9" width="6.140625" bestFit="1" customWidth="1"/>
    <col min="10" max="10" width="4.28515625" bestFit="1" customWidth="1"/>
    <col min="12" max="12" width="4" bestFit="1" customWidth="1"/>
    <col min="13" max="13" width="44.85546875" bestFit="1" customWidth="1"/>
    <col min="14" max="14" width="5.42578125" bestFit="1" customWidth="1"/>
    <col min="15" max="15" width="4" bestFit="1" customWidth="1"/>
    <col min="16" max="16" width="4.42578125" customWidth="1"/>
    <col min="17" max="17" width="4.28515625" bestFit="1" customWidth="1"/>
    <col min="18" max="18" width="6.140625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DOS0515</v>
      </c>
      <c r="C2" s="2" t="str">
        <f>IF(LEN('A créer'!C2)=0,"","Tab")</f>
        <v>Tab</v>
      </c>
      <c r="D2" t="str">
        <f>IF(LEN('A créer'!C2)=0,"",CONCATENATE(,'A créer'!B2,'A créer'!A2,"-",'A créer'!C2))</f>
        <v>DOS0515-DK 28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FB0084605S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DOS_0515PF FPS 0515 DK 28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DOS0516</v>
      </c>
      <c r="C3" s="2" t="str">
        <f>IF(LEN('A créer'!C3)=0,"","Tab")</f>
        <v>Tab</v>
      </c>
      <c r="D3" t="str">
        <f>IF(LEN('A créer'!C3)=0,"",CONCATENATE(,'A créer'!B3,'A créer'!A3,"-",'A créer'!C3))</f>
        <v>DOS0516-DK 29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FB0084606T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DOS_0516PF FPS 0516 DK 29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DOS0517</v>
      </c>
      <c r="C4" s="2" t="str">
        <f>IF(LEN('A créer'!C4)=0,"","Tab")</f>
        <v>Tab</v>
      </c>
      <c r="D4" t="str">
        <f>IF(LEN('A créer'!C4)=0,"",CONCATENATE(,'A créer'!B4,'A créer'!A4,"-",'A créer'!C4))</f>
        <v>DOS0517-DK 30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FB0084607V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DOS_0517PF FPS 0517 DK 30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>*FN</v>
      </c>
      <c r="B5" t="str">
        <f>IF(LEN('A créer'!C5)=0,"",CONCATENATE(,'A créer'!B5,'A créer'!A5))</f>
        <v>DOS0518</v>
      </c>
      <c r="C5" s="2" t="str">
        <f>IF(LEN('A créer'!C5)=0,"","Tab")</f>
        <v>Tab</v>
      </c>
      <c r="D5" t="str">
        <f>IF(LEN('A créer'!C5)=0,"",CONCATENATE(,'A créer'!B5,'A créer'!A5,"-",'A créer'!C5))</f>
        <v>DOS0518-DK 31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FB0084608W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DOS_0518PF FPS 0518 DK 31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25">
      <c r="A6" s="2" t="str">
        <f>IF(LEN('A créer'!C6)=0,"","*FN")</f>
        <v>*FN</v>
      </c>
      <c r="B6" t="str">
        <f>IF(LEN('A créer'!C6)=0,"",CONCATENATE(,'A créer'!B6,'A créer'!A6))</f>
        <v>DOS0519</v>
      </c>
      <c r="C6" s="2" t="str">
        <f>IF(LEN('A créer'!C6)=0,"","Tab")</f>
        <v>Tab</v>
      </c>
      <c r="D6" t="str">
        <f>IF(LEN('A créer'!C6)=0,"",CONCATENATE(,'A créer'!B6,'A créer'!A6,"-",'A créer'!C6))</f>
        <v>DOS0519-DK 32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FB0084609X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DOS_0519PF FPS 0519 DK 32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1"/>
  <sheetViews>
    <sheetView zoomScale="80" zoomScaleNormal="80" workbookViewId="0">
      <pane xSplit="1" ySplit="1" topLeftCell="AN2" activePane="bottomRight" state="frozenSplit"/>
      <selection pane="topRight"/>
      <selection pane="bottomLeft" activeCell="A2" sqref="A2"/>
      <selection pane="bottomRight" activeCell="A5" sqref="A5:BZ6"/>
    </sheetView>
  </sheetViews>
  <sheetFormatPr baseColWidth="10" defaultRowHeight="15" x14ac:dyDescent="0.25"/>
  <cols>
    <col min="1" max="1" width="4.28515625" bestFit="1" customWidth="1"/>
    <col min="2" max="2" width="2.710937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703125" bestFit="1" customWidth="1"/>
    <col min="9" max="9" width="2" bestFit="1" customWidth="1"/>
    <col min="10" max="10" width="4" bestFit="1" customWidth="1"/>
    <col min="11" max="11" width="6.28515625" bestFit="1" customWidth="1"/>
    <col min="12" max="12" width="2" bestFit="1" customWidth="1"/>
    <col min="13" max="13" width="4" bestFit="1" customWidth="1"/>
    <col min="14" max="14" width="9.5703125" bestFit="1" customWidth="1"/>
    <col min="15" max="15" width="8.42578125" bestFit="1" customWidth="1"/>
    <col min="16" max="16" width="4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  <col min="40" max="40" width="4.28515625" bestFit="1" customWidth="1"/>
    <col min="41" max="41" width="2.7109375" bestFit="1" customWidth="1"/>
    <col min="42" max="42" width="4.285156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703125" bestFit="1" customWidth="1"/>
    <col min="48" max="48" width="2" bestFit="1" customWidth="1"/>
    <col min="49" max="49" width="4" bestFit="1" customWidth="1"/>
    <col min="50" max="50" width="6.28515625" bestFit="1" customWidth="1"/>
    <col min="51" max="51" width="2" bestFit="1" customWidth="1"/>
    <col min="52" max="52" width="4" bestFit="1" customWidth="1"/>
    <col min="53" max="53" width="9.570312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5546875" bestFit="1" customWidth="1"/>
    <col min="59" max="59" width="2" bestFit="1" customWidth="1"/>
    <col min="60" max="60" width="4" bestFit="1" customWidth="1"/>
    <col min="61" max="61" width="9.85546875" bestFit="1" customWidth="1"/>
    <col min="62" max="62" width="2" bestFit="1" customWidth="1"/>
    <col min="63" max="63" width="4" bestFit="1" customWidth="1"/>
    <col min="64" max="64" width="14.28515625" bestFit="1" customWidth="1"/>
    <col min="65" max="65" width="2" bestFit="1" customWidth="1"/>
    <col min="66" max="66" width="4" bestFit="1" customWidth="1"/>
    <col min="67" max="67" width="4.28515625" bestFit="1" customWidth="1"/>
    <col min="68" max="68" width="2" bestFit="1" customWidth="1"/>
    <col min="69" max="69" width="4" bestFit="1" customWidth="1"/>
    <col min="70" max="70" width="9.85546875" bestFit="1" customWidth="1"/>
    <col min="71" max="71" width="2" bestFit="1" customWidth="1"/>
    <col min="72" max="72" width="4" bestFit="1" customWidth="1"/>
    <col min="73" max="73" width="9.85546875" bestFit="1" customWidth="1"/>
    <col min="74" max="74" width="2" bestFit="1" customWidth="1"/>
    <col min="75" max="75" width="4" bestFit="1" customWidth="1"/>
    <col min="76" max="76" width="9.85546875" bestFit="1" customWidth="1"/>
    <col min="77" max="77" width="4.28515625" bestFit="1" customWidth="1"/>
    <col min="78" max="78" width="6.140625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0515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DOS0515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0515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XXX0515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0516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DOS0516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6" t="str">
        <f>IF(OR('A créer'!D3="Oui",LEN('A créer'!D3)=0,LEN('A créer'!C3)=0),"",'A créer'!A3)</f>
        <v>0516</v>
      </c>
      <c r="AR3" s="2" t="str">
        <f>IF(OR('A créer'!D3="Oui",LEN('A créer'!D3)=0,LEN('A créer'!C3)=0),"","TAB")</f>
        <v>TAB</v>
      </c>
      <c r="AS3" s="6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6" t="str">
        <f>IF(OR('A créer'!D3="Oui",LEN('A créer'!D3)=0,LEN('A créer'!C3)=0),"","ZZZ")</f>
        <v>ZZZ</v>
      </c>
      <c r="AV3" s="6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6" t="str">
        <f>IF(OR('A créer'!D3="Oui",LEN('A créer'!D3)=0,LEN('A créer'!C3)=0),"","ZZZZZZ")</f>
        <v>ZZZZZZ</v>
      </c>
      <c r="AY3" s="6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6" t="str">
        <f>IF(OR('A créer'!D3="Oui",LEN('A créer'!D3)=0,LEN('A créer'!C3)=0),"","ZZZZZ")</f>
        <v>ZZZZZ</v>
      </c>
      <c r="BB3" s="6" t="str">
        <f>IF(OR('A créer'!D3="Oui",LEN('A créer'!D3)=0,LEN('A créer'!C3)=0),"",CONCATENATE("XXX",'A créer'!A3))</f>
        <v>XXX0516</v>
      </c>
      <c r="BC3" s="2" t="str">
        <f>IF(OR('A créer'!D3="Oui",LEN('A créer'!D3)=0,LEN('A créer'!C3)=0),"","TAB")</f>
        <v>TAB</v>
      </c>
      <c r="BD3" s="6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6" t="str">
        <f>IF(OR('A créer'!D3="Oui",LEN('A créer'!D3)=0,LEN('A créer'!C3)=0),"","ZZZZZZZZZZ")</f>
        <v>ZZZZZZZZZZ</v>
      </c>
      <c r="BG3" s="6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6" t="str">
        <f>IF(OR('A créer'!D3="Oui",LEN('A créer'!D3)=0,LEN('A créer'!C3)=0),"","ZZZZZZZZZZ")</f>
        <v>ZZZZZZZZZZ</v>
      </c>
      <c r="BJ3" s="6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6" t="str">
        <f>IF(OR('A créer'!D3="Oui",LEN('A créer'!D3)=0,LEN('A créer'!C3)=0),"","ZZZZZZZZZZZZZZZ")</f>
        <v>ZZZZZZZZZZZZZZZ</v>
      </c>
      <c r="BM3" s="6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6" t="str">
        <f>IF(OR('A créer'!D3="Oui",LEN('A créer'!D3)=0,LEN('A créer'!C3)=0),"","ZZZ")</f>
        <v>ZZZ</v>
      </c>
      <c r="BP3" s="6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6" t="str">
        <f>IF(OR('A créer'!D3="Oui",LEN('A créer'!D3)=0,LEN('A créer'!C3)=0),"","ZZZZZZZZZZ")</f>
        <v>ZZZZZZZZZZ</v>
      </c>
      <c r="BS3" s="6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6" t="str">
        <f>IF(OR('A créer'!D3="Oui",LEN('A créer'!D3)=0,LEN('A créer'!C3)=0),"","ZZZZZZZZZZ")</f>
        <v>ZZZZZZZZZZ</v>
      </c>
      <c r="BV3" s="6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6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0517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DOS0517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>*FN</v>
      </c>
      <c r="AO4" s="3" t="str">
        <f>IF(OR('A créer'!D4="Oui",LEN('A créer'!D4)=0,LEN('A créer'!C4)=0),"","\E")</f>
        <v>\E</v>
      </c>
      <c r="AP4" s="2" t="str">
        <f>IF(OR('A créer'!D4="Oui",LEN('A créer'!D4)=0,LEN('A créer'!C4)=0),"","TAB")</f>
        <v>TAB</v>
      </c>
      <c r="AQ4" s="6" t="str">
        <f>IF(OR('A créer'!D4="Oui",LEN('A créer'!D4)=0,LEN('A créer'!C4)=0),"",'A créer'!A4)</f>
        <v>0517</v>
      </c>
      <c r="AR4" s="2" t="str">
        <f>IF(OR('A créer'!D4="Oui",LEN('A créer'!D4)=0,LEN('A créer'!C4)=0),"","TAB")</f>
        <v>TAB</v>
      </c>
      <c r="AS4" s="6" t="str">
        <f>IF(OR('A créer'!D4="Oui",LEN('A créer'!D4)=0,LEN('A créer'!C4)=0),"","0")</f>
        <v>0</v>
      </c>
      <c r="AT4" s="2" t="str">
        <f>IF(OR('A créer'!D4="Oui",LEN('A créer'!D4)=0,LEN('A créer'!C4)=0),"","TAB")</f>
        <v>TAB</v>
      </c>
      <c r="AU4" s="6" t="str">
        <f>IF(OR('A créer'!D4="Oui",LEN('A créer'!D4)=0,LEN('A créer'!C4)=0),"","ZZZ")</f>
        <v>ZZZ</v>
      </c>
      <c r="AV4" s="6" t="str">
        <f>IF(OR('A créer'!D4="Oui",LEN('A créer'!D4)=0,LEN('A créer'!C4)=0),"","0")</f>
        <v>0</v>
      </c>
      <c r="AW4" s="2" t="str">
        <f>IF(OR('A créer'!D4="Oui",LEN('A créer'!D4)=0,LEN('A créer'!C4)=0),"","TAB")</f>
        <v>TAB</v>
      </c>
      <c r="AX4" s="6" t="str">
        <f>IF(OR('A créer'!D4="Oui",LEN('A créer'!D4)=0,LEN('A créer'!C4)=0),"","ZZZZZZ")</f>
        <v>ZZZZZZ</v>
      </c>
      <c r="AY4" s="6" t="str">
        <f>IF(OR('A créer'!D4="Oui",LEN('A créer'!D4)=0,LEN('A créer'!C4)=0),"","0")</f>
        <v>0</v>
      </c>
      <c r="AZ4" s="2" t="str">
        <f>IF(OR('A créer'!D4="Oui",LEN('A créer'!D4)=0,LEN('A créer'!C4)=0),"","TAB")</f>
        <v>TAB</v>
      </c>
      <c r="BA4" s="6" t="str">
        <f>IF(OR('A créer'!D4="Oui",LEN('A créer'!D4)=0,LEN('A créer'!C4)=0),"","ZZZZZ")</f>
        <v>ZZZZZ</v>
      </c>
      <c r="BB4" s="6" t="str">
        <f>IF(OR('A créer'!D4="Oui",LEN('A créer'!D4)=0,LEN('A créer'!C4)=0),"",CONCATENATE("XXX",'A créer'!A4))</f>
        <v>XXX0517</v>
      </c>
      <c r="BC4" s="2" t="str">
        <f>IF(OR('A créer'!D4="Oui",LEN('A créer'!D4)=0,LEN('A créer'!C4)=0),"","TAB")</f>
        <v>TAB</v>
      </c>
      <c r="BD4" s="6" t="str">
        <f>IF(OR('A créer'!D4="Oui",LEN('A créer'!D4)=0,LEN('A créer'!C4)=0),"","0")</f>
        <v>0</v>
      </c>
      <c r="BE4" s="2" t="str">
        <f>IF(OR('A créer'!D4="Oui",LEN('A créer'!D4)=0,LEN('A créer'!C4)=0),"","TAB")</f>
        <v>TAB</v>
      </c>
      <c r="BF4" s="6" t="str">
        <f>IF(OR('A créer'!D4="Oui",LEN('A créer'!D4)=0,LEN('A créer'!C4)=0),"","ZZZZZZZZZZ")</f>
        <v>ZZZZZZZZZZ</v>
      </c>
      <c r="BG4" s="6" t="str">
        <f>IF(OR('A créer'!D4="Oui",LEN('A créer'!D4)=0,LEN('A créer'!C4)=0),"","0")</f>
        <v>0</v>
      </c>
      <c r="BH4" s="2" t="str">
        <f>IF(OR('A créer'!D4="Oui",LEN('A créer'!D4)=0,LEN('A créer'!C4)=0),"","TAB")</f>
        <v>TAB</v>
      </c>
      <c r="BI4" s="6" t="str">
        <f>IF(OR('A créer'!D4="Oui",LEN('A créer'!D4)=0,LEN('A créer'!C4)=0),"","ZZZZZZZZZZ")</f>
        <v>ZZZZZZZZZZ</v>
      </c>
      <c r="BJ4" s="6" t="str">
        <f>IF(OR('A créer'!D4="Oui",LEN('A créer'!D4)=0,LEN('A créer'!C4)=0),"","0")</f>
        <v>0</v>
      </c>
      <c r="BK4" s="2" t="str">
        <f>IF(OR('A créer'!D4="Oui",LEN('A créer'!D4)=0,LEN('A créer'!C4)=0),"","TAB")</f>
        <v>TAB</v>
      </c>
      <c r="BL4" s="6" t="str">
        <f>IF(OR('A créer'!D4="Oui",LEN('A créer'!D4)=0,LEN('A créer'!C4)=0),"","ZZZZZZZZZZZZZZZ")</f>
        <v>ZZZZZZZZZZZZZZZ</v>
      </c>
      <c r="BM4" s="6" t="str">
        <f>IF(OR('A créer'!D4="Oui",LEN('A créer'!D4)=0,LEN('A créer'!C4)=0),"","0")</f>
        <v>0</v>
      </c>
      <c r="BN4" s="2" t="str">
        <f>IF(OR('A créer'!D4="Oui",LEN('A créer'!D4)=0,LEN('A créer'!C4)=0),"","TAB")</f>
        <v>TAB</v>
      </c>
      <c r="BO4" s="6" t="str">
        <f>IF(OR('A créer'!D4="Oui",LEN('A créer'!D4)=0,LEN('A créer'!C4)=0),"","ZZZ")</f>
        <v>ZZZ</v>
      </c>
      <c r="BP4" s="6" t="str">
        <f>IF(OR('A créer'!D4="Oui",LEN('A créer'!D4)=0,LEN('A créer'!C4)=0),"","0")</f>
        <v>0</v>
      </c>
      <c r="BQ4" s="2" t="str">
        <f>IF(OR('A créer'!D4="Oui",LEN('A créer'!D4)=0,LEN('A créer'!C4)=0),"","TAB")</f>
        <v>TAB</v>
      </c>
      <c r="BR4" s="6" t="str">
        <f>IF(OR('A créer'!D4="Oui",LEN('A créer'!D4)=0,LEN('A créer'!C4)=0),"","ZZZZZZZZZZ")</f>
        <v>ZZZZZZZZZZ</v>
      </c>
      <c r="BS4" s="6" t="str">
        <f>IF(OR('A créer'!D4="Oui",LEN('A créer'!D4)=0,LEN('A créer'!C4)=0),"","0")</f>
        <v>0</v>
      </c>
      <c r="BT4" s="2" t="str">
        <f>IF(OR('A créer'!D4="Oui",LEN('A créer'!D4)=0,LEN('A créer'!C4)=0),"","TAB")</f>
        <v>TAB</v>
      </c>
      <c r="BU4" s="6" t="str">
        <f>IF(OR('A créer'!D4="Oui",LEN('A créer'!D4)=0,LEN('A créer'!C4)=0),"","ZZZZZZZZZZ")</f>
        <v>ZZZZZZZZZZ</v>
      </c>
      <c r="BV4" s="6" t="str">
        <f>IF(OR('A créer'!D4="Oui",LEN('A créer'!D4)=0,LEN('A créer'!C4)=0),"","0")</f>
        <v>0</v>
      </c>
      <c r="BW4" s="2" t="str">
        <f>IF(OR('A créer'!D4="Oui",LEN('A créer'!D4)=0,LEN('A créer'!C4)=0),"","TAB")</f>
        <v>TAB</v>
      </c>
      <c r="BX4" s="6" t="str">
        <f>IF(OR('A créer'!D4="Oui",LEN('A créer'!D4)=0,LEN('A créer'!C4)=0),"","ZZZZZZZZZZ")</f>
        <v>ZZZZZZZZZZ</v>
      </c>
      <c r="BY4" s="2" t="str">
        <f>IF(OR('A créer'!D4="Oui",LEN('A créer'!D4)=0,LEN('A créer'!C4)=0),"","ENT")</f>
        <v>ENT</v>
      </c>
      <c r="BZ4" s="2" t="str">
        <f>IF(OR('A créer'!D4="Oui",LEN('A créer'!D4)=0,LEN('A créer'!C4)=0),"","*SAVE")</f>
        <v>*SAVE</v>
      </c>
    </row>
    <row r="5" spans="1:78" x14ac:dyDescent="0.2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0518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DOS0518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>*FN</v>
      </c>
      <c r="AO5" s="3" t="str">
        <f>IF(OR('A créer'!D5="Oui",LEN('A créer'!D5)=0,LEN('A créer'!C5)=0),"","\E")</f>
        <v>\E</v>
      </c>
      <c r="AP5" s="2" t="str">
        <f>IF(OR('A créer'!D5="Oui",LEN('A créer'!D5)=0,LEN('A créer'!C5)=0),"","TAB")</f>
        <v>TAB</v>
      </c>
      <c r="AQ5" s="6" t="str">
        <f>IF(OR('A créer'!D5="Oui",LEN('A créer'!D5)=0,LEN('A créer'!C5)=0),"",'A créer'!A5)</f>
        <v>0518</v>
      </c>
      <c r="AR5" s="2" t="str">
        <f>IF(OR('A créer'!D5="Oui",LEN('A créer'!D5)=0,LEN('A créer'!C5)=0),"","TAB")</f>
        <v>TAB</v>
      </c>
      <c r="AS5" s="6" t="str">
        <f>IF(OR('A créer'!D5="Oui",LEN('A créer'!D5)=0,LEN('A créer'!C5)=0),"","0")</f>
        <v>0</v>
      </c>
      <c r="AT5" s="2" t="str">
        <f>IF(OR('A créer'!D5="Oui",LEN('A créer'!D5)=0,LEN('A créer'!C5)=0),"","TAB")</f>
        <v>TAB</v>
      </c>
      <c r="AU5" s="6" t="str">
        <f>IF(OR('A créer'!D5="Oui",LEN('A créer'!D5)=0,LEN('A créer'!C5)=0),"","ZZZ")</f>
        <v>ZZZ</v>
      </c>
      <c r="AV5" s="6" t="str">
        <f>IF(OR('A créer'!D5="Oui",LEN('A créer'!D5)=0,LEN('A créer'!C5)=0),"","0")</f>
        <v>0</v>
      </c>
      <c r="AW5" s="2" t="str">
        <f>IF(OR('A créer'!D5="Oui",LEN('A créer'!D5)=0,LEN('A créer'!C5)=0),"","TAB")</f>
        <v>TAB</v>
      </c>
      <c r="AX5" s="6" t="str">
        <f>IF(OR('A créer'!D5="Oui",LEN('A créer'!D5)=0,LEN('A créer'!C5)=0),"","ZZZZZZ")</f>
        <v>ZZZZZZ</v>
      </c>
      <c r="AY5" s="6" t="str">
        <f>IF(OR('A créer'!D5="Oui",LEN('A créer'!D5)=0,LEN('A créer'!C5)=0),"","0")</f>
        <v>0</v>
      </c>
      <c r="AZ5" s="2" t="str">
        <f>IF(OR('A créer'!D5="Oui",LEN('A créer'!D5)=0,LEN('A créer'!C5)=0),"","TAB")</f>
        <v>TAB</v>
      </c>
      <c r="BA5" s="6" t="str">
        <f>IF(OR('A créer'!D5="Oui",LEN('A créer'!D5)=0,LEN('A créer'!C5)=0),"","ZZZZZ")</f>
        <v>ZZZZZ</v>
      </c>
      <c r="BB5" s="6" t="str">
        <f>IF(OR('A créer'!D5="Oui",LEN('A créer'!D5)=0,LEN('A créer'!C5)=0),"",CONCATENATE("XXX",'A créer'!A5))</f>
        <v>XXX0518</v>
      </c>
      <c r="BC5" s="2" t="str">
        <f>IF(OR('A créer'!D5="Oui",LEN('A créer'!D5)=0,LEN('A créer'!C5)=0),"","TAB")</f>
        <v>TAB</v>
      </c>
      <c r="BD5" s="6" t="str">
        <f>IF(OR('A créer'!D5="Oui",LEN('A créer'!D5)=0,LEN('A créer'!C5)=0),"","0")</f>
        <v>0</v>
      </c>
      <c r="BE5" s="2" t="str">
        <f>IF(OR('A créer'!D5="Oui",LEN('A créer'!D5)=0,LEN('A créer'!C5)=0),"","TAB")</f>
        <v>TAB</v>
      </c>
      <c r="BF5" s="6" t="str">
        <f>IF(OR('A créer'!D5="Oui",LEN('A créer'!D5)=0,LEN('A créer'!C5)=0),"","ZZZZZZZZZZ")</f>
        <v>ZZZZZZZZZZ</v>
      </c>
      <c r="BG5" s="6" t="str">
        <f>IF(OR('A créer'!D5="Oui",LEN('A créer'!D5)=0,LEN('A créer'!C5)=0),"","0")</f>
        <v>0</v>
      </c>
      <c r="BH5" s="2" t="str">
        <f>IF(OR('A créer'!D5="Oui",LEN('A créer'!D5)=0,LEN('A créer'!C5)=0),"","TAB")</f>
        <v>TAB</v>
      </c>
      <c r="BI5" s="6" t="str">
        <f>IF(OR('A créer'!D5="Oui",LEN('A créer'!D5)=0,LEN('A créer'!C5)=0),"","ZZZZZZZZZZ")</f>
        <v>ZZZZZZZZZZ</v>
      </c>
      <c r="BJ5" s="6" t="str">
        <f>IF(OR('A créer'!D5="Oui",LEN('A créer'!D5)=0,LEN('A créer'!C5)=0),"","0")</f>
        <v>0</v>
      </c>
      <c r="BK5" s="2" t="str">
        <f>IF(OR('A créer'!D5="Oui",LEN('A créer'!D5)=0,LEN('A créer'!C5)=0),"","TAB")</f>
        <v>TAB</v>
      </c>
      <c r="BL5" s="6" t="str">
        <f>IF(OR('A créer'!D5="Oui",LEN('A créer'!D5)=0,LEN('A créer'!C5)=0),"","ZZZZZZZZZZZZZZZ")</f>
        <v>ZZZZZZZZZZZZZZZ</v>
      </c>
      <c r="BM5" s="6" t="str">
        <f>IF(OR('A créer'!D5="Oui",LEN('A créer'!D5)=0,LEN('A créer'!C5)=0),"","0")</f>
        <v>0</v>
      </c>
      <c r="BN5" s="2" t="str">
        <f>IF(OR('A créer'!D5="Oui",LEN('A créer'!D5)=0,LEN('A créer'!C5)=0),"","TAB")</f>
        <v>TAB</v>
      </c>
      <c r="BO5" s="6" t="str">
        <f>IF(OR('A créer'!D5="Oui",LEN('A créer'!D5)=0,LEN('A créer'!C5)=0),"","ZZZ")</f>
        <v>ZZZ</v>
      </c>
      <c r="BP5" s="6" t="str">
        <f>IF(OR('A créer'!D5="Oui",LEN('A créer'!D5)=0,LEN('A créer'!C5)=0),"","0")</f>
        <v>0</v>
      </c>
      <c r="BQ5" s="2" t="str">
        <f>IF(OR('A créer'!D5="Oui",LEN('A créer'!D5)=0,LEN('A créer'!C5)=0),"","TAB")</f>
        <v>TAB</v>
      </c>
      <c r="BR5" s="6" t="str">
        <f>IF(OR('A créer'!D5="Oui",LEN('A créer'!D5)=0,LEN('A créer'!C5)=0),"","ZZZZZZZZZZ")</f>
        <v>ZZZZZZZZZZ</v>
      </c>
      <c r="BS5" s="6" t="str">
        <f>IF(OR('A créer'!D5="Oui",LEN('A créer'!D5)=0,LEN('A créer'!C5)=0),"","0")</f>
        <v>0</v>
      </c>
      <c r="BT5" s="2" t="str">
        <f>IF(OR('A créer'!D5="Oui",LEN('A créer'!D5)=0,LEN('A créer'!C5)=0),"","TAB")</f>
        <v>TAB</v>
      </c>
      <c r="BU5" s="6" t="str">
        <f>IF(OR('A créer'!D5="Oui",LEN('A créer'!D5)=0,LEN('A créer'!C5)=0),"","ZZZZZZZZZZ")</f>
        <v>ZZZZZZZZZZ</v>
      </c>
      <c r="BV5" s="6" t="str">
        <f>IF(OR('A créer'!D5="Oui",LEN('A créer'!D5)=0,LEN('A créer'!C5)=0),"","0")</f>
        <v>0</v>
      </c>
      <c r="BW5" s="2" t="str">
        <f>IF(OR('A créer'!D5="Oui",LEN('A créer'!D5)=0,LEN('A créer'!C5)=0),"","TAB")</f>
        <v>TAB</v>
      </c>
      <c r="BX5" s="6" t="str">
        <f>IF(OR('A créer'!D5="Oui",LEN('A créer'!D5)=0,LEN('A créer'!C5)=0),"","ZZZZZZZZZZ")</f>
        <v>ZZZZZZZZZZ</v>
      </c>
      <c r="BY5" s="2" t="str">
        <f>IF(OR('A créer'!D5="Oui",LEN('A créer'!D5)=0,LEN('A créer'!C5)=0),"","ENT")</f>
        <v>ENT</v>
      </c>
      <c r="BZ5" s="2" t="str">
        <f>IF(OR('A créer'!D5="Oui",LEN('A créer'!D5)=0,LEN('A créer'!C5)=0),"","*SAVE")</f>
        <v>*SAVE</v>
      </c>
    </row>
    <row r="6" spans="1:78" x14ac:dyDescent="0.2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0519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DOS0519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6" t="str">
        <f>IF(OR('A créer'!D6="Oui",LEN('A créer'!D6)=0,LEN('A créer'!C6)=0),"",'A créer'!A6)</f>
        <v>0519</v>
      </c>
      <c r="AR6" s="2" t="str">
        <f>IF(OR('A créer'!D6="Oui",LEN('A créer'!D6)=0,LEN('A créer'!C6)=0),"","TAB")</f>
        <v>TAB</v>
      </c>
      <c r="AS6" s="6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6" t="str">
        <f>IF(OR('A créer'!D6="Oui",LEN('A créer'!D6)=0,LEN('A créer'!C6)=0),"","ZZZ")</f>
        <v>ZZZ</v>
      </c>
      <c r="AV6" s="6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6" t="str">
        <f>IF(OR('A créer'!D6="Oui",LEN('A créer'!D6)=0,LEN('A créer'!C6)=0),"","ZZZZZZ")</f>
        <v>ZZZZZZ</v>
      </c>
      <c r="AY6" s="6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6" t="str">
        <f>IF(OR('A créer'!D6="Oui",LEN('A créer'!D6)=0,LEN('A créer'!C6)=0),"","ZZZZZ")</f>
        <v>ZZZZZ</v>
      </c>
      <c r="BB6" s="6" t="str">
        <f>IF(OR('A créer'!D6="Oui",LEN('A créer'!D6)=0,LEN('A créer'!C6)=0),"",CONCATENATE("XXX",'A créer'!A6))</f>
        <v>XXX0519</v>
      </c>
      <c r="BC6" s="2" t="str">
        <f>IF(OR('A créer'!D6="Oui",LEN('A créer'!D6)=0,LEN('A créer'!C6)=0),"","TAB")</f>
        <v>TAB</v>
      </c>
      <c r="BD6" s="6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6" t="str">
        <f>IF(OR('A créer'!D6="Oui",LEN('A créer'!D6)=0,LEN('A créer'!C6)=0),"","ZZZZZZZZZZ")</f>
        <v>ZZZZZZZZZZ</v>
      </c>
      <c r="BG6" s="6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6" t="str">
        <f>IF(OR('A créer'!D6="Oui",LEN('A créer'!D6)=0,LEN('A créer'!C6)=0),"","ZZZZZZZZZZ")</f>
        <v>ZZZZZZZZZZ</v>
      </c>
      <c r="BJ6" s="6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6" t="str">
        <f>IF(OR('A créer'!D6="Oui",LEN('A créer'!D6)=0,LEN('A créer'!C6)=0),"","ZZZZZZZZZZZZZZZ")</f>
        <v>ZZZZZZZZZZZZZZZ</v>
      </c>
      <c r="BM6" s="6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6" t="str">
        <f>IF(OR('A créer'!D6="Oui",LEN('A créer'!D6)=0,LEN('A créer'!C6)=0),"","ZZZ")</f>
        <v>ZZZ</v>
      </c>
      <c r="BP6" s="6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6" t="str">
        <f>IF(OR('A créer'!D6="Oui",LEN('A créer'!D6)=0,LEN('A créer'!C6)=0),"","ZZZZZZZZZZ")</f>
        <v>ZZZZZZZZZZ</v>
      </c>
      <c r="BS6" s="6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6" t="str">
        <f>IF(OR('A créer'!D6="Oui",LEN('A créer'!D6)=0,LEN('A créer'!C6)=0),"","ZZZZZZZZZZ")</f>
        <v>ZZZZZZZZZZ</v>
      </c>
      <c r="BV6" s="6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6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J5" sqref="J5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6.5703125" bestFit="1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0515</v>
      </c>
      <c r="E2" s="2" t="str">
        <f>IF(LEN('A créer'!C2)=0,"","Tab")</f>
        <v>Tab</v>
      </c>
      <c r="F2" t="str">
        <f>IF(LEN('A créer'!C2)=0,"",'A créer'!B2)</f>
        <v>DOS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0516</v>
      </c>
      <c r="E3" s="2" t="str">
        <f>IF(LEN('A créer'!C3)=0,"","Tab")</f>
        <v>Tab</v>
      </c>
      <c r="F3" t="str">
        <f>IF(LEN('A créer'!C3)=0,"",'A créer'!B3)</f>
        <v>DOS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0517</v>
      </c>
      <c r="E4" s="2" t="str">
        <f>IF(LEN('A créer'!C4)=0,"","Tab")</f>
        <v>Tab</v>
      </c>
      <c r="F4" t="str">
        <f>IF(LEN('A créer'!C4)=0,"",'A créer'!B4)</f>
        <v>DOS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0518</v>
      </c>
      <c r="E5" s="2" t="str">
        <f>IF(LEN('A créer'!C5)=0,"","Tab")</f>
        <v>Tab</v>
      </c>
      <c r="F5" t="str">
        <f>IF(LEN('A créer'!C5)=0,"",'A créer'!B5)</f>
        <v>DOS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2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0519</v>
      </c>
      <c r="E6" s="2" t="str">
        <f>IF(LEN('A créer'!C6)=0,"","Tab")</f>
        <v>Tab</v>
      </c>
      <c r="F6" t="str">
        <f>IF(LEN('A créer'!C6)=0,"",'A créer'!B6)</f>
        <v>DOS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="80" zoomScaleNormal="80" workbookViewId="0">
      <pane xSplit="1" ySplit="1" topLeftCell="B2" activePane="bottomRight" state="frozenSplit"/>
      <selection activeCell="G1" sqref="G1"/>
      <selection pane="topRight"/>
      <selection pane="bottomLeft" activeCell="A2" sqref="A2"/>
      <selection pane="bottomRight" activeCell="E5" sqref="E5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2.285156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26.5703125" customWidth="1"/>
    <col min="10" max="10" width="6.5703125" customWidth="1"/>
    <col min="11" max="11" width="4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DK 28</v>
      </c>
      <c r="D2" s="2" t="str">
        <f>IF(OR('A créer'!D2="Oui",LEN('A créer'!D2)=0),"","Tab")</f>
        <v>Tab</v>
      </c>
      <c r="E2" t="str">
        <f>IF(OR('A créer'!D2="Oui",LEN('A créer'!D2)=0),"",'A créer'!C2)</f>
        <v>DK 28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TOUR EUROPE - 33, Place des Corolles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92099</v>
      </c>
      <c r="M2" t="str">
        <f>IF(OR('A créer'!D2="Oui",LEN('A créer'!D2)=0),"",'A créer'!L2)</f>
        <v>PARIS LA DEFENSE CEDEX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DOS0515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28 ()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>
        <f>IF('A créer'!F2="Oui",'A créer'!J2,IF(LEN('A créer'!F2)=0,"",'A créer'!N2))</f>
        <v>0</v>
      </c>
      <c r="Z2" s="2" t="str">
        <f>IF(LEN('A créer'!D2)=0,"","Tab")</f>
        <v>Tab</v>
      </c>
      <c r="AA2" s="4">
        <f>IF('A créer'!F2="Oui","",IF(LEN('A créer'!F2)=0,"",'A créer'!O2))</f>
        <v>0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DOS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6" t="str">
        <f>IF(OR('A créer'!D3="Oui",LEN('A créer'!D3)=0),"",'A créer'!I3)</f>
        <v>DK 29</v>
      </c>
      <c r="D3" s="2" t="str">
        <f>IF(OR('A créer'!D3="Oui",LEN('A créer'!D3)=0),"","Tab")</f>
        <v>Tab</v>
      </c>
      <c r="E3" s="6" t="str">
        <f>IF(OR('A créer'!D3="Oui",LEN('A créer'!D3)=0),"",'A créer'!C3)</f>
        <v>DK 29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6" t="str">
        <f>IF(OR('A créer'!D3="Oui",LEN('A créer'!D3)=0),"",'A créer'!J3)</f>
        <v>TOUR EUROPE - 33, Place des Corolles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6">
        <f>IF(OR('A créer'!D3="Oui",LEN('A créer'!D3)=0),"",'A créer'!K3)</f>
        <v>92099</v>
      </c>
      <c r="M3" s="6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DOS0516</v>
      </c>
      <c r="T3" s="2" t="s">
        <v>4</v>
      </c>
      <c r="U3" s="6" t="str">
        <f>IF('A créer'!F3="Oui",'A créer'!C3,IF(LEN('A créer'!F3)=0,"",CONCATENATE('A créer'!C3," (",'A créer'!M3,")")))</f>
        <v>DK 29 ()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>
        <f>IF('A créer'!F3="Oui",'A créer'!J3,IF(LEN('A créer'!F3)=0,"",'A créer'!N3))</f>
        <v>0</v>
      </c>
      <c r="Z3" s="2" t="str">
        <f>IF(LEN('A créer'!D3)=0,"","Tab")</f>
        <v>Tab</v>
      </c>
      <c r="AA3" s="4">
        <f>IF('A créer'!F3="Oui","",IF(LEN('A créer'!F3)=0,"",'A créer'!O3))</f>
        <v>0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DOS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>*FN</v>
      </c>
      <c r="B4" s="2" t="str">
        <f>IF(OR('A créer'!D4="Oui",LEN('A créer'!D4)=0),"","Tab")</f>
        <v>Tab</v>
      </c>
      <c r="C4" s="6" t="str">
        <f>IF(OR('A créer'!D4="Oui",LEN('A créer'!D4)=0),"",'A créer'!I4)</f>
        <v>DK 30</v>
      </c>
      <c r="D4" s="2" t="str">
        <f>IF(OR('A créer'!D4="Oui",LEN('A créer'!D4)=0),"","Tab")</f>
        <v>Tab</v>
      </c>
      <c r="E4" s="6" t="str">
        <f>IF(OR('A créer'!D4="Oui",LEN('A créer'!D4)=0),"",'A créer'!C4)</f>
        <v>DK 30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créer'!D4)=0),"","Tab")</f>
        <v>Tab</v>
      </c>
      <c r="I4" s="6" t="str">
        <f>IF(OR('A créer'!D4="Oui",LEN('A créer'!D4)=0),"",'A créer'!J4)</f>
        <v>TOUR EUROPE - 33, Place des Corolles</v>
      </c>
      <c r="J4" s="2" t="str">
        <f>IF(OR('A créer'!D4="Oui",LEN('A créer'!D4)=0),"","Tab 4")</f>
        <v>Tab 4</v>
      </c>
      <c r="K4" s="2" t="str">
        <f>IF(OR('A créer'!D4="Oui",LEN('A créer'!D4)=0),"","Tab")</f>
        <v>Tab</v>
      </c>
      <c r="L4" s="6">
        <f>IF(OR('A créer'!D4="Oui",LEN('A créer'!D4)=0),"",'A créer'!K4)</f>
        <v>92099</v>
      </c>
      <c r="M4" s="6" t="str">
        <f>IF(OR('A créer'!D4="Oui",LEN('A créer'!D4)=0),"",'A créer'!L4)</f>
        <v>PARIS LA DEFENSE CEDEX</v>
      </c>
      <c r="N4" s="2" t="str">
        <f>IF(OR('A créer'!D4="Oui",LEN('A créer'!D4)=0),"","Tab")</f>
        <v>Tab</v>
      </c>
      <c r="O4" s="2" t="str">
        <f>IF(OR('A créer'!D4="Oui",LEN('A créer'!D4)=0),"","ENT")</f>
        <v>ENT</v>
      </c>
      <c r="P4" s="2" t="str">
        <f>IF(OR('A créer'!D4="Oui",LEN('A créer'!D4)=0),"","*SAVE")</f>
        <v>*SAVE</v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DOS0517</v>
      </c>
      <c r="T4" s="2" t="s">
        <v>4</v>
      </c>
      <c r="U4" s="6" t="str">
        <f>IF('A créer'!F4="Oui",'A créer'!C4,IF(LEN('A créer'!F4)=0,"",CONCATENATE('A créer'!C4," (",'A créer'!M4,")")))</f>
        <v>DK 30 ()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>
        <f>IF('A créer'!F4="Oui",'A créer'!J4,IF(LEN('A créer'!F4)=0,"",'A créer'!N4))</f>
        <v>0</v>
      </c>
      <c r="Z4" s="2" t="str">
        <f>IF(LEN('A créer'!D4)=0,"","Tab")</f>
        <v>Tab</v>
      </c>
      <c r="AA4" s="4">
        <f>IF('A créer'!F4="Oui","",IF(LEN('A créer'!F4)=0,"",'A créer'!O4))</f>
        <v>0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>DOS</v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>*FN</v>
      </c>
      <c r="B5" s="2" t="str">
        <f>IF(OR('A créer'!D5="Oui",LEN('A créer'!D5)=0),"","Tab")</f>
        <v>Tab</v>
      </c>
      <c r="C5" s="6" t="str">
        <f>IF(OR('A créer'!D5="Oui",LEN('A créer'!D5)=0),"",'A créer'!I5)</f>
        <v>DK 31</v>
      </c>
      <c r="D5" s="2" t="str">
        <f>IF(OR('A créer'!D5="Oui",LEN('A créer'!D5)=0),"","Tab")</f>
        <v>Tab</v>
      </c>
      <c r="E5" s="6" t="str">
        <f>IF(OR('A créer'!D5="Oui",LEN('A créer'!D5)=0),"",'A créer'!C5)</f>
        <v>DK 31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créer'!D5)=0),"","Tab")</f>
        <v>Tab</v>
      </c>
      <c r="I5" s="6" t="str">
        <f>IF(OR('A créer'!D5="Oui",LEN('A créer'!D5)=0),"",'A créer'!J5)</f>
        <v>TOUR EUROPE - 33, Place des Corolles</v>
      </c>
      <c r="J5" s="2" t="str">
        <f>IF(OR('A créer'!D5="Oui",LEN('A créer'!D5)=0),"","Tab 4")</f>
        <v>Tab 4</v>
      </c>
      <c r="K5" s="2" t="str">
        <f>IF(OR('A créer'!D5="Oui",LEN('A créer'!D5)=0),"","Tab")</f>
        <v>Tab</v>
      </c>
      <c r="L5" s="6">
        <f>IF(OR('A créer'!D5="Oui",LEN('A créer'!D5)=0),"",'A créer'!K5)</f>
        <v>92099</v>
      </c>
      <c r="M5" s="6" t="str">
        <f>IF(OR('A créer'!D5="Oui",LEN('A créer'!D5)=0),"",'A créer'!L5)</f>
        <v>PARIS LA DEFENSE CEDEX</v>
      </c>
      <c r="N5" s="2" t="str">
        <f>IF(OR('A créer'!D5="Oui",LEN('A créer'!D5)=0),"","Tab")</f>
        <v>Tab</v>
      </c>
      <c r="O5" s="2" t="str">
        <f>IF(OR('A créer'!D5="Oui",LEN('A créer'!D5)=0),"","ENT")</f>
        <v>ENT</v>
      </c>
      <c r="P5" s="2" t="str">
        <f>IF(OR('A créer'!D5="Oui",LEN('A créer'!D5)=0),"","*SAVE")</f>
        <v>*SAVE</v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DOS0518</v>
      </c>
      <c r="T5" s="2" t="s">
        <v>4</v>
      </c>
      <c r="U5" s="6" t="str">
        <f>IF('A créer'!F5="Oui",'A créer'!C5,IF(LEN('A créer'!F5)=0,"",CONCATENATE('A créer'!C5," (",'A créer'!M5,")")))</f>
        <v>DK 31 ()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>
        <f>IF('A créer'!F5="Oui",'A créer'!J5,IF(LEN('A créer'!F5)=0,"",'A créer'!N5))</f>
        <v>0</v>
      </c>
      <c r="Z5" s="2" t="str">
        <f>IF(LEN('A créer'!D5)=0,"","Tab")</f>
        <v>Tab</v>
      </c>
      <c r="AA5" s="4">
        <f>IF('A créer'!F5="Oui","",IF(LEN('A créer'!F5)=0,"",'A créer'!O5))</f>
        <v>0</v>
      </c>
      <c r="AB5" s="2" t="str">
        <f>IF(LEN('A créer'!D5)=0,"","Tab")</f>
        <v>Tab</v>
      </c>
      <c r="AC5" s="4" t="str">
        <f>IF('A créer'!F5="Oui","",IF(LEN('A créer'!F5)=0,"","contactfournisseur@csp.dalkia.fr"))</f>
        <v>contactfournisseur@csp.dalkia.fr</v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>ATTENTION adresse UNIQUEMENT pour la comptabilité fournisseurs</v>
      </c>
      <c r="AG5" s="2" t="str">
        <f>IF(LEN('A créer'!D5)=0,"","Tab")</f>
        <v>Tab</v>
      </c>
      <c r="AH5" s="4" t="str">
        <f>IF('A créer'!F5="Oui",'A créer'!K5,IF(LEN('A créer'!F5)=0,"",""))</f>
        <v/>
      </c>
      <c r="AI5" s="2" t="str">
        <f>IF(OR(LEN('A créer'!D5)=0,LEN(AH5)&gt;0),"","Tab")</f>
        <v>Tab</v>
      </c>
      <c r="AJ5" s="6" t="str">
        <f>IF('A créer'!F5="Oui",'A créer'!L5,IF(LEN('A créer'!F5)=0,"","NOUVELLE ADRESSE FACTURATION"))</f>
        <v>NOUVELLE ADRESSE FACTURATION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>DOS</v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25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6" t="str">
        <f>IF(OR('A créer'!D6="Oui",LEN('A créer'!D6)=0),"",'A créer'!I6)</f>
        <v>DK 32</v>
      </c>
      <c r="D6" s="2" t="str">
        <f>IF(OR('A créer'!D6="Oui",LEN('A créer'!D6)=0),"","Tab")</f>
        <v>Tab</v>
      </c>
      <c r="E6" s="6" t="str">
        <f>IF(OR('A créer'!D6="Oui",LEN('A créer'!D6)=0),"",'A créer'!C6)</f>
        <v>DK 32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6" t="str">
        <f>IF(OR('A créer'!D6="Oui",LEN('A créer'!D6)=0),"",'A créer'!J6)</f>
        <v>TOUR EUROPE - 33, Place des Corolles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6">
        <f>IF(OR('A créer'!D6="Oui",LEN('A créer'!D6)=0),"",'A créer'!K6)</f>
        <v>92099</v>
      </c>
      <c r="M6" s="6" t="str">
        <f>IF(OR('A créer'!D6="Oui",LEN('A créer'!D6)=0),"",'A créer'!L6)</f>
        <v>PARIS LA DEFENSE CEDEX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DOS0519</v>
      </c>
      <c r="T6" s="2" t="s">
        <v>4</v>
      </c>
      <c r="U6" s="6" t="str">
        <f>IF('A créer'!F6="Oui",'A créer'!C6,IF(LEN('A créer'!F6)=0,"",CONCATENATE('A créer'!C6," (",'A créer'!M6,")")))</f>
        <v>DK 32 ()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>
        <f>IF('A créer'!F6="Oui",'A créer'!J6,IF(LEN('A créer'!F6)=0,"",'A créer'!N6))</f>
        <v>0</v>
      </c>
      <c r="Z6" s="2" t="str">
        <f>IF(LEN('A créer'!D6)=0,"","Tab")</f>
        <v>Tab</v>
      </c>
      <c r="AA6" s="4">
        <f>IF('A créer'!F6="Oui","",IF(LEN('A créer'!F6)=0,"",'A créer'!O6))</f>
        <v>0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DOS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pane="bottomLeft" activeCell="G8" sqref="G8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0515</v>
      </c>
      <c r="D2" s="2" t="str">
        <f>IF(LEN('A créer'!C2)=0,"","Tab")</f>
        <v>Tab</v>
      </c>
      <c r="E2" t="str">
        <f>IF(LEN('A créer'!C2)=0,"",'A créer'!B2)</f>
        <v>DOS</v>
      </c>
      <c r="F2" s="2" t="str">
        <f>IF(LEN('A créer'!C2)=0,"","Tab")</f>
        <v>Tab</v>
      </c>
      <c r="G2" t="str">
        <f>IF(LEN('A créer'!C2)=0,"",'A créer'!G2)</f>
        <v>YS2328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0516</v>
      </c>
      <c r="D3" s="2" t="str">
        <f>IF(LEN('A créer'!C3)=0,"","Tab")</f>
        <v>Tab</v>
      </c>
      <c r="E3" t="str">
        <f>IF(LEN('A créer'!C3)=0,"",'A créer'!B3)</f>
        <v>DOS</v>
      </c>
      <c r="F3" s="2" t="str">
        <f>IF(LEN('A créer'!C3)=0,"","Tab")</f>
        <v>Tab</v>
      </c>
      <c r="G3" t="str">
        <f>IF(LEN('A créer'!C3)=0,"",'A créer'!G3)</f>
        <v>YS2329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0517</v>
      </c>
      <c r="D4" s="2" t="str">
        <f>IF(LEN('A créer'!C4)=0,"","Tab")</f>
        <v>Tab</v>
      </c>
      <c r="E4" t="str">
        <f>IF(LEN('A créer'!C4)=0,"",'A créer'!B4)</f>
        <v>DOS</v>
      </c>
      <c r="F4" s="2" t="str">
        <f>IF(LEN('A créer'!C4)=0,"","Tab")</f>
        <v>Tab</v>
      </c>
      <c r="G4" t="str">
        <f>IF(LEN('A créer'!C4)=0,"",'A créer'!G4)</f>
        <v>YS2330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0518</v>
      </c>
      <c r="D5" s="2" t="str">
        <f>IF(LEN('A créer'!C5)=0,"","Tab")</f>
        <v>Tab</v>
      </c>
      <c r="E5" t="str">
        <f>IF(LEN('A créer'!C5)=0,"",'A créer'!B5)</f>
        <v>DOS</v>
      </c>
      <c r="F5" s="2" t="str">
        <f>IF(LEN('A créer'!C5)=0,"","Tab")</f>
        <v>Tab</v>
      </c>
      <c r="G5" t="str">
        <f>IF(LEN('A créer'!C5)=0,"",'A créer'!G5)</f>
        <v>YS2331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2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0519</v>
      </c>
      <c r="D6" s="2" t="str">
        <f>IF(LEN('A créer'!C6)=0,"","Tab")</f>
        <v>Tab</v>
      </c>
      <c r="E6" t="str">
        <f>IF(LEN('A créer'!C6)=0,"",'A créer'!B6)</f>
        <v>DOS</v>
      </c>
      <c r="F6" s="2" t="str">
        <f>IF(LEN('A créer'!C6)=0,"","Tab")</f>
        <v>Tab</v>
      </c>
      <c r="G6" t="str">
        <f>IF(LEN('A créer'!C6)=0,"",'A créer'!G6)</f>
        <v>YS2332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4"/>
  <sheetViews>
    <sheetView workbookViewId="0">
      <pane ySplit="1" topLeftCell="A2" activePane="bottomLeft" state="frozenSplit"/>
      <selection pane="bottomLeft" activeCell="A2" sqref="A2:H6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513573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513574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513575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2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513576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2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513577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DOS0515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DOS0516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6" t="str">
        <f>CONCATENATE('A créer'!B4,'A créer'!A4)</f>
        <v>DOS0517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>TAB</v>
      </c>
      <c r="B5" s="6" t="str">
        <f>CONCATENATE('A créer'!B5,'A créer'!A5)</f>
        <v>DOS0518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25">
      <c r="A6" s="2" t="str">
        <f>IF(LEN('A créer'!$C6)=0,"","TAB")</f>
        <v>TAB</v>
      </c>
      <c r="B6" s="6" t="str">
        <f>CONCATENATE('A créer'!B6,'A créer'!A6)</f>
        <v>DOS0519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6"/>
  <sheetViews>
    <sheetView tabSelected="1"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DOS0515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DOS0516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DOS0517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DOS0518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2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DOS0519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30"/>
  <sheetViews>
    <sheetView zoomScale="80" zoomScaleNormal="80" workbookViewId="0">
      <pane xSplit="1" ySplit="1" topLeftCell="C2" activePane="bottomRight" state="frozenSplit"/>
      <selection pane="topRight"/>
      <selection pane="bottomLeft"/>
      <selection pane="bottomRight" activeCell="P2" sqref="P2:AC6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1.5703125" style="6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DOS0515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DOS0515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0515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DOS0515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25">
      <c r="A3" s="2" t="str">
        <f>IF(AND(LEN('A créer'!$C3)=0,LEN('A créer'!$E3&gt;0)),"","*FN")</f>
        <v>*FN</v>
      </c>
      <c r="B3" s="6" t="str">
        <f>IF(AND(LEN('A créer'!$C3)=0,LEN('A créer'!$E3&gt;0)),"",CONCATENATE('A créer'!B3,'A créer'!A3))</f>
        <v>DOS0516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DOS0516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6" t="str">
        <f>IF(OR(LEN('A créer'!$C3)=0,'A créer'!$E3="Oui"),"",'A créer'!A3)</f>
        <v>0516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DOS0516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25">
      <c r="A4" s="2" t="str">
        <f>IF(AND(LEN('A créer'!$C4)=0,LEN('A créer'!$E4&gt;0)),"","*FN")</f>
        <v>*FN</v>
      </c>
      <c r="B4" s="6" t="str">
        <f>IF(AND(LEN('A créer'!$C4)=0,LEN('A créer'!$E4&gt;0)),"",CONCATENATE('A créer'!B4,'A créer'!A4))</f>
        <v>DOS0517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DOS0517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créer'!$E4&gt;0)),"","*ML(237,126)")</f>
        <v>*ML(237,126)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0517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DOS0517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créer'!$E4="Oui"),"","*ML(237,126)")</f>
        <v>*ML(237,126)</v>
      </c>
    </row>
    <row r="5" spans="1:30" x14ac:dyDescent="0.25">
      <c r="A5" s="2" t="str">
        <f>IF(AND(LEN('A créer'!$C5)=0,LEN('A créer'!$E5&gt;0)),"","*FN")</f>
        <v>*FN</v>
      </c>
      <c r="B5" s="6" t="str">
        <f>IF(AND(LEN('A créer'!$C5)=0,LEN('A créer'!$E5&gt;0)),"",CONCATENATE('A créer'!B5,'A créer'!A5))</f>
        <v>DOS0518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DOS0518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6" t="str">
        <f>IF(OR(LEN('A créer'!$C5)=0,'A créer'!$E5="Oui"),"",'A créer'!A5)</f>
        <v>0518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DOS0518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 x14ac:dyDescent="0.25">
      <c r="A6" s="2" t="str">
        <f>IF(AND(LEN('A créer'!$C6)=0,LEN('A créer'!$E6&gt;0)),"","*FN")</f>
        <v>*FN</v>
      </c>
      <c r="B6" s="6" t="str">
        <f>IF(AND(LEN('A créer'!$C6)=0,LEN('A créer'!$E6&gt;0)),"",CONCATENATE('A créer'!B6,'A créer'!A6))</f>
        <v>DOS0519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DOS0519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>*FN</v>
      </c>
      <c r="Q6" s="6" t="str">
        <f>IF(OR(LEN('A créer'!$C6)=0,'A créer'!$E6="Oui"),"",'A créer'!A6)</f>
        <v>0519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DOS0519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créer'!$E6="Oui"),"","*ML(237,126)")</f>
        <v>*ML(237,126)</v>
      </c>
    </row>
    <row r="7" spans="1:30" x14ac:dyDescent="0.25">
      <c r="A7" s="2" t="str">
        <f>IF(AND(LEN('A créer'!$C7)=0,LEN('A créer'!$E7&gt;0)),"","*FN")</f>
        <v/>
      </c>
      <c r="B7" s="6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créer'!$E7&gt;0)),"","*ML(237,126)")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créer'!$E7="Oui"),"","*ML(237,126)")</f>
        <v/>
      </c>
    </row>
    <row r="8" spans="1:30" x14ac:dyDescent="0.25">
      <c r="A8" s="2" t="str">
        <f>IF(AND(LEN('A créer'!$C8)=0,LEN('A créer'!$E8&gt;0)),"","*FN")</f>
        <v/>
      </c>
      <c r="B8" s="6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créer'!$E8&gt;0)),"","*ML(237,126)")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créer'!$E8="Oui"),"","*ML(237,126)")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créer'!$E9&gt;0)),"","*ML(237,126)")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créer'!$E10&gt;0)),"","*ML(237,126)")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créer'!$E11&gt;0)),"","*ML(237,126)")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créer'!$E12&gt;0)),"","*ML(237,126)")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6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B22" sqref="B2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DOS0515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DOS0516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DOS0517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DOS0518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2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DOS0519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7" sqref="A7:C7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74</v>
      </c>
      <c r="B1" s="12" t="s">
        <v>75</v>
      </c>
      <c r="C1" s="12" t="s">
        <v>76</v>
      </c>
    </row>
    <row r="2" spans="1:3" x14ac:dyDescent="0.25">
      <c r="A2" s="11" t="s">
        <v>79</v>
      </c>
      <c r="B2" s="11" t="s">
        <v>80</v>
      </c>
      <c r="C2" s="13" t="s">
        <v>38</v>
      </c>
    </row>
    <row r="3" spans="1:3" x14ac:dyDescent="0.25">
      <c r="A3" s="11" t="s">
        <v>81</v>
      </c>
      <c r="B3" s="11" t="s">
        <v>82</v>
      </c>
      <c r="C3" s="13" t="s">
        <v>43</v>
      </c>
    </row>
    <row r="4" spans="1:3" x14ac:dyDescent="0.25">
      <c r="A4" s="11" t="s">
        <v>83</v>
      </c>
      <c r="B4" s="11" t="s">
        <v>84</v>
      </c>
      <c r="C4" s="13" t="s">
        <v>39</v>
      </c>
    </row>
    <row r="5" spans="1:3" x14ac:dyDescent="0.25">
      <c r="A5" s="11" t="s">
        <v>85</v>
      </c>
      <c r="B5" s="11" t="s">
        <v>86</v>
      </c>
      <c r="C5" s="13" t="s">
        <v>40</v>
      </c>
    </row>
    <row r="6" spans="1:3" x14ac:dyDescent="0.25">
      <c r="A6" s="11" t="s">
        <v>87</v>
      </c>
      <c r="B6" s="11" t="s">
        <v>88</v>
      </c>
      <c r="C6" s="13" t="s">
        <v>44</v>
      </c>
    </row>
    <row r="7" spans="1:3" x14ac:dyDescent="0.25">
      <c r="A7" s="14" t="s">
        <v>77</v>
      </c>
      <c r="B7" s="13" t="s">
        <v>78</v>
      </c>
      <c r="C7" s="13" t="s">
        <v>3</v>
      </c>
    </row>
    <row r="8" spans="1:3" x14ac:dyDescent="0.25">
      <c r="A8" s="11" t="s">
        <v>89</v>
      </c>
      <c r="B8" s="11" t="s">
        <v>90</v>
      </c>
      <c r="C8" s="13" t="s">
        <v>41</v>
      </c>
    </row>
    <row r="9" spans="1:3" x14ac:dyDescent="0.2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2024-02-13T17:05:32Z</dcterms:modified>
</cp:coreProperties>
</file>