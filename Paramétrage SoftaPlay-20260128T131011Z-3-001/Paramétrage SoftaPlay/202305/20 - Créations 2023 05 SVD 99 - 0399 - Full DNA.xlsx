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ove\Documents\Data\PROJETS\Softaplay\202305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52511"/>
</workbook>
</file>

<file path=xl/calcChain.xml><?xml version="1.0" encoding="utf-8"?>
<calcChain xmlns="http://schemas.openxmlformats.org/spreadsheetml/2006/main"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<sst xmlns="http://schemas.openxmlformats.org/spreadsheetml/2006/main" count="473" uniqueCount="107">
  <si>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</si>
  <si>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</si>
  <si>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</si>
  <si>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</si>
  <si>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</si>
  <si>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</si>
  <si>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</si>
  <si>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</si>
  <si>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</si>
  <si>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</si>
  <si>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</si>
  <si>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</si>
  <si>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</si>
  <si>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</si>
  <si>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</si>
  <si>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</si>
  <si>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</si>
  <si>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</si>
  <si>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</si>
  <si>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</si>
  <si>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</si>
  <si>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</si>
  <si>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</si>
  <si>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</si>
  <si>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</si>
  <si>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</si>
  <si>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</si>
  <si>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</si>
  <si>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</si>
  <si>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</si>
  <si>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</si>
  <si>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</si>
  <si>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</si>
  <si>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</si>
  <si>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</si>
  <si>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</si>
  <si>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</si>
  <si>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</si>
  <si>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</si>
  <si>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</si>
  <si>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</si>
  <si>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</si>
  <si>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</si>
  <si>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</si>
  <si>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</si>
  <si>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</si>
  <si>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</si>
  <si>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</si>
  <si>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</si>
  <si>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</si>
  <si>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</si>
  <si>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</si>
  <si>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</si>
  <si>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</si>
  <si>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</si>
  <si>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</si>
  <si>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</si>
  <si>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</si>
  <si>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</si>
  <si>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</si>
  <si>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</si>
  <si>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</si>
  <si>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</si>
  <si>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</si>
  <si>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</si>
  <si>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</si>
  <si>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</si>
  <si>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</si>
  <si>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</si>
  <si>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</si>
  <si>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</si>
  <si>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</si>
  <si>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</si>
  <si>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</si>
  <si>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</si>
  <si>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</si>
  <si>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</si>
  <si>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</si>
  <si>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</si>
  <si>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</si>
  <si>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</si>
  <si>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</si>
  <si>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</si>
  <si>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</si>
  <si>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</si>
  <si>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</si>
  <si>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</si>
  <si>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</si>
  <si>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</si>
  <si>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</si>
  <si>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</si>
  <si>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</si>
  <si>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</si>
  <si>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</si>
  <si>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</si>
  <si>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</si>
  <si>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</si>
  <si>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</si>
  <si>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</si>
  <si>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</si>
  <si>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0399</t>
  </si>
  <si>
    <t>SOCIETE VALMY DEFENSE 99</t>
  </si>
  <si>
    <t>S0099</t>
  </si>
  <si>
    <t>SVD 99</t>
  </si>
  <si>
    <t>TSA - 55507</t>
  </si>
  <si>
    <t>SOCIETE GENERALE</t>
  </si>
  <si>
    <t>FB0082284E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</si>
</sst>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7.28515625" bestFit="1" customWidth="1"/>
    <col min="2" max="2" width="7" bestFit="1" customWidth="1"/>
    <col min="3" max="3" width="24.28515625" bestFit="1" customWidth="1"/>
    <col min="4" max="4" width="8.140625" bestFit="1" customWidth="1"/>
    <col min="5" max="5" width="4.5703125" bestFit="1" customWidth="1"/>
    <col min="6" max="6" width="9.28515625" bestFit="1" customWidth="1"/>
    <col min="7" max="7" width="8.28515625" bestFit="1" customWidth="1"/>
    <col min="8" max="8" width="10.140625" bestFit="1" customWidth="1"/>
    <col min="9" max="9" width="21.28515625" bestFit="1" customWidth="1"/>
    <col min="10" max="10" width="45.42578125" bestFit="1" customWidth="1"/>
    <col min="11" max="11" width="7" bestFit="1" customWidth="1"/>
    <col min="12" max="12" width="29.7109375" bestFit="1" customWidth="1"/>
    <col min="13" max="13" width="9.85546875" bestFit="1" customWidth="1"/>
    <col min="14" max="14" width="11.28515625" bestFit="1" customWidth="1"/>
    <col min="15" max="15" width="21" bestFit="1" customWidth="1"/>
    <col min="16" max="16" width="8" bestFit="1" customWidth="1"/>
    <col min="17" max="17" width="17.7109375" bestFit="1" customWidth="1"/>
    <col min="18" max="18" width="12.85546875" bestFit="1" customWidth="1"/>
    <col min="19" max="19" width="5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.5" thickBot="1" x14ac:dyDescent="0.3">
      <c r="A2" s="1" t="s">
        <v>100</v>
      </c>
      <c r="B2" s="6" t="s">
        <v>44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102</v>
      </c>
      <c r="H2" s="4" t="s">
        <v>44</v>
      </c>
      <c r="I2" s="17" t="s">
        <v>103</v>
      </c>
      <c r="J2" s="6" t="s">
        <v>97</v>
      </c>
      <c r="K2" s="18">
        <v>59350</v>
      </c>
      <c r="L2" s="16" t="s">
        <v>98</v>
      </c>
      <c r="M2" s="6">
        <v>57399</v>
      </c>
      <c r="N2" s="6" t="s">
        <v>104</v>
      </c>
      <c r="O2" s="10" t="s">
        <v>99</v>
      </c>
      <c r="P2" s="19">
        <v>513470</v>
      </c>
      <c r="Q2" s="6" t="s">
        <v>105</v>
      </c>
      <c r="R2" s="24" t="s">
        <v>106</v>
      </c>
    </row>
    <row r="3" spans="1:19" s="6" customFormat="1" ht="16.5" thickBot="1" x14ac:dyDescent="0.3">
      <c r="A3" s="1"/>
      <c r="C3" s="15"/>
      <c r="H3" s="4"/>
      <c r="I3" s="17"/>
      <c r="K3" s="18"/>
      <c r="L3" s="16"/>
      <c r="O3" s="10"/>
      <c r="P3" s="19"/>
      <c r="R3" s="23"/>
    </row>
    <row r="4" spans="1:19" s="6" customFormat="1" ht="16.5" thickBot="1" x14ac:dyDescent="0.3">
      <c r="A4" s="1"/>
      <c r="C4" s="15"/>
      <c r="H4" s="4"/>
      <c r="I4" s="17"/>
      <c r="K4" s="18"/>
      <c r="L4" s="16"/>
      <c r="O4" s="10"/>
      <c r="P4" s="19"/>
      <c r="R4" s="22"/>
    </row>
    <row r="5" spans="1:19" s="6" customFormat="1" ht="16.5" thickBot="1" x14ac:dyDescent="0.3">
      <c r="A5" s="1"/>
      <c r="C5" s="15"/>
      <c r="H5" s="4"/>
      <c r="I5" s="17"/>
      <c r="K5" s="18"/>
      <c r="L5" s="16"/>
      <c r="O5" s="10"/>
      <c r="P5" s="19"/>
      <c r="R5" s="24"/>
    </row>
    <row r="6" spans="1:19" s="6" customFormat="1" ht="16.5" thickBot="1" x14ac:dyDescent="0.3">
      <c r="A6" s="1"/>
      <c r="C6" s="15"/>
      <c r="H6" s="4"/>
      <c r="I6" s="17"/>
      <c r="K6" s="18"/>
      <c r="L6" s="16"/>
      <c r="O6" s="10"/>
      <c r="P6" s="19"/>
      <c r="R6" s="21"/>
    </row>
    <row r="7" spans="1:19" s="6" customFormat="1" ht="16.5" thickBot="1" x14ac:dyDescent="0.3">
      <c r="A7" s="1"/>
      <c r="C7" s="15"/>
      <c r="H7" s="4"/>
      <c r="I7" s="17"/>
      <c r="K7" s="18"/>
      <c r="L7" s="16"/>
      <c r="O7" s="10"/>
      <c r="P7" s="19"/>
      <c r="R7" s="24"/>
    </row>
    <row r="8" spans="1:19" s="6" customFormat="1" ht="16.5" thickBot="1" x14ac:dyDescent="0.3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.5" thickBot="1" x14ac:dyDescent="0.3">
      <c r="A9" s="1"/>
      <c r="C9" s="15"/>
      <c r="H9" s="4"/>
      <c r="I9" s="17"/>
      <c r="K9" s="18"/>
      <c r="L9" s="16"/>
      <c r="O9" s="10"/>
      <c r="P9" s="19"/>
      <c r="R9" s="24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.5" thickBot="1" x14ac:dyDescent="0.3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B3" sqref="B3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2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0"/>
  <sheetViews>
    <sheetView zoomScale="80" zoomScaleNormal="80" workbookViewId="0">
      <pane ySplit="1" topLeftCell="A2" activePane="bottomLeft" state="frozenSplit"/>
      <selection pane="bottomLeft" activeCell="B2" sqref="B2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7.2851562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S0099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SOCIETE VALMY DEFENSE 99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  <col min="55" max="55" width="13.425781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2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5" x14ac:dyDescent="0.25"/>
  <cols>
    <col min="1" max="1" width="5.140625" bestFit="1" customWidth="1"/>
    <col min="2" max="2" width="10.140625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10.1406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2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W2" sqref="W2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513470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0399 SOCIETE VALMY DEFENSE 99/DNA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94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0"/>
  <sheetViews>
    <sheetView zoomScale="80" zoomScaleNormal="80" workbookViewId="0">
      <pane ySplit="1" topLeftCell="A2" activePane="bottomLeft" state="frozenSplit"/>
      <selection pane="bottomLeft" activeCell="M2" sqref="M2"/>
    </sheetView>
  </sheetViews>
  <sheetFormatPr baseColWidth="10" defaultRowHeight="15" x14ac:dyDescent="0.25"/>
  <cols>
    <col min="1" max="1" width="4.85546875" bestFit="1" customWidth="1"/>
    <col min="2" max="2" width="10.140625" bestFit="1" customWidth="1"/>
    <col min="3" max="3" width="4.85546875" bestFit="1" customWidth="1"/>
    <col min="4" max="4" width="37.42578125" bestFit="1" customWidth="1"/>
    <col min="5" max="5" width="6.42578125" bestFit="1" customWidth="1"/>
    <col min="6" max="8" width="4.85546875" bestFit="1" customWidth="1"/>
    <col min="9" max="9" width="7" bestFit="1" customWidth="1"/>
    <col min="10" max="10" width="4.85546875" bestFit="1" customWidth="1"/>
    <col min="11" max="11" width="13" bestFit="1" customWidth="1"/>
    <col min="12" max="12" width="4.85546875" bestFit="1" customWidth="1"/>
    <col min="13" max="13" width="49.42578125" bestFit="1" customWidth="1"/>
    <col min="14" max="14" width="6.42578125" bestFit="1" customWidth="1"/>
    <col min="15" max="17" width="4.85546875" bestFit="1" customWidth="1"/>
    <col min="18" max="18" width="7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DNA0399</v>
      </c>
      <c r="C2" s="2" t="str">
        <f>IF(LEN('A créer'!C2)=0,"","Tab")</f>
        <v>Tab</v>
      </c>
      <c r="D2" t="str">
        <f>IF(LEN('A créer'!C2)=0,"",CONCATENATE(,'A créer'!B2,'A créer'!A2,"-",'A créer'!C2))</f>
        <v>DNA0399-SOCIETE VALMY DEFENSE 99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FB0082284E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DNA_0399PF FPS 0399 SOCIETE VALMY DEFENSE 99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O2" sqref="O2"/>
    </sheetView>
  </sheetViews>
  <sheetFormatPr baseColWidth="10" defaultRowHeight="15" x14ac:dyDescent="0.25"/>
  <cols>
    <col min="1" max="1" width="4.85546875" bestFit="1" customWidth="1"/>
    <col min="2" max="2" width="3.140625" bestFit="1" customWidth="1"/>
    <col min="3" max="3" width="4.85546875" bestFit="1" customWidth="1"/>
    <col min="4" max="4" width="8.42578125" bestFit="1" customWidth="1"/>
    <col min="5" max="5" width="4.85546875" bestFit="1" customWidth="1"/>
    <col min="6" max="6" width="2.28515625" bestFit="1" customWidth="1"/>
    <col min="7" max="7" width="4.85546875" bestFit="1" customWidth="1"/>
    <col min="8" max="8" width="8" bestFit="1" customWidth="1"/>
    <col min="9" max="9" width="2.28515625" bestFit="1" customWidth="1"/>
    <col min="10" max="10" width="4.85546875" bestFit="1" customWidth="1"/>
    <col min="11" max="11" width="7.7109375" bestFit="1" customWidth="1"/>
    <col min="12" max="12" width="2.28515625" bestFit="1" customWidth="1"/>
    <col min="13" max="13" width="4.85546875" bestFit="1" customWidth="1"/>
    <col min="14" max="14" width="11.7109375" bestFit="1" customWidth="1"/>
    <col min="15" max="15" width="10.140625" bestFit="1" customWidth="1"/>
    <col min="16" max="16" width="4.85546875" bestFit="1" customWidth="1"/>
    <col min="17" max="17" width="2.28515625" bestFit="1" customWidth="1"/>
    <col min="18" max="18" width="4.85546875" bestFit="1" customWidth="1"/>
    <col min="19" max="19" width="12" bestFit="1" customWidth="1"/>
    <col min="20" max="20" width="2.28515625" bestFit="1" customWidth="1"/>
    <col min="21" max="21" width="4.85546875" bestFit="1" customWidth="1"/>
    <col min="22" max="22" width="12" bestFit="1" customWidth="1"/>
    <col min="23" max="23" width="2.28515625" bestFit="1" customWidth="1"/>
    <col min="24" max="24" width="4.85546875" bestFit="1" customWidth="1"/>
    <col min="25" max="25" width="17.42578125" bestFit="1" customWidth="1"/>
    <col min="26" max="26" width="2.28515625" bestFit="1" customWidth="1"/>
    <col min="27" max="27" width="4.85546875" bestFit="1" customWidth="1"/>
    <col min="28" max="28" width="5.140625" bestFit="1" customWidth="1"/>
    <col min="29" max="29" width="2.28515625" bestFit="1" customWidth="1"/>
    <col min="30" max="30" width="4.85546875" bestFit="1" customWidth="1"/>
    <col min="31" max="31" width="12" bestFit="1" customWidth="1"/>
    <col min="32" max="32" width="2.28515625" bestFit="1" customWidth="1"/>
    <col min="33" max="33" width="4.85546875" bestFit="1" customWidth="1"/>
    <col min="34" max="34" width="12" bestFit="1" customWidth="1"/>
    <col min="35" max="35" width="2.28515625" bestFit="1" customWidth="1"/>
    <col min="36" max="36" width="4.85546875" bestFit="1" customWidth="1"/>
    <col min="37" max="37" width="12" bestFit="1" customWidth="1"/>
    <col min="38" max="38" width="4.85546875" bestFit="1" customWidth="1"/>
    <col min="39" max="39" width="7" bestFit="1" customWidth="1"/>
    <col min="40" max="40" width="4.85546875" bestFit="1" customWidth="1"/>
    <col min="41" max="41" width="3.140625" bestFit="1" customWidth="1"/>
    <col min="42" max="42" width="4.85546875" bestFit="1" customWidth="1"/>
    <col min="43" max="43" width="8.42578125" bestFit="1" customWidth="1"/>
    <col min="44" max="44" width="4.85546875" bestFit="1" customWidth="1"/>
    <col min="45" max="45" width="2.28515625" bestFit="1" customWidth="1"/>
    <col min="46" max="46" width="4.85546875" bestFit="1" customWidth="1"/>
    <col min="47" max="47" width="8" bestFit="1" customWidth="1"/>
    <col min="48" max="48" width="2.28515625" bestFit="1" customWidth="1"/>
    <col min="49" max="49" width="4.85546875" bestFit="1" customWidth="1"/>
    <col min="50" max="50" width="7.7109375" bestFit="1" customWidth="1"/>
    <col min="51" max="51" width="2.28515625" bestFit="1" customWidth="1"/>
    <col min="52" max="52" width="4.85546875" bestFit="1" customWidth="1"/>
    <col min="53" max="53" width="11.7109375" bestFit="1" customWidth="1"/>
    <col min="54" max="54" width="8.7109375" bestFit="1" customWidth="1"/>
    <col min="55" max="55" width="4.85546875" bestFit="1" customWidth="1"/>
    <col min="56" max="56" width="2.28515625" bestFit="1" customWidth="1"/>
    <col min="57" max="57" width="4.85546875" bestFit="1" customWidth="1"/>
    <col min="58" max="58" width="12" bestFit="1" customWidth="1"/>
    <col min="59" max="59" width="2.28515625" bestFit="1" customWidth="1"/>
    <col min="60" max="60" width="4.85546875" bestFit="1" customWidth="1"/>
    <col min="61" max="61" width="12" bestFit="1" customWidth="1"/>
    <col min="62" max="62" width="2.28515625" bestFit="1" customWidth="1"/>
    <col min="63" max="63" width="4.85546875" bestFit="1" customWidth="1"/>
    <col min="64" max="64" width="17.42578125" bestFit="1" customWidth="1"/>
    <col min="65" max="65" width="2.28515625" bestFit="1" customWidth="1"/>
    <col min="66" max="66" width="4.85546875" bestFit="1" customWidth="1"/>
    <col min="67" max="67" width="5.140625" bestFit="1" customWidth="1"/>
    <col min="68" max="68" width="2.28515625" bestFit="1" customWidth="1"/>
    <col min="69" max="69" width="4.85546875" bestFit="1" customWidth="1"/>
    <col min="70" max="70" width="12" bestFit="1" customWidth="1"/>
    <col min="71" max="71" width="2.28515625" bestFit="1" customWidth="1"/>
    <col min="72" max="72" width="4.85546875" bestFit="1" customWidth="1"/>
    <col min="73" max="73" width="12" bestFit="1" customWidth="1"/>
    <col min="74" max="74" width="2.28515625" bestFit="1" customWidth="1"/>
    <col min="75" max="75" width="4.85546875" bestFit="1" customWidth="1"/>
    <col min="76" max="76" width="12" bestFit="1" customWidth="1"/>
    <col min="77" max="77" width="4.85546875" bestFit="1" customWidth="1"/>
    <col min="78" max="78" width="7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0399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DNA0399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2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F2" sqref="F2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11.5703125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0399</v>
      </c>
      <c r="E2" s="2" t="str">
        <f>IF(LEN('A créer'!C2)=0,"","Tab")</f>
        <v>Tab</v>
      </c>
      <c r="F2" t="str">
        <f>IF(LEN('A créer'!C2)=0,"",'A créer'!B2)</f>
        <v>DNA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Q2" sqref="Q2:AU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49.28515625" bestFit="1" customWidth="1"/>
    <col min="10" max="10" width="6.5703125" customWidth="1"/>
    <col min="11" max="11" width="4" bestFit="1" customWidth="1"/>
    <col min="13" max="13" width="24.5703125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DNA0399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SOCIETE VALMY DEFENSE 99 (57399)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- 55507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0399</v>
      </c>
      <c r="D2" s="2" t="str">
        <f>IF(LEN('A créer'!C2)=0,"","Tab")</f>
        <v>Tab</v>
      </c>
      <c r="E2" t="str">
        <f>IF(LEN('A créer'!C2)=0,"",'A créer'!B2)</f>
        <v>DNA</v>
      </c>
      <c r="F2" s="2" t="str">
        <f>IF(LEN('A créer'!C2)=0,"","Tab")</f>
        <v>Tab</v>
      </c>
      <c r="G2" t="str">
        <f>IF(LEN('A créer'!C2)=0,"",'A créer'!G2)</f>
        <v>S0099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513470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DNA0399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DNA0399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3.42578125" style="6" bestFit="1" customWidth="1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DNA0399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DNA0399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0399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DNA0399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25">
      <c r="A3" s="2" t="str">
        <f>IF(AND(LEN('A créer'!$C3)=0,LEN('A créer'!$E3&gt;0)),"","*FN")</f>
        <v/>
      </c>
      <c r="B3" s="25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25">
      <c r="A4" s="2" t="str">
        <f>IF(AND(LEN('A créer'!$C4)=0,LEN('A créer'!$E4&gt;0)),"","*FN")</f>
        <v/>
      </c>
      <c r="B4" s="25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2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25">
      <c r="A6" s="2" t="str">
        <f>IF(AND(LEN('A créer'!$C6)=0,LEN('A créer'!$E6&gt;0)),"","*FN")</f>
        <v/>
      </c>
      <c r="B6" s="3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25">
      <c r="A7" s="2" t="str">
        <f>IF(AND(LEN('A créer'!$C7)=0,LEN('A créer'!$E7&gt;0)),"","*FN")</f>
        <v/>
      </c>
      <c r="B7" s="25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2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DNA0399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C6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JOVE Lionel</cp:lastModifiedBy>
  <dcterms:created xsi:type="dcterms:W3CDTF">2021-03-23T15:13:40Z</dcterms:created>
  <dcterms:modified xsi:type="dcterms:W3CDTF">2023-05-17T17:13:51Z</dcterms:modified>
</cp:coreProperties>
</file>