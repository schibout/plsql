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jove\Documents\Data\PROJETS\Softaplay\202305\"/>
    </mc:Choice>
  </mc:AlternateContent>
  <bookViews>
    <workbookView xWindow="0" yWindow="0" windowWidth="20490" windowHeight="7755" activeTab="1"/>
  </bookViews>
  <sheets>
    <sheet name="513470 - banque" sheetId="8" r:id="rId1"/>
    <sheet name="INITSOC- Oracle R12" sheetId="1" r:id="rId2"/>
    <sheet name="Attributions Responsabilités" sheetId="7" r:id="rId3"/>
    <sheet name="Nouveau référentiel R12" sheetId="10" r:id="rId4"/>
    <sheet name="TSA CSP" sheetId="11" r:id="rId5"/>
    <sheet name="Balance 30 04" sheetId="12" r:id="rId6"/>
    <sheet name="BD STE ET AUTRES" sheetId="5" r:id="rId7"/>
  </sheets>
  <definedNames>
    <definedName name="_xlnm._FilterDatabase" localSheetId="2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3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2">'Attributions Responsabilités'!$A$1:$T$7</definedName>
    <definedName name="_xlnm.Print_Area" localSheetId="1">'INITSOC- Oracle R12'!$A$1:$I$61</definedName>
  </definedNames>
  <calcPr calcId="152511"/>
</workbook>
</file>

<file path=xl/calcChain.xml><?xml version="1.0" encoding="utf-8"?>
<calcChain xmlns="http://schemas.openxmlformats.org/spreadsheetml/2006/main">
  <c r="C5" i="11" l="1"/>
  <c r="H41" i="1" l="1"/>
  <c r="H20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<sst xmlns="http://schemas.openxmlformats.org/spreadsheetml/2006/main" count="377" uniqueCount="290">
  <si>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</si>
  <si>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</si>
  <si>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</si>
  <si>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</si>
  <si>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</si>
  <si>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</si>
  <si>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</si>
  <si>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</si>
  <si>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</si>
  <si>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</si>
  <si>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</si>
  <si>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</si>
  <si>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</si>
  <si>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</si>
  <si>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</si>
  <si>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</si>
  <si>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</si>
  <si>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Trésorerie gérée par VALMY :  OUI    NON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</si>
  <si>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</si>
  <si>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</si>
  <si>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</si>
  <si>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</si>
  <si>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</si>
  <si>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</si>
  <si>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</si>
  <si>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</si>
  <si>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</si>
  <si>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</si>
  <si>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</si>
  <si>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</si>
  <si>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</si>
  <si>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</si>
  <si>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</si>
  <si>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</si>
  <si>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</si>
  <si>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</si>
  <si>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</si>
  <si>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</si>
  <si>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</si>
  <si>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</si>
  <si>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CODE  CONSO VEOLIA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</si>
  <si>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</si>
  <si>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</si>
  <si>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</si>
  <si>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</si>
  <si>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</si>
  <si>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</si>
  <si>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</si>
  <si>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</si>
  <si>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</si>
  <si>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</si>
  <si>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</si>
  <si>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</si>
  <si>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</si>
  <si>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</si>
  <si>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</si>
  <si>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</si>
  <si>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</si>
  <si>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</si>
  <si>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</si>
  <si>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</si>
  <si>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</si>
  <si>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</si>
  <si>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</si>
  <si>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</si>
  <si>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</si>
  <si>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</si>
  <si>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</si>
  <si>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</si>
  <si>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</si>
  <si>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</si>
  <si>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</si>
  <si>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</si>
  <si>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</si>
  <si>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</si>
  <si>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</si>
  <si>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</si>
  <si>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</si>
  <si>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</si>
  <si>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</si>
  <si>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</si>
  <si>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</si>
  <si>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</si>
  <si>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</si>
  <si>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</si>
  <si>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</si>
  <si>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</si>
  <si>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</si>
  <si>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</si>
  <si>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</si>
  <si>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</si>
  <si>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</si>
  <si>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</si>
  <si>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</si>
  <si>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</si>
  <si>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</si>
  <si>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</si>
  <si>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</si>
  <si>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</si>
  <si>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</si>
  <si>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</si>
  <si>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</si>
  <si>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</si>
  <si>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</si>
  <si>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</si>
  <si>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</si>
  <si>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</si>
  <si>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</si>
  <si>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</si>
  <si>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</si>
  <si>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</si>
  <si>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</si>
  <si>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</si>
  <si>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</si>
  <si>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</si>
  <si>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</si>
  <si>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</si>
  <si>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</si>
  <si>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</si>
  <si>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</si>
  <si>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</si>
  <si>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</si>
  <si>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</si>
  <si>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</si>
  <si>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</si>
  <si>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</si>
  <si>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</si>
  <si>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</si>
  <si>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Production et distribution de vapeur et d'air comprimé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</si>
  <si>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</si>
  <si>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</si>
  <si>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</si>
  <si>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</si>
  <si>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</si>
  <si>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</si>
  <si>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</si>
  <si>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</si>
  <si>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</si>
  <si>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</si>
  <si>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</si>
  <si>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</si>
  <si>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</si>
  <si>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</si>
  <si>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>Direction Trésorerie Financement</t>
  </si>
  <si>
    <t>SOCIETE :</t>
  </si>
  <si>
    <t>BANQUE</t>
  </si>
  <si>
    <t>AGENCE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</si>
  <si>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</si>
  <si>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</si>
  <si>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</si>
  <si>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</si>
  <si>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</si>
  <si>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</si>
  <si>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</si>
  <si>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</si>
  <si>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</si>
  <si>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</si>
  <si>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</si>
  <si>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</si>
  <si>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(à cocher)</t>
  </si>
  <si>
    <t>TYPE DE RAPPROCHEMENT pour RB</t>
  </si>
  <si>
    <t>O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</si>
  <si>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</si>
  <si>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</si>
  <si>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</si>
  <si>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</si>
  <si>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</si>
  <si>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</si>
  <si>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</si>
  <si>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</si>
  <si>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</si>
  <si>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</si>
  <si>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</si>
  <si>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</si>
  <si>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</si>
  <si>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</si>
  <si>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</si>
  <si>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3530Z</t>
  </si>
  <si>
    <t>DK code partenaire</t>
  </si>
  <si>
    <t>Kador :</t>
  </si>
  <si>
    <t>37,AVENUE DU MARECHAL DE LATTRE DE TASSIGNY</t>
  </si>
  <si>
    <t>SAINT-ANDRE LEZ LILLE</t>
  </si>
  <si>
    <t>LILLE METROPOLE</t>
  </si>
  <si>
    <t>59527</t>
  </si>
  <si>
    <t>Demande de création du</t>
  </si>
  <si>
    <t>Emetteur :</t>
  </si>
  <si>
    <t>Carole LAGUELLE</t>
  </si>
  <si>
    <t>Valideur :</t>
  </si>
  <si>
    <t>Emmanuel COMPAIN</t>
  </si>
  <si>
    <t>Destinataire :</t>
  </si>
  <si>
    <t xml:space="preserve">Rachid MELLAS, Arnaud  MALEZIEUX,  </t>
  </si>
  <si>
    <t>Adresse siège :</t>
  </si>
  <si>
    <t>59350 SAINT ANDRE LEZ LILLE</t>
  </si>
  <si>
    <t>ETABLISSEMENT :DOS</t>
  </si>
  <si>
    <t>BIC:</t>
  </si>
  <si>
    <t>virements express</t>
  </si>
  <si>
    <t>virement tiers echeancier</t>
  </si>
  <si>
    <t>virement groupe echéancier</t>
  </si>
  <si>
    <t>virement NDF</t>
  </si>
  <si>
    <t>compte bancaire  sera suivi et intégtré dans RB</t>
  </si>
  <si>
    <t>Ok - Annexe Logo</t>
  </si>
  <si>
    <t>Immatriculation société</t>
  </si>
  <si>
    <t>Dénomination sociale</t>
  </si>
  <si>
    <t>Matricule Société</t>
  </si>
  <si>
    <t>DIVISION</t>
  </si>
  <si>
    <t>SOCIETE</t>
  </si>
  <si>
    <t xml:space="preserve">TVA INTRA </t>
  </si>
  <si>
    <t>DENOMINATIONS</t>
  </si>
  <si>
    <t>TSA REGION</t>
  </si>
  <si>
    <t>CODE POSTAL</t>
  </si>
  <si>
    <t>DAL</t>
  </si>
  <si>
    <t>59 784 LILLE CEDEX 9</t>
  </si>
  <si>
    <t>DNA</t>
  </si>
  <si>
    <t>Existant sous DNA - Sud-Ouest</t>
  </si>
  <si>
    <t>SVD 99</t>
  </si>
  <si>
    <t>0399</t>
  </si>
  <si>
    <t>PF FPS 0399 SVD99</t>
  </si>
  <si>
    <t>TF FPS 0399 SVD99</t>
  </si>
  <si>
    <t>DNA0399</t>
  </si>
  <si>
    <t>PROJET FINANCE SVD99 UO DNA0399</t>
  </si>
  <si>
    <t>DK Code</t>
  </si>
  <si>
    <t>Statut</t>
  </si>
  <si>
    <t>Libellé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</si>
  <si>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</si>
  <si>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</si>
  <si>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</si>
  <si>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</si>
  <si>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</si>
  <si>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</si>
  <si>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</si>
  <si>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Début</t>
  </si>
  <si>
    <t>Fin</t>
  </si>
  <si>
    <t>Mode de gestion</t>
  </si>
  <si>
    <t>GK0709377K</t>
  </si>
  <si>
    <t>OUV</t>
  </si>
  <si>
    <t>SG</t>
  </si>
  <si>
    <t>Activités organiques</t>
  </si>
  <si>
    <t>FB0071336N</t>
  </si>
  <si>
    <t>N/A</t>
  </si>
  <si>
    <t>GK1160380N</t>
  </si>
  <si>
    <t>SO</t>
  </si>
  <si>
    <t>B00001135P</t>
  </si>
  <si>
    <t>FB0082284E</t>
  </si>
  <si>
    <t>887572212</t>
  </si>
  <si>
    <t>FR09887572212</t>
  </si>
  <si>
    <t>88757221200017</t>
  </si>
  <si>
    <t>Société</t>
  </si>
  <si>
    <t>Livre comptable</t>
  </si>
  <si>
    <t>Compte local</t>
  </si>
  <si>
    <t>Compte local - Description</t>
  </si>
  <si>
    <t>Solde de la période AVR-23</t>
  </si>
  <si>
    <t>101300</t>
  </si>
  <si>
    <t>CAPITAL SOUSCRIT VERSE</t>
  </si>
  <si>
    <t>119000</t>
  </si>
  <si>
    <t>R.A.N. DEFICITAIRE</t>
  </si>
  <si>
    <t>120000</t>
  </si>
  <si>
    <t>RESULTAT DE L'EXERCICE</t>
  </si>
  <si>
    <t>445670</t>
  </si>
  <si>
    <t>CREDIT TVA A REPORTER</t>
  </si>
  <si>
    <t>451000</t>
  </si>
  <si>
    <t>C/C OP. FIN. GROUPE en EUR</t>
  </si>
  <si>
    <t>513470</t>
  </si>
  <si>
    <t>SG PARIS ENTR 0399/DOS</t>
  </si>
  <si>
    <t>627850</t>
  </si>
  <si>
    <t>AUTRES FRAIS &amp; CIONS/PRES</t>
  </si>
  <si>
    <t>763701</t>
  </si>
  <si>
    <t>INT. C/C PART DEDUCTIBLE</t>
  </si>
  <si>
    <t>910600</t>
  </si>
  <si>
    <t>RESERVES RESI050 RTI01</t>
  </si>
  <si>
    <t>945300</t>
  </si>
  <si>
    <t>ID ACTIF DEFICIT IF - RESI050</t>
  </si>
  <si>
    <t>TSA 55507</t>
  </si>
  <si>
    <t>CREATION DE COMPTE BANCAIRE et Parametrage Oracle  complet  ( RB + GL)</t>
  </si>
  <si>
    <t xml:space="preserve">DSIN,MOA finance, Aissata  DIAO, Agnes KURI, Olivier DESHAYES, </t>
  </si>
  <si>
    <t>0399. SVD 99</t>
  </si>
  <si>
    <t>37, avenue du Marechal de Lattre de Tassigny</t>
  </si>
  <si>
    <t>SOCIETE GENERALE</t>
  </si>
  <si>
    <t>PARIS ETOILE ENTREPRISES</t>
  </si>
  <si>
    <t>SOGEFRPP</t>
  </si>
  <si>
    <t>30003 03175 00020485402 35</t>
  </si>
  <si>
    <t>FR76 3000 3031 7500 0204 8540 235</t>
  </si>
  <si>
    <t>Virement manuel</t>
  </si>
  <si>
    <t>Iban - FR76 3000 3031 7500 0204 8540 235</t>
  </si>
  <si>
    <t>SOCIETE VALMY DEFENSE 99</t>
  </si>
  <si>
    <t>S0099</t>
  </si>
  <si>
    <t>Bascule de DOS vers DNA</t>
  </si>
  <si>
    <t>Compte local 513470</t>
  </si>
  <si>
    <t>03175</t>
  </si>
  <si>
    <t>00020485402</t>
  </si>
  <si>
    <t>SVD 99 (57399)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</si>
</sst>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* #,##0.00_-;\-* #,##0.00_-;_-* &quot;-&quot;??_-;_-@_-"/>
    <numFmt numFmtId="165" formatCode="#,##0\ &quot;F&quot;;\-#,##0\ &quot;F&quot;"/>
    <numFmt numFmtId="166" formatCode="#,##0\ &quot;F&quot;;[Red]\-#,##0\ &quot;F&quot;"/>
    <numFmt numFmtId="167" formatCode="00"/>
    <numFmt numFmtId="168" formatCode="00000000000000"/>
    <numFmt numFmtId="169" formatCode="00000"/>
    <numFmt numFmtId="170" formatCode="0000"/>
    <numFmt numFmtId="171" formatCode="#,##0&quot; €&quot;"/>
    <numFmt numFmtId="172" formatCode="00000000000"/>
    <numFmt numFmtId="173" formatCode="yyyy\-mm\-dd"/>
  </numFmts>
  <fonts count="29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1A70"/>
        <bgColor rgb="FFFFFFFF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164" fontId="23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2"/>
    <xf numFmtId="167" fontId="5" fillId="0" borderId="0" xfId="2" applyNumberFormat="1"/>
    <xf numFmtId="165" fontId="5" fillId="0" borderId="0" xfId="2" applyNumberFormat="1"/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7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0" fillId="0" borderId="0" xfId="0" applyFill="1"/>
    <xf numFmtId="10" fontId="0" fillId="0" borderId="0" xfId="0" applyNumberFormat="1" applyFill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14" fontId="4" fillId="0" borderId="1" xfId="0" applyNumberFormat="1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Border="1"/>
    <xf numFmtId="0" fontId="4" fillId="0" borderId="0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68" fontId="4" fillId="0" borderId="1" xfId="0" quotePrefix="1" applyNumberFormat="1" applyFont="1" applyFill="1" applyBorder="1" applyAlignment="1">
      <alignment horizontal="center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5" fontId="6" fillId="0" borderId="0" xfId="2" applyNumberFormat="1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14" fontId="0" fillId="0" borderId="0" xfId="0" applyNumberFormat="1" applyAlignment="1">
      <alignment vertical="center"/>
    </xf>
    <xf numFmtId="0" fontId="2" fillId="0" borderId="0" xfId="0" applyFont="1"/>
    <xf numFmtId="0" fontId="12" fillId="0" borderId="4" xfId="1" applyFont="1" applyBorder="1" applyAlignment="1">
      <alignment horizontal="center" vertical="center" textRotation="76" wrapText="1"/>
    </xf>
    <xf numFmtId="0" fontId="14" fillId="0" borderId="5" xfId="1" applyFont="1" applyBorder="1"/>
    <xf numFmtId="0" fontId="14" fillId="0" borderId="5" xfId="1" applyFont="1" applyBorder="1" applyAlignment="1">
      <alignment horizontal="center"/>
    </xf>
    <xf numFmtId="0" fontId="5" fillId="0" borderId="5" xfId="1" applyBorder="1"/>
    <xf numFmtId="0" fontId="15" fillId="0" borderId="0" xfId="0" applyFont="1" applyBorder="1" applyAlignment="1">
      <alignment horizontal="centerContinuous" vertical="center" shrinkToFit="1"/>
    </xf>
    <xf numFmtId="0" fontId="15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16" fillId="0" borderId="0" xfId="0" applyFont="1"/>
    <xf numFmtId="0" fontId="1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5" fillId="0" borderId="0" xfId="0" applyFont="1" applyBorder="1"/>
    <xf numFmtId="0" fontId="0" fillId="0" borderId="13" xfId="0" applyBorder="1"/>
    <xf numFmtId="0" fontId="0" fillId="0" borderId="14" xfId="0" applyBorder="1"/>
    <xf numFmtId="0" fontId="18" fillId="0" borderId="12" xfId="0" applyFont="1" applyBorder="1"/>
    <xf numFmtId="0" fontId="0" fillId="0" borderId="15" xfId="0" applyBorder="1"/>
    <xf numFmtId="0" fontId="15" fillId="0" borderId="10" xfId="0" applyFont="1" applyBorder="1"/>
    <xf numFmtId="0" fontId="0" fillId="0" borderId="6" xfId="0" applyBorder="1"/>
    <xf numFmtId="0" fontId="0" fillId="0" borderId="7" xfId="0" applyBorder="1"/>
    <xf numFmtId="0" fontId="15" fillId="2" borderId="5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3" fontId="15" fillId="0" borderId="15" xfId="0" applyNumberFormat="1" applyFont="1" applyFill="1" applyBorder="1"/>
    <xf numFmtId="0" fontId="15" fillId="0" borderId="0" xfId="0" applyFont="1"/>
    <xf numFmtId="0" fontId="15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70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9" fontId="1" fillId="0" borderId="1" xfId="0" quotePrefix="1" applyNumberFormat="1" applyFont="1" applyBorder="1" applyAlignment="1">
      <alignment horizontal="center"/>
    </xf>
    <xf numFmtId="172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2" fillId="5" borderId="4" xfId="1" applyFont="1" applyFill="1" applyBorder="1" applyAlignment="1">
      <alignment horizontal="center" vertical="center" textRotation="76" wrapText="1"/>
    </xf>
    <xf numFmtId="0" fontId="20" fillId="0" borderId="0" xfId="0" applyFont="1" applyAlignment="1">
      <alignment vertical="center"/>
    </xf>
    <xf numFmtId="0" fontId="0" fillId="0" borderId="0" xfId="0" applyBorder="1" applyAlignment="1">
      <alignment horizontal="centerContinuous" vertical="center" shrinkToFit="1"/>
    </xf>
    <xf numFmtId="166" fontId="1" fillId="0" borderId="1" xfId="0" applyNumberFormat="1" applyFont="1" applyFill="1" applyBorder="1" applyAlignment="1">
      <alignment horizontal="center"/>
    </xf>
    <xf numFmtId="0" fontId="21" fillId="6" borderId="5" xfId="0" applyFont="1" applyFill="1" applyBorder="1"/>
    <xf numFmtId="0" fontId="21" fillId="0" borderId="5" xfId="0" applyFont="1" applyBorder="1"/>
    <xf numFmtId="49" fontId="0" fillId="4" borderId="5" xfId="0" applyNumberFormat="1" applyFill="1" applyBorder="1" applyAlignment="1">
      <alignment horizontal="center"/>
    </xf>
    <xf numFmtId="0" fontId="15" fillId="0" borderId="1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1" fontId="1" fillId="0" borderId="1" xfId="0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9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9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4" fillId="7" borderId="5" xfId="1" applyFont="1" applyFill="1" applyBorder="1" applyAlignment="1">
      <alignment horizontal="center"/>
    </xf>
    <xf numFmtId="0" fontId="5" fillId="7" borderId="5" xfId="1" applyFill="1" applyBorder="1"/>
    <xf numFmtId="49" fontId="0" fillId="0" borderId="5" xfId="0" applyNumberFormat="1" applyFill="1" applyBorder="1" applyAlignment="1">
      <alignment horizontal="center"/>
    </xf>
    <xf numFmtId="49" fontId="0" fillId="4" borderId="5" xfId="0" applyNumberFormat="1" applyFill="1" applyBorder="1" applyAlignment="1">
      <alignment horizontal="center" wrapText="1"/>
    </xf>
    <xf numFmtId="49" fontId="0" fillId="0" borderId="5" xfId="0" applyNumberFormat="1" applyBorder="1"/>
    <xf numFmtId="49" fontId="19" fillId="0" borderId="5" xfId="0" applyNumberFormat="1" applyFont="1" applyBorder="1"/>
    <xf numFmtId="49" fontId="19" fillId="0" borderId="5" xfId="0" quotePrefix="1" applyNumberFormat="1" applyFont="1" applyBorder="1" applyAlignment="1">
      <alignment horizontal="center"/>
    </xf>
    <xf numFmtId="49" fontId="19" fillId="0" borderId="5" xfId="0" applyNumberFormat="1" applyFont="1" applyBorder="1" applyAlignment="1">
      <alignment horizontal="center"/>
    </xf>
    <xf numFmtId="49" fontId="19" fillId="0" borderId="5" xfId="0" applyNumberFormat="1" applyFont="1" applyFill="1" applyBorder="1" applyAlignment="1">
      <alignment horizontal="center"/>
    </xf>
    <xf numFmtId="49" fontId="19" fillId="3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0" fillId="0" borderId="5" xfId="0" applyFill="1" applyBorder="1"/>
    <xf numFmtId="14" fontId="18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9" borderId="9" xfId="0" applyFill="1" applyBorder="1"/>
    <xf numFmtId="0" fontId="18" fillId="9" borderId="12" xfId="0" applyFont="1" applyFill="1" applyBorder="1"/>
    <xf numFmtId="0" fontId="15" fillId="9" borderId="0" xfId="0" applyFont="1" applyFill="1" applyBorder="1" applyAlignment="1">
      <alignment horizontal="left"/>
    </xf>
    <xf numFmtId="0" fontId="15" fillId="9" borderId="13" xfId="0" applyFont="1" applyFill="1" applyBorder="1" applyAlignment="1">
      <alignment horizontal="left"/>
    </xf>
    <xf numFmtId="0" fontId="18" fillId="9" borderId="14" xfId="0" applyFont="1" applyFill="1" applyBorder="1"/>
    <xf numFmtId="0" fontId="0" fillId="9" borderId="15" xfId="0" applyFill="1" applyBorder="1"/>
    <xf numFmtId="0" fontId="15" fillId="9" borderId="15" xfId="0" applyFont="1" applyFill="1" applyBorder="1"/>
    <xf numFmtId="0" fontId="0" fillId="9" borderId="16" xfId="0" applyFill="1" applyBorder="1"/>
    <xf numFmtId="49" fontId="15" fillId="10" borderId="4" xfId="0" applyNumberFormat="1" applyFont="1" applyFill="1" applyBorder="1" applyAlignment="1">
      <alignment horizontal="center"/>
    </xf>
    <xf numFmtId="0" fontId="15" fillId="10" borderId="5" xfId="0" applyFont="1" applyFill="1" applyBorder="1" applyAlignment="1">
      <alignment horizontal="center"/>
    </xf>
    <xf numFmtId="0" fontId="18" fillId="0" borderId="0" xfId="0" applyFont="1"/>
    <xf numFmtId="0" fontId="18" fillId="3" borderId="6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0" fontId="18" fillId="3" borderId="7" xfId="0" applyFont="1" applyFill="1" applyBorder="1"/>
    <xf numFmtId="0" fontId="18" fillId="3" borderId="8" xfId="0" applyFont="1" applyFill="1" applyBorder="1"/>
    <xf numFmtId="0" fontId="18" fillId="3" borderId="6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/>
    </xf>
    <xf numFmtId="49" fontId="22" fillId="12" borderId="18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49" fontId="22" fillId="13" borderId="18" xfId="0" applyNumberFormat="1" applyFont="1" applyFill="1" applyBorder="1" applyAlignment="1">
      <alignment horizontal="center" vertical="center" wrapText="1"/>
    </xf>
    <xf numFmtId="49" fontId="22" fillId="3" borderId="18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49" fontId="22" fillId="13" borderId="5" xfId="0" quotePrefix="1" applyNumberFormat="1" applyFont="1" applyFill="1" applyBorder="1" applyAlignment="1">
      <alignment horizontal="center"/>
    </xf>
    <xf numFmtId="49" fontId="22" fillId="3" borderId="5" xfId="0" quotePrefix="1" applyNumberFormat="1" applyFont="1" applyFill="1" applyBorder="1" applyAlignment="1">
      <alignment horizontal="center"/>
    </xf>
    <xf numFmtId="0" fontId="15" fillId="0" borderId="5" xfId="3" applyFont="1" applyBorder="1" applyAlignment="1">
      <alignment horizontal="center"/>
    </xf>
    <xf numFmtId="0" fontId="15" fillId="0" borderId="5" xfId="3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0" fillId="14" borderId="5" xfId="0" quotePrefix="1" applyNumberFormat="1" applyFill="1" applyBorder="1" applyAlignment="1">
      <alignment horizontal="center"/>
    </xf>
    <xf numFmtId="0" fontId="0" fillId="0" borderId="5" xfId="0" quotePrefix="1" applyBorder="1"/>
    <xf numFmtId="0" fontId="0" fillId="11" borderId="5" xfId="0" applyFill="1" applyBorder="1" applyAlignment="1">
      <alignment horizontal="center"/>
    </xf>
    <xf numFmtId="0" fontId="0" fillId="15" borderId="5" xfId="0" applyFont="1" applyFill="1" applyBorder="1" applyAlignment="1">
      <alignment horizontal="center"/>
    </xf>
    <xf numFmtId="1" fontId="0" fillId="0" borderId="0" xfId="0" applyNumberFormat="1"/>
    <xf numFmtId="173" fontId="0" fillId="0" borderId="0" xfId="0" applyNumberFormat="1"/>
    <xf numFmtId="49" fontId="0" fillId="3" borderId="5" xfId="0" quotePrefix="1" applyNumberFormat="1" applyFill="1" applyBorder="1" applyAlignment="1">
      <alignment horizontal="center"/>
    </xf>
    <xf numFmtId="49" fontId="24" fillId="16" borderId="5" xfId="0" applyNumberFormat="1" applyFont="1" applyFill="1" applyBorder="1" applyAlignment="1">
      <alignment horizontal="center" vertical="center" wrapText="1"/>
    </xf>
    <xf numFmtId="164" fontId="24" fillId="16" borderId="5" xfId="4" applyFont="1" applyFill="1" applyBorder="1" applyAlignment="1">
      <alignment horizontal="center" vertical="center" wrapText="1"/>
    </xf>
    <xf numFmtId="49" fontId="25" fillId="17" borderId="5" xfId="0" applyNumberFormat="1" applyFont="1" applyFill="1" applyBorder="1" applyAlignment="1">
      <alignment horizontal="center" vertical="center"/>
    </xf>
    <xf numFmtId="49" fontId="25" fillId="17" borderId="5" xfId="0" applyNumberFormat="1" applyFont="1" applyFill="1" applyBorder="1" applyAlignment="1">
      <alignment horizontal="left" vertical="center"/>
    </xf>
    <xf numFmtId="164" fontId="26" fillId="17" borderId="5" xfId="4" applyFont="1" applyFill="1" applyBorder="1" applyAlignment="1">
      <alignment horizontal="right" vertical="center"/>
    </xf>
    <xf numFmtId="49" fontId="27" fillId="17" borderId="5" xfId="0" applyNumberFormat="1" applyFont="1" applyFill="1" applyBorder="1" applyAlignment="1">
      <alignment horizontal="center" vertical="center"/>
    </xf>
    <xf numFmtId="49" fontId="27" fillId="17" borderId="5" xfId="0" applyNumberFormat="1" applyFont="1" applyFill="1" applyBorder="1" applyAlignment="1">
      <alignment horizontal="left" vertical="center"/>
    </xf>
    <xf numFmtId="164" fontId="28" fillId="17" borderId="5" xfId="4" applyFont="1" applyFill="1" applyBorder="1" applyAlignment="1">
      <alignment horizontal="right" vertical="center"/>
    </xf>
    <xf numFmtId="0" fontId="0" fillId="0" borderId="5" xfId="0" applyBorder="1"/>
    <xf numFmtId="1" fontId="0" fillId="0" borderId="5" xfId="0" applyNumberFormat="1" applyBorder="1"/>
    <xf numFmtId="0" fontId="0" fillId="3" borderId="5" xfId="0" applyFill="1" applyBorder="1"/>
    <xf numFmtId="1" fontId="0" fillId="3" borderId="5" xfId="0" applyNumberFormat="1" applyFill="1" applyBorder="1"/>
    <xf numFmtId="0" fontId="15" fillId="0" borderId="0" xfId="0" applyFont="1" applyAlignment="1">
      <alignment horizontal="center"/>
    </xf>
    <xf numFmtId="0" fontId="15" fillId="8" borderId="0" xfId="0" applyFont="1" applyFill="1" applyBorder="1" applyAlignment="1">
      <alignment horizontal="center"/>
    </xf>
    <xf numFmtId="0" fontId="15" fillId="8" borderId="13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left"/>
    </xf>
    <xf numFmtId="0" fontId="15" fillId="9" borderId="11" xfId="0" applyFont="1" applyFill="1" applyBorder="1" applyAlignment="1">
      <alignment horizontal="left"/>
    </xf>
    <xf numFmtId="0" fontId="15" fillId="2" borderId="15" xfId="0" applyFont="1" applyFill="1" applyBorder="1" applyAlignment="1">
      <alignment horizontal="left" wrapText="1"/>
    </xf>
    <xf numFmtId="0" fontId="15" fillId="2" borderId="16" xfId="0" applyFont="1" applyFill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3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5">
    <cellStyle name="Milliers" xfId="4" builtinId="3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647700</xdr:colOff>
      <xdr:row>3</xdr:row>
      <xdr:rowOff>0</xdr:rowOff>
    </xdr:to>
    <xdr:pic>
      <xdr:nvPicPr>
        <xdr:cNvPr id="4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3335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I49"/>
  <sheetViews>
    <sheetView topLeftCell="A16" workbookViewId="0">
      <selection activeCell="G26" sqref="G26"/>
    </sheetView>
  </sheetViews>
  <sheetFormatPr baseColWidth="10" defaultRowHeight="12.75" x14ac:dyDescent="0.2"/>
  <cols>
    <col min="4" max="4" width="16.42578125" customWidth="1"/>
    <col min="5" max="5" width="38.42578125" bestFit="1" customWidth="1"/>
    <col min="6" max="6" width="17.85546875" customWidth="1"/>
    <col min="7" max="7" width="29.42578125" bestFit="1" customWidth="1"/>
  </cols>
  <sheetData>
    <row r="1" spans="1:7" ht="15" x14ac:dyDescent="0.2">
      <c r="D1" s="56"/>
      <c r="E1" s="57" t="s">
        <v>272</v>
      </c>
      <c r="F1" s="58"/>
      <c r="G1" s="59"/>
    </row>
    <row r="2" spans="1:7" ht="15" x14ac:dyDescent="0.2">
      <c r="D2" s="56"/>
      <c r="E2" s="94"/>
      <c r="F2" s="94"/>
      <c r="G2" s="94"/>
    </row>
    <row r="3" spans="1:7" ht="15" x14ac:dyDescent="0.2">
      <c r="D3" s="56"/>
      <c r="E3" s="94"/>
      <c r="F3" s="94"/>
      <c r="G3" s="94"/>
    </row>
    <row r="4" spans="1:7" ht="15" x14ac:dyDescent="0.25">
      <c r="A4" s="60" t="s">
        <v>143</v>
      </c>
      <c r="E4" s="175"/>
      <c r="F4" s="175"/>
      <c r="G4" s="175"/>
    </row>
    <row r="8" spans="1:7" ht="14.25" x14ac:dyDescent="0.2">
      <c r="A8" s="61" t="s">
        <v>184</v>
      </c>
      <c r="C8" s="124"/>
    </row>
    <row r="9" spans="1:7" x14ac:dyDescent="0.2">
      <c r="C9" s="125"/>
    </row>
    <row r="10" spans="1:7" ht="15" x14ac:dyDescent="0.25">
      <c r="D10" s="62" t="s">
        <v>185</v>
      </c>
      <c r="E10" s="99" t="s">
        <v>186</v>
      </c>
      <c r="F10" s="63"/>
      <c r="G10" s="64"/>
    </row>
    <row r="11" spans="1:7" ht="15" x14ac:dyDescent="0.25">
      <c r="D11" s="65" t="s">
        <v>187</v>
      </c>
      <c r="E11" s="66" t="s">
        <v>188</v>
      </c>
      <c r="F11" s="13"/>
      <c r="G11" s="67"/>
    </row>
    <row r="12" spans="1:7" ht="15" x14ac:dyDescent="0.25">
      <c r="D12" s="65" t="s">
        <v>189</v>
      </c>
      <c r="E12" s="176" t="s">
        <v>273</v>
      </c>
      <c r="F12" s="176"/>
      <c r="G12" s="177"/>
    </row>
    <row r="13" spans="1:7" ht="15" x14ac:dyDescent="0.25">
      <c r="D13" s="68"/>
      <c r="E13" s="180" t="s">
        <v>190</v>
      </c>
      <c r="F13" s="180"/>
      <c r="G13" s="181"/>
    </row>
    <row r="14" spans="1:7" x14ac:dyDescent="0.2">
      <c r="D14" s="13"/>
      <c r="E14" s="13"/>
      <c r="F14" s="13"/>
      <c r="G14" s="13"/>
    </row>
    <row r="16" spans="1:7" ht="15" customHeight="1" x14ac:dyDescent="0.25">
      <c r="A16" s="60" t="s">
        <v>11</v>
      </c>
      <c r="D16" s="126" t="s">
        <v>144</v>
      </c>
      <c r="E16" s="178" t="s">
        <v>274</v>
      </c>
      <c r="F16" s="178"/>
      <c r="G16" s="179"/>
    </row>
    <row r="17" spans="1:9" ht="15" x14ac:dyDescent="0.25">
      <c r="A17" s="60"/>
      <c r="D17" s="127" t="s">
        <v>191</v>
      </c>
      <c r="E17" s="128" t="s">
        <v>275</v>
      </c>
      <c r="F17" s="128"/>
      <c r="G17" s="129"/>
    </row>
    <row r="18" spans="1:9" ht="15" x14ac:dyDescent="0.25">
      <c r="A18" s="60"/>
      <c r="D18" s="127"/>
      <c r="E18" s="128" t="s">
        <v>192</v>
      </c>
      <c r="F18" s="128"/>
      <c r="G18" s="129"/>
    </row>
    <row r="19" spans="1:9" ht="15" x14ac:dyDescent="0.25">
      <c r="D19" s="130" t="s">
        <v>193</v>
      </c>
      <c r="E19" s="131"/>
      <c r="F19" s="132"/>
      <c r="G19" s="133"/>
    </row>
    <row r="21" spans="1:9" ht="15" x14ac:dyDescent="0.25">
      <c r="D21" s="62" t="s">
        <v>145</v>
      </c>
      <c r="E21" s="71" t="s">
        <v>276</v>
      </c>
      <c r="F21" s="63"/>
      <c r="G21" s="64"/>
    </row>
    <row r="22" spans="1:9" ht="15" x14ac:dyDescent="0.25">
      <c r="D22" s="65" t="s">
        <v>146</v>
      </c>
      <c r="E22" s="182" t="s">
        <v>277</v>
      </c>
      <c r="F22" s="182"/>
      <c r="G22" s="183"/>
    </row>
    <row r="23" spans="1:9" ht="15" x14ac:dyDescent="0.25">
      <c r="D23" s="69" t="s">
        <v>194</v>
      </c>
      <c r="E23" s="66" t="s">
        <v>278</v>
      </c>
      <c r="F23" s="13"/>
      <c r="G23" s="67"/>
    </row>
    <row r="24" spans="1:9" ht="15" x14ac:dyDescent="0.25">
      <c r="D24" s="65" t="s">
        <v>147</v>
      </c>
      <c r="E24" s="66" t="s">
        <v>279</v>
      </c>
      <c r="F24" s="13"/>
      <c r="G24" s="67"/>
    </row>
    <row r="25" spans="1:9" ht="15" x14ac:dyDescent="0.25">
      <c r="D25" s="65" t="s">
        <v>148</v>
      </c>
      <c r="E25" s="66" t="s">
        <v>280</v>
      </c>
      <c r="F25" s="13"/>
      <c r="G25" s="67"/>
    </row>
    <row r="26" spans="1:9" ht="15" x14ac:dyDescent="0.25">
      <c r="D26" s="72" t="s">
        <v>149</v>
      </c>
      <c r="E26" s="73"/>
      <c r="F26" s="73"/>
      <c r="G26" s="74" t="s">
        <v>113</v>
      </c>
      <c r="I26" s="27"/>
    </row>
    <row r="28" spans="1:9" ht="15" x14ac:dyDescent="0.25">
      <c r="D28" s="72" t="s">
        <v>150</v>
      </c>
      <c r="E28" s="73"/>
      <c r="F28" s="73"/>
      <c r="G28" s="74" t="s">
        <v>84</v>
      </c>
    </row>
    <row r="30" spans="1:9" ht="15" x14ac:dyDescent="0.25">
      <c r="D30" s="62" t="s">
        <v>151</v>
      </c>
      <c r="E30" s="63"/>
      <c r="F30" s="77"/>
      <c r="G30" s="75">
        <v>513470</v>
      </c>
    </row>
    <row r="31" spans="1:9" ht="15" x14ac:dyDescent="0.25">
      <c r="D31" s="68" t="s">
        <v>152</v>
      </c>
      <c r="E31" s="70"/>
      <c r="F31" s="70"/>
      <c r="G31" s="76" t="s">
        <v>113</v>
      </c>
    </row>
    <row r="32" spans="1:9" x14ac:dyDescent="0.2">
      <c r="D32" s="13"/>
      <c r="E32" s="13"/>
      <c r="F32" s="13"/>
    </row>
    <row r="33" spans="1:8" ht="14.25" x14ac:dyDescent="0.2">
      <c r="A33" s="61"/>
      <c r="B33" s="13"/>
      <c r="D33" s="78"/>
    </row>
    <row r="34" spans="1:8" ht="15" x14ac:dyDescent="0.25">
      <c r="A34" s="60" t="s">
        <v>153</v>
      </c>
      <c r="D34" s="62" t="s">
        <v>154</v>
      </c>
      <c r="E34" s="63"/>
      <c r="F34" s="63"/>
      <c r="G34" s="74" t="s">
        <v>84</v>
      </c>
    </row>
    <row r="35" spans="1:8" ht="15" x14ac:dyDescent="0.25">
      <c r="A35" s="60"/>
      <c r="D35" s="68" t="s">
        <v>155</v>
      </c>
      <c r="E35" s="70"/>
      <c r="F35" s="70"/>
      <c r="G35" s="134"/>
    </row>
    <row r="36" spans="1:8" ht="15" x14ac:dyDescent="0.25">
      <c r="D36" s="68" t="s">
        <v>156</v>
      </c>
      <c r="E36" s="70"/>
      <c r="F36" s="79"/>
      <c r="G36" s="135"/>
    </row>
    <row r="39" spans="1:8" ht="15" x14ac:dyDescent="0.25">
      <c r="A39" s="80" t="s">
        <v>157</v>
      </c>
      <c r="B39" s="136"/>
      <c r="C39" s="136"/>
      <c r="D39" s="136"/>
      <c r="E39" s="137" t="s">
        <v>158</v>
      </c>
      <c r="F39" s="138"/>
      <c r="G39" s="139"/>
      <c r="H39" s="136"/>
    </row>
    <row r="40" spans="1:8" ht="15" x14ac:dyDescent="0.25">
      <c r="A40" s="80"/>
      <c r="B40" s="136"/>
      <c r="C40" s="136"/>
      <c r="D40" s="136"/>
      <c r="E40" s="137" t="s">
        <v>281</v>
      </c>
      <c r="F40" s="138"/>
      <c r="G40" s="139"/>
      <c r="H40" s="136"/>
    </row>
    <row r="41" spans="1:8" ht="14.25" x14ac:dyDescent="0.2">
      <c r="A41" s="61" t="s">
        <v>159</v>
      </c>
      <c r="B41" s="13"/>
      <c r="D41" s="78"/>
      <c r="E41" s="137" t="s">
        <v>195</v>
      </c>
      <c r="F41" s="140"/>
      <c r="G41" s="141"/>
    </row>
    <row r="42" spans="1:8" ht="14.25" x14ac:dyDescent="0.2">
      <c r="D42" s="78"/>
      <c r="E42" s="137" t="s">
        <v>196</v>
      </c>
      <c r="F42" s="140"/>
      <c r="G42" s="141"/>
    </row>
    <row r="43" spans="1:8" ht="14.25" x14ac:dyDescent="0.2">
      <c r="D43" s="78"/>
      <c r="E43" s="137" t="s">
        <v>197</v>
      </c>
      <c r="F43" s="140"/>
      <c r="G43" s="141"/>
    </row>
    <row r="44" spans="1:8" ht="14.25" x14ac:dyDescent="0.2">
      <c r="D44" s="78"/>
      <c r="E44" s="137" t="s">
        <v>198</v>
      </c>
      <c r="F44" s="140"/>
      <c r="G44" s="141"/>
    </row>
    <row r="46" spans="1:8" ht="15" x14ac:dyDescent="0.25">
      <c r="E46" s="81"/>
      <c r="F46" s="81"/>
      <c r="G46" s="81"/>
    </row>
    <row r="47" spans="1:8" x14ac:dyDescent="0.2">
      <c r="F47" s="82"/>
    </row>
    <row r="48" spans="1:8" ht="14.25" x14ac:dyDescent="0.2">
      <c r="A48" s="60" t="s">
        <v>160</v>
      </c>
    </row>
    <row r="49" spans="1:7" ht="14.25" x14ac:dyDescent="0.2">
      <c r="A49" s="61" t="s">
        <v>159</v>
      </c>
      <c r="E49" s="142" t="s">
        <v>161</v>
      </c>
      <c r="F49" s="140" t="s">
        <v>199</v>
      </c>
      <c r="G49" s="141"/>
    </row>
  </sheetData>
  <mergeCells count="5">
    <mergeCell ref="E4:G4"/>
    <mergeCell ref="E12:G12"/>
    <mergeCell ref="E16:G16"/>
    <mergeCell ref="E13:G13"/>
    <mergeCell ref="E22:G22"/>
  </mergeCells>
  <pageMargins left="0.11811023622047245" right="0.11811023622047245" top="0.15748031496062992" bottom="0.35433070866141736" header="0.31496062992125984" footer="0.11811023622047245"/>
  <pageSetup paperSize="9"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L62"/>
  <sheetViews>
    <sheetView tabSelected="1" topLeftCell="A34" workbookViewId="0">
      <selection activeCell="C39" sqref="C39"/>
    </sheetView>
  </sheetViews>
  <sheetFormatPr baseColWidth="10" defaultRowHeight="15" customHeight="1" x14ac:dyDescent="0.2"/>
  <cols>
    <col min="1" max="1" width="6.140625" customWidth="1"/>
    <col min="8" max="8" width="57.85546875" style="8" bestFit="1" customWidth="1"/>
    <col min="9" max="9" width="37.7109375" style="27" bestFit="1" customWidth="1"/>
  </cols>
  <sheetData>
    <row r="1" spans="1:12" ht="15" customHeight="1" x14ac:dyDescent="0.25">
      <c r="A1" s="184" t="s">
        <v>0</v>
      </c>
      <c r="B1" s="184"/>
      <c r="C1" s="184"/>
      <c r="D1" s="184"/>
      <c r="E1" s="184"/>
      <c r="F1" s="184"/>
      <c r="G1" s="184"/>
      <c r="H1" s="184"/>
      <c r="I1" s="25"/>
    </row>
    <row r="2" spans="1:12" s="3" customFormat="1" ht="27.75" customHeight="1" x14ac:dyDescent="0.2">
      <c r="B2" s="3" t="s">
        <v>74</v>
      </c>
      <c r="H2" s="9"/>
      <c r="I2" s="24"/>
    </row>
    <row r="3" spans="1:12" s="3" customFormat="1" ht="27.75" customHeight="1" x14ac:dyDescent="0.2">
      <c r="B3" s="186" t="s">
        <v>75</v>
      </c>
      <c r="C3" s="186"/>
      <c r="D3" s="186"/>
      <c r="E3" s="186"/>
      <c r="F3" s="186"/>
      <c r="G3" s="186"/>
      <c r="H3" s="9"/>
      <c r="I3" s="24"/>
    </row>
    <row r="4" spans="1:12" s="43" customFormat="1" ht="15" customHeight="1" x14ac:dyDescent="0.25">
      <c r="A4" s="41"/>
      <c r="B4" s="185" t="s">
        <v>69</v>
      </c>
      <c r="C4" s="185"/>
      <c r="D4" s="185"/>
      <c r="E4" s="185"/>
      <c r="F4" s="185"/>
      <c r="G4" s="185"/>
      <c r="H4" s="185"/>
      <c r="I4" s="42"/>
    </row>
    <row r="5" spans="1:12" s="3" customFormat="1" ht="15" customHeight="1" x14ac:dyDescent="0.2">
      <c r="A5" s="2" t="s">
        <v>73</v>
      </c>
      <c r="H5" s="9"/>
      <c r="I5" s="26"/>
    </row>
    <row r="6" spans="1:12" ht="15" customHeight="1" thickBot="1" x14ac:dyDescent="0.25">
      <c r="B6" t="s">
        <v>1</v>
      </c>
      <c r="F6" s="34"/>
      <c r="G6" s="34"/>
      <c r="H6" s="83" t="s">
        <v>283</v>
      </c>
    </row>
    <row r="7" spans="1:12" ht="15" customHeight="1" thickBot="1" x14ac:dyDescent="0.25">
      <c r="B7" t="s">
        <v>99</v>
      </c>
      <c r="D7" s="7"/>
      <c r="E7" s="7"/>
      <c r="G7" s="7"/>
      <c r="H7" s="84" t="s">
        <v>214</v>
      </c>
    </row>
    <row r="8" spans="1:12" ht="15" customHeight="1" thickBot="1" x14ac:dyDescent="0.25">
      <c r="B8" t="s">
        <v>2</v>
      </c>
      <c r="D8" s="7"/>
      <c r="E8" s="7"/>
      <c r="F8" s="34"/>
      <c r="G8" s="34"/>
      <c r="H8" s="84" t="s">
        <v>180</v>
      </c>
    </row>
    <row r="9" spans="1:12" ht="15" customHeight="1" thickBot="1" x14ac:dyDescent="0.25">
      <c r="B9" t="s">
        <v>30</v>
      </c>
      <c r="D9" s="7"/>
      <c r="E9" s="7"/>
      <c r="G9" s="7"/>
      <c r="H9" s="100">
        <v>59350</v>
      </c>
    </row>
    <row r="10" spans="1:12" ht="15" customHeight="1" thickBot="1" x14ac:dyDescent="0.25">
      <c r="B10" t="s">
        <v>25</v>
      </c>
      <c r="D10" s="7"/>
      <c r="E10" s="7"/>
      <c r="G10" s="7"/>
      <c r="H10" s="84" t="s">
        <v>181</v>
      </c>
      <c r="J10" s="21"/>
      <c r="K10" s="21"/>
      <c r="L10" s="22"/>
    </row>
    <row r="11" spans="1:12" ht="15" customHeight="1" thickBot="1" x14ac:dyDescent="0.25">
      <c r="B11" t="s">
        <v>8</v>
      </c>
      <c r="D11" s="7"/>
      <c r="E11" s="7"/>
      <c r="F11" s="7"/>
      <c r="G11" s="7"/>
      <c r="H11" s="101" t="s">
        <v>123</v>
      </c>
    </row>
    <row r="12" spans="1:12" ht="15" customHeight="1" thickBot="1" x14ac:dyDescent="0.25">
      <c r="B12" t="s">
        <v>29</v>
      </c>
      <c r="D12" s="7"/>
      <c r="E12" s="7"/>
      <c r="F12" s="7"/>
      <c r="G12" s="7"/>
      <c r="H12" s="84" t="s">
        <v>182</v>
      </c>
    </row>
    <row r="13" spans="1:12" ht="15" customHeight="1" thickBot="1" x14ac:dyDescent="0.25">
      <c r="B13" t="s">
        <v>7</v>
      </c>
      <c r="D13" s="7"/>
      <c r="E13" s="7"/>
      <c r="F13" s="7"/>
      <c r="G13" s="7"/>
      <c r="H13" s="102">
        <v>37000</v>
      </c>
    </row>
    <row r="14" spans="1:12" ht="15" customHeight="1" thickBot="1" x14ac:dyDescent="0.25">
      <c r="B14" t="s">
        <v>71</v>
      </c>
      <c r="D14" s="7"/>
      <c r="E14" s="7"/>
      <c r="F14" s="7"/>
      <c r="G14" s="7"/>
      <c r="H14" s="103" t="s">
        <v>245</v>
      </c>
    </row>
    <row r="15" spans="1:12" ht="15" customHeight="1" thickBot="1" x14ac:dyDescent="0.25">
      <c r="B15" t="s">
        <v>72</v>
      </c>
      <c r="D15" s="7"/>
      <c r="E15" s="7"/>
      <c r="F15" s="7"/>
      <c r="G15" s="7"/>
      <c r="H15" s="104" t="s">
        <v>244</v>
      </c>
    </row>
    <row r="16" spans="1:12" ht="15" customHeight="1" thickBot="1" x14ac:dyDescent="0.25">
      <c r="B16" s="7" t="s">
        <v>79</v>
      </c>
      <c r="D16" s="7"/>
      <c r="E16" s="7"/>
      <c r="F16" s="7"/>
      <c r="G16" s="7"/>
      <c r="H16" s="44"/>
    </row>
    <row r="17" spans="1:9" ht="15" customHeight="1" thickBot="1" x14ac:dyDescent="0.25">
      <c r="B17" t="s">
        <v>82</v>
      </c>
      <c r="D17" s="7"/>
      <c r="E17" s="7"/>
      <c r="F17" s="7"/>
      <c r="G17" s="7"/>
      <c r="H17" s="95" t="s">
        <v>177</v>
      </c>
    </row>
    <row r="18" spans="1:9" ht="15" customHeight="1" thickBot="1" x14ac:dyDescent="0.25">
      <c r="B18" t="s">
        <v>81</v>
      </c>
      <c r="D18" s="7"/>
      <c r="E18" s="7"/>
      <c r="F18" s="7"/>
      <c r="G18" s="7"/>
      <c r="H18" s="44" t="s">
        <v>128</v>
      </c>
    </row>
    <row r="19" spans="1:9" ht="15" customHeight="1" thickBot="1" x14ac:dyDescent="0.25">
      <c r="B19" t="s">
        <v>80</v>
      </c>
      <c r="D19" s="7"/>
      <c r="E19" s="7"/>
      <c r="F19" s="7"/>
      <c r="G19" s="7"/>
      <c r="H19" s="103" t="s">
        <v>183</v>
      </c>
    </row>
    <row r="20" spans="1:9" ht="15" customHeight="1" thickBot="1" x14ac:dyDescent="0.25">
      <c r="B20" t="s">
        <v>83</v>
      </c>
      <c r="D20" s="7"/>
      <c r="E20" s="7"/>
      <c r="F20" s="7"/>
      <c r="G20" s="7"/>
      <c r="H20" s="105">
        <f>cp</f>
        <v>59350</v>
      </c>
    </row>
    <row r="21" spans="1:9" ht="24" customHeight="1" thickBot="1" x14ac:dyDescent="0.25">
      <c r="B21" s="1" t="s">
        <v>6</v>
      </c>
      <c r="D21" s="7"/>
      <c r="E21" s="14"/>
      <c r="F21" s="8"/>
      <c r="G21" s="7"/>
      <c r="H21" s="85" t="s">
        <v>215</v>
      </c>
    </row>
    <row r="22" spans="1:9" s="3" customFormat="1" ht="28.5" customHeight="1" thickBot="1" x14ac:dyDescent="0.25">
      <c r="B22" s="2" t="s">
        <v>40</v>
      </c>
      <c r="E22" s="15"/>
      <c r="F22" s="9"/>
      <c r="H22" s="86" t="s">
        <v>284</v>
      </c>
      <c r="I22" s="26"/>
    </row>
    <row r="23" spans="1:9" s="3" customFormat="1" ht="28.5" customHeight="1" thickBot="1" x14ac:dyDescent="0.25">
      <c r="E23" s="2" t="s">
        <v>21</v>
      </c>
      <c r="F23" s="9"/>
      <c r="H23" s="48"/>
      <c r="I23" s="26"/>
    </row>
    <row r="24" spans="1:9" s="3" customFormat="1" ht="15" customHeight="1" thickBot="1" x14ac:dyDescent="0.25">
      <c r="B24" s="2" t="s">
        <v>38</v>
      </c>
      <c r="E24" s="15"/>
      <c r="F24" s="9"/>
      <c r="H24" s="32" t="s">
        <v>84</v>
      </c>
      <c r="I24" s="26"/>
    </row>
    <row r="25" spans="1:9" s="3" customFormat="1" ht="15" customHeight="1" x14ac:dyDescent="0.2">
      <c r="B25" s="2"/>
      <c r="E25" s="15"/>
      <c r="F25" s="9"/>
      <c r="H25" s="49"/>
      <c r="I25" s="26"/>
    </row>
    <row r="26" spans="1:9" s="4" customFormat="1" ht="28.5" customHeight="1" thickBot="1" x14ac:dyDescent="0.25">
      <c r="A26" s="189" t="s">
        <v>55</v>
      </c>
      <c r="B26" s="189"/>
      <c r="C26" s="189"/>
      <c r="D26" s="189"/>
      <c r="E26" s="189"/>
      <c r="F26" s="189"/>
      <c r="G26" s="189"/>
      <c r="H26" s="189"/>
      <c r="I26" s="28"/>
    </row>
    <row r="27" spans="1:9" s="4" customFormat="1" ht="15" customHeight="1" thickBot="1" x14ac:dyDescent="0.25">
      <c r="A27" s="5"/>
      <c r="B27" t="s">
        <v>19</v>
      </c>
      <c r="H27" s="29">
        <v>44019</v>
      </c>
      <c r="I27" s="28"/>
    </row>
    <row r="28" spans="1:9" ht="15" customHeight="1" thickBot="1" x14ac:dyDescent="0.25">
      <c r="A28" s="190" t="s">
        <v>56</v>
      </c>
      <c r="B28" t="s">
        <v>57</v>
      </c>
      <c r="H28" s="30"/>
      <c r="I28" s="23"/>
    </row>
    <row r="29" spans="1:9" ht="15" customHeight="1" thickBot="1" x14ac:dyDescent="0.25">
      <c r="A29" s="190"/>
      <c r="B29" t="s">
        <v>58</v>
      </c>
      <c r="H29" s="30">
        <v>44196</v>
      </c>
      <c r="I29" s="28"/>
    </row>
    <row r="30" spans="1:9" ht="29.25" customHeight="1" thickBot="1" x14ac:dyDescent="0.25">
      <c r="B30" s="6" t="s">
        <v>10</v>
      </c>
      <c r="H30" s="34"/>
    </row>
    <row r="31" spans="1:9" ht="15" customHeight="1" thickBot="1" x14ac:dyDescent="0.25">
      <c r="B31" t="s">
        <v>39</v>
      </c>
      <c r="F31" s="13"/>
      <c r="H31" s="143" t="s">
        <v>212</v>
      </c>
      <c r="I31" s="27" t="s">
        <v>285</v>
      </c>
    </row>
    <row r="32" spans="1:9" ht="15" customHeight="1" thickBot="1" x14ac:dyDescent="0.25">
      <c r="B32" t="s">
        <v>93</v>
      </c>
      <c r="F32" s="13"/>
      <c r="H32" s="84" t="s">
        <v>84</v>
      </c>
    </row>
    <row r="33" spans="2:9" ht="15" customHeight="1" thickBot="1" x14ac:dyDescent="0.25">
      <c r="B33" t="s">
        <v>3</v>
      </c>
      <c r="H33" s="144" t="s">
        <v>212</v>
      </c>
      <c r="I33" s="33"/>
    </row>
    <row r="34" spans="2:9" ht="13.5" thickBot="1" x14ac:dyDescent="0.25">
      <c r="B34" s="3" t="s">
        <v>17</v>
      </c>
      <c r="C34" s="3"/>
      <c r="D34" s="3"/>
      <c r="E34" s="3"/>
      <c r="F34" s="15"/>
      <c r="G34" s="3"/>
      <c r="H34" s="106" t="s">
        <v>84</v>
      </c>
      <c r="I34" s="31"/>
    </row>
    <row r="35" spans="2:9" ht="13.5" thickBot="1" x14ac:dyDescent="0.25">
      <c r="B35" s="3" t="s">
        <v>122</v>
      </c>
      <c r="C35" s="3"/>
      <c r="D35" s="3"/>
      <c r="E35" s="3"/>
      <c r="F35" s="15"/>
      <c r="G35" s="3"/>
      <c r="H35" s="144" t="s">
        <v>84</v>
      </c>
      <c r="I35" s="31"/>
    </row>
    <row r="36" spans="2:9" ht="15" customHeight="1" thickBot="1" x14ac:dyDescent="0.3">
      <c r="B36" t="s">
        <v>4</v>
      </c>
      <c r="F36" s="13"/>
      <c r="H36" s="107" t="s">
        <v>124</v>
      </c>
    </row>
    <row r="37" spans="2:9" ht="15" customHeight="1" thickBot="1" x14ac:dyDescent="0.25">
      <c r="B37" t="s">
        <v>5</v>
      </c>
      <c r="H37" s="84" t="s">
        <v>84</v>
      </c>
    </row>
    <row r="38" spans="2:9" ht="15" customHeight="1" thickBot="1" x14ac:dyDescent="0.25">
      <c r="B38" s="51" t="s">
        <v>142</v>
      </c>
      <c r="H38" s="84" t="s">
        <v>84</v>
      </c>
    </row>
    <row r="39" spans="2:9" ht="15" customHeight="1" thickBot="1" x14ac:dyDescent="0.25">
      <c r="B39" t="s">
        <v>9</v>
      </c>
      <c r="H39" s="84" t="s">
        <v>124</v>
      </c>
    </row>
    <row r="40" spans="2:9" ht="15" customHeight="1" thickBot="1" x14ac:dyDescent="0.25">
      <c r="B40" t="s">
        <v>16</v>
      </c>
      <c r="H40" s="84" t="s">
        <v>84</v>
      </c>
      <c r="I40" s="27" t="s">
        <v>175</v>
      </c>
    </row>
    <row r="41" spans="2:9" ht="26.25" thickBot="1" x14ac:dyDescent="0.25">
      <c r="B41" s="51" t="s">
        <v>174</v>
      </c>
      <c r="H41" s="108" t="str">
        <f>'Nouveau référentiel R12'!J3</f>
        <v>GK1160380N</v>
      </c>
      <c r="I41" s="90" t="s">
        <v>171</v>
      </c>
    </row>
    <row r="42" spans="2:9" ht="15" customHeight="1" thickBot="1" x14ac:dyDescent="0.25">
      <c r="B42" t="s">
        <v>41</v>
      </c>
      <c r="H42" s="145" t="s">
        <v>84</v>
      </c>
    </row>
    <row r="43" spans="2:9" ht="15" customHeight="1" thickBot="1" x14ac:dyDescent="0.25">
      <c r="B43" t="s">
        <v>20</v>
      </c>
      <c r="H43" s="109"/>
      <c r="I43" s="35"/>
    </row>
    <row r="44" spans="2:9" ht="13.5" customHeight="1" thickBot="1" x14ac:dyDescent="0.25">
      <c r="C44" s="3" t="s">
        <v>18</v>
      </c>
      <c r="D44" s="3"/>
      <c r="E44" s="3"/>
      <c r="F44" s="3"/>
      <c r="G44" s="3"/>
      <c r="H44" s="84"/>
      <c r="I44" s="36"/>
    </row>
    <row r="45" spans="2:9" ht="13.5" customHeight="1" thickBot="1" x14ac:dyDescent="0.25">
      <c r="B45" t="s">
        <v>90</v>
      </c>
      <c r="C45" s="3"/>
      <c r="D45" s="3"/>
      <c r="E45" s="3"/>
      <c r="F45" s="3"/>
      <c r="G45" s="3"/>
      <c r="H45" s="143" t="s">
        <v>84</v>
      </c>
      <c r="I45" s="93"/>
    </row>
    <row r="46" spans="2:9" ht="30" customHeight="1" thickBot="1" x14ac:dyDescent="0.25">
      <c r="B46" s="191" t="s">
        <v>77</v>
      </c>
      <c r="C46" s="191"/>
      <c r="D46" s="191"/>
      <c r="E46" s="191"/>
      <c r="F46" s="191"/>
      <c r="G46" s="192"/>
      <c r="H46" s="84" t="s">
        <v>124</v>
      </c>
    </row>
    <row r="47" spans="2:9" ht="32.25" customHeight="1" thickBot="1" x14ac:dyDescent="0.25">
      <c r="B47" s="187" t="s">
        <v>121</v>
      </c>
      <c r="C47" s="187"/>
      <c r="D47" s="187"/>
      <c r="E47" s="187"/>
      <c r="F47" s="187"/>
      <c r="G47" s="188"/>
      <c r="H47" s="84" t="s">
        <v>84</v>
      </c>
      <c r="I47" s="27" t="s">
        <v>200</v>
      </c>
    </row>
    <row r="48" spans="2:9" ht="15" customHeight="1" thickBot="1" x14ac:dyDescent="0.25">
      <c r="B48" t="s">
        <v>22</v>
      </c>
      <c r="H48" s="84" t="s">
        <v>124</v>
      </c>
    </row>
    <row r="49" spans="1:10" ht="15" customHeight="1" thickBot="1" x14ac:dyDescent="0.25">
      <c r="B49" t="s">
        <v>33</v>
      </c>
      <c r="H49" s="84" t="s">
        <v>286</v>
      </c>
      <c r="I49" s="27" t="s">
        <v>282</v>
      </c>
    </row>
    <row r="50" spans="1:10" ht="15" customHeight="1" thickBot="1" x14ac:dyDescent="0.25">
      <c r="B50" t="s">
        <v>70</v>
      </c>
      <c r="F50" t="s">
        <v>34</v>
      </c>
      <c r="H50" s="110">
        <v>30003</v>
      </c>
    </row>
    <row r="51" spans="1:10" ht="15" customHeight="1" thickBot="1" x14ac:dyDescent="0.25">
      <c r="F51" t="s">
        <v>35</v>
      </c>
      <c r="H51" s="87" t="s">
        <v>287</v>
      </c>
    </row>
    <row r="52" spans="1:10" ht="15" customHeight="1" thickBot="1" x14ac:dyDescent="0.25">
      <c r="F52" t="s">
        <v>36</v>
      </c>
      <c r="H52" s="88" t="s">
        <v>288</v>
      </c>
    </row>
    <row r="53" spans="1:10" ht="15" customHeight="1" thickBot="1" x14ac:dyDescent="0.25">
      <c r="F53" t="s">
        <v>37</v>
      </c>
      <c r="H53" s="111">
        <v>35</v>
      </c>
      <c r="I53" s="35"/>
    </row>
    <row r="54" spans="1:10" ht="15" customHeight="1" thickBot="1" x14ac:dyDescent="0.25">
      <c r="B54" t="s">
        <v>46</v>
      </c>
      <c r="H54" s="84" t="s">
        <v>124</v>
      </c>
      <c r="I54" s="91"/>
    </row>
    <row r="55" spans="1:10" ht="15" customHeight="1" thickBot="1" x14ac:dyDescent="0.25">
      <c r="B55" t="s">
        <v>47</v>
      </c>
      <c r="H55" s="89" t="s">
        <v>124</v>
      </c>
      <c r="I55" s="91"/>
    </row>
    <row r="56" spans="1:10" ht="15" customHeight="1" x14ac:dyDescent="0.2">
      <c r="H56" s="9"/>
    </row>
    <row r="57" spans="1:10" s="3" customFormat="1" ht="14.25" customHeight="1" x14ac:dyDescent="0.2">
      <c r="A57" s="3" t="s">
        <v>31</v>
      </c>
      <c r="D57" s="50">
        <v>45051</v>
      </c>
      <c r="E57" s="37"/>
      <c r="H57" s="8"/>
      <c r="I57" s="26"/>
    </row>
    <row r="58" spans="1:10" ht="15" customHeight="1" x14ac:dyDescent="0.25">
      <c r="A58" t="s">
        <v>32</v>
      </c>
      <c r="H58" s="71" t="s">
        <v>276</v>
      </c>
      <c r="I58" s="63"/>
      <c r="J58" s="64"/>
    </row>
    <row r="59" spans="1:10" ht="15" customHeight="1" x14ac:dyDescent="0.25">
      <c r="D59" s="51" t="s">
        <v>127</v>
      </c>
      <c r="H59" s="182" t="s">
        <v>277</v>
      </c>
      <c r="I59" s="182"/>
      <c r="J59" s="183"/>
    </row>
    <row r="60" spans="1:10" ht="15" customHeight="1" x14ac:dyDescent="0.25">
      <c r="D60" s="51"/>
      <c r="H60" s="66" t="s">
        <v>278</v>
      </c>
      <c r="I60" s="13"/>
      <c r="J60" s="67"/>
    </row>
    <row r="61" spans="1:10" ht="15" customHeight="1" x14ac:dyDescent="0.25">
      <c r="H61" s="66" t="s">
        <v>279</v>
      </c>
      <c r="I61" s="13"/>
      <c r="J61" s="67"/>
    </row>
    <row r="62" spans="1:10" ht="15" customHeight="1" x14ac:dyDescent="0.25">
      <c r="H62" s="66" t="s">
        <v>280</v>
      </c>
      <c r="I62" s="13"/>
      <c r="J62" s="67"/>
    </row>
  </sheetData>
  <mergeCells count="8">
    <mergeCell ref="H59:J59"/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3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zoomScale="84" workbookViewId="0">
      <selection activeCell="D4" sqref="D4"/>
    </sheetView>
  </sheetViews>
  <sheetFormatPr baseColWidth="10" defaultRowHeight="12.75" x14ac:dyDescent="0.2"/>
  <cols>
    <col min="1" max="1" width="9.28515625" style="39" bestFit="1" customWidth="1"/>
    <col min="2" max="2" width="13.85546875" style="39" bestFit="1" customWidth="1"/>
    <col min="3" max="3" width="11.42578125" style="39"/>
    <col min="4" max="4" width="7.42578125" style="39" customWidth="1"/>
    <col min="5" max="6" width="5" style="39" customWidth="1"/>
    <col min="7" max="7" width="10.5703125" style="39" bestFit="1" customWidth="1"/>
    <col min="8" max="8" width="5" style="39" customWidth="1"/>
    <col min="9" max="16384" width="11.42578125" style="39"/>
  </cols>
  <sheetData>
    <row r="1" spans="1:19" s="38" customFormat="1" ht="234.75" customHeight="1" x14ac:dyDescent="0.2">
      <c r="A1" s="38" t="s">
        <v>42</v>
      </c>
      <c r="B1" s="38" t="s">
        <v>43</v>
      </c>
      <c r="C1" s="38" t="s">
        <v>44</v>
      </c>
      <c r="D1" s="38" t="s">
        <v>45</v>
      </c>
      <c r="E1" s="92" t="s">
        <v>61</v>
      </c>
      <c r="F1" s="92" t="s">
        <v>129</v>
      </c>
      <c r="G1" s="92" t="s">
        <v>130</v>
      </c>
      <c r="H1" s="92" t="s">
        <v>131</v>
      </c>
      <c r="I1" s="92" t="s">
        <v>132</v>
      </c>
      <c r="J1" s="92" t="s">
        <v>133</v>
      </c>
      <c r="K1" s="92" t="s">
        <v>134</v>
      </c>
      <c r="L1" s="92" t="s">
        <v>134</v>
      </c>
      <c r="M1" s="52" t="s">
        <v>135</v>
      </c>
      <c r="N1" s="52" t="s">
        <v>136</v>
      </c>
      <c r="O1" s="52" t="s">
        <v>137</v>
      </c>
      <c r="P1" s="52" t="s">
        <v>138</v>
      </c>
      <c r="Q1" s="52" t="s">
        <v>139</v>
      </c>
      <c r="R1" s="52" t="s">
        <v>140</v>
      </c>
      <c r="S1" s="52" t="s">
        <v>141</v>
      </c>
    </row>
    <row r="2" spans="1:19" x14ac:dyDescent="0.2">
      <c r="A2" s="53"/>
      <c r="B2" s="53"/>
      <c r="C2" s="53"/>
      <c r="D2" s="53" t="s">
        <v>212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54" t="s">
        <v>176</v>
      </c>
      <c r="S2" s="54" t="s">
        <v>176</v>
      </c>
    </row>
    <row r="3" spans="1:19" x14ac:dyDescent="0.2">
      <c r="A3" s="53"/>
      <c r="B3" s="53"/>
      <c r="C3" s="53"/>
      <c r="D3" s="53" t="s">
        <v>212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54" t="s">
        <v>176</v>
      </c>
      <c r="S3" s="54" t="s">
        <v>176</v>
      </c>
    </row>
    <row r="4" spans="1:19" x14ac:dyDescent="0.2">
      <c r="A4" s="53"/>
      <c r="B4" s="53"/>
      <c r="C4" s="53"/>
      <c r="D4" s="53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54"/>
      <c r="S4" s="54"/>
    </row>
    <row r="5" spans="1:19" x14ac:dyDescent="0.2">
      <c r="A5" s="55"/>
      <c r="B5" s="55"/>
      <c r="C5" s="55"/>
      <c r="D5" s="5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55"/>
      <c r="S5" s="55"/>
    </row>
    <row r="6" spans="1:19" x14ac:dyDescent="0.2">
      <c r="A6" s="55"/>
      <c r="B6" s="55"/>
      <c r="C6" s="55"/>
      <c r="D6" s="5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55"/>
      <c r="S6" s="55"/>
    </row>
    <row r="7" spans="1:19" x14ac:dyDescent="0.2">
      <c r="A7" s="55"/>
      <c r="B7" s="55"/>
      <c r="C7" s="55"/>
      <c r="D7" s="5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55"/>
      <c r="S7" s="55"/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4"/>
  <sheetViews>
    <sheetView workbookViewId="0">
      <selection activeCell="E3" sqref="E3"/>
    </sheetView>
  </sheetViews>
  <sheetFormatPr baseColWidth="10" defaultRowHeight="12.75" x14ac:dyDescent="0.2"/>
  <cols>
    <col min="1" max="1" width="15.42578125" customWidth="1"/>
    <col min="2" max="2" width="12.42578125" bestFit="1" customWidth="1"/>
    <col min="3" max="3" width="15.5703125" bestFit="1" customWidth="1"/>
    <col min="4" max="4" width="19.5703125" bestFit="1" customWidth="1"/>
    <col min="5" max="5" width="20" bestFit="1" customWidth="1"/>
    <col min="6" max="6" width="18.7109375" bestFit="1" customWidth="1"/>
    <col min="7" max="7" width="11.85546875" bestFit="1" customWidth="1"/>
    <col min="8" max="8" width="9.5703125" bestFit="1" customWidth="1"/>
    <col min="9" max="9" width="36.7109375" bestFit="1" customWidth="1"/>
    <col min="10" max="11" width="18.5703125" bestFit="1" customWidth="1"/>
  </cols>
  <sheetData>
    <row r="1" spans="1:14" x14ac:dyDescent="0.2">
      <c r="A1" s="51" t="s">
        <v>213</v>
      </c>
    </row>
    <row r="2" spans="1:14" x14ac:dyDescent="0.2">
      <c r="A2" s="98" t="s">
        <v>162</v>
      </c>
      <c r="B2" s="98" t="s">
        <v>163</v>
      </c>
      <c r="C2" s="98" t="s">
        <v>164</v>
      </c>
      <c r="D2" s="98" t="s">
        <v>165</v>
      </c>
      <c r="E2" s="98" t="s">
        <v>166</v>
      </c>
      <c r="F2" s="114"/>
      <c r="G2" s="98" t="s">
        <v>167</v>
      </c>
      <c r="H2" s="98" t="s">
        <v>168</v>
      </c>
      <c r="I2" s="98" t="s">
        <v>169</v>
      </c>
      <c r="J2" s="115" t="s">
        <v>170</v>
      </c>
      <c r="K2" s="116"/>
    </row>
    <row r="3" spans="1:14" ht="15.75" x14ac:dyDescent="0.25">
      <c r="A3" s="117" t="s">
        <v>214</v>
      </c>
      <c r="B3" s="118" t="s">
        <v>215</v>
      </c>
      <c r="C3" s="119"/>
      <c r="D3" s="120" t="s">
        <v>172</v>
      </c>
      <c r="E3" s="121" t="s">
        <v>242</v>
      </c>
      <c r="F3" s="120" t="s">
        <v>216</v>
      </c>
      <c r="G3" s="117" t="s">
        <v>212</v>
      </c>
      <c r="H3" s="117" t="s">
        <v>218</v>
      </c>
      <c r="I3" s="117" t="s">
        <v>219</v>
      </c>
      <c r="J3" s="122" t="s">
        <v>239</v>
      </c>
      <c r="K3" s="123" t="s">
        <v>217</v>
      </c>
    </row>
    <row r="4" spans="1:14" x14ac:dyDescent="0.2">
      <c r="B4" s="78"/>
      <c r="C4" s="78"/>
    </row>
    <row r="5" spans="1:14" x14ac:dyDescent="0.2">
      <c r="B5" s="78"/>
      <c r="C5" s="78"/>
    </row>
    <row r="7" spans="1:14" x14ac:dyDescent="0.2">
      <c r="A7" s="51" t="s">
        <v>179</v>
      </c>
    </row>
    <row r="8" spans="1:14" x14ac:dyDescent="0.2">
      <c r="A8" s="96" t="s">
        <v>178</v>
      </c>
    </row>
    <row r="9" spans="1:14" x14ac:dyDescent="0.2">
      <c r="A9" s="97"/>
    </row>
    <row r="12" spans="1:14" x14ac:dyDescent="0.2">
      <c r="A12" s="171" t="s">
        <v>220</v>
      </c>
      <c r="B12" s="171" t="s">
        <v>221</v>
      </c>
      <c r="C12" s="171" t="s">
        <v>168</v>
      </c>
      <c r="D12" s="171" t="s">
        <v>222</v>
      </c>
      <c r="E12" s="171" t="s">
        <v>223</v>
      </c>
      <c r="F12" s="171" t="s">
        <v>224</v>
      </c>
      <c r="G12" s="171" t="s">
        <v>225</v>
      </c>
      <c r="H12" s="171" t="s">
        <v>226</v>
      </c>
      <c r="I12" s="171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</row>
    <row r="13" spans="1:14" x14ac:dyDescent="0.2">
      <c r="A13" s="171" t="s">
        <v>233</v>
      </c>
      <c r="B13" s="171" t="s">
        <v>234</v>
      </c>
      <c r="C13" s="171" t="s">
        <v>235</v>
      </c>
      <c r="D13" s="171" t="s">
        <v>217</v>
      </c>
      <c r="E13" s="171" t="s">
        <v>236</v>
      </c>
      <c r="F13" s="171" t="s">
        <v>172</v>
      </c>
      <c r="G13" s="171" t="s">
        <v>237</v>
      </c>
      <c r="H13" s="171" t="s">
        <v>215</v>
      </c>
      <c r="I13" s="172">
        <v>0</v>
      </c>
      <c r="J13" s="160">
        <v>0</v>
      </c>
      <c r="K13" s="160">
        <v>0</v>
      </c>
      <c r="L13" s="161">
        <v>44112</v>
      </c>
      <c r="M13" s="161"/>
      <c r="N13" t="s">
        <v>238</v>
      </c>
    </row>
    <row r="14" spans="1:14" x14ac:dyDescent="0.2">
      <c r="A14" s="173" t="s">
        <v>239</v>
      </c>
      <c r="B14" s="173" t="s">
        <v>234</v>
      </c>
      <c r="C14" s="173" t="s">
        <v>240</v>
      </c>
      <c r="D14" s="173" t="s">
        <v>217</v>
      </c>
      <c r="E14" s="173" t="s">
        <v>236</v>
      </c>
      <c r="F14" s="173" t="s">
        <v>241</v>
      </c>
      <c r="G14" s="173" t="s">
        <v>242</v>
      </c>
      <c r="H14" s="173" t="s">
        <v>215</v>
      </c>
      <c r="I14" s="174">
        <v>0</v>
      </c>
      <c r="J14" s="160">
        <v>0</v>
      </c>
      <c r="K14" s="160">
        <v>0</v>
      </c>
      <c r="L14" s="161">
        <v>45034</v>
      </c>
      <c r="M14" s="161"/>
      <c r="N14" t="s">
        <v>238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1" orientation="landscape" r:id="rId1"/>
  <headerFooter>
    <oddFooter>&amp;L&amp;D&amp;T&amp;C&amp;P&amp;R&amp;F&amp;A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9"/>
  <sheetViews>
    <sheetView workbookViewId="0">
      <selection activeCell="G5" sqref="G5"/>
    </sheetView>
  </sheetViews>
  <sheetFormatPr baseColWidth="10" defaultRowHeight="12.75" x14ac:dyDescent="0.2"/>
  <cols>
    <col min="1" max="1" width="10.28515625" bestFit="1" customWidth="1"/>
    <col min="2" max="2" width="9.5703125" bestFit="1" customWidth="1"/>
    <col min="3" max="3" width="10.5703125" bestFit="1" customWidth="1"/>
    <col min="4" max="4" width="14.5703125" bestFit="1" customWidth="1"/>
    <col min="5" max="5" width="19.42578125" bestFit="1" customWidth="1"/>
    <col min="6" max="6" width="14.28515625" bestFit="1" customWidth="1"/>
    <col min="7" max="7" width="20" bestFit="1" customWidth="1"/>
  </cols>
  <sheetData>
    <row r="1" spans="1:7" ht="30" x14ac:dyDescent="0.2">
      <c r="A1" s="78"/>
      <c r="B1" s="78"/>
      <c r="C1" s="78"/>
      <c r="D1" s="146" t="s">
        <v>201</v>
      </c>
      <c r="E1" s="147" t="s">
        <v>202</v>
      </c>
      <c r="F1" s="148" t="s">
        <v>203</v>
      </c>
      <c r="G1" s="149" t="s">
        <v>167</v>
      </c>
    </row>
    <row r="2" spans="1:7" ht="15" x14ac:dyDescent="0.25">
      <c r="A2" s="78"/>
      <c r="B2" s="78"/>
      <c r="C2" s="78"/>
      <c r="D2" s="162" t="s">
        <v>243</v>
      </c>
      <c r="E2" s="150" t="s">
        <v>214</v>
      </c>
      <c r="F2" s="151" t="s">
        <v>215</v>
      </c>
      <c r="G2" s="152" t="s">
        <v>212</v>
      </c>
    </row>
    <row r="3" spans="1:7" x14ac:dyDescent="0.2">
      <c r="A3" s="78"/>
      <c r="B3" s="78"/>
      <c r="C3" s="78"/>
      <c r="E3" s="78"/>
    </row>
    <row r="4" spans="1:7" ht="15" x14ac:dyDescent="0.25">
      <c r="A4" s="153" t="s">
        <v>204</v>
      </c>
      <c r="B4" s="153" t="s">
        <v>45</v>
      </c>
      <c r="C4" s="153" t="s">
        <v>205</v>
      </c>
      <c r="D4" s="153" t="s">
        <v>206</v>
      </c>
      <c r="E4" s="154" t="s">
        <v>207</v>
      </c>
      <c r="F4" s="154" t="s">
        <v>208</v>
      </c>
      <c r="G4" s="154" t="s">
        <v>209</v>
      </c>
    </row>
    <row r="5" spans="1:7" x14ac:dyDescent="0.2">
      <c r="A5" s="155" t="s">
        <v>210</v>
      </c>
      <c r="B5" s="155" t="s">
        <v>212</v>
      </c>
      <c r="C5" s="156" t="str">
        <f>F2</f>
        <v>0399</v>
      </c>
      <c r="D5" s="157" t="s">
        <v>244</v>
      </c>
      <c r="E5" s="158" t="s">
        <v>289</v>
      </c>
      <c r="F5" s="159" t="s">
        <v>271</v>
      </c>
      <c r="G5" s="159" t="s">
        <v>211</v>
      </c>
    </row>
    <row r="7" spans="1:7" ht="13.5" thickBot="1" x14ac:dyDescent="0.25"/>
    <row r="8" spans="1:7" ht="13.5" thickBot="1" x14ac:dyDescent="0.25">
      <c r="E8" s="103" t="s">
        <v>245</v>
      </c>
    </row>
    <row r="9" spans="1:7" ht="13.5" thickBot="1" x14ac:dyDescent="0.25">
      <c r="E9" s="104" t="s">
        <v>244</v>
      </c>
    </row>
  </sheetData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H6" sqref="H6"/>
    </sheetView>
  </sheetViews>
  <sheetFormatPr baseColWidth="10" defaultRowHeight="12.75" x14ac:dyDescent="0.2"/>
  <cols>
    <col min="1" max="1" width="6.85546875" bestFit="1" customWidth="1"/>
    <col min="2" max="2" width="11.42578125" style="78"/>
    <col min="3" max="3" width="6.42578125" bestFit="1" customWidth="1"/>
    <col min="5" max="5" width="22.28515625" bestFit="1" customWidth="1"/>
  </cols>
  <sheetData>
    <row r="1" spans="1:6" ht="33.75" x14ac:dyDescent="0.2">
      <c r="A1" s="163" t="s">
        <v>246</v>
      </c>
      <c r="B1" s="163" t="s">
        <v>247</v>
      </c>
      <c r="C1" s="163" t="s">
        <v>167</v>
      </c>
      <c r="D1" s="163" t="s">
        <v>248</v>
      </c>
      <c r="E1" s="163" t="s">
        <v>249</v>
      </c>
      <c r="F1" s="164" t="s">
        <v>250</v>
      </c>
    </row>
    <row r="2" spans="1:6" x14ac:dyDescent="0.2">
      <c r="A2" s="165" t="s">
        <v>215</v>
      </c>
      <c r="B2" s="165" t="s">
        <v>214</v>
      </c>
      <c r="C2" s="165" t="s">
        <v>173</v>
      </c>
      <c r="D2" s="165" t="s">
        <v>251</v>
      </c>
      <c r="E2" s="166" t="s">
        <v>252</v>
      </c>
      <c r="F2" s="167">
        <v>-37000</v>
      </c>
    </row>
    <row r="3" spans="1:6" x14ac:dyDescent="0.2">
      <c r="A3" s="165" t="s">
        <v>215</v>
      </c>
      <c r="B3" s="165" t="s">
        <v>214</v>
      </c>
      <c r="C3" s="165" t="s">
        <v>173</v>
      </c>
      <c r="D3" s="165" t="s">
        <v>253</v>
      </c>
      <c r="E3" s="166" t="s">
        <v>254</v>
      </c>
      <c r="F3" s="167">
        <v>498.19</v>
      </c>
    </row>
    <row r="4" spans="1:6" x14ac:dyDescent="0.2">
      <c r="A4" s="165" t="s">
        <v>215</v>
      </c>
      <c r="B4" s="165" t="s">
        <v>214</v>
      </c>
      <c r="C4" s="165" t="s">
        <v>173</v>
      </c>
      <c r="D4" s="165" t="s">
        <v>255</v>
      </c>
      <c r="E4" s="166" t="s">
        <v>256</v>
      </c>
      <c r="F4" s="167">
        <v>61.5</v>
      </c>
    </row>
    <row r="5" spans="1:6" x14ac:dyDescent="0.2">
      <c r="A5" s="165" t="s">
        <v>215</v>
      </c>
      <c r="B5" s="165" t="s">
        <v>214</v>
      </c>
      <c r="C5" s="165" t="s">
        <v>173</v>
      </c>
      <c r="D5" s="165" t="s">
        <v>257</v>
      </c>
      <c r="E5" s="166" t="s">
        <v>258</v>
      </c>
      <c r="F5" s="167">
        <v>83</v>
      </c>
    </row>
    <row r="6" spans="1:6" x14ac:dyDescent="0.2">
      <c r="A6" s="165" t="s">
        <v>215</v>
      </c>
      <c r="B6" s="165" t="s">
        <v>214</v>
      </c>
      <c r="C6" s="165" t="s">
        <v>173</v>
      </c>
      <c r="D6" s="165" t="s">
        <v>259</v>
      </c>
      <c r="E6" s="166" t="s">
        <v>260</v>
      </c>
      <c r="F6" s="167">
        <v>36449.050000000003</v>
      </c>
    </row>
    <row r="7" spans="1:6" x14ac:dyDescent="0.2">
      <c r="A7" s="165" t="s">
        <v>215</v>
      </c>
      <c r="B7" s="165" t="s">
        <v>214</v>
      </c>
      <c r="C7" s="165" t="s">
        <v>173</v>
      </c>
      <c r="D7" s="165" t="s">
        <v>261</v>
      </c>
      <c r="E7" s="166" t="s">
        <v>262</v>
      </c>
      <c r="F7" s="167">
        <v>2.08</v>
      </c>
    </row>
    <row r="8" spans="1:6" x14ac:dyDescent="0.2">
      <c r="A8" s="168" t="s">
        <v>215</v>
      </c>
      <c r="B8" s="168" t="s">
        <v>214</v>
      </c>
      <c r="C8" s="168" t="s">
        <v>173</v>
      </c>
      <c r="D8" s="168" t="s">
        <v>263</v>
      </c>
      <c r="E8" s="169" t="s">
        <v>264</v>
      </c>
      <c r="F8" s="170">
        <v>6.24</v>
      </c>
    </row>
    <row r="9" spans="1:6" x14ac:dyDescent="0.2">
      <c r="A9" s="168" t="s">
        <v>215</v>
      </c>
      <c r="B9" s="168" t="s">
        <v>214</v>
      </c>
      <c r="C9" s="168" t="s">
        <v>173</v>
      </c>
      <c r="D9" s="168" t="s">
        <v>265</v>
      </c>
      <c r="E9" s="169" t="s">
        <v>266</v>
      </c>
      <c r="F9" s="170">
        <v>-100.06</v>
      </c>
    </row>
    <row r="10" spans="1:6" x14ac:dyDescent="0.2">
      <c r="A10" s="165" t="s">
        <v>215</v>
      </c>
      <c r="B10" s="165" t="s">
        <v>214</v>
      </c>
      <c r="C10" s="165" t="s">
        <v>173</v>
      </c>
      <c r="D10" s="165" t="s">
        <v>267</v>
      </c>
      <c r="E10" s="166" t="s">
        <v>268</v>
      </c>
      <c r="F10" s="167">
        <v>-16</v>
      </c>
    </row>
    <row r="11" spans="1:6" x14ac:dyDescent="0.2">
      <c r="A11" s="165" t="s">
        <v>215</v>
      </c>
      <c r="B11" s="165" t="s">
        <v>214</v>
      </c>
      <c r="C11" s="165" t="s">
        <v>173</v>
      </c>
      <c r="D11" s="165" t="s">
        <v>269</v>
      </c>
      <c r="E11" s="166" t="s">
        <v>270</v>
      </c>
      <c r="F11" s="167">
        <v>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RowHeight="12.75" x14ac:dyDescent="0.2"/>
  <cols>
    <col min="1" max="1" width="16.7109375" style="10" customWidth="1"/>
    <col min="2" max="2" width="11.42578125" style="10"/>
    <col min="3" max="3" width="7.140625" style="11" customWidth="1"/>
    <col min="4" max="4" width="30.7109375" style="10" customWidth="1"/>
    <col min="5" max="5" width="6" style="10" customWidth="1"/>
    <col min="6" max="6" width="5.85546875" style="10" customWidth="1"/>
    <col min="7" max="16384" width="11.42578125" style="10"/>
  </cols>
  <sheetData>
    <row r="1" spans="1:9" x14ac:dyDescent="0.2">
      <c r="A1" s="19" t="s">
        <v>100</v>
      </c>
    </row>
    <row r="2" spans="1:9" x14ac:dyDescent="0.2">
      <c r="B2" s="17"/>
      <c r="C2" s="11" t="s">
        <v>11</v>
      </c>
      <c r="G2" s="19" t="str">
        <f>code</f>
        <v>0399</v>
      </c>
    </row>
    <row r="3" spans="1:9" x14ac:dyDescent="0.2">
      <c r="B3" s="17"/>
      <c r="C3" s="18" t="s">
        <v>97</v>
      </c>
      <c r="G3" s="19" t="str">
        <f>+sigle</f>
        <v>SVD 99</v>
      </c>
    </row>
    <row r="4" spans="1:9" x14ac:dyDescent="0.2">
      <c r="B4" s="17"/>
      <c r="C4" s="18" t="s">
        <v>98</v>
      </c>
      <c r="G4" s="47">
        <f>'BD STE ET AUTRES'!H7</f>
        <v>0</v>
      </c>
    </row>
    <row r="5" spans="1:9" x14ac:dyDescent="0.2">
      <c r="C5" s="18" t="s">
        <v>96</v>
      </c>
      <c r="G5" s="10" t="str">
        <f>geree</f>
        <v>OUI</v>
      </c>
      <c r="H5" s="10" t="str">
        <f>IF(geree="","",geree)</f>
        <v>OUI</v>
      </c>
    </row>
    <row r="6" spans="1:9" x14ac:dyDescent="0.2">
      <c r="C6" s="18" t="s">
        <v>94</v>
      </c>
      <c r="H6" s="12"/>
    </row>
    <row r="7" spans="1:9" x14ac:dyDescent="0.2">
      <c r="C7" s="18" t="s">
        <v>95</v>
      </c>
      <c r="H7" s="12"/>
    </row>
    <row r="8" spans="1:9" x14ac:dyDescent="0.2">
      <c r="C8" s="18" t="s">
        <v>116</v>
      </c>
    </row>
    <row r="9" spans="1:9" x14ac:dyDescent="0.2">
      <c r="C9" s="18" t="s">
        <v>117</v>
      </c>
    </row>
    <row r="10" spans="1:9" x14ac:dyDescent="0.2">
      <c r="C10" s="18" t="s">
        <v>118</v>
      </c>
      <c r="G10" s="16" t="s">
        <v>119</v>
      </c>
      <c r="H10" s="16" t="s">
        <v>120</v>
      </c>
    </row>
    <row r="11" spans="1:9" x14ac:dyDescent="0.2">
      <c r="C11" s="11" t="s">
        <v>12</v>
      </c>
      <c r="G11" s="10" t="str">
        <f>conso</f>
        <v>S0099</v>
      </c>
    </row>
    <row r="13" spans="1:9" x14ac:dyDescent="0.2">
      <c r="B13" s="17"/>
      <c r="C13" s="11" t="s">
        <v>15</v>
      </c>
    </row>
    <row r="14" spans="1:9" x14ac:dyDescent="0.2">
      <c r="A14" s="16"/>
      <c r="C14" s="18" t="s">
        <v>101</v>
      </c>
      <c r="H14" s="17">
        <f>cloture</f>
        <v>0</v>
      </c>
    </row>
    <row r="15" spans="1:9" x14ac:dyDescent="0.2">
      <c r="A15" s="16"/>
      <c r="C15" s="18" t="s">
        <v>125</v>
      </c>
      <c r="E15" s="10" t="s">
        <v>126</v>
      </c>
      <c r="H15" s="10" t="str">
        <f>etab</f>
        <v>DNA</v>
      </c>
    </row>
    <row r="16" spans="1:9" x14ac:dyDescent="0.2">
      <c r="C16" s="18" t="s">
        <v>102</v>
      </c>
      <c r="H16" s="10" t="str">
        <f>lieudetenue</f>
        <v>DNA</v>
      </c>
      <c r="I16" s="16" t="s">
        <v>88</v>
      </c>
    </row>
    <row r="17" spans="2:8" x14ac:dyDescent="0.2">
      <c r="C17" s="18" t="s">
        <v>103</v>
      </c>
      <c r="H17" s="16" t="s">
        <v>104</v>
      </c>
    </row>
    <row r="18" spans="2:8" x14ac:dyDescent="0.2">
      <c r="C18" s="18" t="s">
        <v>105</v>
      </c>
      <c r="H18" s="10">
        <f>fraisste</f>
        <v>0</v>
      </c>
    </row>
    <row r="20" spans="2:8" x14ac:dyDescent="0.2">
      <c r="B20" s="17"/>
      <c r="C20" s="18" t="s">
        <v>23</v>
      </c>
      <c r="D20" s="16"/>
      <c r="H20" s="16"/>
    </row>
    <row r="21" spans="2:8" x14ac:dyDescent="0.2">
      <c r="B21" s="17"/>
      <c r="C21" s="18" t="s">
        <v>106</v>
      </c>
      <c r="D21" s="16"/>
      <c r="G21" s="10" t="str">
        <f>adressesiege</f>
        <v>37,AVENUE DU MARECHAL DE LATTRE DE TASSIGNY</v>
      </c>
      <c r="H21" s="16"/>
    </row>
    <row r="22" spans="2:8" x14ac:dyDescent="0.2">
      <c r="B22" s="17"/>
      <c r="C22" s="18" t="s">
        <v>107</v>
      </c>
      <c r="D22" s="16"/>
      <c r="H22" s="16"/>
    </row>
    <row r="23" spans="2:8" x14ac:dyDescent="0.2">
      <c r="B23" s="17"/>
      <c r="C23" s="18" t="s">
        <v>108</v>
      </c>
      <c r="D23" s="16"/>
      <c r="H23" s="16"/>
    </row>
    <row r="24" spans="2:8" x14ac:dyDescent="0.2">
      <c r="B24" s="17"/>
      <c r="C24" s="18" t="s">
        <v>24</v>
      </c>
      <c r="D24" s="16"/>
      <c r="G24" s="10">
        <f>cp</f>
        <v>59350</v>
      </c>
      <c r="H24" s="16"/>
    </row>
    <row r="25" spans="2:8" x14ac:dyDescent="0.2">
      <c r="B25" s="17"/>
      <c r="C25" s="18" t="s">
        <v>25</v>
      </c>
      <c r="D25" s="16"/>
      <c r="G25" s="10" t="str">
        <f>ville</f>
        <v>SAINT-ANDRE LEZ LILLE</v>
      </c>
      <c r="H25" s="16"/>
    </row>
    <row r="26" spans="2:8" x14ac:dyDescent="0.2">
      <c r="B26" s="17"/>
      <c r="C26" s="18" t="s">
        <v>109</v>
      </c>
      <c r="D26" s="16"/>
      <c r="G26" s="16" t="s">
        <v>110</v>
      </c>
      <c r="H26" s="16"/>
    </row>
    <row r="27" spans="2:8" x14ac:dyDescent="0.2">
      <c r="B27" s="17"/>
      <c r="C27" s="18" t="s">
        <v>26</v>
      </c>
      <c r="D27" s="16"/>
      <c r="G27" s="10" t="str">
        <f>MID(siren,1,9)</f>
        <v>887572212</v>
      </c>
      <c r="H27" s="16"/>
    </row>
    <row r="28" spans="2:8" x14ac:dyDescent="0.2">
      <c r="B28" s="17"/>
      <c r="C28" s="18" t="s">
        <v>8</v>
      </c>
      <c r="D28" s="16"/>
      <c r="G28" s="10" t="str">
        <f>forme</f>
        <v>SAS</v>
      </c>
      <c r="H28" s="16"/>
    </row>
    <row r="29" spans="2:8" x14ac:dyDescent="0.2">
      <c r="B29" s="17"/>
      <c r="C29" s="18" t="s">
        <v>27</v>
      </c>
      <c r="D29" s="16"/>
      <c r="G29" s="10" t="str">
        <f>MID(siren,10,5)</f>
        <v>00017</v>
      </c>
      <c r="H29" s="16"/>
    </row>
    <row r="30" spans="2:8" x14ac:dyDescent="0.2">
      <c r="B30" s="17"/>
      <c r="C30" s="18" t="s">
        <v>28</v>
      </c>
      <c r="D30" s="16"/>
      <c r="G30" s="10">
        <f>capital</f>
        <v>37000</v>
      </c>
      <c r="H30" s="16"/>
    </row>
    <row r="31" spans="2:8" x14ac:dyDescent="0.2">
      <c r="B31" s="17"/>
      <c r="C31" s="18" t="s">
        <v>111</v>
      </c>
      <c r="D31" s="16"/>
      <c r="G31" s="10" t="str">
        <f>naf</f>
        <v>3530Z</v>
      </c>
      <c r="H31" s="16"/>
    </row>
    <row r="32" spans="2:8" x14ac:dyDescent="0.2">
      <c r="B32" s="17"/>
      <c r="C32" s="18" t="s">
        <v>112</v>
      </c>
      <c r="D32" s="16"/>
      <c r="G32" s="16" t="s">
        <v>113</v>
      </c>
      <c r="H32" s="16"/>
    </row>
    <row r="33" spans="1:9" x14ac:dyDescent="0.2">
      <c r="B33" s="17"/>
      <c r="C33" s="18" t="s">
        <v>114</v>
      </c>
      <c r="D33" s="16"/>
      <c r="G33" s="10" t="str">
        <f>villedepot</f>
        <v>LILLE METROPOLE</v>
      </c>
      <c r="H33" s="16"/>
    </row>
    <row r="34" spans="1:9" x14ac:dyDescent="0.2">
      <c r="B34" s="17"/>
      <c r="C34" s="18" t="s">
        <v>115</v>
      </c>
      <c r="D34" s="16"/>
      <c r="G34" s="10" t="str">
        <f>intracom</f>
        <v>FR09887572212</v>
      </c>
      <c r="H34" s="16"/>
    </row>
    <row r="35" spans="1:9" x14ac:dyDescent="0.2">
      <c r="B35" s="17"/>
      <c r="C35" s="18"/>
      <c r="D35" s="16"/>
      <c r="H35" s="16"/>
    </row>
    <row r="36" spans="1:9" ht="13.5" thickBot="1" x14ac:dyDescent="0.25">
      <c r="B36" s="10" t="s">
        <v>13</v>
      </c>
    </row>
    <row r="37" spans="1:9" ht="13.5" thickBot="1" x14ac:dyDescent="0.25">
      <c r="B37" s="17"/>
      <c r="C37" s="11" t="s">
        <v>14</v>
      </c>
      <c r="H37" s="20"/>
    </row>
    <row r="39" spans="1:9" x14ac:dyDescent="0.2">
      <c r="A39" s="40"/>
      <c r="B39" s="16" t="s">
        <v>60</v>
      </c>
    </row>
    <row r="40" spans="1:9" x14ac:dyDescent="0.2">
      <c r="B40" s="16"/>
      <c r="D40" s="16" t="s">
        <v>59</v>
      </c>
    </row>
    <row r="41" spans="1:9" x14ac:dyDescent="0.2">
      <c r="D41" s="16" t="s">
        <v>48</v>
      </c>
    </row>
    <row r="42" spans="1:9" x14ac:dyDescent="0.2">
      <c r="D42" s="16" t="s">
        <v>49</v>
      </c>
    </row>
    <row r="44" spans="1:9" x14ac:dyDescent="0.2">
      <c r="C44" s="16" t="s">
        <v>92</v>
      </c>
    </row>
    <row r="45" spans="1:9" x14ac:dyDescent="0.2">
      <c r="C45" s="18" t="s">
        <v>91</v>
      </c>
      <c r="D45" s="45"/>
      <c r="E45" s="46"/>
      <c r="F45" s="46"/>
      <c r="G45" s="46"/>
      <c r="H45" s="46"/>
      <c r="I45" s="46"/>
    </row>
    <row r="46" spans="1:9" hidden="1" x14ac:dyDescent="0.2">
      <c r="D46" s="16" t="s">
        <v>85</v>
      </c>
    </row>
    <row r="47" spans="1:9" x14ac:dyDescent="0.2">
      <c r="C47" s="11" t="s">
        <v>86</v>
      </c>
      <c r="D47" s="16"/>
    </row>
    <row r="48" spans="1:9" hidden="1" x14ac:dyDescent="0.2">
      <c r="D48" s="16" t="s">
        <v>87</v>
      </c>
    </row>
    <row r="49" spans="1:4" x14ac:dyDescent="0.2">
      <c r="D49" s="16" t="s">
        <v>78</v>
      </c>
    </row>
    <row r="50" spans="1:4" x14ac:dyDescent="0.2">
      <c r="B50" s="16" t="s">
        <v>76</v>
      </c>
      <c r="D50" s="16"/>
    </row>
    <row r="51" spans="1:4" x14ac:dyDescent="0.2">
      <c r="B51" s="16" t="s">
        <v>89</v>
      </c>
      <c r="D51" s="16"/>
    </row>
    <row r="52" spans="1:4" x14ac:dyDescent="0.2">
      <c r="A52" s="16" t="s">
        <v>50</v>
      </c>
    </row>
    <row r="53" spans="1:4" x14ac:dyDescent="0.2">
      <c r="A53" s="16" t="s">
        <v>62</v>
      </c>
    </row>
    <row r="54" spans="1:4" x14ac:dyDescent="0.2">
      <c r="A54" s="16" t="s">
        <v>64</v>
      </c>
    </row>
    <row r="55" spans="1:4" x14ac:dyDescent="0.2">
      <c r="A55" s="16" t="s">
        <v>63</v>
      </c>
    </row>
    <row r="56" spans="1:4" x14ac:dyDescent="0.2">
      <c r="A56" s="16" t="s">
        <v>65</v>
      </c>
    </row>
    <row r="57" spans="1:4" x14ac:dyDescent="0.2">
      <c r="A57" s="16" t="s">
        <v>66</v>
      </c>
    </row>
    <row r="58" spans="1:4" x14ac:dyDescent="0.2">
      <c r="A58" s="16" t="s">
        <v>51</v>
      </c>
    </row>
    <row r="59" spans="1:4" x14ac:dyDescent="0.2">
      <c r="A59" s="16" t="s">
        <v>52</v>
      </c>
    </row>
    <row r="60" spans="1:4" x14ac:dyDescent="0.2">
      <c r="A60" s="16" t="s">
        <v>67</v>
      </c>
    </row>
    <row r="61" spans="1:4" x14ac:dyDescent="0.2">
      <c r="A61" s="16" t="s">
        <v>53</v>
      </c>
    </row>
    <row r="62" spans="1:4" x14ac:dyDescent="0.2">
      <c r="A62" s="16" t="s">
        <v>68</v>
      </c>
    </row>
    <row r="63" spans="1:4" x14ac:dyDescent="0.2">
      <c r="A63" s="16" t="s">
        <v>54</v>
      </c>
    </row>
  </sheetData>
  <phoneticPr fontId="0" type="noConversion"/>
  <pageMargins left="0.78740157499999996" right="0.78740157499999996" top="0.984251969" bottom="0.984251969" header="0.4921259845" footer="0.4921259845"/>
  <pageSetup paperSize="9" scale="64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22</vt:i4>
      </vt:variant>
    </vt:vector>
  </HeadingPairs>
  <TitlesOfParts>
    <vt:vector size="29" baseType="lpstr">
      <vt:lpstr>513470 - banque</vt:lpstr>
      <vt:lpstr>INITSOC- Oracle R12</vt:lpstr>
      <vt:lpstr>Attributions Responsabilités</vt:lpstr>
      <vt:lpstr>Nouveau référentiel R12</vt:lpstr>
      <vt:lpstr>TSA CSP</vt:lpstr>
      <vt:lpstr>Balance 30 04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JOVE Lionel</cp:lastModifiedBy>
  <cp:lastPrinted>2023-02-10T10:39:54Z</cp:lastPrinted>
  <dcterms:created xsi:type="dcterms:W3CDTF">1999-03-09T10:58:01Z</dcterms:created>
  <dcterms:modified xsi:type="dcterms:W3CDTF">2023-05-17T17:13:55Z</dcterms:modified>
</cp:coreProperties>
</file>