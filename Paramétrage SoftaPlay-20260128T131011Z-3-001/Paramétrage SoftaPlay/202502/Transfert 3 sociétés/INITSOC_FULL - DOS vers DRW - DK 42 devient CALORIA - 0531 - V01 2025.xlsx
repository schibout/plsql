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2 - Melun - DRW - CALORIA - 01 2025\"/>
    </mc:Choice>
  </mc:AlternateContent>
  <bookViews>
    <workbookView xWindow="-10" yWindow="110" windowWidth="15340" windowHeight="4200" activeTab="3"/>
  </bookViews>
  <sheets>
    <sheet name="513593" sheetId="8" r:id="rId1"/>
    <sheet name="INITSOC- Oracle R12" sheetId="1" r:id="rId2"/>
    <sheet name="Nouveau référentiel R12" sheetId="10" r:id="rId3"/>
    <sheet name="TSA CSP" sheetId="11" r:id="rId4"/>
    <sheet name="Attributions Responsabilités" sheetId="7" r:id="rId5"/>
    <sheet name="BD STE ET AUTRES" sheetId="5" r:id="rId6"/>
  </sheets>
  <definedNames>
    <definedName name="_xlnm._FilterDatabase" localSheetId="4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_xlnm.Print_Titles" localSheetId="3">'TSA CSP'!$1:$1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4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<sst xmlns="http://schemas.openxmlformats.org/spreadsheetml/2006/main" count="443" uniqueCount="337">
  <si>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</si>
  <si>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</si>
  <si>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</si>
  <si>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</si>
  <si>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</si>
  <si>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</si>
  <si>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</si>
  <si>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</si>
  <si>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</si>
  <si>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</si>
  <si>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</si>
  <si>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</si>
  <si>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</si>
  <si>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</si>
  <si>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</si>
  <si>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</si>
  <si>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</si>
  <si>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</si>
  <si>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</si>
  <si>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</si>
  <si>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</si>
  <si>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</si>
  <si>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</si>
  <si>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</si>
  <si>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</si>
  <si>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</si>
  <si>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</si>
  <si>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</si>
  <si>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</si>
  <si>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</si>
  <si>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</si>
  <si>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</si>
  <si>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</si>
  <si>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</si>
  <si>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</si>
  <si>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</si>
  <si>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</si>
  <si>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</si>
  <si>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</si>
  <si>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</si>
  <si>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</si>
  <si>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</si>
  <si>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</si>
  <si>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</si>
  <si>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</si>
  <si>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</si>
  <si>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</si>
  <si>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</si>
  <si>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</si>
  <si>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</si>
  <si>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</si>
  <si>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</si>
  <si>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</si>
  <si>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</si>
  <si>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</si>
  <si>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</si>
  <si>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</si>
  <si>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</si>
  <si>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</si>
  <si>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</si>
  <si>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</si>
  <si>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</si>
  <si>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</si>
  <si>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</si>
  <si>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</si>
  <si>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</si>
  <si>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</si>
  <si>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</si>
  <si>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</si>
  <si>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</si>
  <si>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</si>
  <si>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</si>
  <si>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</si>
  <si>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</si>
  <si>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</si>
  <si>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</si>
  <si>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</si>
  <si>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</si>
  <si>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</si>
  <si>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</si>
  <si>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</si>
  <si>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</si>
  <si>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</si>
  <si>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</si>
  <si>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</si>
  <si>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</si>
  <si>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</si>
  <si>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</si>
  <si>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</si>
  <si>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</si>
  <si>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</si>
  <si>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</si>
  <si>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</si>
  <si>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</si>
  <si>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</si>
  <si>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</si>
  <si>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</si>
  <si>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</si>
  <si>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</si>
  <si>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</si>
  <si>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</si>
  <si>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</si>
  <si>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</si>
  <si>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</si>
  <si>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</si>
  <si>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</si>
  <si>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</si>
  <si>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</si>
  <si>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</si>
  <si>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</si>
  <si>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</si>
  <si>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</si>
  <si>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</si>
  <si>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</si>
  <si>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</si>
  <si>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</si>
  <si>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</si>
  <si>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</si>
  <si>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</si>
  <si>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</si>
  <si>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</si>
  <si>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</si>
  <si>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</si>
  <si>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</si>
  <si>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</si>
  <si>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</si>
  <si>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</si>
  <si>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</si>
  <si>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</si>
  <si>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</si>
  <si>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</si>
  <si>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</si>
  <si>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</si>
  <si>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</si>
  <si>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</si>
  <si>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</si>
  <si>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</si>
  <si>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</si>
  <si>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</si>
  <si>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</si>
  <si>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</si>
  <si>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</si>
  <si>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</si>
  <si>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</si>
  <si>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</si>
  <si>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</si>
  <si>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</si>
  <si>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</si>
  <si>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</si>
  <si>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</si>
  <si>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</si>
  <si>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</si>
  <si>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</si>
  <si>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</si>
  <si>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</si>
  <si>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</si>
  <si>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</si>
  <si>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</si>
  <si>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</si>
  <si>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</si>
  <si>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</si>
  <si>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Emmanuel COMPAIN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</si>
  <si>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</si>
  <si>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</si>
  <si>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</si>
  <si>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</si>
  <si>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</si>
  <si>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</si>
  <si>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</si>
  <si>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</si>
  <si>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</si>
  <si>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</si>
  <si>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</si>
  <si>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</si>
  <si>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</si>
  <si>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</si>
  <si>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</si>
  <si>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</si>
  <si>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</si>
  <si>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</si>
  <si>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</si>
  <si>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</si>
  <si>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</si>
  <si>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</si>
  <si>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</si>
  <si>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</si>
  <si>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</si>
  <si>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</si>
  <si>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</si>
  <si>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</si>
  <si>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</si>
  <si>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</si>
  <si>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</si>
  <si>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</si>
  <si>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</si>
  <si>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</si>
  <si>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</si>
  <si>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</si>
  <si>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</si>
  <si>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</si>
  <si>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</si>
  <si>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</si>
  <si>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</si>
  <si>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</si>
  <si>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</si>
  <si>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LIVRE COMPTABLE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</si>
  <si>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</si>
  <si>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</si>
  <si>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</si>
  <si>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</si>
  <si>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</si>
  <si>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</si>
  <si>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</si>
  <si>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</si>
  <si>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</si>
  <si>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</si>
  <si>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</si>
  <si>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</si>
  <si>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</si>
  <si>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</si>
  <si>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</si>
  <si>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</si>
  <si>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</si>
  <si>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</si>
  <si>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</si>
  <si>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</si>
  <si>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</si>
  <si>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</si>
  <si>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</si>
  <si>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</si>
  <si>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DK Code adresse principale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</si>
  <si>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</si>
  <si>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</si>
  <si>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</si>
  <si>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</si>
  <si>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</si>
  <si>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</si>
  <si>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</si>
  <si>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</si>
  <si>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</si>
  <si>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</si>
  <si>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</si>
  <si>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</si>
  <si>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</si>
  <si>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</si>
  <si>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</si>
  <si>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</si>
  <si>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0531 DK 42</t>
  </si>
  <si>
    <t>30003 03620 00020150163 74</t>
  </si>
  <si>
    <t>FR 76 3000 3036 2000 0201 5016 374</t>
  </si>
  <si>
    <t>Compte local 513593</t>
  </si>
  <si>
    <t>00020150163</t>
  </si>
  <si>
    <t>74</t>
  </si>
  <si>
    <t>DK 42</t>
  </si>
  <si>
    <t>0531</t>
  </si>
  <si>
    <t>YS2342</t>
  </si>
  <si>
    <t>92844408200012</t>
  </si>
  <si>
    <t>D00328439B</t>
  </si>
  <si>
    <t>K24016476A</t>
  </si>
  <si>
    <t>L00211968U</t>
  </si>
  <si>
    <t>0578107N</t>
  </si>
  <si>
    <t>FB0086800L</t>
  </si>
  <si>
    <t>TF FPS 0531 DK 42</t>
  </si>
  <si>
    <t>CALORIA</t>
  </si>
  <si>
    <t>38,BOULEVARD DE MAINCY</t>
  </si>
  <si>
    <t>MELUN</t>
  </si>
  <si>
    <t xml:space="preserve"> FR53928444082</t>
  </si>
  <si>
    <t>77288</t>
  </si>
  <si>
    <t>Transfert de DOS vers DRW</t>
  </si>
  <si>
    <t>DRW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</si>
  <si>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</si>
  <si>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</si>
  <si>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</si>
  <si>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</si>
  <si>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</si>
  <si>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</si>
  <si>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</si>
  <si>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</si>
  <si>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</si>
  <si>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</si>
  <si>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</si>
  <si>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GK1375786T</t>
  </si>
  <si>
    <t>SG</t>
  </si>
  <si>
    <t>2024-06-24 00:00:00</t>
  </si>
  <si>
    <t>N/A</t>
  </si>
  <si>
    <t>GK1463469H</t>
  </si>
  <si>
    <t>TF FPS 0531 DK42 - MELUN - VAUX-LE-PENIL (IF)</t>
  </si>
  <si>
    <t>B00001660L</t>
  </si>
  <si>
    <t>FB0088645H</t>
  </si>
  <si>
    <t>2024-12-18 00:00:00</t>
  </si>
  <si>
    <t>GK1463556G</t>
  </si>
  <si>
    <t>TF 0531 DK42 - MELUN - VAUX-LE-PENIL</t>
  </si>
  <si>
    <t>B00001295X</t>
  </si>
  <si>
    <t>FB0088646J</t>
  </si>
  <si>
    <t>A créer sous UO - Dalkia IDF</t>
  </si>
  <si>
    <t>DAS Dalkia</t>
  </si>
  <si>
    <t>Classe</t>
  </si>
  <si>
    <t>Société</t>
  </si>
  <si>
    <t>Affaire</t>
  </si>
  <si>
    <t>Reporting Affaire</t>
  </si>
  <si>
    <t>Reporting Projet</t>
  </si>
  <si>
    <t>Centre finance</t>
  </si>
  <si>
    <t>Filière</t>
  </si>
  <si>
    <t>Destination</t>
  </si>
  <si>
    <t>Gestion travaux internes</t>
  </si>
  <si>
    <t>Mode de restitution travaux internes</t>
  </si>
  <si>
    <t>Nb Tâches finance</t>
  </si>
  <si>
    <t>PF FPS 0531 DK42 - MELUN - VAUX-LE-PENIL (IF)</t>
  </si>
  <si>
    <t>LEPINETTE, LUC</t>
  </si>
  <si>
    <t>Autres SGA</t>
  </si>
  <si>
    <t>SGA</t>
  </si>
  <si>
    <t>DRW0531</t>
  </si>
  <si>
    <t>PROJET FINANCE DK 42 UO DRW0531</t>
  </si>
  <si>
    <t>France</t>
  </si>
  <si>
    <t>92844408200038</t>
  </si>
  <si>
    <t>3530Z</t>
  </si>
  <si>
    <t>Libellé de l adresse</t>
  </si>
  <si>
    <t>AF : Adresse 1</t>
  </si>
  <si>
    <t>AF : Adresse 2</t>
  </si>
  <si>
    <t>Code postal</t>
  </si>
  <si>
    <t>Code pays</t>
  </si>
  <si>
    <t>CALORIA (18531)</t>
  </si>
  <si>
    <t>TSA 85501</t>
  </si>
  <si>
    <t>LILLE CEDEX 9</t>
  </si>
  <si>
    <t>SOCIETE</t>
  </si>
  <si>
    <t>Code Lieu</t>
  </si>
  <si>
    <t>Adresse ligne 1</t>
  </si>
  <si>
    <t>Adresse ligne 2</t>
  </si>
  <si>
    <t>CUF Région</t>
  </si>
  <si>
    <t>59784 LILLE CEDEX 9</t>
  </si>
  <si>
    <t>SIREN/SIRET</t>
  </si>
  <si>
    <t>N° TVA intracommunautaire</t>
  </si>
  <si>
    <t>FR53928444082</t>
  </si>
  <si>
    <t>Adresse envoi factures</t>
  </si>
  <si>
    <t>facturepdf.dalkia@csp.dalkia.fr</t>
  </si>
  <si>
    <t>Adresse contact factures</t>
  </si>
  <si>
    <t xml:space="preserve">contactfournisseur@csp.dalkia.fr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</si>
</sst>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64"/>
      <name val="Microsoft Sans Serif"/>
      <family val="2"/>
    </font>
    <font>
      <b/>
      <sz val="10"/>
      <color indexed="64"/>
      <name val="Microsoft Sans Serif"/>
      <family val="2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5BB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24" fillId="13" borderId="18" xfId="0" applyFont="1" applyFill="1" applyBorder="1"/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5" fillId="13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6" fillId="2" borderId="5" xfId="0" quotePrefix="1" applyFont="1" applyFill="1" applyBorder="1" applyAlignment="1">
      <alignment horizontal="center"/>
    </xf>
    <xf numFmtId="49" fontId="27" fillId="2" borderId="5" xfId="0" applyNumberFormat="1" applyFont="1" applyFill="1" applyBorder="1" applyAlignment="1">
      <alignment horizontal="center"/>
    </xf>
    <xf numFmtId="3" fontId="1" fillId="0" borderId="2" xfId="0" quotePrefix="1" applyNumberFormat="1" applyFont="1" applyBorder="1" applyAlignment="1">
      <alignment horizontal="center"/>
    </xf>
    <xf numFmtId="0" fontId="28" fillId="14" borderId="18" xfId="0" applyFont="1" applyFill="1" applyBorder="1"/>
    <xf numFmtId="0" fontId="29" fillId="0" borderId="0" xfId="0" applyFont="1"/>
    <xf numFmtId="0" fontId="30" fillId="2" borderId="0" xfId="0" applyFont="1" applyFill="1"/>
    <xf numFmtId="0" fontId="29" fillId="2" borderId="0" xfId="0" applyFont="1" applyFill="1"/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31" fillId="15" borderId="5" xfId="0" applyFont="1" applyFill="1" applyBorder="1" applyAlignment="1">
      <alignment wrapText="1"/>
    </xf>
    <xf numFmtId="0" fontId="32" fillId="16" borderId="5" xfId="0" applyFont="1" applyFill="1" applyBorder="1" applyAlignment="1">
      <alignment horizontal="center"/>
    </xf>
    <xf numFmtId="49" fontId="32" fillId="16" borderId="5" xfId="0" applyNumberFormat="1" applyFont="1" applyFill="1" applyBorder="1" applyAlignment="1">
      <alignment horizontal="center"/>
    </xf>
    <xf numFmtId="0" fontId="32" fillId="16" borderId="5" xfId="0" quotePrefix="1" applyFont="1" applyFill="1" applyBorder="1" applyAlignment="1">
      <alignment horizontal="center"/>
    </xf>
    <xf numFmtId="0" fontId="17" fillId="0" borderId="5" xfId="3" applyFont="1" applyBorder="1" applyAlignment="1">
      <alignment horizontal="center"/>
    </xf>
    <xf numFmtId="49" fontId="33" fillId="0" borderId="5" xfId="0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34" fillId="17" borderId="5" xfId="0" applyNumberFormat="1" applyFont="1" applyFill="1" applyBorder="1"/>
    <xf numFmtId="0" fontId="2" fillId="18" borderId="5" xfId="0" applyFont="1" applyFill="1" applyBorder="1"/>
    <xf numFmtId="0" fontId="35" fillId="18" borderId="5" xfId="4" applyFill="1" applyBorder="1" applyAlignment="1">
      <alignment horizontal="center" wrapText="1"/>
    </xf>
    <xf numFmtId="0" fontId="2" fillId="19" borderId="5" xfId="0" applyFont="1" applyFill="1" applyBorder="1"/>
    <xf numFmtId="0" fontId="35" fillId="19" borderId="5" xfId="4" applyFill="1" applyBorder="1" applyAlignment="1">
      <alignment horizontal="center" wrapText="1"/>
    </xf>
  </cellXfs>
  <cellStyles count="5">
    <cellStyle name="Lien hypertexte" xfId="4" builtinId="8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5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0" workbookViewId="0">
      <selection activeCell="E25" sqref="E25:E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156</v>
      </c>
      <c r="E4" s="159"/>
      <c r="F4" s="159"/>
      <c r="G4" s="159"/>
    </row>
    <row r="8" spans="1:7" ht="14.5" x14ac:dyDescent="0.35">
      <c r="A8" s="82" t="s">
        <v>157</v>
      </c>
      <c r="C8" s="83">
        <v>45443</v>
      </c>
    </row>
    <row r="9" spans="1:7" ht="15" customHeight="1" x14ac:dyDescent="0.3">
      <c r="C9" s="84"/>
    </row>
    <row r="10" spans="1:7" ht="14" x14ac:dyDescent="0.3">
      <c r="D10" s="85" t="s">
        <v>158</v>
      </c>
      <c r="E10" s="86" t="s">
        <v>159</v>
      </c>
      <c r="F10" s="87"/>
      <c r="G10" s="88"/>
    </row>
    <row r="11" spans="1:7" ht="14" x14ac:dyDescent="0.3">
      <c r="D11" s="89" t="s">
        <v>160</v>
      </c>
      <c r="E11" s="90" t="s">
        <v>161</v>
      </c>
      <c r="F11" s="10"/>
      <c r="G11" s="91"/>
    </row>
    <row r="12" spans="1:7" ht="15" customHeight="1" x14ac:dyDescent="0.3">
      <c r="D12" s="89" t="s">
        <v>162</v>
      </c>
      <c r="E12" s="156" t="s">
        <v>241</v>
      </c>
      <c r="F12" s="157"/>
      <c r="G12" s="158"/>
    </row>
    <row r="13" spans="1:7" ht="13.75" customHeight="1" x14ac:dyDescent="0.3">
      <c r="D13" s="92"/>
      <c r="E13" s="160" t="s">
        <v>242</v>
      </c>
      <c r="F13" s="160"/>
      <c r="G13" s="161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2" t="s">
        <v>247</v>
      </c>
      <c r="F16" s="162"/>
      <c r="G16" s="163"/>
    </row>
    <row r="17" spans="1:7" ht="14" x14ac:dyDescent="0.3">
      <c r="A17" s="81"/>
      <c r="D17" s="94" t="s">
        <v>164</v>
      </c>
      <c r="E17" s="126" t="s">
        <v>243</v>
      </c>
      <c r="F17" s="126"/>
      <c r="G17" s="126"/>
    </row>
    <row r="18" spans="1:7" ht="15" customHeight="1" x14ac:dyDescent="0.3">
      <c r="A18" s="81"/>
      <c r="D18" s="94"/>
      <c r="E18" s="126" t="s">
        <v>244</v>
      </c>
      <c r="F18" s="126"/>
      <c r="G18" s="126"/>
    </row>
    <row r="19" spans="1:7" ht="14" x14ac:dyDescent="0.3">
      <c r="A19" s="81"/>
      <c r="D19" s="94"/>
      <c r="E19" s="164" t="s">
        <v>206</v>
      </c>
      <c r="F19" s="164"/>
      <c r="G19" s="165"/>
    </row>
    <row r="20" spans="1:7" ht="14" x14ac:dyDescent="0.3">
      <c r="D20" s="95" t="s">
        <v>245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207</v>
      </c>
      <c r="F22" s="87"/>
      <c r="G22" s="88"/>
    </row>
    <row r="23" spans="1:7" ht="14" customHeight="1" x14ac:dyDescent="0.3">
      <c r="D23" s="89" t="s">
        <v>166</v>
      </c>
      <c r="E23" s="154" t="s">
        <v>246</v>
      </c>
      <c r="F23" s="154"/>
      <c r="G23" s="155"/>
    </row>
    <row r="24" spans="1:7" ht="14" x14ac:dyDescent="0.3">
      <c r="D24" s="100" t="s">
        <v>167</v>
      </c>
      <c r="E24" s="154" t="s">
        <v>208</v>
      </c>
      <c r="F24" s="154"/>
      <c r="G24" s="155"/>
    </row>
    <row r="25" spans="1:7" ht="14" x14ac:dyDescent="0.3">
      <c r="D25" s="89" t="s">
        <v>168</v>
      </c>
      <c r="E25" s="90" t="s">
        <v>248</v>
      </c>
      <c r="F25" s="10"/>
      <c r="G25" s="91"/>
    </row>
    <row r="26" spans="1:7" ht="14" x14ac:dyDescent="0.3">
      <c r="D26" s="89" t="s">
        <v>169</v>
      </c>
      <c r="E26" s="90" t="s">
        <v>249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513593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7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7"/>
      <c r="E42" s="113" t="s">
        <v>182</v>
      </c>
      <c r="F42" s="116"/>
      <c r="G42" s="117"/>
    </row>
    <row r="43" spans="1:8" ht="14" x14ac:dyDescent="0.3">
      <c r="D43" s="37"/>
      <c r="E43" s="113" t="s">
        <v>183</v>
      </c>
      <c r="F43" s="116"/>
      <c r="G43" s="117"/>
    </row>
    <row r="44" spans="1:8" ht="14" x14ac:dyDescent="0.3">
      <c r="D44" s="37"/>
      <c r="E44" s="113" t="s">
        <v>184</v>
      </c>
      <c r="F44" s="116"/>
      <c r="G44" s="117"/>
    </row>
    <row r="45" spans="1:8" ht="14" x14ac:dyDescent="0.3">
      <c r="D45" s="37"/>
      <c r="E45" s="141" t="s">
        <v>185</v>
      </c>
      <c r="F45" s="142"/>
      <c r="G45" s="143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opLeftCell="A37" workbookViewId="0">
      <selection activeCell="E58" sqref="E5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28.26953125" style="20" customWidth="1"/>
  </cols>
  <sheetData>
    <row r="1" spans="1:9" ht="15" customHeight="1" x14ac:dyDescent="0.35">
      <c r="A1" s="166" t="s">
        <v>0</v>
      </c>
      <c r="B1" s="166"/>
      <c r="C1" s="166"/>
      <c r="D1" s="166"/>
      <c r="E1" s="166"/>
      <c r="F1" s="166"/>
      <c r="G1" s="166"/>
      <c r="H1" s="166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68" t="s">
        <v>73</v>
      </c>
      <c r="C3" s="168"/>
      <c r="D3" s="168"/>
      <c r="E3" s="168"/>
      <c r="F3" s="168"/>
      <c r="G3" s="168"/>
      <c r="H3" s="67"/>
      <c r="I3" s="17"/>
    </row>
    <row r="4" spans="1:9" s="27" customFormat="1" ht="15" customHeight="1" x14ac:dyDescent="0.35">
      <c r="A4" s="26"/>
      <c r="B4" s="167" t="s">
        <v>67</v>
      </c>
      <c r="C4" s="167"/>
      <c r="D4" s="167"/>
      <c r="E4" s="167"/>
      <c r="F4" s="167"/>
      <c r="G4" s="167"/>
      <c r="H4" s="167"/>
      <c r="I4" s="17"/>
    </row>
    <row r="5" spans="1:9" s="3" customFormat="1" ht="15" customHeight="1" thickBot="1" x14ac:dyDescent="0.35">
      <c r="A5" s="2" t="s">
        <v>71</v>
      </c>
      <c r="H5" s="67"/>
      <c r="I5" s="128" t="s">
        <v>205</v>
      </c>
    </row>
    <row r="6" spans="1:9" ht="15" customHeight="1" thickBot="1" x14ac:dyDescent="0.35">
      <c r="B6" t="s">
        <v>1</v>
      </c>
      <c r="F6" s="57"/>
      <c r="G6" s="57"/>
      <c r="H6" s="39" t="s">
        <v>263</v>
      </c>
      <c r="I6" s="128" t="str">
        <f>raison</f>
        <v>CALORIA</v>
      </c>
    </row>
    <row r="7" spans="1:9" ht="15" customHeight="1" thickBot="1" x14ac:dyDescent="0.35">
      <c r="B7" t="s">
        <v>97</v>
      </c>
      <c r="D7" s="1"/>
      <c r="E7" s="1"/>
      <c r="G7" s="1"/>
      <c r="H7" s="39" t="str">
        <f>raison</f>
        <v>CALORIA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9" t="s">
        <v>264</v>
      </c>
      <c r="I8" s="21"/>
    </row>
    <row r="9" spans="1:9" ht="15" customHeight="1" thickBot="1" x14ac:dyDescent="0.35">
      <c r="B9" t="s">
        <v>29</v>
      </c>
      <c r="D9" s="1"/>
      <c r="E9" s="1"/>
      <c r="G9" s="1"/>
      <c r="H9" s="149">
        <v>77000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9" t="s">
        <v>265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9" t="s">
        <v>265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37000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5" t="s">
        <v>314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6" t="s">
        <v>266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8" t="s">
        <v>315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4" t="s">
        <v>199</v>
      </c>
      <c r="I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267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77000</v>
      </c>
      <c r="I20"/>
    </row>
    <row r="21" spans="1:10" ht="24" customHeight="1" thickBot="1" x14ac:dyDescent="0.35">
      <c r="B21" s="1" t="s">
        <v>6</v>
      </c>
      <c r="D21" s="1"/>
      <c r="E21" s="68"/>
      <c r="F21" s="38"/>
      <c r="G21" s="1"/>
      <c r="H21" s="123" t="s">
        <v>254</v>
      </c>
      <c r="I21"/>
    </row>
    <row r="22" spans="1:10" s="3" customFormat="1" ht="28.5" customHeight="1" thickBot="1" x14ac:dyDescent="0.35">
      <c r="B22" s="2" t="s">
        <v>198</v>
      </c>
      <c r="E22" s="11"/>
      <c r="F22" s="67"/>
      <c r="H22" s="40" t="s">
        <v>255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71" t="s">
        <v>53</v>
      </c>
      <c r="B26" s="171"/>
      <c r="C26" s="171"/>
      <c r="D26" s="171"/>
      <c r="E26" s="171"/>
      <c r="F26" s="171"/>
      <c r="G26" s="171"/>
      <c r="H26" s="171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45413</v>
      </c>
      <c r="I27"/>
      <c r="J27"/>
    </row>
    <row r="28" spans="1:10" ht="15" customHeight="1" thickBot="1" x14ac:dyDescent="0.35">
      <c r="A28" s="172" t="s">
        <v>54</v>
      </c>
      <c r="B28" t="s">
        <v>55</v>
      </c>
      <c r="H28" s="72"/>
      <c r="I28"/>
    </row>
    <row r="29" spans="1:10" ht="15" customHeight="1" thickBot="1" x14ac:dyDescent="0.35">
      <c r="A29" s="172"/>
      <c r="B29" t="s">
        <v>56</v>
      </c>
      <c r="H29" s="72">
        <v>45657</v>
      </c>
      <c r="I29"/>
    </row>
    <row r="30" spans="1:10" ht="29.25" customHeight="1" thickBot="1" x14ac:dyDescent="0.35">
      <c r="B30" s="2" t="s">
        <v>10</v>
      </c>
      <c r="H30" s="57"/>
      <c r="I30"/>
    </row>
    <row r="31" spans="1:10" ht="15" customHeight="1" thickBot="1" x14ac:dyDescent="0.35">
      <c r="B31" t="s">
        <v>38</v>
      </c>
      <c r="F31" s="10"/>
      <c r="H31" s="39" t="s">
        <v>269</v>
      </c>
      <c r="I31" s="20" t="s">
        <v>268</v>
      </c>
    </row>
    <row r="32" spans="1:10" ht="15" customHeight="1" thickBot="1" x14ac:dyDescent="0.35">
      <c r="B32" t="s">
        <v>91</v>
      </c>
      <c r="F32" s="10"/>
      <c r="H32" s="39" t="s">
        <v>82</v>
      </c>
      <c r="I32" s="73"/>
    </row>
    <row r="33" spans="2:9" ht="15" customHeight="1" thickBot="1" x14ac:dyDescent="0.35">
      <c r="B33" t="s">
        <v>3</v>
      </c>
      <c r="H33" s="56" t="s">
        <v>269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40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82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9" t="s">
        <v>82</v>
      </c>
    </row>
    <row r="38" spans="2:9" ht="15" customHeight="1" thickBot="1" x14ac:dyDescent="0.35">
      <c r="B38" s="32" t="s">
        <v>139</v>
      </c>
      <c r="H38" s="39" t="s">
        <v>82</v>
      </c>
    </row>
    <row r="39" spans="2:9" ht="15" customHeight="1" thickBot="1" x14ac:dyDescent="0.35">
      <c r="B39" t="s">
        <v>9</v>
      </c>
      <c r="H39" s="39" t="s">
        <v>122</v>
      </c>
    </row>
    <row r="40" spans="2:9" ht="15" customHeight="1" thickBot="1" x14ac:dyDescent="0.35">
      <c r="B40" t="s">
        <v>16</v>
      </c>
      <c r="H40" s="39" t="s">
        <v>82</v>
      </c>
      <c r="I40" s="20" t="s">
        <v>152</v>
      </c>
    </row>
    <row r="41" spans="2:9" ht="26.5" thickBot="1" x14ac:dyDescent="0.35">
      <c r="B41" s="32" t="s">
        <v>151</v>
      </c>
      <c r="H41" s="137" t="str">
        <f>'Nouveau référentiel R12'!K3</f>
        <v>GK1463469H</v>
      </c>
      <c r="I41" s="44" t="s">
        <v>149</v>
      </c>
    </row>
    <row r="42" spans="2:9" ht="15" customHeight="1" thickBot="1" x14ac:dyDescent="0.35">
      <c r="B42" t="s">
        <v>39</v>
      </c>
      <c r="H42" s="57" t="s">
        <v>82</v>
      </c>
    </row>
    <row r="43" spans="2:9" ht="15" customHeight="1" thickBot="1" x14ac:dyDescent="0.35">
      <c r="B43" t="s">
        <v>19</v>
      </c>
      <c r="H43" s="58"/>
      <c r="I43" s="32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9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9" t="s">
        <v>82</v>
      </c>
      <c r="I45" s="47"/>
    </row>
    <row r="46" spans="2:9" ht="30" customHeight="1" thickBot="1" x14ac:dyDescent="0.35">
      <c r="B46" s="173" t="s">
        <v>75</v>
      </c>
      <c r="C46" s="173"/>
      <c r="D46" s="173"/>
      <c r="E46" s="173"/>
      <c r="F46" s="173"/>
      <c r="G46" s="174"/>
      <c r="H46" s="39" t="s">
        <v>122</v>
      </c>
    </row>
    <row r="47" spans="2:9" ht="32.25" customHeight="1" thickBot="1" x14ac:dyDescent="0.35">
      <c r="B47" s="169" t="s">
        <v>119</v>
      </c>
      <c r="C47" s="169"/>
      <c r="D47" s="169"/>
      <c r="E47" s="169"/>
      <c r="F47" s="169"/>
      <c r="G47" s="170"/>
      <c r="H47" s="39" t="s">
        <v>122</v>
      </c>
    </row>
    <row r="48" spans="2:9" ht="15" customHeight="1" thickBot="1" x14ac:dyDescent="0.35">
      <c r="B48" t="s">
        <v>21</v>
      </c>
      <c r="H48" s="39" t="s">
        <v>122</v>
      </c>
    </row>
    <row r="49" spans="1:9" ht="15" customHeight="1" thickBot="1" x14ac:dyDescent="0.35">
      <c r="B49" t="s">
        <v>32</v>
      </c>
      <c r="H49" s="39" t="s">
        <v>250</v>
      </c>
    </row>
    <row r="50" spans="1:9" ht="15" customHeight="1" thickBot="1" x14ac:dyDescent="0.35">
      <c r="B50" t="s">
        <v>68</v>
      </c>
      <c r="F50" t="s">
        <v>33</v>
      </c>
      <c r="H50" s="59">
        <v>30003</v>
      </c>
    </row>
    <row r="51" spans="1:9" ht="15" customHeight="1" thickBot="1" x14ac:dyDescent="0.35">
      <c r="F51" t="s">
        <v>34</v>
      </c>
      <c r="H51" s="41" t="s">
        <v>209</v>
      </c>
    </row>
    <row r="52" spans="1:9" ht="15" customHeight="1" thickBot="1" x14ac:dyDescent="0.35">
      <c r="F52" t="s">
        <v>35</v>
      </c>
      <c r="H52" s="42" t="s">
        <v>251</v>
      </c>
    </row>
    <row r="53" spans="1:9" ht="15" customHeight="1" thickBot="1" x14ac:dyDescent="0.35">
      <c r="F53" t="s">
        <v>36</v>
      </c>
      <c r="H53" s="144" t="s">
        <v>252</v>
      </c>
      <c r="I53" s="32"/>
    </row>
    <row r="54" spans="1:9" ht="15" customHeight="1" thickBot="1" x14ac:dyDescent="0.35">
      <c r="B54" t="s">
        <v>44</v>
      </c>
      <c r="H54" s="39" t="s">
        <v>122</v>
      </c>
      <c r="I54" s="45"/>
    </row>
    <row r="55" spans="1:9" ht="15" customHeight="1" thickBot="1" x14ac:dyDescent="0.35">
      <c r="B55" t="s">
        <v>45</v>
      </c>
      <c r="H55" s="43" t="s">
        <v>122</v>
      </c>
      <c r="I55" s="45"/>
    </row>
    <row r="56" spans="1:9" ht="15" customHeight="1" x14ac:dyDescent="0.3">
      <c r="H56" s="67"/>
    </row>
    <row r="57" spans="1:9" s="3" customFormat="1" ht="14.25" customHeight="1" x14ac:dyDescent="0.3">
      <c r="A57" s="3" t="s">
        <v>30</v>
      </c>
      <c r="D57" s="31">
        <v>45680</v>
      </c>
      <c r="E57" s="22"/>
      <c r="H57" s="38"/>
      <c r="I57" s="19"/>
    </row>
    <row r="58" spans="1:9" ht="15" customHeight="1" x14ac:dyDescent="0.3">
      <c r="A58" t="s">
        <v>31</v>
      </c>
      <c r="H58" s="127" t="s">
        <v>208</v>
      </c>
    </row>
    <row r="59" spans="1:9" ht="15" customHeight="1" x14ac:dyDescent="0.3">
      <c r="D59" s="32" t="s">
        <v>125</v>
      </c>
      <c r="H59" s="127" t="s">
        <v>248</v>
      </c>
      <c r="I59" s="119"/>
    </row>
    <row r="60" spans="1:9" ht="15" customHeight="1" x14ac:dyDescent="0.3">
      <c r="D60" s="32"/>
      <c r="H60" s="127" t="s">
        <v>249</v>
      </c>
      <c r="I60" s="119"/>
    </row>
    <row r="61" spans="1:9" ht="15" customHeight="1" x14ac:dyDescent="0.3">
      <c r="H61" s="38"/>
    </row>
    <row r="62" spans="1:9" ht="15" customHeight="1" x14ac:dyDescent="0.3">
      <c r="H62" s="38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5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S28"/>
  <sheetViews>
    <sheetView workbookViewId="0">
      <selection activeCell="E25" sqref="E25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</cols>
  <sheetData>
    <row r="1" spans="1:13" x14ac:dyDescent="0.3">
      <c r="A1" s="32" t="s">
        <v>294</v>
      </c>
    </row>
    <row r="2" spans="1:13" x14ac:dyDescent="0.3">
      <c r="A2" s="51" t="s">
        <v>140</v>
      </c>
      <c r="B2" s="51" t="s">
        <v>141</v>
      </c>
      <c r="C2" s="51" t="s">
        <v>142</v>
      </c>
      <c r="D2" s="51" t="s">
        <v>143</v>
      </c>
      <c r="E2" s="51" t="s">
        <v>144</v>
      </c>
      <c r="F2" s="51" t="s">
        <v>189</v>
      </c>
      <c r="G2" s="51" t="s">
        <v>190</v>
      </c>
      <c r="H2" s="51" t="s">
        <v>145</v>
      </c>
      <c r="I2" s="51" t="s">
        <v>146</v>
      </c>
      <c r="J2" s="51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263</v>
      </c>
      <c r="B3" s="132" t="s">
        <v>254</v>
      </c>
      <c r="C3" s="64"/>
      <c r="D3" s="65"/>
      <c r="E3" s="148" t="s">
        <v>288</v>
      </c>
      <c r="F3" s="65" t="s">
        <v>307</v>
      </c>
      <c r="G3" s="65" t="s">
        <v>193</v>
      </c>
      <c r="H3" s="63" t="s">
        <v>269</v>
      </c>
      <c r="I3" s="63" t="s">
        <v>311</v>
      </c>
      <c r="J3" s="63" t="s">
        <v>312</v>
      </c>
      <c r="K3" s="121" t="s">
        <v>285</v>
      </c>
      <c r="L3" s="66" t="s">
        <v>286</v>
      </c>
      <c r="M3" s="65" t="s">
        <v>194</v>
      </c>
    </row>
    <row r="4" spans="1:13" x14ac:dyDescent="0.3">
      <c r="B4" s="37"/>
      <c r="C4" s="37"/>
    </row>
    <row r="5" spans="1:13" x14ac:dyDescent="0.3">
      <c r="B5" s="37"/>
      <c r="C5" s="37"/>
    </row>
    <row r="7" spans="1:13" x14ac:dyDescent="0.3">
      <c r="A7" s="32" t="s">
        <v>155</v>
      </c>
    </row>
    <row r="8" spans="1:13" x14ac:dyDescent="0.3">
      <c r="A8" s="49" t="s">
        <v>154</v>
      </c>
    </row>
    <row r="9" spans="1:13" x14ac:dyDescent="0.3">
      <c r="A9" s="50"/>
    </row>
    <row r="11" spans="1:13" x14ac:dyDescent="0.3">
      <c r="A11" s="124"/>
      <c r="B11" s="125" t="s">
        <v>200</v>
      </c>
      <c r="C11" s="124" t="s">
        <v>201</v>
      </c>
      <c r="D11" s="124" t="s">
        <v>202</v>
      </c>
      <c r="E11" s="124" t="s">
        <v>203</v>
      </c>
    </row>
    <row r="12" spans="1:13" ht="15.5" x14ac:dyDescent="0.35">
      <c r="A12" s="135" t="str">
        <f>A3</f>
        <v>CALORIA</v>
      </c>
      <c r="B12" s="136" t="str">
        <f>B3</f>
        <v>0531</v>
      </c>
      <c r="C12" s="124" t="str">
        <f>A18</f>
        <v>K24016476A</v>
      </c>
      <c r="D12" s="124" t="str">
        <f>A15</f>
        <v>D00328439B</v>
      </c>
      <c r="E12" s="124" t="s">
        <v>204</v>
      </c>
    </row>
    <row r="14" spans="1:13" s="134" customFormat="1" ht="14.5" x14ac:dyDescent="0.35">
      <c r="A14" s="138" t="s">
        <v>210</v>
      </c>
      <c r="B14" s="138" t="s">
        <v>211</v>
      </c>
      <c r="C14" s="138" t="s">
        <v>146</v>
      </c>
      <c r="D14" s="138" t="s">
        <v>212</v>
      </c>
      <c r="E14" s="138" t="s">
        <v>213</v>
      </c>
      <c r="F14" s="138" t="s">
        <v>214</v>
      </c>
      <c r="G14" s="138" t="s">
        <v>215</v>
      </c>
      <c r="H14" s="138" t="s">
        <v>216</v>
      </c>
      <c r="I14" s="138" t="s">
        <v>8</v>
      </c>
      <c r="J14" s="138" t="s">
        <v>217</v>
      </c>
      <c r="K14" s="138" t="s">
        <v>218</v>
      </c>
      <c r="L14" s="138" t="s">
        <v>219</v>
      </c>
    </row>
    <row r="15" spans="1:13" s="134" customFormat="1" x14ac:dyDescent="0.3">
      <c r="A15" s="139" t="s">
        <v>257</v>
      </c>
      <c r="B15" s="139" t="s">
        <v>220</v>
      </c>
      <c r="C15" s="139" t="s">
        <v>221</v>
      </c>
      <c r="D15" s="139" t="s">
        <v>253</v>
      </c>
      <c r="E15" s="139">
        <v>928444082</v>
      </c>
      <c r="F15" s="139" t="s">
        <v>222</v>
      </c>
      <c r="G15" s="139" t="s">
        <v>223</v>
      </c>
      <c r="H15" s="139">
        <v>5710</v>
      </c>
      <c r="I15" s="139" t="s">
        <v>224</v>
      </c>
      <c r="J15" s="139">
        <v>3511</v>
      </c>
      <c r="K15" s="139" t="s">
        <v>199</v>
      </c>
      <c r="L15" s="139" t="s">
        <v>254</v>
      </c>
    </row>
    <row r="16" spans="1:13" s="134" customFormat="1" x14ac:dyDescent="0.3">
      <c r="L16" s="140"/>
    </row>
    <row r="17" spans="1:19" s="134" customFormat="1" ht="14.5" x14ac:dyDescent="0.35">
      <c r="A17" s="133" t="s">
        <v>210</v>
      </c>
      <c r="B17" s="133" t="s">
        <v>211</v>
      </c>
      <c r="C17" s="133" t="s">
        <v>146</v>
      </c>
      <c r="D17" s="133" t="s">
        <v>225</v>
      </c>
      <c r="E17" s="133" t="s">
        <v>226</v>
      </c>
      <c r="F17" s="133" t="s">
        <v>213</v>
      </c>
      <c r="G17" s="133" t="s">
        <v>227</v>
      </c>
      <c r="H17" s="133" t="s">
        <v>228</v>
      </c>
      <c r="I17" s="133" t="s">
        <v>229</v>
      </c>
      <c r="J17" s="133" t="s">
        <v>230</v>
      </c>
      <c r="K17" s="133" t="s">
        <v>24</v>
      </c>
      <c r="L17" s="133" t="s">
        <v>231</v>
      </c>
      <c r="M17" s="133" t="s">
        <v>232</v>
      </c>
      <c r="N17" s="133" t="s">
        <v>233</v>
      </c>
      <c r="O17" s="133" t="s">
        <v>234</v>
      </c>
      <c r="P17" s="133" t="s">
        <v>235</v>
      </c>
      <c r="Q17" s="133" t="s">
        <v>236</v>
      </c>
      <c r="R17" s="133" t="s">
        <v>237</v>
      </c>
    </row>
    <row r="18" spans="1:19" s="134" customFormat="1" x14ac:dyDescent="0.3">
      <c r="A18" s="139" t="s">
        <v>258</v>
      </c>
      <c r="B18" s="139" t="s">
        <v>220</v>
      </c>
      <c r="C18" s="139" t="s">
        <v>221</v>
      </c>
      <c r="D18" s="139" t="s">
        <v>253</v>
      </c>
      <c r="E18" s="139"/>
      <c r="F18" s="147" t="s">
        <v>256</v>
      </c>
      <c r="G18" s="139"/>
      <c r="H18" s="139" t="s">
        <v>238</v>
      </c>
      <c r="I18" s="139" t="s">
        <v>239</v>
      </c>
      <c r="J18" s="139" t="s">
        <v>259</v>
      </c>
      <c r="K18" s="139" t="s">
        <v>240</v>
      </c>
      <c r="L18" s="139" t="s">
        <v>260</v>
      </c>
      <c r="M18" s="139" t="s">
        <v>82</v>
      </c>
      <c r="N18" s="139" t="s">
        <v>257</v>
      </c>
      <c r="O18" s="139" t="s">
        <v>222</v>
      </c>
      <c r="P18" s="139">
        <v>0</v>
      </c>
      <c r="Q18" s="139">
        <v>1</v>
      </c>
      <c r="R18" s="139" t="s">
        <v>223</v>
      </c>
    </row>
    <row r="21" spans="1:19" s="134" customFormat="1" ht="14.5" x14ac:dyDescent="0.35">
      <c r="A21" s="150" t="s">
        <v>210</v>
      </c>
      <c r="B21" s="150" t="s">
        <v>211</v>
      </c>
      <c r="C21" s="150" t="s">
        <v>146</v>
      </c>
      <c r="D21" s="150" t="s">
        <v>225</v>
      </c>
      <c r="E21" s="150" t="s">
        <v>270</v>
      </c>
      <c r="F21" s="150" t="s">
        <v>271</v>
      </c>
      <c r="G21" s="150" t="s">
        <v>272</v>
      </c>
      <c r="H21" s="150" t="s">
        <v>273</v>
      </c>
      <c r="I21" s="150" t="s">
        <v>274</v>
      </c>
      <c r="J21" s="150" t="s">
        <v>275</v>
      </c>
      <c r="K21" s="150" t="s">
        <v>276</v>
      </c>
      <c r="L21" s="150" t="s">
        <v>277</v>
      </c>
      <c r="M21" s="150" t="s">
        <v>278</v>
      </c>
      <c r="N21" s="150" t="s">
        <v>279</v>
      </c>
      <c r="O21" s="150" t="s">
        <v>280</v>
      </c>
    </row>
    <row r="22" spans="1:19" s="134" customFormat="1" x14ac:dyDescent="0.3">
      <c r="A22" s="151" t="s">
        <v>281</v>
      </c>
      <c r="B22" s="151" t="s">
        <v>220</v>
      </c>
      <c r="C22" s="151" t="s">
        <v>282</v>
      </c>
      <c r="D22" s="151" t="s">
        <v>262</v>
      </c>
      <c r="E22" s="151" t="s">
        <v>194</v>
      </c>
      <c r="F22" s="151" t="s">
        <v>150</v>
      </c>
      <c r="G22" s="151" t="s">
        <v>261</v>
      </c>
      <c r="H22" s="151" t="s">
        <v>254</v>
      </c>
      <c r="I22" s="151">
        <v>0</v>
      </c>
      <c r="J22" s="151">
        <v>0</v>
      </c>
      <c r="K22" s="151">
        <v>0</v>
      </c>
      <c r="L22" s="151">
        <v>0</v>
      </c>
      <c r="M22" s="151" t="s">
        <v>283</v>
      </c>
      <c r="O22" s="151" t="s">
        <v>284</v>
      </c>
    </row>
    <row r="23" spans="1:19" s="134" customFormat="1" x14ac:dyDescent="0.3">
      <c r="A23" s="152" t="s">
        <v>285</v>
      </c>
      <c r="B23" s="152" t="s">
        <v>220</v>
      </c>
      <c r="C23" s="152" t="s">
        <v>221</v>
      </c>
      <c r="D23" s="152" t="s">
        <v>286</v>
      </c>
      <c r="E23" s="152" t="s">
        <v>194</v>
      </c>
      <c r="F23" s="152" t="s">
        <v>287</v>
      </c>
      <c r="G23" s="152" t="s">
        <v>288</v>
      </c>
      <c r="H23" s="153" t="s">
        <v>254</v>
      </c>
      <c r="I23" s="151">
        <v>0</v>
      </c>
      <c r="J23" s="151">
        <v>0</v>
      </c>
      <c r="K23" s="151">
        <v>0</v>
      </c>
      <c r="L23" s="151">
        <v>0</v>
      </c>
      <c r="M23" s="151" t="s">
        <v>289</v>
      </c>
      <c r="O23" s="151" t="s">
        <v>284</v>
      </c>
    </row>
    <row r="24" spans="1:19" s="134" customFormat="1" x14ac:dyDescent="0.3">
      <c r="A24" s="151" t="s">
        <v>290</v>
      </c>
      <c r="B24" s="151" t="s">
        <v>220</v>
      </c>
      <c r="C24" s="151" t="s">
        <v>221</v>
      </c>
      <c r="D24" s="151" t="s">
        <v>291</v>
      </c>
      <c r="E24" s="151" t="s">
        <v>194</v>
      </c>
      <c r="F24" s="151" t="s">
        <v>292</v>
      </c>
      <c r="G24" s="151" t="s">
        <v>293</v>
      </c>
      <c r="H24" s="151" t="s">
        <v>254</v>
      </c>
      <c r="I24" s="151">
        <v>0</v>
      </c>
      <c r="J24" s="151">
        <v>0</v>
      </c>
      <c r="K24" s="151">
        <v>0</v>
      </c>
      <c r="L24" s="151">
        <v>0</v>
      </c>
      <c r="M24" s="151" t="s">
        <v>289</v>
      </c>
      <c r="O24" s="151" t="s">
        <v>284</v>
      </c>
    </row>
    <row r="27" spans="1:19" s="134" customFormat="1" ht="14.5" x14ac:dyDescent="0.35">
      <c r="A27" s="150" t="s">
        <v>210</v>
      </c>
      <c r="B27" s="150" t="s">
        <v>211</v>
      </c>
      <c r="C27" s="150" t="s">
        <v>146</v>
      </c>
      <c r="D27" s="150" t="s">
        <v>225</v>
      </c>
      <c r="E27" s="150" t="s">
        <v>226</v>
      </c>
      <c r="F27" s="150" t="s">
        <v>295</v>
      </c>
      <c r="G27" s="150" t="s">
        <v>296</v>
      </c>
      <c r="H27" s="150" t="s">
        <v>297</v>
      </c>
      <c r="I27" s="150" t="s">
        <v>298</v>
      </c>
      <c r="J27" s="150" t="s">
        <v>299</v>
      </c>
      <c r="K27" s="150" t="s">
        <v>300</v>
      </c>
      <c r="L27" s="150" t="s">
        <v>301</v>
      </c>
      <c r="M27" s="150" t="s">
        <v>302</v>
      </c>
      <c r="N27" s="150" t="s">
        <v>303</v>
      </c>
      <c r="O27" s="150" t="s">
        <v>304</v>
      </c>
      <c r="P27" s="150" t="s">
        <v>305</v>
      </c>
      <c r="Q27" s="150" t="s">
        <v>306</v>
      </c>
      <c r="R27" s="150" t="s">
        <v>278</v>
      </c>
      <c r="S27" s="150" t="s">
        <v>279</v>
      </c>
    </row>
    <row r="28" spans="1:19" s="134" customFormat="1" x14ac:dyDescent="0.3">
      <c r="A28" s="151" t="s">
        <v>288</v>
      </c>
      <c r="B28" s="151" t="s">
        <v>220</v>
      </c>
      <c r="C28" s="151" t="s">
        <v>221</v>
      </c>
      <c r="D28" s="151" t="s">
        <v>307</v>
      </c>
      <c r="E28" s="151" t="s">
        <v>308</v>
      </c>
      <c r="G28" s="151" t="s">
        <v>193</v>
      </c>
      <c r="H28" s="151" t="s">
        <v>254</v>
      </c>
      <c r="L28" s="151" t="s">
        <v>287</v>
      </c>
      <c r="M28" s="151" t="s">
        <v>309</v>
      </c>
      <c r="N28" s="151" t="s">
        <v>310</v>
      </c>
      <c r="Q28" s="151">
        <v>1</v>
      </c>
      <c r="R28" s="151" t="s">
        <v>289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7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0"/>
  <sheetViews>
    <sheetView tabSelected="1" workbookViewId="0">
      <selection activeCell="H12" sqref="H12"/>
    </sheetView>
  </sheetViews>
  <sheetFormatPr baseColWidth="10" defaultRowHeight="13" x14ac:dyDescent="0.3"/>
  <cols>
    <col min="1" max="1" width="23.1796875" bestFit="1" customWidth="1"/>
    <col min="2" max="2" width="17.1796875" bestFit="1" customWidth="1"/>
    <col min="3" max="3" width="14.453125" bestFit="1" customWidth="1"/>
    <col min="4" max="4" width="19.1796875" bestFit="1" customWidth="1"/>
    <col min="5" max="5" width="6.36328125" bestFit="1" customWidth="1"/>
    <col min="6" max="6" width="13.7265625" bestFit="1" customWidth="1"/>
    <col min="7" max="7" width="9.90625" bestFit="1" customWidth="1"/>
  </cols>
  <sheetData>
    <row r="1" spans="1:7" ht="26" x14ac:dyDescent="0.3">
      <c r="A1" s="175" t="s">
        <v>146</v>
      </c>
      <c r="B1" s="175" t="s">
        <v>316</v>
      </c>
      <c r="C1" s="175" t="s">
        <v>317</v>
      </c>
      <c r="D1" s="175" t="s">
        <v>318</v>
      </c>
      <c r="E1" s="175" t="s">
        <v>319</v>
      </c>
      <c r="F1" s="175" t="s">
        <v>24</v>
      </c>
      <c r="G1" s="175" t="s">
        <v>320</v>
      </c>
    </row>
    <row r="2" spans="1:7" x14ac:dyDescent="0.3">
      <c r="A2" s="176" t="s">
        <v>311</v>
      </c>
      <c r="B2" s="176" t="s">
        <v>321</v>
      </c>
      <c r="C2" s="177" t="s">
        <v>322</v>
      </c>
      <c r="D2" s="176"/>
      <c r="E2" s="178">
        <v>59784</v>
      </c>
      <c r="F2" s="176" t="s">
        <v>323</v>
      </c>
      <c r="G2" s="176" t="s">
        <v>108</v>
      </c>
    </row>
    <row r="6" spans="1:7" ht="14" x14ac:dyDescent="0.3">
      <c r="A6" s="179" t="s">
        <v>43</v>
      </c>
      <c r="B6" s="179" t="s">
        <v>324</v>
      </c>
    </row>
    <row r="7" spans="1:7" x14ac:dyDescent="0.3">
      <c r="A7" s="180" t="s">
        <v>269</v>
      </c>
      <c r="B7" s="181" t="s">
        <v>254</v>
      </c>
    </row>
    <row r="9" spans="1:7" ht="13.5" thickBot="1" x14ac:dyDescent="0.35">
      <c r="A9" s="182" t="s">
        <v>325</v>
      </c>
      <c r="B9" s="182" t="s">
        <v>147</v>
      </c>
      <c r="C9" s="182" t="s">
        <v>326</v>
      </c>
      <c r="D9" s="182" t="s">
        <v>327</v>
      </c>
      <c r="E9" s="182" t="s">
        <v>107</v>
      </c>
      <c r="F9" s="182" t="s">
        <v>328</v>
      </c>
    </row>
    <row r="10" spans="1:7" ht="13.5" thickBot="1" x14ac:dyDescent="0.35">
      <c r="A10" s="180" t="s">
        <v>269</v>
      </c>
      <c r="B10" s="39" t="s">
        <v>321</v>
      </c>
      <c r="C10" s="180" t="s">
        <v>322</v>
      </c>
      <c r="D10" s="180" t="s">
        <v>329</v>
      </c>
      <c r="E10" s="180" t="s">
        <v>313</v>
      </c>
      <c r="F10" s="180" t="s">
        <v>269</v>
      </c>
    </row>
    <row r="13" spans="1:7" ht="13.5" thickBot="1" x14ac:dyDescent="0.35"/>
    <row r="14" spans="1:7" ht="13.5" thickBot="1" x14ac:dyDescent="0.35">
      <c r="A14" t="s">
        <v>330</v>
      </c>
      <c r="B14" s="54" t="s">
        <v>314</v>
      </c>
    </row>
    <row r="15" spans="1:7" ht="13.5" thickBot="1" x14ac:dyDescent="0.35">
      <c r="A15" t="s">
        <v>331</v>
      </c>
      <c r="B15" s="146" t="s">
        <v>332</v>
      </c>
    </row>
    <row r="18" spans="1:2" ht="43.5" x14ac:dyDescent="0.35">
      <c r="A18" s="183" t="s">
        <v>333</v>
      </c>
      <c r="B18" s="184" t="s">
        <v>334</v>
      </c>
    </row>
    <row r="20" spans="1:2" ht="58" x14ac:dyDescent="0.35">
      <c r="A20" s="185" t="s">
        <v>335</v>
      </c>
      <c r="B20" s="186" t="s">
        <v>336</v>
      </c>
    </row>
  </sheetData>
  <printOptions gridLines="1"/>
  <pageMargins left="0.11811023622047245" right="0.11811023622047245" top="0.55118110236220474" bottom="0.74803149606299213" header="0.31496062992125984" footer="0.31496062992125984"/>
  <pageSetup paperSize="9" orientation="landscape" r:id="rId1"/>
  <headerFooter>
    <oddFooter>&amp;L&amp;D&amp;T&amp;C&amp;P&amp;R&amp;F&amp;A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D2" sqref="D2:D7"/>
    </sheetView>
  </sheetViews>
  <sheetFormatPr baseColWidth="10" defaultColWidth="11.453125" defaultRowHeight="12.5" x14ac:dyDescent="0.25"/>
  <cols>
    <col min="1" max="1" width="9.36328125" style="24" bestFit="1" customWidth="1"/>
    <col min="2" max="2" width="13.90625" style="24" bestFit="1" customWidth="1"/>
    <col min="3" max="3" width="11.453125" style="24"/>
    <col min="4" max="4" width="7.453125" style="24" customWidth="1"/>
    <col min="5" max="6" width="5" style="24" customWidth="1"/>
    <col min="7" max="7" width="10.54296875" style="24" bestFit="1" customWidth="1"/>
    <col min="8" max="8" width="5" style="24" customWidth="1"/>
    <col min="9" max="16384" width="11.453125" style="24"/>
  </cols>
  <sheetData>
    <row r="1" spans="1:19" s="23" customFormat="1" ht="234.75" customHeight="1" x14ac:dyDescent="0.3">
      <c r="A1" s="23" t="s">
        <v>40</v>
      </c>
      <c r="B1" s="23" t="s">
        <v>41</v>
      </c>
      <c r="C1" s="23" t="s">
        <v>42</v>
      </c>
      <c r="D1" s="23" t="s">
        <v>43</v>
      </c>
      <c r="E1" s="46" t="s">
        <v>59</v>
      </c>
      <c r="F1" s="46" t="s">
        <v>126</v>
      </c>
      <c r="G1" s="46" t="s">
        <v>127</v>
      </c>
      <c r="H1" s="46" t="s">
        <v>128</v>
      </c>
      <c r="I1" s="46" t="s">
        <v>129</v>
      </c>
      <c r="J1" s="46" t="s">
        <v>130</v>
      </c>
      <c r="K1" s="46" t="s">
        <v>131</v>
      </c>
      <c r="L1" s="46" t="s">
        <v>131</v>
      </c>
      <c r="M1" s="33" t="s">
        <v>132</v>
      </c>
      <c r="N1" s="33" t="s">
        <v>133</v>
      </c>
      <c r="O1" s="33" t="s">
        <v>134</v>
      </c>
      <c r="P1" s="33" t="s">
        <v>135</v>
      </c>
      <c r="Q1" s="33" t="s">
        <v>136</v>
      </c>
      <c r="R1" s="33" t="s">
        <v>137</v>
      </c>
      <c r="S1" s="33" t="s">
        <v>138</v>
      </c>
    </row>
    <row r="2" spans="1:19" x14ac:dyDescent="0.25">
      <c r="A2" s="34"/>
      <c r="B2" s="34"/>
      <c r="C2" s="34"/>
      <c r="D2" s="34" t="s">
        <v>269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5" t="s">
        <v>153</v>
      </c>
      <c r="S2" s="35" t="s">
        <v>153</v>
      </c>
    </row>
    <row r="3" spans="1:19" x14ac:dyDescent="0.25">
      <c r="A3" s="34"/>
      <c r="B3" s="34"/>
      <c r="C3" s="34"/>
      <c r="D3" s="34" t="s">
        <v>269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5" t="s">
        <v>153</v>
      </c>
      <c r="S3" s="35" t="s">
        <v>153</v>
      </c>
    </row>
    <row r="4" spans="1:19" x14ac:dyDescent="0.25">
      <c r="A4" s="34"/>
      <c r="B4" s="34"/>
      <c r="C4" s="34"/>
      <c r="D4" s="34" t="s">
        <v>269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5"/>
      <c r="S4" s="35"/>
    </row>
    <row r="5" spans="1:19" x14ac:dyDescent="0.25">
      <c r="A5" s="36"/>
      <c r="B5" s="36"/>
      <c r="C5" s="36"/>
      <c r="D5" s="34" t="s">
        <v>269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6"/>
      <c r="S5" s="36"/>
    </row>
    <row r="6" spans="1:19" x14ac:dyDescent="0.25">
      <c r="A6" s="36"/>
      <c r="B6" s="36"/>
      <c r="C6" s="36"/>
      <c r="D6" s="34" t="s">
        <v>269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6"/>
      <c r="S6" s="36"/>
    </row>
    <row r="7" spans="1:19" x14ac:dyDescent="0.25">
      <c r="A7" s="36"/>
      <c r="B7" s="36"/>
      <c r="C7" s="36"/>
      <c r="D7" s="34" t="s">
        <v>269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6"/>
      <c r="S7" s="36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F25" sqref="F2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0531</v>
      </c>
    </row>
    <row r="3" spans="1:9" ht="13" x14ac:dyDescent="0.3">
      <c r="B3" s="13"/>
      <c r="C3" s="14" t="s">
        <v>95</v>
      </c>
      <c r="G3" s="15" t="str">
        <f>+sigle</f>
        <v>CALORIA</v>
      </c>
    </row>
    <row r="4" spans="1:9" ht="13" x14ac:dyDescent="0.3">
      <c r="B4" s="13"/>
      <c r="C4" s="14" t="s">
        <v>96</v>
      </c>
      <c r="G4" s="30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YS2342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DRW</v>
      </c>
    </row>
    <row r="16" spans="1:9" x14ac:dyDescent="0.25">
      <c r="C16" s="14" t="s">
        <v>100</v>
      </c>
      <c r="H16" s="7" t="str">
        <f>lieudetenue</f>
        <v>DRW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38,BOULEVARD DE MAINCY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>
        <f>cp</f>
        <v>77000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MELUN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928444082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00038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MELUN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FR53928444082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5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8"/>
      <c r="E45" s="29"/>
      <c r="F45" s="29"/>
      <c r="G45" s="29"/>
      <c r="H45" s="29"/>
      <c r="I45" s="29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513593</vt:lpstr>
      <vt:lpstr>INITSOC- Oracle R12</vt:lpstr>
      <vt:lpstr>Nouveau référentiel R12</vt:lpstr>
      <vt:lpstr>TSA CSP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'TSA CSP'!Impression_des_titres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2025-01-23T10:31:58Z</cp:lastPrinted>
  <dcterms:created xsi:type="dcterms:W3CDTF">1999-03-09T10:58:01Z</dcterms:created>
  <dcterms:modified xsi:type="dcterms:W3CDTF">2025-01-23T10:31:59Z</dcterms:modified>
</cp:coreProperties>
</file>