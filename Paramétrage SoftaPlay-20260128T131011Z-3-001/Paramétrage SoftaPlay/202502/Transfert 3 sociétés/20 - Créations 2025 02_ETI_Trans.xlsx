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2\Transfert 3 sociétés\"/>
    </mc:Choice>
  </mc:AlternateContent>
  <bookViews>
    <workbookView xWindow="290" yWindow="50" windowWidth="15870" windowHeight="5840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11" i="5" l="1"/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K11" i="5"/>
  <c r="AL11" i="5"/>
  <c r="AO11" i="5"/>
  <c r="AP11" i="5"/>
  <c r="AQ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<sst xmlns="http://schemas.openxmlformats.org/spreadsheetml/2006/main" count="583" uniqueCount="155">
  <si>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</si>
  <si>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</si>
  <si>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</si>
  <si>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</si>
  <si>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</si>
  <si>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</si>
  <si>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</si>
  <si>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</si>
  <si>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</si>
  <si>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</si>
  <si>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</si>
  <si>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</si>
  <si>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</si>
  <si>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</si>
  <si>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</si>
  <si>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</si>
  <si>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</si>
  <si>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</si>
  <si>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</si>
  <si>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</si>
  <si>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</si>
  <si>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</si>
  <si>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</si>
  <si>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</si>
  <si>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</si>
  <si>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</si>
  <si>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</si>
  <si>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</si>
  <si>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</si>
  <si>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</si>
  <si>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</si>
  <si>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</si>
  <si>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</si>
  <si>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</si>
  <si>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</si>
  <si>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</si>
  <si>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</si>
  <si>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</si>
  <si>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</si>
  <si>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</si>
  <si>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</si>
  <si>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</si>
  <si>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</si>
  <si>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</si>
  <si>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</si>
  <si>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</si>
  <si>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</si>
  <si>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</si>
  <si>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</si>
  <si>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</si>
  <si>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</si>
  <si>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</si>
  <si>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</si>
  <si>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</si>
  <si>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</si>
  <si>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</si>
  <si>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</si>
  <si>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</si>
  <si>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</si>
  <si>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</si>
  <si>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</si>
  <si>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</si>
  <si>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</si>
  <si>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</si>
  <si>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</si>
  <si>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</si>
  <si>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</si>
  <si>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</si>
  <si>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</si>
  <si>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</si>
  <si>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</si>
  <si>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</si>
  <si>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</si>
  <si>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</si>
  <si>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</si>
  <si>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</si>
  <si>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</si>
  <si>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</si>
  <si>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</si>
  <si>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</si>
  <si>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</si>
  <si>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</si>
  <si>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</si>
  <si>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</si>
  <si>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</si>
  <si>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</si>
  <si>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</si>
  <si>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</si>
  <si>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</si>
  <si>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</si>
  <si>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</si>
  <si>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</si>
  <si>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</si>
  <si>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</si>
  <si>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</si>
  <si>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</si>
  <si>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</si>
  <si>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</si>
  <si>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</si>
  <si>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</si>
  <si>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</si>
  <si>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</si>
  <si>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</si>
  <si>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</si>
  <si>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</si>
  <si>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</si>
  <si>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</si>
  <si>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</si>
  <si>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</si>
  <si>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</si>
  <si>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</si>
  <si>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</si>
  <si>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</si>
  <si>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</si>
  <si>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</si>
  <si>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</si>
  <si>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</si>
  <si>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</si>
  <si>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</si>
  <si>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</si>
  <si>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</si>
  <si>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</si>
  <si>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</si>
  <si>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0450</t>
  </si>
  <si>
    <t>REMIREMONT ENERGIE</t>
  </si>
  <si>
    <t>YS2018</t>
  </si>
  <si>
    <t>6, rue des Trezelots</t>
  </si>
  <si>
    <t>PULNOY</t>
  </si>
  <si>
    <t>TSA 15503</t>
  </si>
  <si>
    <t>FB0085324J</t>
  </si>
  <si>
    <t>0506</t>
  </si>
  <si>
    <t>MONTROUGE ER</t>
  </si>
  <si>
    <t>MONTROUGE ENERGIE RENOUVELABLE</t>
  </si>
  <si>
    <t>YS2122</t>
  </si>
  <si>
    <t>33, Place des Corolles TOUR EUROPE</t>
  </si>
  <si>
    <t>FB0085873H</t>
  </si>
  <si>
    <t>0531</t>
  </si>
  <si>
    <t>CALORIA</t>
  </si>
  <si>
    <t>YS2342</t>
  </si>
  <si>
    <t>MELUN</t>
  </si>
  <si>
    <t>FB0088645H</t>
  </si>
  <si>
    <t>0532</t>
  </si>
  <si>
    <t>RESEAU DE CHALEUR DU CENTRE HOSPITALIER D'ANGOULEME</t>
  </si>
  <si>
    <t>S2343</t>
  </si>
  <si>
    <t>RC HOPITAL ANGOULEME</t>
  </si>
  <si>
    <t>4B, RUE FRANCOISE D'EAUBONNE</t>
  </si>
  <si>
    <t>TOULOUSE</t>
  </si>
  <si>
    <t>FB0089103D</t>
  </si>
  <si>
    <t>0402</t>
  </si>
  <si>
    <t>MERICOURT CHALEUR URBAINE</t>
  </si>
  <si>
    <t>YS0102</t>
  </si>
  <si>
    <t>6, RUE DES TREZELOTS</t>
  </si>
  <si>
    <t>FB0088916R</t>
  </si>
  <si>
    <t>38, BOULEVARD DE MAINCY</t>
  </si>
  <si>
    <t>MERICOURT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</si>
</sst>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  <xf numFmtId="0" fontId="25" fillId="3" borderId="10" xfId="0" applyFont="1" applyFill="1" applyBorder="1" applyAlignment="1">
      <alignment horizontal="left"/>
    </xf>
    <xf numFmtId="0" fontId="24" fillId="0" borderId="0" xfId="0" applyFont="1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Normal="100" workbookViewId="0">
      <pane xSplit="6" ySplit="1" topLeftCell="G2" activePane="bottomRight" state="frozenSplit"/>
      <selection activeCell="D40" sqref="D40"/>
      <selection pane="topRight" activeCell="D40" sqref="D40"/>
      <selection pane="bottomLeft" activeCell="D40" sqref="D40"/>
      <selection pane="bottomRight" activeCell="I12" sqref="I12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3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2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1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3"/>
    </row>
    <row r="6" spans="1:19" s="6" customFormat="1" ht="16" thickBot="1" x14ac:dyDescent="0.4">
      <c r="A6" s="1" t="s">
        <v>123</v>
      </c>
      <c r="B6" s="6" t="s">
        <v>38</v>
      </c>
      <c r="C6" s="15" t="s">
        <v>124</v>
      </c>
      <c r="D6" s="6" t="s">
        <v>74</v>
      </c>
      <c r="E6" s="6" t="s">
        <v>34</v>
      </c>
      <c r="F6" s="6" t="s">
        <v>34</v>
      </c>
      <c r="G6" s="6" t="s">
        <v>125</v>
      </c>
      <c r="H6" s="20" t="s">
        <v>38</v>
      </c>
      <c r="I6" s="17" t="s">
        <v>124</v>
      </c>
      <c r="J6" s="6" t="s">
        <v>126</v>
      </c>
      <c r="K6" s="18">
        <v>54425</v>
      </c>
      <c r="L6" s="16" t="s">
        <v>127</v>
      </c>
      <c r="M6" s="6">
        <v>13450</v>
      </c>
      <c r="N6" s="6" t="s">
        <v>128</v>
      </c>
      <c r="O6" s="10" t="s">
        <v>99</v>
      </c>
      <c r="P6" s="19">
        <v>513520</v>
      </c>
      <c r="Q6" s="6" t="s">
        <v>108</v>
      </c>
      <c r="R6" s="23" t="s">
        <v>129</v>
      </c>
    </row>
    <row r="7" spans="1:19" s="6" customFormat="1" ht="16" thickBot="1" x14ac:dyDescent="0.4">
      <c r="A7" s="1" t="s">
        <v>130</v>
      </c>
      <c r="B7" s="6" t="s">
        <v>41</v>
      </c>
      <c r="C7" s="15" t="s">
        <v>132</v>
      </c>
      <c r="D7" s="6" t="s">
        <v>74</v>
      </c>
      <c r="E7" s="6" t="s">
        <v>34</v>
      </c>
      <c r="F7" s="6" t="s">
        <v>34</v>
      </c>
      <c r="G7" s="6" t="s">
        <v>133</v>
      </c>
      <c r="H7" s="4" t="s">
        <v>41</v>
      </c>
      <c r="I7" s="17" t="s">
        <v>131</v>
      </c>
      <c r="J7" s="6" t="s">
        <v>134</v>
      </c>
      <c r="K7" s="18">
        <v>92400</v>
      </c>
      <c r="L7" s="16" t="s">
        <v>106</v>
      </c>
      <c r="M7" s="6">
        <v>18506</v>
      </c>
      <c r="N7" s="6" t="s">
        <v>107</v>
      </c>
      <c r="O7" s="10" t="s">
        <v>99</v>
      </c>
      <c r="P7" s="19">
        <v>513565</v>
      </c>
      <c r="Q7" s="6" t="s">
        <v>108</v>
      </c>
      <c r="R7" s="23" t="s">
        <v>135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s="6" customFormat="1" ht="16" thickBot="1" x14ac:dyDescent="0.4">
      <c r="A9" s="1"/>
      <c r="C9" s="15"/>
      <c r="F9" s="4"/>
      <c r="H9" s="4"/>
      <c r="I9" s="17"/>
      <c r="J9" s="20"/>
      <c r="K9" s="18"/>
      <c r="L9" s="16"/>
      <c r="O9" s="10"/>
      <c r="P9" s="19"/>
      <c r="R9" s="23"/>
    </row>
    <row r="10" spans="1:19" ht="16" thickBot="1" x14ac:dyDescent="0.4">
      <c r="A10" s="1" t="s">
        <v>136</v>
      </c>
      <c r="B10" s="4" t="s">
        <v>41</v>
      </c>
      <c r="C10" s="26" t="s">
        <v>137</v>
      </c>
      <c r="D10" s="6" t="s">
        <v>74</v>
      </c>
      <c r="E10" s="6" t="s">
        <v>34</v>
      </c>
      <c r="F10" s="4" t="s">
        <v>34</v>
      </c>
      <c r="G10" s="6" t="s">
        <v>138</v>
      </c>
      <c r="H10" s="4" t="s">
        <v>41</v>
      </c>
      <c r="I10" s="25" t="s">
        <v>137</v>
      </c>
      <c r="J10" s="6" t="s">
        <v>153</v>
      </c>
      <c r="K10" s="18">
        <v>77000</v>
      </c>
      <c r="L10" s="16" t="s">
        <v>139</v>
      </c>
      <c r="M10" s="6">
        <v>18531</v>
      </c>
      <c r="N10" s="6" t="s">
        <v>107</v>
      </c>
      <c r="O10" s="10" t="s">
        <v>99</v>
      </c>
      <c r="P10" s="19">
        <v>513593</v>
      </c>
      <c r="Q10" s="6" t="s">
        <v>100</v>
      </c>
      <c r="R10" s="23" t="s">
        <v>140</v>
      </c>
      <c r="S10" s="6"/>
    </row>
    <row r="11" spans="1:19" ht="16" thickBot="1" x14ac:dyDescent="0.4">
      <c r="A11" s="1" t="s">
        <v>141</v>
      </c>
      <c r="B11" s="4" t="s">
        <v>44</v>
      </c>
      <c r="C11" s="26" t="s">
        <v>142</v>
      </c>
      <c r="D11" s="6" t="s">
        <v>74</v>
      </c>
      <c r="E11" s="6" t="s">
        <v>34</v>
      </c>
      <c r="F11" s="4" t="s">
        <v>34</v>
      </c>
      <c r="G11" s="6" t="s">
        <v>143</v>
      </c>
      <c r="H11" s="4" t="s">
        <v>44</v>
      </c>
      <c r="I11" s="25" t="s">
        <v>144</v>
      </c>
      <c r="J11" s="6" t="s">
        <v>145</v>
      </c>
      <c r="K11" s="18">
        <v>31200</v>
      </c>
      <c r="L11" s="16" t="s">
        <v>146</v>
      </c>
      <c r="M11" s="6">
        <v>57532</v>
      </c>
      <c r="N11" s="6" t="s">
        <v>114</v>
      </c>
      <c r="O11" s="10" t="s">
        <v>99</v>
      </c>
      <c r="P11" s="19">
        <v>513594</v>
      </c>
      <c r="Q11" s="6" t="s">
        <v>100</v>
      </c>
      <c r="R11" s="23" t="s">
        <v>147</v>
      </c>
      <c r="S11" s="6"/>
    </row>
    <row r="12" spans="1:19" ht="16" thickBot="1" x14ac:dyDescent="0.4">
      <c r="A12" s="1" t="s">
        <v>148</v>
      </c>
      <c r="B12" s="4" t="s">
        <v>38</v>
      </c>
      <c r="C12" s="26" t="s">
        <v>149</v>
      </c>
      <c r="D12" s="6" t="s">
        <v>74</v>
      </c>
      <c r="E12" s="6" t="s">
        <v>34</v>
      </c>
      <c r="F12" s="4" t="s">
        <v>34</v>
      </c>
      <c r="G12" t="s">
        <v>150</v>
      </c>
      <c r="H12" s="4" t="s">
        <v>38</v>
      </c>
      <c r="I12" s="25" t="s">
        <v>154</v>
      </c>
      <c r="J12" s="6" t="s">
        <v>151</v>
      </c>
      <c r="K12" s="18">
        <v>54425</v>
      </c>
      <c r="L12" s="16" t="s">
        <v>127</v>
      </c>
      <c r="M12" s="6">
        <v>13402</v>
      </c>
      <c r="N12" s="6" t="s">
        <v>128</v>
      </c>
      <c r="O12" s="10" t="s">
        <v>99</v>
      </c>
      <c r="P12" s="19">
        <v>513473</v>
      </c>
      <c r="Q12" s="6" t="s">
        <v>100</v>
      </c>
      <c r="R12" s="23" t="s">
        <v>152</v>
      </c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3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3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activeCell="D40" sqref="D40"/>
      <selection pane="bottomLeft" activeCell="D40" sqref="D40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Normal="100" workbookViewId="0">
      <pane ySplit="1" topLeftCell="A2" activePane="bottomLeft" state="frozenSplit"/>
      <selection activeCell="G39" sqref="G39"/>
      <selection pane="bottomLeft" activeCell="D12" sqref="D12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YS2018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REMIREMONT ENERGIE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YS2122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MONTROUGE ENERGIE RENOUVELABLE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35">
      <c r="A10" s="2" t="str">
        <f>IF(LEN('A créer'!G10)=0,"","*FN")</f>
        <v>*FN</v>
      </c>
      <c r="B10" s="6" t="str">
        <f>IF(LEN('A créer'!G10)=0,"",'A créer'!G10)</f>
        <v>YS2342</v>
      </c>
      <c r="C10" s="2" t="str">
        <f>IF(LEN('A créer'!G10)=0,"","Tab")</f>
        <v>Tab</v>
      </c>
      <c r="D10" s="6" t="str">
        <f>IF(LEN('A créer'!G10)=0,IF(LEN('A créer'!G10)&gt;0,CONCATENATE('A créer'!C10," ",'A créer'!B10),""),'A créer'!C10)</f>
        <v>CALORIA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 x14ac:dyDescent="0.35">
      <c r="A11" s="2" t="str">
        <f>IF(LEN('A créer'!G11)=0,"","*FN")</f>
        <v>*FN</v>
      </c>
      <c r="B11" s="6" t="str">
        <f>IF(LEN('A créer'!G11)=0,"",'A créer'!G11)</f>
        <v>S2343</v>
      </c>
      <c r="C11" s="2" t="str">
        <f>IF(LEN('A créer'!G11)=0,"","Tab")</f>
        <v>Tab</v>
      </c>
      <c r="D11" s="6" t="str">
        <f>IF(LEN('A créer'!G11)=0,IF(LEN('A créer'!G11)&gt;0,CONCATENATE('A créer'!C11," ",'A créer'!B11),""),'A créer'!C11)</f>
        <v>RESEAU DE CHALEUR DU CENTRE HOSPITALIER D'ANGOULEME</v>
      </c>
      <c r="E11" s="2" t="str">
        <f>IF(LEN('A créer'!G11)=0,"","Tab")</f>
        <v>Tab</v>
      </c>
      <c r="F11" s="2" t="str">
        <f>IF(LEN('A créer'!G11)=0,"","*SAVE")</f>
        <v>*SAVE</v>
      </c>
    </row>
    <row r="12" spans="1:6" x14ac:dyDescent="0.35">
      <c r="A12" s="2" t="str">
        <f>IF(LEN('A créer'!G12)=0,"","*FN")</f>
        <v>*FN</v>
      </c>
      <c r="B12" s="6" t="str">
        <f>IF(LEN('A créer'!G12)=0,"",'A créer'!G12)</f>
        <v>YS0102</v>
      </c>
      <c r="C12" s="2" t="str">
        <f>IF(LEN('A créer'!G12)=0,"","Tab")</f>
        <v>Tab</v>
      </c>
      <c r="D12" s="6" t="str">
        <f>IF(LEN('A créer'!G12)=0,IF(LEN('A créer'!G12)&gt;0,CONCATENATE('A créer'!C12," ",'A créer'!B12),""),'A créer'!C12)</f>
        <v>MERICOURT CHALEUR URBAINE</v>
      </c>
      <c r="E12" s="2" t="str">
        <f>IF(LEN('A créer'!G12)=0,"","Tab")</f>
        <v>Tab</v>
      </c>
      <c r="F12" s="2" t="str">
        <f>IF(LEN('A créer'!G12)=0,"","*SAVE")</f>
        <v>*SAVE</v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Normal="100" workbookViewId="0">
      <pane xSplit="1" ySplit="1" topLeftCell="AC2" activePane="bottomRight" state="frozenSplit"/>
      <selection activeCell="D40" sqref="D40"/>
      <selection pane="topRight" activeCell="D40" sqref="D40"/>
      <selection pane="bottomLeft" activeCell="D40" sqref="D40"/>
      <selection pane="bottomRight" activeCell="D40" sqref="D40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Normal="100" workbookViewId="0">
      <pane xSplit="1" ySplit="1" topLeftCell="B2" activePane="bottomRight" state="frozenSplit"/>
      <selection activeCell="D40" sqref="D40"/>
      <selection pane="topRight" activeCell="D40" sqref="D40"/>
      <selection pane="bottomLeft" activeCell="D40" sqref="D40"/>
      <selection pane="bottomRight" activeCell="D40" sqref="D40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 t="str">
        <f>IF('A créer'!D10="Oui",IF(AND(LEN('A créer'!B10)&gt;0,'A créer'!B10&lt;&gt;'A créer'!H10)=TRUE,'A créer'!G10,""),'A créer'!G10)</f>
        <v/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 t="str">
        <f>IF('A créer'!D11="Oui",IF(AND(LEN('A créer'!B11)&gt;0,'A créer'!B11&lt;&gt;'A créer'!H11)=TRUE,'A créer'!G11,""),'A créer'!G11)</f>
        <v/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 t="str">
        <f>IF('A créer'!D12="Oui",IF(AND(LEN('A créer'!B12)&gt;0,'A créer'!B12&lt;&gt;'A créer'!H12)=TRUE,'A créer'!G12,""),'A créer'!G12)</f>
        <v/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Normal="100" workbookViewId="0">
      <pane ySplit="1" topLeftCell="A2" activePane="bottomLeft" state="frozenSplit"/>
      <selection activeCell="D40" sqref="D40"/>
      <selection pane="bottomLeft" activeCell="D12" sqref="D12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BNP PARIBAS 0450 REMIREMONT ENERGIE/DCW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513565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0506 MONTROUGE ENERGIE RENOUVELABLE/DRW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35">
      <c r="A10" s="2" t="str">
        <f>IF(AND(LEN('A créer'!P10)=0,OR('A créer'!D10="Oui",LEN('A créer'!D10)=0))=TRUE,"","*FN")</f>
        <v>*FN</v>
      </c>
      <c r="B10" s="6">
        <f>IF(AND(LEN('A créer'!P10)=0,OR('A créer'!D10="Oui",LEN('A créer'!D10)=0))=TRUE,"",'A créer'!P10)</f>
        <v>513593</v>
      </c>
      <c r="C10" s="2" t="str">
        <f>IF(AND(LEN('A créer'!P10)=0,OR('A créer'!D10="Oui",LEN('A créer'!D10)=0))=TRUE,"","Tab")</f>
        <v>Tab</v>
      </c>
      <c r="D10" s="6" t="str">
        <f>IF(AND(LEN('A créer'!P10)=0,OR('A créer'!D10="Oui",LEN('A créer'!D10)=0))=TRUE,"",CONCATENATE('A créer'!Q10," ",'A créer'!A10," ",'A créer'!C10,"/",'A créer'!B10))</f>
        <v>SOCIETE GENERALE 0531 CALORIA/DRW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6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6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6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6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6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94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 x14ac:dyDescent="0.35">
      <c r="A11" s="2" t="str">
        <f>IF(AND(LEN('A créer'!P11)=0,OR('A créer'!D11="Oui",LEN('A créer'!D11)=0))=TRUE,"","*FN")</f>
        <v>*FN</v>
      </c>
      <c r="B11" s="6">
        <f>IF(AND(LEN('A créer'!P11)=0,OR('A créer'!D11="Oui",LEN('A créer'!D11)=0))=TRUE,"",'A créer'!P11)</f>
        <v>513594</v>
      </c>
      <c r="C11" s="2" t="str">
        <f>IF(AND(LEN('A créer'!P11)=0,OR('A créer'!D11="Oui",LEN('A créer'!D11)=0))=TRUE,"","Tab")</f>
        <v>Tab</v>
      </c>
      <c r="D11" s="6" t="str">
        <f>IF(AND(LEN('A créer'!P11)=0,OR('A créer'!D11="Oui",LEN('A créer'!D11)=0))=TRUE,"",CONCATENATE('A créer'!Q11," ",'A créer'!A11," ",'A créer'!C11,"/",'A créer'!B11))</f>
        <v>SOCIETE GENERALE 0532 RESEAU DE CHALEUR DU CENTRE HOSPITALIER D'ANGOULEME/DNA</v>
      </c>
      <c r="E11" s="2" t="str">
        <f>IF(AND(LEN('A créer'!P11)=0,OR('A créer'!D11="Oui",LEN('A créer'!D11)=0))=TRUE,"","Tab 4")</f>
        <v>Tab 4</v>
      </c>
      <c r="F11" s="2" t="str">
        <f>IF(AND(LEN('A créer'!P11)=0,OR('A créer'!D11="Oui",LEN('A créer'!D11)=0))=TRUE,"","Tab")</f>
        <v>Tab</v>
      </c>
      <c r="G11" s="2" t="str">
        <f>IF(AND(LEN('A créer'!P11)=0,OR('A créer'!D11="Oui",LEN('A créer'!D11)=0))=TRUE,"","Tab")</f>
        <v>Tab</v>
      </c>
      <c r="H11" s="6" t="str">
        <f>IF(AND(LEN('A créer'!P11)=0,OR('A créer'!D11="Oui",LEN('A créer'!D11)=0))=TRUE,"","Non")</f>
        <v>Non</v>
      </c>
      <c r="I11" s="2" t="str">
        <f>IF(AND(LEN('A créer'!P11)=0,OR('A créer'!D11="Oui",LEN('A créer'!D11)=0))=TRUE,"","Tab")</f>
        <v>Tab</v>
      </c>
      <c r="J11" s="6" t="str">
        <f>IF(AND(LEN('A créer'!P11)=0,OR('A créer'!D11="Oui",LEN('A créer'!D11)=0))=TRUE,"","Oui")</f>
        <v>Oui</v>
      </c>
      <c r="K11" s="2" t="str">
        <f>IF(AND(LEN('A créer'!P11)=0,OR('A créer'!D11="Oui",LEN('A créer'!D11)=0))=TRUE,"","Tab")</f>
        <v>Tab</v>
      </c>
      <c r="L11" s="6" t="str">
        <f>IF(AND(LEN('A créer'!P11)=0,OR('A créer'!D11="Oui",LEN('A créer'!D11)=0))=TRUE,"","Actif")</f>
        <v>Actif</v>
      </c>
      <c r="M11" s="2" t="str">
        <f>IF(AND(LEN('A créer'!P11)=0,OR('A créer'!D11="Oui",LEN('A créer'!D11)=0))=TRUE,"","Tab")</f>
        <v>Tab</v>
      </c>
      <c r="N11" s="6" t="str">
        <f>IF(AND(LEN('A créer'!P11)=0,OR('A créer'!D11="Oui",LEN('A créer'!D11)=0))=TRUE,"","Non")</f>
        <v>Non</v>
      </c>
      <c r="O11" s="2" t="str">
        <f>IF(AND(LEN('A créer'!P11)=0,OR('A créer'!D11="Oui",LEN('A créer'!D11)=0))=TRUE,"","Tab")</f>
        <v>Tab</v>
      </c>
      <c r="P11" s="6" t="str">
        <f>IF(AND(LEN('A créer'!P11)=0,OR('A créer'!D11="Oui",LEN('A créer'!D11)=0))=TRUE,"","Non")</f>
        <v>Non</v>
      </c>
      <c r="Q11" s="2" t="str">
        <f>IF(AND(LEN('A créer'!P11)=0,OR('A créer'!D11="Oui",LEN('A créer'!D11)=0))=TRUE,"","Tab")</f>
        <v>Tab</v>
      </c>
      <c r="R11" s="2" t="str">
        <f>IF(AND(LEN('A créer'!P11)=0,OR('A créer'!D11="Oui",LEN('A créer'!D11)=0))=TRUE,"","ENT")</f>
        <v>ENT</v>
      </c>
      <c r="S11" s="2" t="s">
        <v>94</v>
      </c>
      <c r="T11" s="2" t="str">
        <f>IF(AND(LEN('A créer'!P11)=0,OR('A créer'!D11="Oui",LEN('A créer'!D11)=0))=TRUE,"","Tab")</f>
        <v>Tab</v>
      </c>
      <c r="U11" s="2" t="str">
        <f>IF(AND(LEN('A créer'!P11)=0,OR('A créer'!D11="Oui",LEN('A créer'!D11)=0))=TRUE,"","Tab")</f>
        <v>Tab</v>
      </c>
      <c r="V11" s="2" t="str">
        <f>IF(AND(LEN('A créer'!P11)=0,OR('A créer'!D11="Oui",LEN('A créer'!D11)=0))=TRUE,"","Tab")</f>
        <v>Tab</v>
      </c>
      <c r="W11" s="4" t="str">
        <f>IF(AND(LEN('A créer'!P11)=0,OR('A créer'!D11="Oui",LEN('A créer'!D11)=0))=TRUE,"","Non")</f>
        <v>Non</v>
      </c>
      <c r="X11" s="2" t="str">
        <f>IF(AND(LEN('A créer'!P11)=0,OR('A créer'!D11="Oui",LEN('A créer'!D11)=0))=TRUE,"","ENT")</f>
        <v>ENT</v>
      </c>
      <c r="Y11" s="2" t="str">
        <f>IF(AND(LEN('A créer'!P11)=0,OR('A créer'!D11="Oui",LEN('A créer'!D11)=0))=TRUE,"","*SAVE")</f>
        <v>*SAVE</v>
      </c>
    </row>
    <row r="12" spans="1:25" x14ac:dyDescent="0.35">
      <c r="A12" s="2" t="str">
        <f>IF(AND(LEN('A créer'!P12)=0,OR('A créer'!D12="Oui",LEN('A créer'!D12)=0))=TRUE,"","*FN")</f>
        <v>*FN</v>
      </c>
      <c r="B12" s="6">
        <f>IF(AND(LEN('A créer'!P12)=0,OR('A créer'!D12="Oui",LEN('A créer'!D12)=0))=TRUE,"",'A créer'!P12)</f>
        <v>513473</v>
      </c>
      <c r="C12" s="2" t="str">
        <f>IF(AND(LEN('A créer'!P12)=0,OR('A créer'!D12="Oui",LEN('A créer'!D12)=0))=TRUE,"","Tab")</f>
        <v>Tab</v>
      </c>
      <c r="D12" s="6" t="str">
        <f>IF(AND(LEN('A créer'!P12)=0,OR('A créer'!D12="Oui",LEN('A créer'!D12)=0))=TRUE,"",CONCATENATE('A créer'!Q12," ",'A créer'!A12," ",'A créer'!C12,"/",'A créer'!B12))</f>
        <v>SOCIETE GENERALE 0402 MERICOURT CHALEUR URBAINE/DCW</v>
      </c>
      <c r="E12" s="2" t="str">
        <f>IF(AND(LEN('A créer'!P12)=0,OR('A créer'!D12="Oui",LEN('A créer'!D12)=0))=TRUE,"","Tab 4")</f>
        <v>Tab 4</v>
      </c>
      <c r="F12" s="2" t="str">
        <f>IF(AND(LEN('A créer'!P12)=0,OR('A créer'!D12="Oui",LEN('A créer'!D12)=0))=TRUE,"","Tab")</f>
        <v>Tab</v>
      </c>
      <c r="G12" s="2" t="str">
        <f>IF(AND(LEN('A créer'!P12)=0,OR('A créer'!D12="Oui",LEN('A créer'!D12)=0))=TRUE,"","Tab")</f>
        <v>Tab</v>
      </c>
      <c r="H12" s="6" t="str">
        <f>IF(AND(LEN('A créer'!P12)=0,OR('A créer'!D12="Oui",LEN('A créer'!D12)=0))=TRUE,"","Non")</f>
        <v>Non</v>
      </c>
      <c r="I12" s="2" t="str">
        <f>IF(AND(LEN('A créer'!P12)=0,OR('A créer'!D12="Oui",LEN('A créer'!D12)=0))=TRUE,"","Tab")</f>
        <v>Tab</v>
      </c>
      <c r="J12" s="6" t="str">
        <f>IF(AND(LEN('A créer'!P12)=0,OR('A créer'!D12="Oui",LEN('A créer'!D12)=0))=TRUE,"","Oui")</f>
        <v>Oui</v>
      </c>
      <c r="K12" s="2" t="str">
        <f>IF(AND(LEN('A créer'!P12)=0,OR('A créer'!D12="Oui",LEN('A créer'!D12)=0))=TRUE,"","Tab")</f>
        <v>Tab</v>
      </c>
      <c r="L12" s="6" t="str">
        <f>IF(AND(LEN('A créer'!P12)=0,OR('A créer'!D12="Oui",LEN('A créer'!D12)=0))=TRUE,"","Actif")</f>
        <v>Actif</v>
      </c>
      <c r="M12" s="2" t="str">
        <f>IF(AND(LEN('A créer'!P12)=0,OR('A créer'!D12="Oui",LEN('A créer'!D12)=0))=TRUE,"","Tab")</f>
        <v>Tab</v>
      </c>
      <c r="N12" s="6" t="str">
        <f>IF(AND(LEN('A créer'!P12)=0,OR('A créer'!D12="Oui",LEN('A créer'!D12)=0))=TRUE,"","Non")</f>
        <v>Non</v>
      </c>
      <c r="O12" s="2" t="str">
        <f>IF(AND(LEN('A créer'!P12)=0,OR('A créer'!D12="Oui",LEN('A créer'!D12)=0))=TRUE,"","Tab")</f>
        <v>Tab</v>
      </c>
      <c r="P12" s="6" t="str">
        <f>IF(AND(LEN('A créer'!P12)=0,OR('A créer'!D12="Oui",LEN('A créer'!D12)=0))=TRUE,"","Non")</f>
        <v>Non</v>
      </c>
      <c r="Q12" s="2" t="str">
        <f>IF(AND(LEN('A créer'!P12)=0,OR('A créer'!D12="Oui",LEN('A créer'!D12)=0))=TRUE,"","Tab")</f>
        <v>Tab</v>
      </c>
      <c r="R12" s="2" t="str">
        <f>IF(AND(LEN('A créer'!P12)=0,OR('A créer'!D12="Oui",LEN('A créer'!D12)=0))=TRUE,"","ENT")</f>
        <v>ENT</v>
      </c>
      <c r="S12" s="2" t="s">
        <v>94</v>
      </c>
      <c r="T12" s="2" t="str">
        <f>IF(AND(LEN('A créer'!P12)=0,OR('A créer'!D12="Oui",LEN('A créer'!D12)=0))=TRUE,"","Tab")</f>
        <v>Tab</v>
      </c>
      <c r="U12" s="2" t="str">
        <f>IF(AND(LEN('A créer'!P12)=0,OR('A créer'!D12="Oui",LEN('A créer'!D12)=0))=TRUE,"","Tab")</f>
        <v>Tab</v>
      </c>
      <c r="V12" s="2" t="str">
        <f>IF(AND(LEN('A créer'!P12)=0,OR('A créer'!D12="Oui",LEN('A créer'!D12)=0))=TRUE,"","Tab")</f>
        <v>Tab</v>
      </c>
      <c r="W12" s="4" t="str">
        <f>IF(AND(LEN('A créer'!P12)=0,OR('A créer'!D12="Oui",LEN('A créer'!D12)=0))=TRUE,"","Non")</f>
        <v>Non</v>
      </c>
      <c r="X12" s="2" t="str">
        <f>IF(AND(LEN('A créer'!P12)=0,OR('A créer'!D12="Oui",LEN('A créer'!D12)=0))=TRUE,"","ENT")</f>
        <v>ENT</v>
      </c>
      <c r="Y12" s="2" t="str">
        <f>IF(AND(LEN('A créer'!P12)=0,OR('A créer'!D12="Oui",LEN('A créer'!D12)=0))=TRUE,"","*SAVE")</f>
        <v>*SAVE</v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zoomScaleNormal="100" workbookViewId="0">
      <pane ySplit="1" topLeftCell="A2" activePane="bottomLeft" state="frozenSplit"/>
      <selection activeCell="D40" sqref="D40"/>
      <selection pane="bottomLeft" activeCell="B12" sqref="B12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DCW0450</v>
      </c>
      <c r="C6" s="2" t="str">
        <f>IF(LEN('A créer'!C6)=0,"","Tab")</f>
        <v>Tab</v>
      </c>
      <c r="D6" t="str">
        <f>IF(LEN('A créer'!C6)=0,"",CONCATENATE(,'A créer'!B6,'A créer'!A6,"-",'A créer'!C6))</f>
        <v>DCW0450-REMIREMONT ENERGIE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FB0085324J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DCW_0450PF FPS 0450 REMIREMONT ENERGIE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DRW0506</v>
      </c>
      <c r="C7" s="2" t="str">
        <f>IF(LEN('A créer'!C7)=0,"","Tab")</f>
        <v>Tab</v>
      </c>
      <c r="D7" t="str">
        <f>IF(LEN('A créer'!C7)=0,"",CONCATENATE(,'A créer'!B7,'A créer'!A7,"-",'A créer'!C7))</f>
        <v>DRW0506-MONTROUGE ENERGIE RENOUVELABLE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FB0085873H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DRW_0506PF FPS 0506 MONTROUGE ENERGIE RENOUVELABLE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35">
      <c r="A10" s="2" t="str">
        <f>IF(LEN('A créer'!C10)=0,"","*FN")</f>
        <v>*FN</v>
      </c>
      <c r="B10" t="str">
        <f>IF(LEN('A créer'!C10)=0,"",CONCATENATE(,'A créer'!B10,'A créer'!A10))</f>
        <v>DRW0531</v>
      </c>
      <c r="C10" s="2" t="str">
        <f>IF(LEN('A créer'!C10)=0,"","Tab")</f>
        <v>Tab</v>
      </c>
      <c r="D10" t="str">
        <f>IF(LEN('A créer'!C10)=0,"",CONCATENATE(,'A créer'!B10,'A créer'!A10,"-",'A créer'!C10))</f>
        <v>DRW0531-CALORIA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FB0088645H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DRW_0531PF FPS 0531 CALORIA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 x14ac:dyDescent="0.35">
      <c r="A11" s="2" t="str">
        <f>IF(LEN('A créer'!C11)=0,"","*FN")</f>
        <v>*FN</v>
      </c>
      <c r="B11" t="str">
        <f>IF(LEN('A créer'!C11)=0,"",CONCATENATE(,'A créer'!B11,'A créer'!A11))</f>
        <v>DNA0532</v>
      </c>
      <c r="C11" s="2" t="str">
        <f>IF(LEN('A créer'!C11)=0,"","Tab")</f>
        <v>Tab</v>
      </c>
      <c r="D11" t="str">
        <f>IF(LEN('A créer'!C11)=0,"",CONCATENATE(,'A créer'!B11,'A créer'!A11,"-",'A créer'!C11))</f>
        <v>DNA0532-RESEAU DE CHALEUR DU CENTRE HOSPITALIER D'ANGOULEME</v>
      </c>
      <c r="E11" s="2" t="str">
        <f>IF(LEN('A créer'!C11)=0,"","Tab 4")</f>
        <v>Tab 4</v>
      </c>
      <c r="F11" s="2" t="str">
        <f>IF(LEN('A créer'!C11)=0,"","Tab")</f>
        <v>Tab</v>
      </c>
      <c r="G11" s="2" t="str">
        <f>IF(LEN('A créer'!C11)=0,"","Tab")</f>
        <v>Tab</v>
      </c>
      <c r="H11" s="2" t="str">
        <f>IF(LEN('A créer'!C11)=0,"","ENT")</f>
        <v>ENT</v>
      </c>
      <c r="I11" s="2" t="str">
        <f>IF(LEN('A créer'!C11)=0,"","*SAVE")</f>
        <v>*SAVE</v>
      </c>
      <c r="J11" s="2" t="str">
        <f>IF(LEN('A créer'!R11)=0,"","*FN")</f>
        <v>*FN</v>
      </c>
      <c r="K11" t="str">
        <f>IF(LEN('A créer'!R11)=0,"",'A créer'!R11)</f>
        <v>FB0089103D</v>
      </c>
      <c r="L11" s="2" t="str">
        <f>IF(LEN('A créer'!R11)=0,"","Tab")</f>
        <v>Tab</v>
      </c>
      <c r="M11" t="str">
        <f>IF(LEN('A créer'!R11)=0,"",CONCATENATE(,'A créer'!B11,"_",'A créer'!A11,"PF FPS ",'A créer'!A11," ",'A créer'!C11))</f>
        <v>DNA_0532PF FPS 0532 RESEAU DE CHALEUR DU CENTRE HOSPITALIER D'ANGOULEME</v>
      </c>
      <c r="N11" s="2" t="str">
        <f>IF(LEN('A créer'!R11)=0,"","Tab 4")</f>
        <v>Tab 4</v>
      </c>
      <c r="O11" s="2" t="str">
        <f>IF(LEN('A créer'!R11)=0,"","Tab")</f>
        <v>Tab</v>
      </c>
      <c r="P11" s="2" t="str">
        <f>IF(LEN('A créer'!R11)=0,"","Tab")</f>
        <v>Tab</v>
      </c>
      <c r="Q11" s="2" t="str">
        <f>IF(LEN('A créer'!R11)=0,"","ENT")</f>
        <v>ENT</v>
      </c>
      <c r="R11" s="2" t="str">
        <f>IF(LEN('A créer'!R11)=0,"","*SAVE")</f>
        <v>*SAVE</v>
      </c>
    </row>
    <row r="12" spans="1:18" x14ac:dyDescent="0.35">
      <c r="A12" s="2" t="str">
        <f>IF(LEN('A créer'!C12)=0,"","*FN")</f>
        <v>*FN</v>
      </c>
      <c r="B12" t="str">
        <f>IF(LEN('A créer'!C12)=0,"",CONCATENATE(,'A créer'!B12,'A créer'!A12))</f>
        <v>DCW0402</v>
      </c>
      <c r="C12" s="2" t="str">
        <f>IF(LEN('A créer'!C12)=0,"","Tab")</f>
        <v>Tab</v>
      </c>
      <c r="D12" t="str">
        <f>IF(LEN('A créer'!C12)=0,"",CONCATENATE(,'A créer'!B12,'A créer'!A12,"-",'A créer'!C12))</f>
        <v>DCW0402-MERICOURT CHALEUR URBAINE</v>
      </c>
      <c r="E12" s="2" t="str">
        <f>IF(LEN('A créer'!C12)=0,"","Tab 4")</f>
        <v>Tab 4</v>
      </c>
      <c r="F12" s="2" t="str">
        <f>IF(LEN('A créer'!C12)=0,"","Tab")</f>
        <v>Tab</v>
      </c>
      <c r="G12" s="2" t="str">
        <f>IF(LEN('A créer'!C12)=0,"","Tab")</f>
        <v>Tab</v>
      </c>
      <c r="H12" s="2" t="str">
        <f>IF(LEN('A créer'!C12)=0,"","ENT")</f>
        <v>ENT</v>
      </c>
      <c r="I12" s="2" t="str">
        <f>IF(LEN('A créer'!C12)=0,"","*SAVE")</f>
        <v>*SAVE</v>
      </c>
      <c r="J12" s="2" t="str">
        <f>IF(LEN('A créer'!R12)=0,"","*FN")</f>
        <v>*FN</v>
      </c>
      <c r="K12" t="str">
        <f>IF(LEN('A créer'!R12)=0,"",'A créer'!R12)</f>
        <v>FB0088916R</v>
      </c>
      <c r="L12" s="2" t="str">
        <f>IF(LEN('A créer'!R12)=0,"","Tab")</f>
        <v>Tab</v>
      </c>
      <c r="M12" t="str">
        <f>IF(LEN('A créer'!R12)=0,"",CONCATENATE(,'A créer'!B12,"_",'A créer'!A12,"PF FPS ",'A créer'!A12," ",'A créer'!C12))</f>
        <v>DCW_0402PF FPS 0402 MERICOURT CHALEUR URBAINE</v>
      </c>
      <c r="N12" s="2" t="str">
        <f>IF(LEN('A créer'!R12)=0,"","Tab 4")</f>
        <v>Tab 4</v>
      </c>
      <c r="O12" s="2" t="str">
        <f>IF(LEN('A créer'!R12)=0,"","Tab")</f>
        <v>Tab</v>
      </c>
      <c r="P12" s="2" t="str">
        <f>IF(LEN('A créer'!R12)=0,"","Tab")</f>
        <v>Tab</v>
      </c>
      <c r="Q12" s="2" t="str">
        <f>IF(LEN('A créer'!R12)=0,"","ENT")</f>
        <v>ENT</v>
      </c>
      <c r="R12" s="2" t="str">
        <f>IF(LEN('A créer'!R12)=0,"","*SAVE")</f>
        <v>*SAVE</v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Normal="100" workbookViewId="0">
      <pane xSplit="1" ySplit="1" topLeftCell="B2" activePane="bottomRight" state="frozenSplit"/>
      <selection activeCell="D40" sqref="D40"/>
      <selection pane="topRight" activeCell="D40" sqref="D40"/>
      <selection pane="bottomLeft" activeCell="D40" sqref="D40"/>
      <selection pane="bottomRight" activeCell="D40" sqref="D40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0450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DCW0450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0506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DRW0506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6" t="str">
        <f>IF(LEN('A créer'!C10)=0,"",'A créer'!A10)</f>
        <v>0531</v>
      </c>
      <c r="E10" s="2" t="str">
        <f>IF(LEN('A créer'!C10)=0,"","Tab")</f>
        <v>Tab</v>
      </c>
      <c r="F10" s="6">
        <f>IF(LEN('A créer'!C10)=0,"",0)</f>
        <v>0</v>
      </c>
      <c r="G10" s="2" t="str">
        <f>IF(LEN('A créer'!C10)=0,"","Tab")</f>
        <v>Tab</v>
      </c>
      <c r="H10" s="6" t="str">
        <f>IF(LEN('A créer'!C10)=0,"","ZZZ")</f>
        <v>ZZZ</v>
      </c>
      <c r="I10" s="6" t="str">
        <f>IF(LEN('A créer'!C10)=0,"","0")</f>
        <v>0</v>
      </c>
      <c r="J10" s="2" t="str">
        <f>IF(LEN('A créer'!C10)=0,"","Tab")</f>
        <v>Tab</v>
      </c>
      <c r="K10" s="6" t="str">
        <f>IF(LEN('A créer'!C10)=0,"","ZZZZZZ")</f>
        <v>ZZZZZZ</v>
      </c>
      <c r="L10" s="6" t="str">
        <f>IF(LEN('A créer'!C10)=0,"","0")</f>
        <v>0</v>
      </c>
      <c r="M10" s="2" t="str">
        <f>IF(LEN('A créer'!C10)=0,"","Tab")</f>
        <v>Tab</v>
      </c>
      <c r="N10" s="6" t="str">
        <f>IF(LEN('A créer'!C10)=0,"","ZZZZZ")</f>
        <v>ZZZZZ</v>
      </c>
      <c r="O10" s="6" t="str">
        <f>IF(LEN('A créer'!C10)=0,"",CONCATENATE('A créer'!B10,'A créer'!A10))</f>
        <v>DRW0531</v>
      </c>
      <c r="P10" s="2" t="str">
        <f>IF(LEN('A créer'!C10)=0,"","Tab")</f>
        <v>Tab</v>
      </c>
      <c r="Q10" s="6" t="str">
        <f>IF(LEN('A créer'!C10)=0,"","0")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 t="str">
        <f>IF(LEN('A créer'!C10)=0,"","0")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 t="str">
        <f>IF(LEN('A créer'!C10)=0,"","0")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 t="str">
        <f>IF(LEN('A créer'!C10)=0,"","0")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 t="str">
        <f>IF(LEN('A créer'!C10)=0,"","0")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 t="str">
        <f>IF(LEN('A créer'!C10)=0,"","0")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 t="str">
        <f>IF(LEN('A créer'!C10)=0,"","0")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>*FN</v>
      </c>
      <c r="B11" s="3" t="str">
        <f>IF(LEN('A créer'!C11)=0,"","\E")</f>
        <v>\E</v>
      </c>
      <c r="C11" s="2" t="str">
        <f>IF(LEN('A créer'!C11)=0,"","Tab")</f>
        <v>Tab</v>
      </c>
      <c r="D11" s="6" t="str">
        <f>IF(LEN('A créer'!C11)=0,"",'A créer'!A11)</f>
        <v>0532</v>
      </c>
      <c r="E11" s="2" t="str">
        <f>IF(LEN('A créer'!C11)=0,"","Tab")</f>
        <v>Tab</v>
      </c>
      <c r="F11" s="6">
        <f>IF(LEN('A créer'!C11)=0,"",0)</f>
        <v>0</v>
      </c>
      <c r="G11" s="2" t="str">
        <f>IF(LEN('A créer'!C11)=0,"","Tab")</f>
        <v>Tab</v>
      </c>
      <c r="H11" s="6" t="str">
        <f>IF(LEN('A créer'!C11)=0,"","ZZZ")</f>
        <v>ZZZ</v>
      </c>
      <c r="I11" s="6" t="str">
        <f>IF(LEN('A créer'!C11)=0,"","0")</f>
        <v>0</v>
      </c>
      <c r="J11" s="2" t="str">
        <f>IF(LEN('A créer'!C11)=0,"","Tab")</f>
        <v>Tab</v>
      </c>
      <c r="K11" s="6" t="str">
        <f>IF(LEN('A créer'!C11)=0,"","ZZZZZZ")</f>
        <v>ZZZZZZ</v>
      </c>
      <c r="L11" s="6" t="str">
        <f>IF(LEN('A créer'!C11)=0,"","0")</f>
        <v>0</v>
      </c>
      <c r="M11" s="2" t="str">
        <f>IF(LEN('A créer'!C11)=0,"","Tab")</f>
        <v>Tab</v>
      </c>
      <c r="N11" s="6" t="str">
        <f>IF(LEN('A créer'!C11)=0,"","ZZZZZ")</f>
        <v>ZZZZZ</v>
      </c>
      <c r="O11" s="6" t="str">
        <f>IF(LEN('A créer'!C11)=0,"",CONCATENATE('A créer'!B11,'A créer'!A11))</f>
        <v>DNA0532</v>
      </c>
      <c r="P11" s="2" t="str">
        <f>IF(LEN('A créer'!C11)=0,"","Tab")</f>
        <v>Tab</v>
      </c>
      <c r="Q11" s="6" t="str">
        <f>IF(LEN('A créer'!C11)=0,"","0")</f>
        <v>0</v>
      </c>
      <c r="R11" s="2" t="str">
        <f>IF(LEN('A créer'!C11)=0,"","Tab")</f>
        <v>Tab</v>
      </c>
      <c r="S11" s="6" t="str">
        <f>IF(LEN('A créer'!C11)=0,"","ZZZZZZZZZZ")</f>
        <v>ZZZZZZZZZZ</v>
      </c>
      <c r="T11" s="6" t="str">
        <f>IF(LEN('A créer'!C11)=0,"","0")</f>
        <v>0</v>
      </c>
      <c r="U11" s="2" t="str">
        <f>IF(LEN('A créer'!C11)=0,"","Tab")</f>
        <v>Tab</v>
      </c>
      <c r="V11" s="6" t="str">
        <f>IF(LEN('A créer'!C11)=0,"","ZZZZZZZZZZ")</f>
        <v>ZZZZZZZZZZ</v>
      </c>
      <c r="W11" s="6" t="str">
        <f>IF(LEN('A créer'!C11)=0,"","0")</f>
        <v>0</v>
      </c>
      <c r="X11" s="2" t="str">
        <f>IF(LEN('A créer'!C11)=0,"","Tab")</f>
        <v>Tab</v>
      </c>
      <c r="Y11" s="6" t="str">
        <f>IF(LEN('A créer'!C11)=0,"","ZZZZZZZZZZZZZZZ")</f>
        <v>ZZZZZZZZZZZZZZZ</v>
      </c>
      <c r="Z11" s="6" t="str">
        <f>IF(LEN('A créer'!C11)=0,"","0")</f>
        <v>0</v>
      </c>
      <c r="AA11" s="2" t="str">
        <f>IF(LEN('A créer'!C11)=0,"","Tab")</f>
        <v>Tab</v>
      </c>
      <c r="AB11" s="6" t="str">
        <f>IF(LEN('A créer'!C11)=0,"","ZZZ")</f>
        <v>ZZZ</v>
      </c>
      <c r="AC11" s="6" t="str">
        <f>IF(LEN('A créer'!C11)=0,"","0")</f>
        <v>0</v>
      </c>
      <c r="AD11" s="2" t="str">
        <f>IF(LEN('A créer'!C11)=0,"","Tab")</f>
        <v>Tab</v>
      </c>
      <c r="AE11" s="6" t="str">
        <f>IF(LEN('A créer'!C11)=0,"","ZZZZZZZZZZ")</f>
        <v>ZZZZZZZZZZ</v>
      </c>
      <c r="AF11" s="6" t="str">
        <f>IF(LEN('A créer'!C11)=0,"","0")</f>
        <v>0</v>
      </c>
      <c r="AG11" s="2" t="str">
        <f>IF(LEN('A créer'!C11)=0,"","Tab")</f>
        <v>Tab</v>
      </c>
      <c r="AH11" s="6" t="str">
        <f>IF(LEN('A créer'!C11)=0,"","ZZZZZZZZZZ")</f>
        <v>ZZZZZZZZZZ</v>
      </c>
      <c r="AI11" s="6" t="str">
        <f>IF(LEN('A créer'!C11)=0,"","0")</f>
        <v>0</v>
      </c>
      <c r="AJ11" s="2" t="str">
        <f>IF(LEN('A créer'!C11)=0,"","Tab")</f>
        <v>Tab</v>
      </c>
      <c r="AK11" s="6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>*FN</v>
      </c>
      <c r="B12" s="3" t="str">
        <f>IF(LEN('A créer'!C12)=0,"","\E")</f>
        <v>\E</v>
      </c>
      <c r="C12" s="2" t="str">
        <f>IF(LEN('A créer'!C12)=0,"","Tab")</f>
        <v>Tab</v>
      </c>
      <c r="D12" s="6" t="str">
        <f>IF(LEN('A créer'!C12)=0,"",'A créer'!A12)</f>
        <v>0402</v>
      </c>
      <c r="E12" s="2" t="str">
        <f>IF(LEN('A créer'!C12)=0,"","Tab")</f>
        <v>Tab</v>
      </c>
      <c r="F12" s="6">
        <f>IF(LEN('A créer'!C12)=0,"",0)</f>
        <v>0</v>
      </c>
      <c r="G12" s="2" t="str">
        <f>IF(LEN('A créer'!C12)=0,"","Tab")</f>
        <v>Tab</v>
      </c>
      <c r="H12" s="6" t="str">
        <f>IF(LEN('A créer'!C12)=0,"","ZZZ")</f>
        <v>ZZZ</v>
      </c>
      <c r="I12" s="6" t="str">
        <f>IF(LEN('A créer'!C12)=0,"","0")</f>
        <v>0</v>
      </c>
      <c r="J12" s="2" t="str">
        <f>IF(LEN('A créer'!C12)=0,"","Tab")</f>
        <v>Tab</v>
      </c>
      <c r="K12" s="6" t="str">
        <f>IF(LEN('A créer'!C12)=0,"","ZZZZZZ")</f>
        <v>ZZZZZZ</v>
      </c>
      <c r="L12" s="6" t="str">
        <f>IF(LEN('A créer'!C12)=0,"","0")</f>
        <v>0</v>
      </c>
      <c r="M12" s="2" t="str">
        <f>IF(LEN('A créer'!C12)=0,"","Tab")</f>
        <v>Tab</v>
      </c>
      <c r="N12" s="6" t="str">
        <f>IF(LEN('A créer'!C12)=0,"","ZZZZZ")</f>
        <v>ZZZZZ</v>
      </c>
      <c r="O12" s="6" t="str">
        <f>IF(LEN('A créer'!C12)=0,"",CONCATENATE('A créer'!B12,'A créer'!A12))</f>
        <v>DCW0402</v>
      </c>
      <c r="P12" s="2" t="str">
        <f>IF(LEN('A créer'!C12)=0,"","Tab")</f>
        <v>Tab</v>
      </c>
      <c r="Q12" s="6" t="str">
        <f>IF(LEN('A créer'!C12)=0,"","0")</f>
        <v>0</v>
      </c>
      <c r="R12" s="2" t="str">
        <f>IF(LEN('A créer'!C12)=0,"","Tab")</f>
        <v>Tab</v>
      </c>
      <c r="S12" s="6" t="str">
        <f>IF(LEN('A créer'!C12)=0,"","ZZZZZZZZZZ")</f>
        <v>ZZZZZZZZZZ</v>
      </c>
      <c r="T12" s="6" t="str">
        <f>IF(LEN('A créer'!C12)=0,"","0")</f>
        <v>0</v>
      </c>
      <c r="U12" s="2" t="str">
        <f>IF(LEN('A créer'!C12)=0,"","Tab")</f>
        <v>Tab</v>
      </c>
      <c r="V12" s="6" t="str">
        <f>IF(LEN('A créer'!C12)=0,"","ZZZZZZZZZZ")</f>
        <v>ZZZZZZZZZZ</v>
      </c>
      <c r="W12" s="6" t="str">
        <f>IF(LEN('A créer'!C12)=0,"","0")</f>
        <v>0</v>
      </c>
      <c r="X12" s="2" t="str">
        <f>IF(LEN('A créer'!C12)=0,"","Tab")</f>
        <v>Tab</v>
      </c>
      <c r="Y12" s="6" t="str">
        <f>IF(LEN('A créer'!C12)=0,"","ZZZZZZZZZZZZZZZ")</f>
        <v>ZZZZZZZZZZZZZZZ</v>
      </c>
      <c r="Z12" s="6" t="str">
        <f>IF(LEN('A créer'!C12)=0,"","0")</f>
        <v>0</v>
      </c>
      <c r="AA12" s="2" t="str">
        <f>IF(LEN('A créer'!C12)=0,"","Tab")</f>
        <v>Tab</v>
      </c>
      <c r="AB12" s="6" t="str">
        <f>IF(LEN('A créer'!C12)=0,"","ZZZ")</f>
        <v>ZZZ</v>
      </c>
      <c r="AC12" s="6" t="str">
        <f>IF(LEN('A créer'!C12)=0,"","0")</f>
        <v>0</v>
      </c>
      <c r="AD12" s="2" t="str">
        <f>IF(LEN('A créer'!C12)=0,"","Tab")</f>
        <v>Tab</v>
      </c>
      <c r="AE12" s="6" t="str">
        <f>IF(LEN('A créer'!C12)=0,"","ZZZZZZZZZZ")</f>
        <v>ZZZZZZZZZZ</v>
      </c>
      <c r="AF12" s="6" t="str">
        <f>IF(LEN('A créer'!C12)=0,"","0")</f>
        <v>0</v>
      </c>
      <c r="AG12" s="2" t="str">
        <f>IF(LEN('A créer'!C12)=0,"","Tab")</f>
        <v>Tab</v>
      </c>
      <c r="AH12" s="6" t="str">
        <f>IF(LEN('A créer'!C12)=0,"","ZZZZZZZZZZ")</f>
        <v>ZZZZZZZZZZ</v>
      </c>
      <c r="AI12" s="6" t="str">
        <f>IF(LEN('A créer'!C12)=0,"","0")</f>
        <v>0</v>
      </c>
      <c r="AJ12" s="2" t="str">
        <f>IF(LEN('A créer'!C12)=0,"","Tab")</f>
        <v>Tab</v>
      </c>
      <c r="AK12" s="6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Normal="100" workbookViewId="0">
      <pane xSplit="1" ySplit="1" topLeftCell="B2" activePane="bottomRight" state="frozenSplit"/>
      <selection activeCell="D40" sqref="D40"/>
      <selection pane="topRight" activeCell="D40" sqref="D40"/>
      <selection pane="bottomLeft" activeCell="D40" sqref="D40"/>
      <selection pane="bottomRight" activeCell="D40" sqref="D40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0506</v>
      </c>
      <c r="E7" s="2" t="str">
        <f>IF(LEN('A créer'!C7)=0,"","Tab")</f>
        <v>Tab</v>
      </c>
      <c r="F7" t="str">
        <f>IF(LEN('A créer'!C7)=0,"",'A créer'!B7)</f>
        <v>DRW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35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0531</v>
      </c>
      <c r="E10" s="2" t="str">
        <f>IF(LEN('A créer'!C10)=0,"","Tab")</f>
        <v>Tab</v>
      </c>
      <c r="F10" t="str">
        <f>IF(LEN('A créer'!C10)=0,"",'A créer'!B10)</f>
        <v>DRW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6" t="str">
        <f>IF(LEN('A créer'!C10)=0,"","ZZZZZ")</f>
        <v>ZZZZZ</v>
      </c>
      <c r="N10" s="6">
        <f>IF(LEN('A créer'!C10)=0,"",0)</f>
        <v>0</v>
      </c>
      <c r="O10" s="2" t="str">
        <f>IF(LEN('A créer'!C10)=0,"","Tab")</f>
        <v>Tab</v>
      </c>
      <c r="P10" s="6" t="str">
        <f>IF(LEN('A créer'!C10)=0,"","ZZZZZZZ")</f>
        <v>ZZZZZZZ</v>
      </c>
      <c r="Q10" s="6">
        <f>IF(LEN('A créer'!C10)=0,"",0)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>
        <f>IF(LEN('A créer'!C10)=0,"",0)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>
        <f>IF(LEN('A créer'!C10)=0,"",0)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>
        <f>IF(LEN('A créer'!C10)=0,"",0)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>
        <f>IF(LEN('A créer'!C10)=0,"",0)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>
        <f>IF(LEN('A créer'!C10)=0,"",0)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>
        <f>IF(LEN('A créer'!C10)=0,"",0)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 x14ac:dyDescent="0.35">
      <c r="A11" s="2" t="str">
        <f>IF(LEN('A créer'!C11)=0,"","*FN")</f>
        <v>*FN</v>
      </c>
      <c r="B11" s="3" t="str">
        <f>IF(LEN('A créer'!C11)=0,"","\I")</f>
        <v>\I</v>
      </c>
      <c r="C11" s="2" t="str">
        <f>IF(LEN('A créer'!C11)=0,"","Tab")</f>
        <v>Tab</v>
      </c>
      <c r="D11" t="str">
        <f>IF(LEN('A créer'!C11)=0,"",'A créer'!A11)</f>
        <v>0532</v>
      </c>
      <c r="E11" s="2" t="str">
        <f>IF(LEN('A créer'!C11)=0,"","Tab")</f>
        <v>Tab</v>
      </c>
      <c r="F11" t="str">
        <f>IF(LEN('A créer'!C11)=0,"",'A créer'!B11)</f>
        <v>DNA</v>
      </c>
      <c r="G11" s="2" t="str">
        <f>IF(LEN('A créer'!C11)=0,"","Tab")</f>
        <v>Tab</v>
      </c>
      <c r="H11">
        <f>IF(LEN('A créer'!C11)=0,"",0)</f>
        <v>0</v>
      </c>
      <c r="I11" s="2" t="str">
        <f>IF(LEN('A créer'!C11)=0,"","Tab")</f>
        <v>Tab</v>
      </c>
      <c r="J11" t="str">
        <f>IF(LEN('A créer'!C11)=0,"","ZZZZZZ")</f>
        <v>ZZZZZZ</v>
      </c>
      <c r="K11">
        <f>IF(LEN('A créer'!C11)=0,"",0)</f>
        <v>0</v>
      </c>
      <c r="L11" s="2" t="str">
        <f>IF(LEN('A créer'!C11)=0,"","Tab")</f>
        <v>Tab</v>
      </c>
      <c r="M11" s="6" t="str">
        <f>IF(LEN('A créer'!C11)=0,"","ZZZZZ")</f>
        <v>ZZZZZ</v>
      </c>
      <c r="N11" s="6">
        <f>IF(LEN('A créer'!C11)=0,"",0)</f>
        <v>0</v>
      </c>
      <c r="O11" s="2" t="str">
        <f>IF(LEN('A créer'!C11)=0,"","Tab")</f>
        <v>Tab</v>
      </c>
      <c r="P11" s="6" t="str">
        <f>IF(LEN('A créer'!C11)=0,"","ZZZZZZZ")</f>
        <v>ZZZZZZZ</v>
      </c>
      <c r="Q11" s="6">
        <f>IF(LEN('A créer'!C11)=0,"",0)</f>
        <v>0</v>
      </c>
      <c r="R11" s="2" t="str">
        <f>IF(LEN('A créer'!C11)=0,"","Tab")</f>
        <v>Tab</v>
      </c>
      <c r="S11" s="6" t="str">
        <f>IF(LEN('A créer'!C11)=0,"","ZZZZZZZZZZ")</f>
        <v>ZZZZZZZZZZ</v>
      </c>
      <c r="T11" s="6">
        <f>IF(LEN('A créer'!C11)=0,"",0)</f>
        <v>0</v>
      </c>
      <c r="U11" s="2" t="str">
        <f>IF(LEN('A créer'!C11)=0,"","Tab")</f>
        <v>Tab</v>
      </c>
      <c r="V11" s="6" t="str">
        <f>IF(LEN('A créer'!C11)=0,"","ZZZZZZZZZZ")</f>
        <v>ZZZZZZZZZZ</v>
      </c>
      <c r="W11" s="6">
        <f>IF(LEN('A créer'!C11)=0,"",0)</f>
        <v>0</v>
      </c>
      <c r="X11" s="2" t="str">
        <f>IF(LEN('A créer'!C11)=0,"","Tab")</f>
        <v>Tab</v>
      </c>
      <c r="Y11" s="6" t="str">
        <f>IF(LEN('A créer'!C11)=0,"","ZZZZZZZZZZZZZZZ")</f>
        <v>ZZZZZZZZZZZZZZZ</v>
      </c>
      <c r="Z11" s="6">
        <f>IF(LEN('A créer'!C11)=0,"",0)</f>
        <v>0</v>
      </c>
      <c r="AA11" s="2" t="str">
        <f>IF(LEN('A créer'!C11)=0,"","Tab")</f>
        <v>Tab</v>
      </c>
      <c r="AB11" s="6" t="str">
        <f>IF(LEN('A créer'!C11)=0,"","ZZZ")</f>
        <v>ZZZ</v>
      </c>
      <c r="AC11" s="6">
        <f>IF(LEN('A créer'!C11)=0,"",0)</f>
        <v>0</v>
      </c>
      <c r="AD11" s="2" t="str">
        <f>IF(LEN('A créer'!C11)=0,"","Tab")</f>
        <v>Tab</v>
      </c>
      <c r="AE11" s="6" t="str">
        <f>IF(LEN('A créer'!C11)=0,"","ZZZZZZZZZZ")</f>
        <v>ZZZZZZZZZZ</v>
      </c>
      <c r="AF11" s="6">
        <f>IF(LEN('A créer'!C11)=0,"",0)</f>
        <v>0</v>
      </c>
      <c r="AG11" s="2" t="str">
        <f>IF(LEN('A créer'!C11)=0,"","Tab")</f>
        <v>Tab</v>
      </c>
      <c r="AH11" s="6" t="str">
        <f>IF(LEN('A créer'!C11)=0,"","ZZZZZZZZZZ")</f>
        <v>ZZZZZZZZZZ</v>
      </c>
      <c r="AI11" s="6">
        <f>IF(LEN('A créer'!C11)=0,"",0)</f>
        <v>0</v>
      </c>
      <c r="AJ11" s="2" t="str">
        <f>IF(LEN('A créer'!C11)=0,"","Tab")</f>
        <v>Tab</v>
      </c>
      <c r="AK11" s="6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</row>
    <row r="12" spans="1:39" x14ac:dyDescent="0.35">
      <c r="A12" s="2" t="str">
        <f>IF(LEN('A créer'!C12)=0,"","*FN")</f>
        <v>*FN</v>
      </c>
      <c r="B12" s="3" t="str">
        <f>IF(LEN('A créer'!C12)=0,"","\I")</f>
        <v>\I</v>
      </c>
      <c r="C12" s="2" t="str">
        <f>IF(LEN('A créer'!C12)=0,"","Tab")</f>
        <v>Tab</v>
      </c>
      <c r="D12" t="str">
        <f>IF(LEN('A créer'!C12)=0,"",'A créer'!A12)</f>
        <v>0402</v>
      </c>
      <c r="E12" s="2" t="str">
        <f>IF(LEN('A créer'!C12)=0,"","Tab")</f>
        <v>Tab</v>
      </c>
      <c r="F12" t="str">
        <f>IF(LEN('A créer'!C12)=0,"",'A créer'!B12)</f>
        <v>DCW</v>
      </c>
      <c r="G12" s="2" t="str">
        <f>IF(LEN('A créer'!C12)=0,"","Tab")</f>
        <v>Tab</v>
      </c>
      <c r="H12">
        <f>IF(LEN('A créer'!C12)=0,"",0)</f>
        <v>0</v>
      </c>
      <c r="I12" s="2" t="str">
        <f>IF(LEN('A créer'!C12)=0,"","Tab")</f>
        <v>Tab</v>
      </c>
      <c r="J12" t="str">
        <f>IF(LEN('A créer'!C12)=0,"","ZZZZZZ")</f>
        <v>ZZZZZZ</v>
      </c>
      <c r="K12">
        <f>IF(LEN('A créer'!C12)=0,"",0)</f>
        <v>0</v>
      </c>
      <c r="L12" s="2" t="str">
        <f>IF(LEN('A créer'!C12)=0,"","Tab")</f>
        <v>Tab</v>
      </c>
      <c r="M12" s="6" t="str">
        <f>IF(LEN('A créer'!C12)=0,"","ZZZZZ")</f>
        <v>ZZZZZ</v>
      </c>
      <c r="N12" s="6">
        <f>IF(LEN('A créer'!C12)=0,"",0)</f>
        <v>0</v>
      </c>
      <c r="O12" s="2" t="str">
        <f>IF(LEN('A créer'!C12)=0,"","Tab")</f>
        <v>Tab</v>
      </c>
      <c r="P12" s="6" t="str">
        <f>IF(LEN('A créer'!C12)=0,"","ZZZZZZZ")</f>
        <v>ZZZZZZZ</v>
      </c>
      <c r="Q12" s="6">
        <f>IF(LEN('A créer'!C12)=0,"",0)</f>
        <v>0</v>
      </c>
      <c r="R12" s="2" t="str">
        <f>IF(LEN('A créer'!C12)=0,"","Tab")</f>
        <v>Tab</v>
      </c>
      <c r="S12" s="6" t="str">
        <f>IF(LEN('A créer'!C12)=0,"","ZZZZZZZZZZ")</f>
        <v>ZZZZZZZZZZ</v>
      </c>
      <c r="T12" s="6">
        <f>IF(LEN('A créer'!C12)=0,"",0)</f>
        <v>0</v>
      </c>
      <c r="U12" s="2" t="str">
        <f>IF(LEN('A créer'!C12)=0,"","Tab")</f>
        <v>Tab</v>
      </c>
      <c r="V12" s="6" t="str">
        <f>IF(LEN('A créer'!C12)=0,"","ZZZZZZZZZZ")</f>
        <v>ZZZZZZZZZZ</v>
      </c>
      <c r="W12" s="6">
        <f>IF(LEN('A créer'!C12)=0,"",0)</f>
        <v>0</v>
      </c>
      <c r="X12" s="2" t="str">
        <f>IF(LEN('A créer'!C12)=0,"","Tab")</f>
        <v>Tab</v>
      </c>
      <c r="Y12" s="6" t="str">
        <f>IF(LEN('A créer'!C12)=0,"","ZZZZZZZZZZZZZZZ")</f>
        <v>ZZZZZZZZZZZZZZZ</v>
      </c>
      <c r="Z12" s="6">
        <f>IF(LEN('A créer'!C12)=0,"",0)</f>
        <v>0</v>
      </c>
      <c r="AA12" s="2" t="str">
        <f>IF(LEN('A créer'!C12)=0,"","Tab")</f>
        <v>Tab</v>
      </c>
      <c r="AB12" s="6" t="str">
        <f>IF(LEN('A créer'!C12)=0,"","ZZZ")</f>
        <v>ZZZ</v>
      </c>
      <c r="AC12" s="6">
        <f>IF(LEN('A créer'!C12)=0,"",0)</f>
        <v>0</v>
      </c>
      <c r="AD12" s="2" t="str">
        <f>IF(LEN('A créer'!C12)=0,"","Tab")</f>
        <v>Tab</v>
      </c>
      <c r="AE12" s="6" t="str">
        <f>IF(LEN('A créer'!C12)=0,"","ZZZZZZZZZZ")</f>
        <v>ZZZZZZZZZZ</v>
      </c>
      <c r="AF12" s="6">
        <f>IF(LEN('A créer'!C12)=0,"",0)</f>
        <v>0</v>
      </c>
      <c r="AG12" s="2" t="str">
        <f>IF(LEN('A créer'!C12)=0,"","Tab")</f>
        <v>Tab</v>
      </c>
      <c r="AH12" s="6" t="str">
        <f>IF(LEN('A créer'!C12)=0,"","ZZZZZZZZZZ")</f>
        <v>ZZZZZZZZZZ</v>
      </c>
      <c r="AI12" s="6">
        <f>IF(LEN('A créer'!C12)=0,"",0)</f>
        <v>0</v>
      </c>
      <c r="AJ12" s="2" t="str">
        <f>IF(LEN('A créer'!C12)=0,"","Tab")</f>
        <v>Tab</v>
      </c>
      <c r="AK12" s="6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Normal="100" workbookViewId="0">
      <pane xSplit="1" ySplit="1" topLeftCell="N2" activePane="bottomRight" state="frozenSplit"/>
      <selection activeCell="D40" sqref="D40"/>
      <selection pane="topRight" activeCell="D40" sqref="D40"/>
      <selection pane="bottomLeft" activeCell="D40" sqref="D40"/>
      <selection pane="bottomRight" activeCell="AR12" sqref="AR1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DCW0450</v>
      </c>
      <c r="T6" s="2" t="s">
        <v>4</v>
      </c>
      <c r="U6" s="6" t="str">
        <f>IF('A créer'!F6="Oui",'A créer'!C6,IF(LEN('A créer'!F6)=0,"",CONCATENATE('A créer'!C6," (",'A créer'!M6,")")))</f>
        <v>REMIREMONT ENERGIE (13450)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DRW0506</v>
      </c>
      <c r="T7" s="2" t="s">
        <v>4</v>
      </c>
      <c r="U7" s="6" t="str">
        <f>IF('A créer'!F7="Oui",'A créer'!C7,IF(LEN('A créer'!F7)=0,"",CONCATENATE('A créer'!C7," (",'A créer'!M7,")")))</f>
        <v>MONTROUGE ENERGIE RENOUVELABLE (18506)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85501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/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>*FN</v>
      </c>
      <c r="R10" s="2" t="str">
        <f>IF(LEN('A créer'!D10)=0,"","Tab")</f>
        <v>Tab</v>
      </c>
      <c r="S10" s="6" t="str">
        <f>IF(LEN('A créer'!D10)=0,"",CONCATENATE('A créer'!B10,'A créer'!A10))</f>
        <v>DRW0531</v>
      </c>
      <c r="T10" s="2" t="s">
        <v>4</v>
      </c>
      <c r="U10" s="6" t="str">
        <f>IF('A créer'!F10="Oui",'A créer'!C10,IF(LEN('A créer'!F10)=0,"",CONCATENATE('A créer'!C10," (",'A créer'!M10,")")))</f>
        <v>CALORIA (18531)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6" t="str">
        <f>IF('A créer'!F10="Oui",'A créer'!J10,IF(LEN('A créer'!F10)=0,"",'A créer'!N10))</f>
        <v>TSA 85501</v>
      </c>
      <c r="Z10" s="2" t="str">
        <f>IF(LEN('A créer'!D10)=0,"","Tab")</f>
        <v>Tab</v>
      </c>
      <c r="AA10" s="4" t="str">
        <f>IF('A créer'!F10="Oui","",IF(LEN('A créer'!F10)=0,"",'A créer'!O10))</f>
        <v>59784 LILLE CEDEX 9</v>
      </c>
      <c r="AB10" s="2" t="str">
        <f>IF(LEN('A créer'!D10)=0,"","Tab")</f>
        <v>Tab</v>
      </c>
      <c r="AC10" s="4" t="str">
        <f>IF('A créer'!F10="Oui","",IF(LEN('A créer'!F10)=0,"","contactfournisseur@csp.dalkia.fr"))</f>
        <v>contactfournisseur@csp.dalkia.fr</v>
      </c>
      <c r="AD10" s="2" t="str">
        <f>IF(LEN('A créer'!D10)=0,"","Tab")</f>
        <v>Tab</v>
      </c>
      <c r="AE10" s="2" t="str">
        <f>IF(LEN('A créer'!D10)=0,"","Tab")</f>
        <v>Tab</v>
      </c>
      <c r="AF10" s="6" t="str">
        <f>IF('A créer'!F10="Oui","",IF(LEN('A créer'!F10)=0,"","ATTENTION adresse UNIQUEMENT pour la comptabilité fournisseurs"))</f>
        <v>ATTENTION adresse UNIQUEMENT pour la comptabilité fournisseurs</v>
      </c>
      <c r="AG10" s="2" t="str">
        <f>IF(LEN('A créer'!D10)=0,"","Tab")</f>
        <v>Tab</v>
      </c>
      <c r="AH10" s="4" t="str">
        <f>IF('A créer'!F10="Oui",'A créer'!K10,IF(LEN('A créer'!F10)=0,"",""))</f>
        <v/>
      </c>
      <c r="AI10" s="2" t="str">
        <f>IF(OR(LEN('A créer'!D10)=0,LEN(AH10)&gt;0),"","Tab")</f>
        <v>Tab</v>
      </c>
      <c r="AJ10" s="6" t="str">
        <f>IF('A créer'!F10="Oui",'A créer'!L10,IF(LEN('A créer'!F10)=0,"","NOUVELLE ADRESSE FACTURATION"))</f>
        <v>NOUVELLE ADRESSE FACTURATION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">
        <v>41</v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>*FN</v>
      </c>
      <c r="R11" s="2" t="str">
        <f>IF(LEN('A créer'!D11)=0,"","Tab")</f>
        <v>Tab</v>
      </c>
      <c r="S11" s="6" t="str">
        <f>IF(LEN('A créer'!D11)=0,"",CONCATENATE('A créer'!B11,'A créer'!A11))</f>
        <v>DNA0532</v>
      </c>
      <c r="T11" s="2" t="s">
        <v>4</v>
      </c>
      <c r="U11" s="6" t="str">
        <f>IF('A créer'!F11="Oui",'A créer'!C11,IF(LEN('A créer'!F11)=0,"",CONCATENATE('A créer'!C11," (",'A créer'!M11,")")))</f>
        <v>RESEAU DE CHALEUR DU CENTRE HOSPITALIER D'ANGOULEME (57532)</v>
      </c>
      <c r="V11" s="2" t="str">
        <f>IF(LEN('A créer'!D11)=0,"","Tab")</f>
        <v>Tab</v>
      </c>
      <c r="W11" s="2" t="str">
        <f>IF(LEN('A créer'!D11)=0,"","Tab")</f>
        <v>Tab</v>
      </c>
      <c r="X11" s="2" t="str">
        <f>IF(LEN('A créer'!D11)=0,"","Tab")</f>
        <v>Tab</v>
      </c>
      <c r="Y11" s="6" t="str">
        <f>IF('A créer'!F11="Oui",'A créer'!J11,IF(LEN('A créer'!F11)=0,"",'A créer'!N11))</f>
        <v>TSA 55507</v>
      </c>
      <c r="Z11" s="2" t="str">
        <f>IF(LEN('A créer'!D11)=0,"","Tab")</f>
        <v>Tab</v>
      </c>
      <c r="AA11" s="4" t="str">
        <f>IF('A créer'!F11="Oui","",IF(LEN('A créer'!F11)=0,"",'A créer'!O11))</f>
        <v>59784 LILLE CEDEX 9</v>
      </c>
      <c r="AB11" s="2" t="str">
        <f>IF(LEN('A créer'!D11)=0,"","Tab")</f>
        <v>Tab</v>
      </c>
      <c r="AC11" s="4" t="str">
        <f>IF('A créer'!F11="Oui","",IF(LEN('A créer'!F11)=0,"","contactfournisseur@csp.dalkia.fr"))</f>
        <v>contactfournisseur@csp.dalkia.fr</v>
      </c>
      <c r="AD11" s="2" t="str">
        <f>IF(LEN('A créer'!D11)=0,"","Tab")</f>
        <v>Tab</v>
      </c>
      <c r="AE11" s="2" t="str">
        <f>IF(LEN('A créer'!D11)=0,"","Tab")</f>
        <v>Tab</v>
      </c>
      <c r="AF11" s="6" t="str">
        <f>IF('A créer'!F11="Oui","",IF(LEN('A créer'!F11)=0,"","ATTENTION adresse UNIQUEMENT pour la comptabilité fournisseurs"))</f>
        <v>ATTENTION adresse UNIQUEMENT pour la comptabilité fournisseurs</v>
      </c>
      <c r="AG11" s="2" t="str">
        <f>IF(LEN('A créer'!D11)=0,"","Tab")</f>
        <v>Tab</v>
      </c>
      <c r="AH11" s="4" t="str">
        <f>IF('A créer'!F11="Oui",'A créer'!K11,IF(LEN('A créer'!F11)=0,"",""))</f>
        <v/>
      </c>
      <c r="AI11" s="2" t="str">
        <f>IF(OR(LEN('A créer'!D11)=0,LEN(AH11)&gt;0),"","Tab")</f>
        <v>Tab</v>
      </c>
      <c r="AJ11" s="6" t="str">
        <f>IF('A créer'!F11="Oui",'A créer'!L11,IF(LEN('A créer'!F11)=0,"","NOUVELLE ADRESSE FACTURATION"))</f>
        <v>NOUVELLE ADRESSE FACTURATION</v>
      </c>
      <c r="AK11" s="2" t="str">
        <f>IF(LEN('A créer'!D11)=0,"","Tab")</f>
        <v>Tab</v>
      </c>
      <c r="AL11" s="2" t="str">
        <f>IF(LEN('A créer'!D11)=0,"","ENT")</f>
        <v>ENT</v>
      </c>
      <c r="AM11" s="2" t="str">
        <f>IF(LEN('A créer'!D11)=0,"","Tab 4")</f>
        <v>Tab 4</v>
      </c>
      <c r="AN11" s="2" t="str">
        <f>IF(LEN('A créer'!D11)=0,"","Tab 4")</f>
        <v>Tab 4</v>
      </c>
      <c r="AO11" s="2" t="str">
        <f>IF(LEN('A créer'!D11)=0,"","Tab")</f>
        <v>Tab</v>
      </c>
      <c r="AP11" s="2" t="str">
        <f>IF(LEN('A créer'!D11)=0,"","Tab")</f>
        <v>Tab</v>
      </c>
      <c r="AQ11" s="2" t="str">
        <f>IF(LEN('A créer'!D11)=0,"","Tab")</f>
        <v>Tab</v>
      </c>
      <c r="AR11" s="4" t="s">
        <v>44</v>
      </c>
      <c r="AS11" s="2" t="str">
        <f>IF(LEN('A créer'!D11)=0,"","Tab")</f>
        <v>Tab</v>
      </c>
      <c r="AT11" s="2" t="str">
        <f>IF(LEN('A créer'!D11)=0,"","ENT")</f>
        <v>ENT</v>
      </c>
      <c r="AU11" s="2" t="str">
        <f>IF(LEN('A créer'!D11)=0,"","*SAVE")</f>
        <v>*SAVE</v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>*FN</v>
      </c>
      <c r="R12" s="2" t="str">
        <f>IF(LEN('A créer'!D12)=0,"","Tab")</f>
        <v>Tab</v>
      </c>
      <c r="S12" s="6" t="str">
        <f>IF(LEN('A créer'!D12)=0,"",CONCATENATE('A créer'!B12,'A créer'!A12))</f>
        <v>DCW0402</v>
      </c>
      <c r="T12" s="2" t="s">
        <v>4</v>
      </c>
      <c r="U12" s="6" t="str">
        <f>IF('A créer'!F12="Oui",'A créer'!C12,IF(LEN('A créer'!F12)=0,"",CONCATENATE('A créer'!C12," (",'A créer'!M12,")")))</f>
        <v>MERICOURT CHALEUR URBAINE (13402)</v>
      </c>
      <c r="V12" s="2" t="str">
        <f>IF(LEN('A créer'!D12)=0,"","Tab")</f>
        <v>Tab</v>
      </c>
      <c r="W12" s="2" t="str">
        <f>IF(LEN('A créer'!D12)=0,"","Tab")</f>
        <v>Tab</v>
      </c>
      <c r="X12" s="2" t="str">
        <f>IF(LEN('A créer'!D12)=0,"","Tab")</f>
        <v>Tab</v>
      </c>
      <c r="Y12" s="6" t="str">
        <f>IF('A créer'!F12="Oui",'A créer'!J12,IF(LEN('A créer'!F12)=0,"",'A créer'!N12))</f>
        <v>TSA 15503</v>
      </c>
      <c r="Z12" s="2" t="str">
        <f>IF(LEN('A créer'!D12)=0,"","Tab")</f>
        <v>Tab</v>
      </c>
      <c r="AA12" s="4" t="str">
        <f>IF('A créer'!F12="Oui","",IF(LEN('A créer'!F12)=0,"",'A créer'!O12))</f>
        <v>59784 LILLE CEDEX 9</v>
      </c>
      <c r="AB12" s="2" t="str">
        <f>IF(LEN('A créer'!D12)=0,"","Tab")</f>
        <v>Tab</v>
      </c>
      <c r="AC12" s="4" t="str">
        <f>IF('A créer'!F12="Oui","",IF(LEN('A créer'!F12)=0,"","contactfournisseur@csp.dalkia.fr"))</f>
        <v>contactfournisseur@csp.dalkia.fr</v>
      </c>
      <c r="AD12" s="2" t="str">
        <f>IF(LEN('A créer'!D12)=0,"","Tab")</f>
        <v>Tab</v>
      </c>
      <c r="AE12" s="2" t="str">
        <f>IF(LEN('A créer'!D12)=0,"","Tab")</f>
        <v>Tab</v>
      </c>
      <c r="AF12" s="6" t="str">
        <f>IF('A créer'!F12="Oui","",IF(LEN('A créer'!F12)=0,"","ATTENTION adresse UNIQUEMENT pour la comptabilité fournisseurs"))</f>
        <v>ATTENTION adresse UNIQUEMENT pour la comptabilité fournisseurs</v>
      </c>
      <c r="AG12" s="2" t="str">
        <f>IF(LEN('A créer'!D12)=0,"","Tab")</f>
        <v>Tab</v>
      </c>
      <c r="AH12" s="4" t="str">
        <f>IF('A créer'!F12="Oui",'A créer'!K12,IF(LEN('A créer'!F12)=0,"",""))</f>
        <v/>
      </c>
      <c r="AI12" s="2" t="str">
        <f>IF(OR(LEN('A créer'!D12)=0,LEN(AH12)&gt;0),"","Tab")</f>
        <v>Tab</v>
      </c>
      <c r="AJ12" s="6" t="str">
        <f>IF('A créer'!F12="Oui",'A créer'!L12,IF(LEN('A créer'!F12)=0,"","NOUVELLE ADRESSE FACTURATION"))</f>
        <v>NOUVELLE ADRESSE FACTURATION</v>
      </c>
      <c r="AK12" s="2" t="str">
        <f>IF(LEN('A créer'!D12)=0,"","Tab")</f>
        <v>Tab</v>
      </c>
      <c r="AL12" s="2" t="str">
        <f>IF(LEN('A créer'!D12)=0,"","ENT")</f>
        <v>ENT</v>
      </c>
      <c r="AM12" s="2" t="str">
        <f>IF(LEN('A créer'!D12)=0,"","Tab 4")</f>
        <v>Tab 4</v>
      </c>
      <c r="AN12" s="2" t="str">
        <f>IF(LEN('A créer'!D12)=0,"","Tab 4")</f>
        <v>Tab 4</v>
      </c>
      <c r="AO12" s="2" t="str">
        <f>IF(LEN('A créer'!D12)=0,"","Tab")</f>
        <v>Tab</v>
      </c>
      <c r="AP12" s="2" t="str">
        <f>IF(LEN('A créer'!D12)=0,"","Tab")</f>
        <v>Tab</v>
      </c>
      <c r="AQ12" s="2" t="str">
        <f>IF(LEN('A créer'!D12)=0,"","Tab")</f>
        <v>Tab</v>
      </c>
      <c r="AR12" s="4" t="s">
        <v>38</v>
      </c>
      <c r="AS12" s="2" t="str">
        <f>IF(LEN('A créer'!D12)=0,"","Tab")</f>
        <v>Tab</v>
      </c>
      <c r="AT12" s="2" t="str">
        <f>IF(LEN('A créer'!D12)=0,"","ENT")</f>
        <v>ENT</v>
      </c>
      <c r="AU12" s="2" t="str">
        <f>IF(LEN('A créer'!D12)=0,"","*SAVE")</f>
        <v>*SAVE</v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activeCell="D40" sqref="D40"/>
      <selection pane="bottomLeft" activeCell="G12" sqref="G1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0506</v>
      </c>
      <c r="D7" s="2" t="str">
        <f>IF(LEN('A créer'!C7)=0,"","Tab")</f>
        <v>Tab</v>
      </c>
      <c r="E7" t="str">
        <f>IF(LEN('A créer'!C7)=0,"",'A créer'!B7)</f>
        <v>DRW</v>
      </c>
      <c r="F7" s="2" t="str">
        <f>IF(LEN('A créer'!C7)=0,"","Tab")</f>
        <v>Tab</v>
      </c>
      <c r="G7" t="str">
        <f>IF(LEN('A créer'!C7)=0,"",'A créer'!G7)</f>
        <v>YS2122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3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0531</v>
      </c>
      <c r="D10" s="2" t="str">
        <f>IF(LEN('A créer'!C10)=0,"","Tab")</f>
        <v>Tab</v>
      </c>
      <c r="E10" t="str">
        <f>IF(LEN('A créer'!C10)=0,"",'A créer'!B10)</f>
        <v>DRW</v>
      </c>
      <c r="F10" s="2" t="str">
        <f>IF(LEN('A créer'!C10)=0,"","Tab")</f>
        <v>Tab</v>
      </c>
      <c r="G10" t="str">
        <f>IF(LEN('A créer'!C10)=0,"",'A créer'!G10)</f>
        <v>YS2342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 x14ac:dyDescent="0.35">
      <c r="A11" s="2" t="str">
        <f>IF(LEN('A créer'!C11)=0,"","*FN")</f>
        <v>*FN</v>
      </c>
      <c r="B11" s="2" t="str">
        <f>IF(LEN('A créer'!A11)=0,"","Tab")</f>
        <v>Tab</v>
      </c>
      <c r="C11" t="str">
        <f>IF(LEN('A créer'!C11)=0,"",'A créer'!A11)</f>
        <v>0532</v>
      </c>
      <c r="D11" s="2" t="str">
        <f>IF(LEN('A créer'!C11)=0,"","Tab")</f>
        <v>Tab</v>
      </c>
      <c r="E11" t="str">
        <f>IF(LEN('A créer'!C11)=0,"",'A créer'!B11)</f>
        <v>DNA</v>
      </c>
      <c r="F11" s="2" t="str">
        <f>IF(LEN('A créer'!C11)=0,"","Tab")</f>
        <v>Tab</v>
      </c>
      <c r="G11" t="str">
        <f>IF(LEN('A créer'!C11)=0,"",'A créer'!G11)</f>
        <v>S2343</v>
      </c>
      <c r="H11" s="2" t="str">
        <f>IF(LEN('A créer'!C11)=0,"","Tab")</f>
        <v>Tab</v>
      </c>
      <c r="I11" s="2" t="str">
        <f>IF(LEN('A créer'!C11)=0,"","*SAVE")</f>
        <v>*SAVE</v>
      </c>
    </row>
    <row r="12" spans="1:9" x14ac:dyDescent="0.35">
      <c r="A12" s="2" t="str">
        <f>IF(LEN('A créer'!C12)=0,"","*FN")</f>
        <v>*FN</v>
      </c>
      <c r="B12" s="2" t="str">
        <f>IF(LEN('A créer'!A12)=0,"","Tab")</f>
        <v>Tab</v>
      </c>
      <c r="C12" t="str">
        <f>IF(LEN('A créer'!C12)=0,"",'A créer'!A12)</f>
        <v>0402</v>
      </c>
      <c r="D12" s="2" t="str">
        <f>IF(LEN('A créer'!C12)=0,"","Tab")</f>
        <v>Tab</v>
      </c>
      <c r="E12" t="str">
        <f>IF(LEN('A créer'!C12)=0,"",'A créer'!B12)</f>
        <v>DCW</v>
      </c>
      <c r="F12" s="2" t="str">
        <f>IF(LEN('A créer'!C12)=0,"","Tab")</f>
        <v>Tab</v>
      </c>
      <c r="G12" t="str">
        <f>IF(LEN('A créer'!C12)=0,"",'A créer'!G12)</f>
        <v>YS0102</v>
      </c>
      <c r="H12" s="2" t="str">
        <f>IF(LEN('A créer'!C12)=0,"","Tab")</f>
        <v>Tab</v>
      </c>
      <c r="I12" s="2" t="str">
        <f>IF(LEN('A créer'!C12)=0,"","*SAVE")</f>
        <v>*SAVE</v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activeCell="D40" sqref="D40"/>
      <selection pane="bottomLeft" activeCell="D40" sqref="D4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513565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35">
      <c r="A10" s="2" t="str">
        <f>IF(LEN('A créer'!C10)=0,"","*FN")</f>
        <v>*FN</v>
      </c>
      <c r="B10" s="2" t="str">
        <f>IF(LEN('A créer'!A10)=0,"","Tab")</f>
        <v>Tab</v>
      </c>
      <c r="C10">
        <f>IF(LEN('A créer'!P10)=0,"",'A créer'!P10)</f>
        <v>513593</v>
      </c>
      <c r="D10" s="2" t="str">
        <f>IF(LEN('A créer'!C10)=0,"","Tab")</f>
        <v>Tab</v>
      </c>
      <c r="E10" t="str">
        <f>IF(LEN('A créer'!P10)=0,"","17060")</f>
        <v>17060</v>
      </c>
      <c r="F10" s="2" t="str">
        <f>IF(LEN('A créer'!C10)=0,"","Tab")</f>
        <v>Tab</v>
      </c>
      <c r="G10" t="str">
        <f>IF(LEN('A créer'!P10)=0,"","01/01/2002")</f>
        <v>01/01/2002</v>
      </c>
      <c r="H10" s="2" t="str">
        <f>IF(LEN('A créer'!C10)=0,"","*SAVE")</f>
        <v>*SAVE</v>
      </c>
    </row>
    <row r="11" spans="1:8" x14ac:dyDescent="0.35">
      <c r="A11" s="2" t="str">
        <f>IF(LEN('A créer'!C11)=0,"","*FN")</f>
        <v>*FN</v>
      </c>
      <c r="B11" s="2" t="str">
        <f>IF(LEN('A créer'!A11)=0,"","Tab")</f>
        <v>Tab</v>
      </c>
      <c r="C11">
        <f>IF(LEN('A créer'!P11)=0,"",'A créer'!P11)</f>
        <v>513594</v>
      </c>
      <c r="D11" s="2" t="str">
        <f>IF(LEN('A créer'!C11)=0,"","Tab")</f>
        <v>Tab</v>
      </c>
      <c r="E11" t="str">
        <f>IF(LEN('A créer'!P11)=0,"","17060")</f>
        <v>17060</v>
      </c>
      <c r="F11" s="2" t="str">
        <f>IF(LEN('A créer'!C11)=0,"","Tab")</f>
        <v>Tab</v>
      </c>
      <c r="G11" t="str">
        <f>IF(LEN('A créer'!P11)=0,"","01/01/2002")</f>
        <v>01/01/2002</v>
      </c>
      <c r="H11" s="2" t="str">
        <f>IF(LEN('A créer'!C11)=0,"","*SAVE")</f>
        <v>*SAVE</v>
      </c>
    </row>
    <row r="12" spans="1:8" x14ac:dyDescent="0.35">
      <c r="A12" s="2" t="str">
        <f>IF(LEN('A créer'!C12)=0,"","*FN")</f>
        <v>*FN</v>
      </c>
      <c r="B12" s="2" t="str">
        <f>IF(LEN('A créer'!A12)=0,"","Tab")</f>
        <v>Tab</v>
      </c>
      <c r="C12">
        <f>IF(LEN('A créer'!P12)=0,"",'A créer'!P12)</f>
        <v>513473</v>
      </c>
      <c r="D12" s="2" t="str">
        <f>IF(LEN('A créer'!C12)=0,"","Tab")</f>
        <v>Tab</v>
      </c>
      <c r="E12" t="str">
        <f>IF(LEN('A créer'!P12)=0,"","17060")</f>
        <v>17060</v>
      </c>
      <c r="F12" s="2" t="str">
        <f>IF(LEN('A créer'!C12)=0,"","Tab")</f>
        <v>Tab</v>
      </c>
      <c r="G12" t="str">
        <f>IF(LEN('A créer'!P12)=0,"","01/01/2002")</f>
        <v>01/01/2002</v>
      </c>
      <c r="H12" s="2" t="str">
        <f>IF(LEN('A créer'!C12)=0,"","*SAVE")</f>
        <v>*SAVE</v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D40" sqref="D40"/>
      <selection pane="bottomLeft" activeCell="D40" sqref="D40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DCW0450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DRW0506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35">
      <c r="A10" s="2" t="str">
        <f>IF(LEN('A créer'!$C10)=0,"","TAB")</f>
        <v>TAB</v>
      </c>
      <c r="B10" s="6" t="str">
        <f>CONCATENATE('A créer'!B10,'A créer'!A10)</f>
        <v>DRW0531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 x14ac:dyDescent="0.35">
      <c r="A11" s="2" t="str">
        <f>IF(LEN('A créer'!$C11)=0,"","TAB")</f>
        <v>TAB</v>
      </c>
      <c r="B11" s="6" t="str">
        <f>CONCATENATE('A créer'!B11,'A créer'!A11)</f>
        <v>DNA0532</v>
      </c>
      <c r="C11" s="2" t="str">
        <f>IF(LEN('A créer'!$C11)=0,"","TAB")</f>
        <v>TAB</v>
      </c>
      <c r="D11" s="2" t="str">
        <f>IF(LEN('A créer'!$C11)=0,"","ENT")</f>
        <v>ENT</v>
      </c>
      <c r="E11" s="2" t="str">
        <f>IF(LEN('A créer'!$C11)=0,"","TAB")</f>
        <v>TAB</v>
      </c>
      <c r="F11" s="2" t="str">
        <f>IF(LEN('A créer'!$C11)=0,"","TAB")</f>
        <v>TAB</v>
      </c>
      <c r="G11" s="2" t="str">
        <f>IF(LEN('A créer'!$C11)=0,"","ENT")</f>
        <v>ENT</v>
      </c>
      <c r="H11" s="2" t="str">
        <f>IF(LEN('A créer'!$C11)=0,"","ENT")</f>
        <v>ENT</v>
      </c>
    </row>
    <row r="12" spans="1:8" x14ac:dyDescent="0.35">
      <c r="A12" s="2" t="str">
        <f>IF(LEN('A créer'!$C12)=0,"","TAB")</f>
        <v>TAB</v>
      </c>
      <c r="B12" s="6" t="str">
        <f>CONCATENATE('A créer'!B12,'A créer'!A12)</f>
        <v>DCW0402</v>
      </c>
      <c r="C12" s="2" t="str">
        <f>IF(LEN('A créer'!$C12)=0,"","TAB")</f>
        <v>TAB</v>
      </c>
      <c r="D12" s="2" t="str">
        <f>IF(LEN('A créer'!$C12)=0,"","ENT")</f>
        <v>ENT</v>
      </c>
      <c r="E12" s="2" t="str">
        <f>IF(LEN('A créer'!$C12)=0,"","TAB")</f>
        <v>TAB</v>
      </c>
      <c r="F12" s="2" t="str">
        <f>IF(LEN('A créer'!$C12)=0,"","TAB")</f>
        <v>TAB</v>
      </c>
      <c r="G12" s="2" t="str">
        <f>IF(LEN('A créer'!$C12)=0,"","ENT")</f>
        <v>ENT</v>
      </c>
      <c r="H12" s="2" t="str">
        <f>IF(LEN('A créer'!$C12)=0,"","ENT")</f>
        <v>ENT</v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pane ySplit="1" topLeftCell="A2" activePane="bottomLeft" state="frozenSplit"/>
      <selection activeCell="D40" sqref="D40"/>
      <selection pane="bottomLeft" activeCell="D40" sqref="D4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DRW0506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35">
      <c r="A10" s="2" t="str">
        <f>IF(LEN('A créer'!C10)=0,"","*FN")</f>
        <v>*FN</v>
      </c>
      <c r="B10" s="2" t="str">
        <f>IF(LEN('A créer'!C10)=0,"","Tab")</f>
        <v>Tab</v>
      </c>
      <c r="C10" s="8" t="str">
        <f>CONCATENATE('A créer'!B10,'A créer'!A10)</f>
        <v>DRW0531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 x14ac:dyDescent="0.35">
      <c r="A11" s="2" t="str">
        <f>IF(LEN('A créer'!C11)=0,"","*FN")</f>
        <v>*FN</v>
      </c>
      <c r="B11" s="2" t="str">
        <f>IF(LEN('A créer'!C11)=0,"","Tab")</f>
        <v>Tab</v>
      </c>
      <c r="C11" s="8" t="str">
        <f>CONCATENATE('A créer'!B11,'A créer'!A11)</f>
        <v>DNA0532</v>
      </c>
      <c r="D11" s="2" t="str">
        <f>IF(LEN('A créer'!C11)=0,"","Tab")</f>
        <v>Tab</v>
      </c>
      <c r="E11" s="2" t="str">
        <f>IF(LEN('A créer'!C11)=0,"","*SAVE")</f>
        <v>*SAVE</v>
      </c>
    </row>
    <row r="12" spans="1:5" x14ac:dyDescent="0.35">
      <c r="A12" s="2" t="str">
        <f>IF(LEN('A créer'!C12)=0,"","*FN")</f>
        <v>*FN</v>
      </c>
      <c r="B12" s="2" t="str">
        <f>IF(LEN('A créer'!C12)=0,"","Tab")</f>
        <v>Tab</v>
      </c>
      <c r="C12" s="8" t="str">
        <f>CONCATENATE('A créer'!B12,'A créer'!A12)</f>
        <v>DCW0402</v>
      </c>
      <c r="D12" s="2" t="str">
        <f>IF(LEN('A créer'!C12)=0,"","Tab")</f>
        <v>Tab</v>
      </c>
      <c r="E12" s="2" t="str">
        <f>IF(LEN('A créer'!C12)=0,"","*SAVE")</f>
        <v>*SAVE</v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Normal="100" workbookViewId="0">
      <pane xSplit="1" ySplit="1" topLeftCell="B2" activePane="bottomRight" state="frozenSplit"/>
      <selection activeCell="D40" sqref="D40"/>
      <selection pane="topRight" activeCell="D40" sqref="D40"/>
      <selection pane="bottomLeft" activeCell="D40" sqref="D40"/>
      <selection pane="bottomRight" activeCell="D40" sqref="D40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4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4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DCW0450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4" t="str">
        <f>IF(AND(LEN('A créer'!$C7)=0,LEN('A créer'!$E7&gt;0)),"",CONCATENATE('A créer'!B7,'A créer'!A7))</f>
        <v>DRW0506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DRW0506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0506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DRW0506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4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35">
      <c r="A10" s="2" t="str">
        <f>IF(AND(LEN('A créer'!$C10)=0,LEN('A créer'!$E10&gt;0)),"","*FN")</f>
        <v>*FN</v>
      </c>
      <c r="B10" s="6" t="str">
        <f>IF(AND(LEN('A créer'!$C10)=0,LEN('A créer'!$E10&gt;0)),"",CONCATENATE('A créer'!B10,'A créer'!A10))</f>
        <v>DRW0531</v>
      </c>
      <c r="C10" s="2" t="str">
        <f>IF(AND(LEN('A créer'!$C10)=0,LEN('A créer'!$E10&gt;0)),"","TAB")</f>
        <v>TAB</v>
      </c>
      <c r="D10" s="6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6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6" t="str">
        <f>IF(AND(LEN('A créer'!$C10)=0,LEN('A créer'!$E10&gt;0)),"",CONCATENATE('A créer'!B10,'A créer'!A10))</f>
        <v>DRW0531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créer'!$E10&gt;0)),"","*ML(103,118)")</f>
        <v>*ML(103,118)</v>
      </c>
      <c r="P10" s="2" t="str">
        <f>IF(OR(LEN('A créer'!$C10)=0,'A créer'!$E10="Oui"),"","*FN")</f>
        <v>*FN</v>
      </c>
      <c r="Q10" s="6" t="str">
        <f>IF(OR(LEN('A créer'!$C10)=0,'A créer'!$E10="Oui"),"",'A créer'!A10)</f>
        <v>0531</v>
      </c>
      <c r="R10" s="2" t="str">
        <f>IF(OR(LEN('A créer'!$C10)=0,'A créer'!$E10="Oui"),"","TAB")</f>
        <v>TAB</v>
      </c>
      <c r="S10" s="6" t="str">
        <f>IF(OR(LEN('A créer'!$C10)=0,'A créer'!$E10="Oui"),"","Setup Business Group")</f>
        <v>Setup Business Group</v>
      </c>
      <c r="T10" s="2" t="str">
        <f>IF(OR(LEN('A créer'!$C10)=0,'A créer'!$E10="Oui"),"","TAB 4")</f>
        <v>TAB 4</v>
      </c>
      <c r="U10" s="2" t="str">
        <f>IF(OR(LEN('A créer'!$C10)=0,'A créer'!$E10="Oui"),"","TAB 4")</f>
        <v>TAB 4</v>
      </c>
      <c r="V10" s="2" t="str">
        <f>IF(OR(LEN('A créer'!$C10)=0,'A créer'!$E10="Oui"),"","TAB")</f>
        <v>TAB</v>
      </c>
      <c r="W10" s="2" t="str">
        <f>IF(OR(LEN('A créer'!$C10)=0,'A créer'!$E10="Oui"),"","TAB")</f>
        <v>TAB</v>
      </c>
      <c r="X10" s="2" t="str">
        <f>IF(OR(LEN('A créer'!$C10)=0,'A créer'!$E10="Oui"),"","TAB")</f>
        <v>TAB</v>
      </c>
      <c r="Y10" s="6" t="str">
        <f>IF(OR(LEN('A créer'!$C10)=0,'A créer'!$E10="Oui"),"","\Sécuriser les organisations par hiérarchie")</f>
        <v>\Sécuriser les organisations par hiérarchie</v>
      </c>
      <c r="Z10" s="2" t="str">
        <f>IF(OR(LEN('A créer'!$C10)=0,'A créer'!$E10="Oui"),"","TAB 4")</f>
        <v>TAB 4</v>
      </c>
      <c r="AA10" s="6" t="str">
        <f>IF(OR(LEN('A créer'!$C10)=0,'A créer'!$E10="Oui"),"",CONCATENATE('A créer'!B10,'A créer'!A10))</f>
        <v>DRW0531</v>
      </c>
      <c r="AB10" s="2" t="str">
        <f>IF(OR(LEN('A créer'!$C10)=0,'A créer'!$E10="Oui"),"","TAB")</f>
        <v>TAB</v>
      </c>
      <c r="AC10" s="2" t="str">
        <f>IF(OR(LEN('A créer'!$C10)=0,'A créer'!$E10="Oui"),"","*SAVE")</f>
        <v>*SAVE</v>
      </c>
      <c r="AD10" s="2" t="str">
        <f>IF(OR(LEN('A créer'!$C10)=0,'A créer'!$E10="Oui"),"","*ML(237,126)")</f>
        <v>*ML(237,126)</v>
      </c>
    </row>
    <row r="11" spans="1:30" x14ac:dyDescent="0.35">
      <c r="A11" s="2" t="str">
        <f>IF(AND(LEN('A créer'!$C11)=0,LEN('A créer'!$E11&gt;0)),"","*FN")</f>
        <v>*FN</v>
      </c>
      <c r="B11" s="6" t="str">
        <f>IF(AND(LEN('A créer'!$C11)=0,LEN('A créer'!$E11&gt;0)),"",CONCATENATE('A créer'!B11,'A créer'!A11))</f>
        <v>DNA0532</v>
      </c>
      <c r="C11" s="2" t="str">
        <f>IF(AND(LEN('A créer'!$C11)=0,LEN('A créer'!$E11&gt;0)),"","TAB")</f>
        <v>TAB</v>
      </c>
      <c r="D11" s="6" t="str">
        <f>IF(AND(LEN('A créer'!$C11)=0,LEN('A créer'!$E11&gt;0)),"","Setup Business Group")</f>
        <v>Setup Business Group</v>
      </c>
      <c r="E11" s="2" t="str">
        <f>IF(AND(LEN('A créer'!$C11)=0,LEN('A créer'!$E11&gt;0)),"","TAB 4")</f>
        <v>TAB 4</v>
      </c>
      <c r="F11" s="2" t="str">
        <f>IF(AND(LEN('A créer'!$C11)=0,LEN('A créer'!$E11&gt;0)),"","TAB 4")</f>
        <v>TAB 4</v>
      </c>
      <c r="G11" s="2" t="str">
        <f>IF(AND(LEN('A créer'!$C11)=0,LEN('A créer'!$E11&gt;0)),"","TAB")</f>
        <v>TAB</v>
      </c>
      <c r="H11" s="2" t="str">
        <f>IF(AND(LEN('A créer'!$C11)=0,LEN('A créer'!$E11&gt;0)),"","TAB")</f>
        <v>TAB</v>
      </c>
      <c r="I11" s="2" t="str">
        <f>IF(AND(LEN('A créer'!$C11)=0,LEN('A créer'!$E11&gt;0)),"","TAB")</f>
        <v>TAB</v>
      </c>
      <c r="J11" s="6" t="str">
        <f>IF(AND(LEN('A créer'!$C11)=0,LEN('A créer'!$E11&gt;0)),"","\Sécuriser les organisations par hiérarchie")</f>
        <v>\Sécuriser les organisations par hiérarchie</v>
      </c>
      <c r="K11" s="2" t="str">
        <f>IF(AND(LEN('A créer'!$C11)=0,LEN('A créer'!$E11&gt;0)),"","TAB 4")</f>
        <v>TAB 4</v>
      </c>
      <c r="L11" s="6" t="str">
        <f>IF(AND(LEN('A créer'!$C11)=0,LEN('A créer'!$E11&gt;0)),"",CONCATENATE('A créer'!B11,'A créer'!A11))</f>
        <v>DNA0532</v>
      </c>
      <c r="M11" s="2" t="str">
        <f>IF(AND(LEN('A créer'!$C11)=0,LEN('A créer'!$E11&gt;0)),"","TAB")</f>
        <v>TAB</v>
      </c>
      <c r="N11" s="2" t="str">
        <f>IF(AND(LEN('A créer'!$C11)=0,LEN('A créer'!$E11&gt;0)),"","*SAVE")</f>
        <v>*SAVE</v>
      </c>
      <c r="O11" s="2" t="str">
        <f>IF(AND(LEN('A créer'!$C11)=0,LEN('A créer'!$E11&gt;0)),"","*ML(103,118)")</f>
        <v>*ML(103,118)</v>
      </c>
      <c r="P11" s="2" t="str">
        <f>IF(OR(LEN('A créer'!$C11)=0,'A créer'!$E11="Oui"),"","*FN")</f>
        <v>*FN</v>
      </c>
      <c r="Q11" s="6" t="str">
        <f>IF(OR(LEN('A créer'!$C11)=0,'A créer'!$E11="Oui"),"",'A créer'!A11)</f>
        <v>0532</v>
      </c>
      <c r="R11" s="2" t="str">
        <f>IF(OR(LEN('A créer'!$C11)=0,'A créer'!$E11="Oui"),"","TAB")</f>
        <v>TAB</v>
      </c>
      <c r="S11" s="6" t="str">
        <f>IF(OR(LEN('A créer'!$C11)=0,'A créer'!$E11="Oui"),"","Setup Business Group")</f>
        <v>Setup Business Group</v>
      </c>
      <c r="T11" s="2" t="str">
        <f>IF(OR(LEN('A créer'!$C11)=0,'A créer'!$E11="Oui"),"","TAB 4")</f>
        <v>TAB 4</v>
      </c>
      <c r="U11" s="2" t="str">
        <f>IF(OR(LEN('A créer'!$C11)=0,'A créer'!$E11="Oui"),"","TAB 4")</f>
        <v>TAB 4</v>
      </c>
      <c r="V11" s="2" t="str">
        <f>IF(OR(LEN('A créer'!$C11)=0,'A créer'!$E11="Oui"),"","TAB")</f>
        <v>TAB</v>
      </c>
      <c r="W11" s="2" t="str">
        <f>IF(OR(LEN('A créer'!$C11)=0,'A créer'!$E11="Oui"),"","TAB")</f>
        <v>TAB</v>
      </c>
      <c r="X11" s="2" t="str">
        <f>IF(OR(LEN('A créer'!$C11)=0,'A créer'!$E11="Oui"),"","TAB")</f>
        <v>TAB</v>
      </c>
      <c r="Y11" s="6" t="str">
        <f>IF(OR(LEN('A créer'!$C11)=0,'A créer'!$E11="Oui"),"","\Sécuriser les organisations par hiérarchie")</f>
        <v>\Sécuriser les organisations par hiérarchie</v>
      </c>
      <c r="Z11" s="2" t="str">
        <f>IF(OR(LEN('A créer'!$C11)=0,'A créer'!$E11="Oui"),"","TAB 4")</f>
        <v>TAB 4</v>
      </c>
      <c r="AA11" s="6" t="str">
        <f>IF(OR(LEN('A créer'!$C11)=0,'A créer'!$E11="Oui"),"",CONCATENATE('A créer'!B11,'A créer'!A11))</f>
        <v>DNA0532</v>
      </c>
      <c r="AB11" s="2" t="str">
        <f>IF(OR(LEN('A créer'!$C11)=0,'A créer'!$E11="Oui"),"","TAB")</f>
        <v>TAB</v>
      </c>
      <c r="AC11" s="2" t="str">
        <f>IF(OR(LEN('A créer'!$C11)=0,'A créer'!$E11="Oui"),"","*SAVE")</f>
        <v>*SAVE</v>
      </c>
      <c r="AD11" s="2" t="str">
        <f>IF(OR(LEN('A créer'!$C11)=0,'A créer'!$E11="Oui"),"","*ML(237,126)")</f>
        <v>*ML(237,126)</v>
      </c>
    </row>
    <row r="12" spans="1:30" x14ac:dyDescent="0.35">
      <c r="A12" s="2" t="str">
        <f>IF(AND(LEN('A créer'!$C12)=0,LEN('A créer'!$E12&gt;0)),"","*FN")</f>
        <v>*FN</v>
      </c>
      <c r="B12" s="6" t="str">
        <f>IF(AND(LEN('A créer'!$C12)=0,LEN('A créer'!$E12&gt;0)),"",CONCATENATE('A créer'!B12,'A créer'!A12))</f>
        <v>DCW0402</v>
      </c>
      <c r="C12" s="2" t="str">
        <f>IF(AND(LEN('A créer'!$C12)=0,LEN('A créer'!$E12&gt;0)),"","TAB")</f>
        <v>TAB</v>
      </c>
      <c r="D12" s="6" t="str">
        <f>IF(AND(LEN('A créer'!$C12)=0,LEN('A créer'!$E12&gt;0)),"","Setup Business Group")</f>
        <v>Setup Business Group</v>
      </c>
      <c r="E12" s="2" t="str">
        <f>IF(AND(LEN('A créer'!$C12)=0,LEN('A créer'!$E12&gt;0)),"","TAB 4")</f>
        <v>TAB 4</v>
      </c>
      <c r="F12" s="2" t="str">
        <f>IF(AND(LEN('A créer'!$C12)=0,LEN('A créer'!$E12&gt;0)),"","TAB 4")</f>
        <v>TAB 4</v>
      </c>
      <c r="G12" s="2" t="str">
        <f>IF(AND(LEN('A créer'!$C12)=0,LEN('A créer'!$E12&gt;0)),"","TAB")</f>
        <v>TAB</v>
      </c>
      <c r="H12" s="2" t="str">
        <f>IF(AND(LEN('A créer'!$C12)=0,LEN('A créer'!$E12&gt;0)),"","TAB")</f>
        <v>TAB</v>
      </c>
      <c r="I12" s="2" t="str">
        <f>IF(AND(LEN('A créer'!$C12)=0,LEN('A créer'!$E12&gt;0)),"","TAB")</f>
        <v>TAB</v>
      </c>
      <c r="J12" s="6" t="str">
        <f>IF(AND(LEN('A créer'!$C12)=0,LEN('A créer'!$E12&gt;0)),"","\Sécuriser les organisations par hiérarchie")</f>
        <v>\Sécuriser les organisations par hiérarchie</v>
      </c>
      <c r="K12" s="2" t="str">
        <f>IF(AND(LEN('A créer'!$C12)=0,LEN('A créer'!$E12&gt;0)),"","TAB 4")</f>
        <v>TAB 4</v>
      </c>
      <c r="L12" s="6" t="str">
        <f>IF(AND(LEN('A créer'!$C12)=0,LEN('A créer'!$E12&gt;0)),"",CONCATENATE('A créer'!B12,'A créer'!A12))</f>
        <v>DCW0402</v>
      </c>
      <c r="M12" s="2" t="str">
        <f>IF(AND(LEN('A créer'!$C12)=0,LEN('A créer'!$E12&gt;0)),"","TAB")</f>
        <v>TAB</v>
      </c>
      <c r="N12" s="2" t="str">
        <f>IF(AND(LEN('A créer'!$C12)=0,LEN('A créer'!$E12&gt;0)),"","*SAVE")</f>
        <v>*SAVE</v>
      </c>
      <c r="O12" s="2" t="str">
        <f>IF(AND(LEN('A créer'!$C12)=0,LEN('A créer'!$E12&gt;0)),"","*ML(103,118)")</f>
        <v>*ML(103,118)</v>
      </c>
      <c r="P12" s="2" t="str">
        <f>IF(OR(LEN('A créer'!$C12)=0,'A créer'!$E12="Oui"),"","*FN")</f>
        <v>*FN</v>
      </c>
      <c r="Q12" s="6" t="str">
        <f>IF(OR(LEN('A créer'!$C12)=0,'A créer'!$E12="Oui"),"",'A créer'!A12)</f>
        <v>0402</v>
      </c>
      <c r="R12" s="2" t="str">
        <f>IF(OR(LEN('A créer'!$C12)=0,'A créer'!$E12="Oui"),"","TAB")</f>
        <v>TAB</v>
      </c>
      <c r="S12" s="6" t="str">
        <f>IF(OR(LEN('A créer'!$C12)=0,'A créer'!$E12="Oui"),"","Setup Business Group")</f>
        <v>Setup Business Group</v>
      </c>
      <c r="T12" s="2" t="str">
        <f>IF(OR(LEN('A créer'!$C12)=0,'A créer'!$E12="Oui"),"","TAB 4")</f>
        <v>TAB 4</v>
      </c>
      <c r="U12" s="2" t="str">
        <f>IF(OR(LEN('A créer'!$C12)=0,'A créer'!$E12="Oui"),"","TAB 4")</f>
        <v>TAB 4</v>
      </c>
      <c r="V12" s="2" t="str">
        <f>IF(OR(LEN('A créer'!$C12)=0,'A créer'!$E12="Oui"),"","TAB")</f>
        <v>TAB</v>
      </c>
      <c r="W12" s="2" t="str">
        <f>IF(OR(LEN('A créer'!$C12)=0,'A créer'!$E12="Oui"),"","TAB")</f>
        <v>TAB</v>
      </c>
      <c r="X12" s="2" t="str">
        <f>IF(OR(LEN('A créer'!$C12)=0,'A créer'!$E12="Oui"),"","TAB")</f>
        <v>TAB</v>
      </c>
      <c r="Y12" s="6" t="str">
        <f>IF(OR(LEN('A créer'!$C12)=0,'A créer'!$E12="Oui"),"","\Sécuriser les organisations par hiérarchie")</f>
        <v>\Sécuriser les organisations par hiérarchie</v>
      </c>
      <c r="Z12" s="2" t="str">
        <f>IF(OR(LEN('A créer'!$C12)=0,'A créer'!$E12="Oui"),"","TAB 4")</f>
        <v>TAB 4</v>
      </c>
      <c r="AA12" s="6" t="str">
        <f>IF(OR(LEN('A créer'!$C12)=0,'A créer'!$E12="Oui"),"",CONCATENATE('A créer'!B12,'A créer'!A12))</f>
        <v>DCW0402</v>
      </c>
      <c r="AB12" s="2" t="str">
        <f>IF(OR(LEN('A créer'!$C12)=0,'A créer'!$E12="Oui"),"","TAB")</f>
        <v>TAB</v>
      </c>
      <c r="AC12" s="2" t="str">
        <f>IF(OR(LEN('A créer'!$C12)=0,'A créer'!$E12="Oui"),"","*SAVE")</f>
        <v>*SAVE</v>
      </c>
      <c r="AD12" s="2" t="str">
        <f>IF(OR(LEN('A créer'!$C12)=0,'A créer'!$E12="Oui"),"","*ML(237,126)")</f>
        <v>*ML(237,126)</v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4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D40" sqref="D40"/>
      <selection pane="bottomLeft" activeCell="D40" sqref="D40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DRW0506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35">
      <c r="A10" s="2" t="str">
        <f>IF(LEN('A créer'!$C10)=0,"","TAB")</f>
        <v>TAB</v>
      </c>
      <c r="B10" s="2" t="str">
        <f>IF(LEN('A créer'!$C10)=0,"","TAB")</f>
        <v>TAB</v>
      </c>
      <c r="C10" s="6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6" t="str">
        <f>IF(LEN('A créer'!$C10)=0,"",CONCATENATE('A créer'!B10,'A créer'!A10))</f>
        <v>DRW0531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 x14ac:dyDescent="0.35">
      <c r="A11" s="2" t="str">
        <f>IF(LEN('A créer'!$C11)=0,"","TAB")</f>
        <v>TAB</v>
      </c>
      <c r="B11" s="2" t="str">
        <f>IF(LEN('A créer'!$C11)=0,"","TAB")</f>
        <v>TAB</v>
      </c>
      <c r="C11" s="6" t="str">
        <f>IF(LEN('A créer'!$C11)=0,"","\Un profil de sécurité nommé")</f>
        <v>\Un profil de sécurité nommé</v>
      </c>
      <c r="D11" s="2" t="str">
        <f>IF(LEN('A créer'!$C11)=0,"","TAB")</f>
        <v>TAB</v>
      </c>
      <c r="E11" s="2" t="str">
        <f>IF(LEN('A créer'!$C11)=0,"","TAB")</f>
        <v>TAB</v>
      </c>
      <c r="F11" s="6" t="str">
        <f>IF(LEN('A créer'!$C11)=0,"",CONCATENATE('A créer'!B11,'A créer'!A11))</f>
        <v>DNA0532</v>
      </c>
      <c r="G11" s="2" t="str">
        <f>IF(LEN('A créer'!$C11)=0,"","TAB")</f>
        <v>TAB</v>
      </c>
      <c r="H11" s="2" t="str">
        <f>IF(LEN('A créer'!$C11)=0,"","ENT")</f>
        <v>ENT</v>
      </c>
      <c r="I11" s="2" t="str">
        <f>IF(LEN('A créer'!$C11)=0,"","TAB")</f>
        <v>TAB</v>
      </c>
      <c r="J11" s="2" t="str">
        <f>IF(LEN('A créer'!$C11)=0,"","TAB")</f>
        <v>TAB</v>
      </c>
      <c r="K11" s="2" t="str">
        <f>IF(LEN('A créer'!$C11)=0,"","ENT")</f>
        <v>ENT</v>
      </c>
      <c r="L11" s="2" t="str">
        <f>IF(LEN('A créer'!$C11)=0,"","ENT")</f>
        <v>ENT</v>
      </c>
    </row>
    <row r="12" spans="1:12" x14ac:dyDescent="0.35">
      <c r="A12" s="2" t="str">
        <f>IF(LEN('A créer'!$C12)=0,"","TAB")</f>
        <v>TAB</v>
      </c>
      <c r="B12" s="2" t="str">
        <f>IF(LEN('A créer'!$C12)=0,"","TAB")</f>
        <v>TAB</v>
      </c>
      <c r="C12" s="6" t="str">
        <f>IF(LEN('A créer'!$C12)=0,"","\Un profil de sécurité nommé")</f>
        <v>\Un profil de sécurité nommé</v>
      </c>
      <c r="D12" s="2" t="str">
        <f>IF(LEN('A créer'!$C12)=0,"","TAB")</f>
        <v>TAB</v>
      </c>
      <c r="E12" s="2" t="str">
        <f>IF(LEN('A créer'!$C12)=0,"","TAB")</f>
        <v>TAB</v>
      </c>
      <c r="F12" s="6" t="str">
        <f>IF(LEN('A créer'!$C12)=0,"",CONCATENATE('A créer'!B12,'A créer'!A12))</f>
        <v>DCW0402</v>
      </c>
      <c r="G12" s="2" t="str">
        <f>IF(LEN('A créer'!$C12)=0,"","TAB")</f>
        <v>TAB</v>
      </c>
      <c r="H12" s="2" t="str">
        <f>IF(LEN('A créer'!$C12)=0,"","ENT")</f>
        <v>ENT</v>
      </c>
      <c r="I12" s="2" t="str">
        <f>IF(LEN('A créer'!$C12)=0,"","TAB")</f>
        <v>TAB</v>
      </c>
      <c r="J12" s="2" t="str">
        <f>IF(LEN('A créer'!$C12)=0,"","TAB")</f>
        <v>TAB</v>
      </c>
      <c r="K12" s="2" t="str">
        <f>IF(LEN('A créer'!$C12)=0,"","ENT")</f>
        <v>ENT</v>
      </c>
      <c r="L12" s="2" t="str">
        <f>IF(LEN('A créer'!$C12)=0,"","ENT")</f>
        <v>ENT</v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15" zoomScaleNormal="115" workbookViewId="0">
      <selection activeCell="D40" sqref="D40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2025-02-18T16:23:14Z</dcterms:modified>
</cp:coreProperties>
</file>