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SVD 102 - MIRECOURT CHALEUR URBAINE - DCW 01 2025\"/>
    </mc:Choice>
  </mc:AlternateContent>
  <bookViews>
    <workbookView xWindow="-20" yWindow="170" windowWidth="15330" windowHeight="4140" tabRatio="681" firstSheet="1" activeTab="1"/>
  </bookViews>
  <sheets>
    <sheet name="513473 - banque" sheetId="8" r:id="rId1"/>
    <sheet name="INITSOC- Oracle R12" sheetId="1" r:id="rId2"/>
    <sheet name="Nouveau référentiel R12" sheetId="10" r:id="rId3"/>
    <sheet name="Attributions Responsabilités" sheetId="7" r:id="rId4"/>
    <sheet name="ADRESSE TSA" sheetId="11" r:id="rId5"/>
    <sheet name="BD STE ET AUTRES" sheetId="5" r:id="rId6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R12'!$H$14</definedName>
    <definedName name="cloture">'INITSOC- Oracle R12'!$H$30</definedName>
    <definedName name="code">'INITSOC- Oracle R12'!$H$23</definedName>
    <definedName name="conso">'INITSOC- Oracle R12'!$H$24</definedName>
    <definedName name="cp">'INITSOC- Oracle R12'!$H$10</definedName>
    <definedName name="debut">'INITSOC- Oracle R12'!$H$29</definedName>
    <definedName name="etab">'INITSOC- Oracle R12'!$H$33</definedName>
    <definedName name="forme">'INITSOC- Oracle R12'!$H$12</definedName>
    <definedName name="fraisste">'BD STE ET AUTRES'!$H$37</definedName>
    <definedName name="geree">'INITSOC- Oracle R12'!$H$26</definedName>
    <definedName name="_xlnm.Print_Titles" localSheetId="2">'Nouveau référentiel R12'!$2:$2</definedName>
    <definedName name="intracom">'INITSOC- Oracle R12'!$H$16</definedName>
    <definedName name="lieudetenue">'INITSOC- Oracle R12'!$H$35</definedName>
    <definedName name="naf">'INITSOC- Oracle R12'!$H$18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R12'!$H$15</definedName>
    <definedName name="siret">'INITSOC- Oracle R12'!#REF!</definedName>
    <definedName name="ville">'INITSOC- Oracle R12'!$H$11</definedName>
    <definedName name="villedepot">'INITSOC- Oracle R12'!$H$13</definedName>
    <definedName name="_xlnm.Print_Area" localSheetId="4">'ADRESSE TSA'!$A$1:$G$23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B17" i="11" l="1"/>
  <c r="B16" i="11"/>
  <c r="A3" i="10" l="1"/>
  <c r="K3" i="10"/>
  <c r="E3" i="10"/>
  <c r="B3" i="10" l="1"/>
  <c r="H35" i="1"/>
  <c r="K7" i="1"/>
  <c r="A9" i="10" l="1"/>
  <c r="H7" i="1" l="1"/>
  <c r="I7" i="1" l="1"/>
  <c r="H43" i="1" l="1"/>
  <c r="H2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<sst xmlns="http://schemas.openxmlformats.org/spreadsheetml/2006/main" count="419" uniqueCount="329">
  <si>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</si>
  <si>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</si>
  <si>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</si>
  <si>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</si>
  <si>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</si>
  <si>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</si>
  <si>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</si>
  <si>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</si>
  <si>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</si>
  <si>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</si>
  <si>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</si>
  <si>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</si>
  <si>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</si>
  <si>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</si>
  <si>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</si>
  <si>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</si>
  <si>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</si>
  <si>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</si>
  <si>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</si>
  <si>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</si>
  <si>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</si>
  <si>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</si>
  <si>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</si>
  <si>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</si>
  <si>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</si>
  <si>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</si>
  <si>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</si>
  <si>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</si>
  <si>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</si>
  <si>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</si>
  <si>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</si>
  <si>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</si>
  <si>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</si>
  <si>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</si>
  <si>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</si>
  <si>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</si>
  <si>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</si>
  <si>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</si>
  <si>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</si>
  <si>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CODE  CONSO VEOLIA :</t>
  </si>
  <si>
    <t>Implantation dans le module  FA (systèmatique)</t>
  </si>
  <si>
    <t>MATRICULE</t>
  </si>
  <si>
    <t>NOM</t>
  </si>
  <si>
    <t>PRENOM</t>
  </si>
  <si>
    <t>REGION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</si>
  <si>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</si>
  <si>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</si>
  <si>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</si>
  <si>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</si>
  <si>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</si>
  <si>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</si>
  <si>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</si>
  <si>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</si>
  <si>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</si>
  <si>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</si>
  <si>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</si>
  <si>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</si>
  <si>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</si>
  <si>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</si>
  <si>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</si>
  <si>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</si>
  <si>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</si>
  <si>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</si>
  <si>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</si>
  <si>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</si>
  <si>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</si>
  <si>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</si>
  <si>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</si>
  <si>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</si>
  <si>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</si>
  <si>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</si>
  <si>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</si>
  <si>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</si>
  <si>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</si>
  <si>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</si>
  <si>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</si>
  <si>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</si>
  <si>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</si>
  <si>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</si>
  <si>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</si>
  <si>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</si>
  <si>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</si>
  <si>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</si>
  <si>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</si>
  <si>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</si>
  <si>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</si>
  <si>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</si>
  <si>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</si>
  <si>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</si>
  <si>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</si>
  <si>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</si>
  <si>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</si>
  <si>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</si>
  <si>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</si>
  <si>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</si>
  <si>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</si>
  <si>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</si>
  <si>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</si>
  <si>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</si>
  <si>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</si>
  <si>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</si>
  <si>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</si>
  <si>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</si>
  <si>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</si>
  <si>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</si>
  <si>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</si>
  <si>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</si>
  <si>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</si>
  <si>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</si>
  <si>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</si>
  <si>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</si>
  <si>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</si>
  <si>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</si>
  <si>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</si>
  <si>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</si>
  <si>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</si>
  <si>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</si>
  <si>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</si>
  <si>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</si>
  <si>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</si>
  <si>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</si>
  <si>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</si>
  <si>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</si>
  <si>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</si>
  <si>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</si>
  <si>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</si>
  <si>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</si>
  <si>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</si>
  <si>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</si>
  <si>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</si>
  <si>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</si>
  <si>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</si>
  <si>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</si>
  <si>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</si>
  <si>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</si>
  <si>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</si>
  <si>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</si>
  <si>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</si>
  <si>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</si>
  <si>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</si>
  <si>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</si>
  <si>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</si>
  <si>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</si>
  <si>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</si>
  <si>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</si>
  <si>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</si>
  <si>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</si>
  <si>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</si>
  <si>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Tache finance de rattachement de la tache finance frais de société</t>
  </si>
  <si>
    <t>Demande faite à Kador</t>
  </si>
  <si>
    <t>DK code partenaire</t>
  </si>
  <si>
    <t>Kador :</t>
  </si>
  <si>
    <t>SOCIETE</t>
  </si>
  <si>
    <t>Code Lieu</t>
  </si>
  <si>
    <t>Adresse ligne 1</t>
  </si>
  <si>
    <t>Adresse ligne 2</t>
  </si>
  <si>
    <t>CUF Région</t>
  </si>
  <si>
    <t>59784 LILLE CEDEX 9</t>
  </si>
  <si>
    <t>France</t>
  </si>
  <si>
    <t>Code Compte</t>
  </si>
  <si>
    <t>Société</t>
  </si>
  <si>
    <t>Banque</t>
  </si>
  <si>
    <t>RIB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</si>
  <si>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</si>
  <si>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</si>
  <si>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</si>
  <si>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</si>
  <si>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</si>
  <si>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</si>
  <si>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</si>
  <si>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BANQUE</t>
  </si>
  <si>
    <t>AGENCE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</si>
  <si>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</si>
  <si>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</si>
  <si>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</si>
  <si>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</si>
  <si>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</si>
  <si>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</si>
  <si>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</si>
  <si>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</si>
  <si>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</si>
  <si>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</si>
  <si>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</si>
  <si>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</si>
  <si>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(à cocher)</t>
  </si>
  <si>
    <t>TYPE DE RAPPROCHEMENT pour RB</t>
  </si>
  <si>
    <t>O</t>
  </si>
  <si>
    <t>Dénomination sociale</t>
  </si>
  <si>
    <t>OUV</t>
  </si>
  <si>
    <t>TF - Libellé</t>
  </si>
  <si>
    <t>TF - Libellé Type</t>
  </si>
  <si>
    <t>PF - Libellé</t>
  </si>
  <si>
    <t>Activités organiques</t>
  </si>
  <si>
    <t>Emmanuel COMPAIN</t>
  </si>
  <si>
    <t xml:space="preserve">Rachid MELLAS, Arnaud  MALEZIEUX,  </t>
  </si>
  <si>
    <t>Adresse siège :</t>
  </si>
  <si>
    <t>ETABLISSEMENT :DOS</t>
  </si>
  <si>
    <t>BIC:</t>
  </si>
  <si>
    <t>virements express</t>
  </si>
  <si>
    <t>virement tiers echeancier</t>
  </si>
  <si>
    <t>virement groupe echéancier</t>
  </si>
  <si>
    <t>virement NDF</t>
  </si>
  <si>
    <t>compte bancaire  sera suivi et intégtré dans RB</t>
  </si>
  <si>
    <t>Dalkia</t>
  </si>
  <si>
    <t>SIREN/SIRET</t>
  </si>
  <si>
    <t>N° TVA intracommunautaire</t>
  </si>
  <si>
    <t>SAS</t>
  </si>
  <si>
    <t>Trésorerie gérée par Siège:  OUI    NON</t>
  </si>
  <si>
    <t>Livre comptable</t>
  </si>
  <si>
    <t>LIVRE COMPTABLE</t>
  </si>
  <si>
    <t>CREATION DE COMPTE BANCAIRE et Parametrage Oracle  complet  ( RB + GL)</t>
  </si>
  <si>
    <t xml:space="preserve">DSIN,MOA finance, Aissata  DIAO, Agnes KURI, Olivier DESHAYES, </t>
  </si>
  <si>
    <t>Virement manuel</t>
  </si>
  <si>
    <t>Complément Adresse</t>
  </si>
  <si>
    <t>PF - Classe (Type de projet)</t>
  </si>
  <si>
    <t>Organique</t>
  </si>
  <si>
    <t>DK Code</t>
  </si>
  <si>
    <t>Statut</t>
  </si>
  <si>
    <t>Acronyme/Sigle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</si>
  <si>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</si>
  <si>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</si>
  <si>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</si>
  <si>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</si>
  <si>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</si>
  <si>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</si>
  <si>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</si>
  <si>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Privé</t>
  </si>
  <si>
    <t>SAS, société par actions simplifiée</t>
  </si>
  <si>
    <t>Libellé</t>
  </si>
  <si>
    <t>Responsable</t>
  </si>
  <si>
    <t>ID externe</t>
  </si>
  <si>
    <t>Nature</t>
  </si>
  <si>
    <t>Sous-segment</t>
  </si>
  <si>
    <t>Complement adresse établissement</t>
  </si>
  <si>
    <t>Ref adr. client</t>
  </si>
  <si>
    <t>Siège</t>
  </si>
  <si>
    <t>DK Code société</t>
  </si>
  <si>
    <t>Catégorie société</t>
  </si>
  <si>
    <t>Etablissement</t>
  </si>
  <si>
    <t>Industrie-Process</t>
  </si>
  <si>
    <t>Partenaire</t>
  </si>
  <si>
    <t>Nb Sociétés liées</t>
  </si>
  <si>
    <t>Nb Partenaires</t>
  </si>
  <si>
    <t>Nb adresses</t>
  </si>
  <si>
    <t>DK Code adresse principale</t>
  </si>
  <si>
    <t>Département siège</t>
  </si>
  <si>
    <t>GC EDF</t>
  </si>
  <si>
    <t>GC Dalkia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</si>
  <si>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</si>
  <si>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</si>
  <si>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</si>
  <si>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</si>
  <si>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</si>
  <si>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</si>
  <si>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</si>
  <si>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</si>
  <si>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</si>
  <si>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</si>
  <si>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Mode de gestion</t>
  </si>
  <si>
    <t>SG</t>
  </si>
  <si>
    <t>N/A</t>
  </si>
  <si>
    <t>Libellé de l adresse</t>
  </si>
  <si>
    <t>AF : Adresse 1</t>
  </si>
  <si>
    <t>AF : Adresse 2</t>
  </si>
  <si>
    <t>Code postal</t>
  </si>
  <si>
    <t>Code pays</t>
  </si>
  <si>
    <t>LILLE CEDEX 9</t>
  </si>
  <si>
    <t>Adresse envoi factures</t>
  </si>
  <si>
    <t>facturepdf.dalkia@csp.dalkia.fr</t>
  </si>
  <si>
    <t>Adresse contact factures</t>
  </si>
  <si>
    <t xml:space="preserve">contactfournisseur@csp.dalkia.fr
</t>
  </si>
  <si>
    <t>0402. SVD 102</t>
  </si>
  <si>
    <t>37, avenue du Marechal de Lattre de Tassigny</t>
  </si>
  <si>
    <t>59350 SAINT ANDRE LEZ LILLE</t>
  </si>
  <si>
    <t>SOCIETE GENERALE</t>
  </si>
  <si>
    <t>PARIS ETOILE ENTREPRISES</t>
  </si>
  <si>
    <t>SOGEFRPP</t>
  </si>
  <si>
    <t>30003 03175 00020485436 30</t>
  </si>
  <si>
    <t>FR76 3000 3031 7500 0204 8543 630</t>
  </si>
  <si>
    <t>IBAN</t>
  </si>
  <si>
    <t>30003 03175 00020485436  30</t>
  </si>
  <si>
    <t xml:space="preserve">FR76 3000 3031 7500 0204 8543 630 </t>
  </si>
  <si>
    <t>SVD 102</t>
  </si>
  <si>
    <t>Compte local 513473</t>
  </si>
  <si>
    <t>03175</t>
  </si>
  <si>
    <t>00020485436</t>
  </si>
  <si>
    <t>30</t>
  </si>
  <si>
    <t>MERICOURT CHALEUR URBAINE</t>
  </si>
  <si>
    <t>PULNOY</t>
  </si>
  <si>
    <t>NANCY</t>
  </si>
  <si>
    <t>MERICOURT CU</t>
  </si>
  <si>
    <t>6, RUE DES TREZELOTS</t>
  </si>
  <si>
    <t>FR94887572402</t>
  </si>
  <si>
    <t>3530Z</t>
  </si>
  <si>
    <t>0402</t>
  </si>
  <si>
    <t>YS0102</t>
  </si>
  <si>
    <t>Transfert de DOS vers DCW</t>
  </si>
  <si>
    <t>DCW</t>
  </si>
  <si>
    <t>A créer sous UO - Dalkia Grand-Est</t>
  </si>
  <si>
    <t>GK1477306G</t>
  </si>
  <si>
    <t>GE</t>
  </si>
  <si>
    <t>TF FPS 0402 MIRECOURT CHALEUR URBAINE (SVD 102)</t>
  </si>
  <si>
    <t>B00001602W</t>
  </si>
  <si>
    <t>FB0088916R</t>
  </si>
  <si>
    <t>2025-01-16 00:00:00</t>
  </si>
  <si>
    <t>D00242490G</t>
  </si>
  <si>
    <t>MIRECOURT CHALEUR URBAINE</t>
  </si>
  <si>
    <t xml:space="preserve">Production et distribution de vapeur et d'air conditionné </t>
  </si>
  <si>
    <t>DCW0402</t>
  </si>
  <si>
    <t>PROJET FINANCE DK 23 UO DCW0402</t>
  </si>
  <si>
    <t>PF FPS 0402 MIRECOURT CHALEUR URBAINE (SVD 102)</t>
  </si>
  <si>
    <t>54439</t>
  </si>
  <si>
    <t>TSA 15503</t>
  </si>
  <si>
    <t>MIRECOURT CHALEUR URBAINE (13402)</t>
  </si>
  <si>
    <t>88757240200048</t>
  </si>
  <si>
    <t>Production et distribution de vapeur et d'air comprimé</t>
  </si>
  <si>
    <t>402-DCW-513473</t>
  </si>
  <si>
    <t>GK0709400L</t>
  </si>
  <si>
    <t>TF FPS 0402 SVD102</t>
  </si>
  <si>
    <t>B00001916C</t>
  </si>
  <si>
    <t>FB0071339S</t>
  </si>
  <si>
    <t>2020-10-08 00:00:00</t>
  </si>
  <si>
    <t>Région Grand-Est</t>
  </si>
  <si>
    <t>Région Siège :</t>
  </si>
  <si>
    <t>Nb contrats</t>
  </si>
  <si>
    <t>K24023369H</t>
  </si>
  <si>
    <t>L00219295V</t>
  </si>
  <si>
    <t>PULNOY - 54425</t>
  </si>
  <si>
    <t>0586134D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</si>
</sst>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#,##0&quot; €&quot;"/>
    <numFmt numFmtId="170" formatCode="00000000000"/>
  </numFmts>
  <fonts count="43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0"/>
      <color indexed="64"/>
      <name val="Microsoft Sans Serif"/>
      <family val="2"/>
    </font>
    <font>
      <sz val="10"/>
      <color indexed="64"/>
      <name val="Microsoft Sans Serif"/>
      <family val="2"/>
    </font>
    <font>
      <sz val="10"/>
      <color rgb="FF0070C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0"/>
      <color rgb="FFFF0000"/>
      <name val="MS Sans Serif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10"/>
      <name val="MS Sans Serif"/>
    </font>
    <font>
      <b/>
      <sz val="11"/>
      <color rgb="FFFF0000"/>
      <name val="Calibri"/>
      <family val="2"/>
      <scheme val="minor"/>
    </font>
    <font>
      <b/>
      <sz val="10"/>
      <color theme="1"/>
      <name val="MS Sans Serif"/>
      <family val="2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Arial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name val="MS Sans Serif"/>
      <family val="2"/>
    </font>
    <font>
      <sz val="8"/>
      <color indexed="10"/>
      <name val="MS Sans Serif"/>
      <family val="2"/>
    </font>
    <font>
      <sz val="8"/>
      <name val="MS Sans Serif"/>
      <family val="2"/>
    </font>
    <font>
      <sz val="8"/>
      <color rgb="FFFF0000"/>
      <name val="MS Sans Serif"/>
      <family val="2"/>
    </font>
    <font>
      <b/>
      <sz val="10"/>
      <color rgb="FF0070C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1A7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5" fillId="0" borderId="0"/>
    <xf numFmtId="0" fontId="32" fillId="0" borderId="0"/>
    <xf numFmtId="0" fontId="37" fillId="0" borderId="0" applyNumberFormat="0" applyFill="0" applyBorder="0" applyAlignment="0" applyProtection="0"/>
  </cellStyleXfs>
  <cellXfs count="190">
    <xf numFmtId="0" fontId="0" fillId="0" borderId="0" xfId="0"/>
    <xf numFmtId="0" fontId="20" fillId="0" borderId="0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3"/>
    <xf numFmtId="166" fontId="5" fillId="0" borderId="0" xfId="3" applyNumberFormat="1"/>
    <xf numFmtId="164" fontId="5" fillId="0" borderId="0" xfId="3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3" applyFont="1"/>
    <xf numFmtId="14" fontId="5" fillId="0" borderId="0" xfId="3" applyNumberFormat="1"/>
    <xf numFmtId="166" fontId="5" fillId="0" borderId="0" xfId="3" applyNumberFormat="1" applyFont="1"/>
    <xf numFmtId="0" fontId="6" fillId="0" borderId="0" xfId="3" applyFont="1"/>
    <xf numFmtId="0" fontId="5" fillId="0" borderId="1" xfId="3" applyFont="1" applyBorder="1"/>
    <xf numFmtId="10" fontId="0" fillId="0" borderId="0" xfId="0" applyNumberFormat="1" applyFill="1"/>
    <xf numFmtId="0" fontId="7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top"/>
    </xf>
    <xf numFmtId="0" fontId="0" fillId="0" borderId="0" xfId="0" quotePrefix="1" applyAlignment="1">
      <alignment vertical="center"/>
    </xf>
    <xf numFmtId="0" fontId="10" fillId="0" borderId="0" xfId="2" applyFont="1" applyAlignment="1">
      <alignment horizontal="center" vertical="center" wrapText="1"/>
    </xf>
    <xf numFmtId="0" fontId="5" fillId="0" borderId="0" xfId="2"/>
    <xf numFmtId="16" fontId="5" fillId="0" borderId="0" xfId="3" applyNumberForma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3" applyFont="1" applyAlignment="1">
      <alignment wrapText="1"/>
    </xf>
    <xf numFmtId="0" fontId="5" fillId="0" borderId="0" xfId="3" applyAlignment="1">
      <alignment wrapText="1"/>
    </xf>
    <xf numFmtId="164" fontId="6" fillId="0" borderId="0" xfId="3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2" applyFont="1" applyBorder="1" applyAlignment="1">
      <alignment horizontal="center" vertical="center" textRotation="76" wrapText="1"/>
    </xf>
    <xf numFmtId="0" fontId="13" fillId="0" borderId="5" xfId="2" applyFont="1" applyBorder="1"/>
    <xf numFmtId="0" fontId="13" fillId="0" borderId="5" xfId="2" applyFont="1" applyBorder="1" applyAlignment="1">
      <alignment horizontal="center"/>
    </xf>
    <xf numFmtId="0" fontId="5" fillId="0" borderId="5" xfId="2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8" fontId="1" fillId="0" borderId="1" xfId="0" quotePrefix="1" applyNumberFormat="1" applyFont="1" applyBorder="1" applyAlignment="1">
      <alignment horizontal="center"/>
    </xf>
    <xf numFmtId="170" fontId="1" fillId="0" borderId="1" xfId="0" quotePrefix="1" applyNumberFormat="1" applyFont="1" applyBorder="1" applyAlignment="1">
      <alignment horizontal="center"/>
    </xf>
    <xf numFmtId="0" fontId="11" fillId="4" borderId="4" xfId="2" applyFont="1" applyFill="1" applyBorder="1" applyAlignment="1">
      <alignment horizontal="center" vertical="center" textRotation="76" wrapText="1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69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49" fontId="18" fillId="0" borderId="5" xfId="0" applyNumberFormat="1" applyFont="1" applyBorder="1" applyAlignment="1">
      <alignment horizontal="center"/>
    </xf>
    <xf numFmtId="0" fontId="17" fillId="6" borderId="5" xfId="0" applyNumberFormat="1" applyFont="1" applyFill="1" applyBorder="1"/>
    <xf numFmtId="0" fontId="21" fillId="0" borderId="0" xfId="0" applyFont="1"/>
    <xf numFmtId="0" fontId="22" fillId="0" borderId="0" xfId="0" applyFont="1"/>
    <xf numFmtId="14" fontId="0" fillId="0" borderId="0" xfId="0" applyNumberForma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0" fillId="0" borderId="0" xfId="0" applyFont="1" applyBorder="1"/>
    <xf numFmtId="0" fontId="0" fillId="0" borderId="13" xfId="0" applyBorder="1"/>
    <xf numFmtId="0" fontId="0" fillId="0" borderId="14" xfId="0" applyBorder="1"/>
    <xf numFmtId="0" fontId="23" fillId="0" borderId="12" xfId="0" applyFont="1" applyBorder="1"/>
    <xf numFmtId="0" fontId="0" fillId="0" borderId="15" xfId="0" applyBorder="1"/>
    <xf numFmtId="0" fontId="20" fillId="0" borderId="10" xfId="0" applyFont="1" applyBorder="1"/>
    <xf numFmtId="0" fontId="0" fillId="0" borderId="6" xfId="0" applyBorder="1"/>
    <xf numFmtId="0" fontId="0" fillId="0" borderId="7" xfId="0" applyBorder="1"/>
    <xf numFmtId="0" fontId="20" fillId="8" borderId="5" xfId="0" applyFont="1" applyFill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0" fontId="20" fillId="8" borderId="17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3" fontId="20" fillId="0" borderId="15" xfId="0" applyNumberFormat="1" applyFont="1" applyFill="1" applyBorder="1"/>
    <xf numFmtId="0" fontId="20" fillId="0" borderId="0" xfId="0" applyFont="1"/>
    <xf numFmtId="0" fontId="20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5" xfId="0" applyBorder="1"/>
    <xf numFmtId="0" fontId="20" fillId="0" borderId="10" xfId="0" applyFont="1" applyBorder="1" applyAlignment="1">
      <alignment horizontal="left"/>
    </xf>
    <xf numFmtId="14" fontId="23" fillId="0" borderId="5" xfId="0" applyNumberFormat="1" applyFont="1" applyBorder="1" applyAlignment="1">
      <alignment horizontal="center"/>
    </xf>
    <xf numFmtId="0" fontId="23" fillId="10" borderId="12" xfId="0" applyFont="1" applyFill="1" applyBorder="1"/>
    <xf numFmtId="0" fontId="23" fillId="10" borderId="14" xfId="0" applyFont="1" applyFill="1" applyBorder="1"/>
    <xf numFmtId="0" fontId="0" fillId="10" borderId="15" xfId="0" applyFill="1" applyBorder="1"/>
    <xf numFmtId="0" fontId="20" fillId="10" borderId="15" xfId="0" applyFont="1" applyFill="1" applyBorder="1"/>
    <xf numFmtId="0" fontId="0" fillId="10" borderId="16" xfId="0" applyFill="1" applyBorder="1"/>
    <xf numFmtId="49" fontId="20" fillId="11" borderId="4" xfId="0" applyNumberFormat="1" applyFont="1" applyFill="1" applyBorder="1" applyAlignment="1">
      <alignment horizontal="center"/>
    </xf>
    <xf numFmtId="0" fontId="20" fillId="11" borderId="5" xfId="0" applyFont="1" applyFill="1" applyBorder="1" applyAlignment="1">
      <alignment horizontal="center"/>
    </xf>
    <xf numFmtId="0" fontId="23" fillId="0" borderId="0" xfId="0" applyFont="1"/>
    <xf numFmtId="0" fontId="23" fillId="2" borderId="6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23" fillId="2" borderId="7" xfId="0" applyFont="1" applyFill="1" applyBorder="1"/>
    <xf numFmtId="0" fontId="23" fillId="2" borderId="8" xfId="0" applyFont="1" applyFill="1" applyBorder="1"/>
    <xf numFmtId="0" fontId="23" fillId="2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0" fillId="0" borderId="0" xfId="0" applyFont="1" applyBorder="1" applyAlignment="1">
      <alignment horizontal="centerContinuous" vertical="center" shrinkToFit="1"/>
    </xf>
    <xf numFmtId="0" fontId="20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Border="1"/>
    <xf numFmtId="0" fontId="2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2" fontId="1" fillId="0" borderId="1" xfId="0" applyNumberFormat="1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5" fillId="0" borderId="0" xfId="0" applyFont="1" applyBorder="1"/>
    <xf numFmtId="14" fontId="0" fillId="0" borderId="0" xfId="0" applyNumberFormat="1" applyBorder="1"/>
    <xf numFmtId="0" fontId="27" fillId="0" borderId="0" xfId="0" applyFont="1"/>
    <xf numFmtId="0" fontId="28" fillId="0" borderId="0" xfId="0" quotePrefix="1" applyFont="1" applyAlignment="1">
      <alignment horizontal="center"/>
    </xf>
    <xf numFmtId="0" fontId="1" fillId="0" borderId="2" xfId="0" quotePrefix="1" applyFont="1" applyBorder="1" applyAlignment="1">
      <alignment horizontal="center"/>
    </xf>
    <xf numFmtId="167" fontId="29" fillId="0" borderId="1" xfId="0" quotePrefix="1" applyNumberFormat="1" applyFont="1" applyFill="1" applyBorder="1" applyAlignment="1">
      <alignment horizontal="center"/>
    </xf>
    <xf numFmtId="0" fontId="0" fillId="0" borderId="5" xfId="0" applyFill="1" applyBorder="1"/>
    <xf numFmtId="0" fontId="0" fillId="2" borderId="5" xfId="0" applyFill="1" applyBorder="1"/>
    <xf numFmtId="0" fontId="0" fillId="10" borderId="9" xfId="0" applyFill="1" applyBorder="1"/>
    <xf numFmtId="0" fontId="0" fillId="0" borderId="5" xfId="0" applyBorder="1" applyAlignment="1">
      <alignment horizontal="center"/>
    </xf>
    <xf numFmtId="0" fontId="0" fillId="0" borderId="0" xfId="0" applyFont="1"/>
    <xf numFmtId="0" fontId="33" fillId="0" borderId="0" xfId="0" applyFont="1"/>
    <xf numFmtId="0" fontId="34" fillId="14" borderId="19" xfId="0" applyFont="1" applyFill="1" applyBorder="1"/>
    <xf numFmtId="0" fontId="35" fillId="15" borderId="5" xfId="0" applyFont="1" applyFill="1" applyBorder="1" applyAlignment="1">
      <alignment wrapText="1"/>
    </xf>
    <xf numFmtId="0" fontId="36" fillId="16" borderId="5" xfId="0" applyFont="1" applyFill="1" applyBorder="1" applyAlignment="1">
      <alignment horizontal="center"/>
    </xf>
    <xf numFmtId="49" fontId="36" fillId="16" borderId="5" xfId="0" applyNumberFormat="1" applyFont="1" applyFill="1" applyBorder="1" applyAlignment="1">
      <alignment horizontal="center"/>
    </xf>
    <xf numFmtId="0" fontId="20" fillId="0" borderId="5" xfId="4" applyFont="1" applyBorder="1" applyAlignment="1">
      <alignment horizontal="center"/>
    </xf>
    <xf numFmtId="2" fontId="0" fillId="17" borderId="5" xfId="0" quotePrefix="1" applyNumberFormat="1" applyFill="1" applyBorder="1" applyAlignment="1">
      <alignment horizontal="center"/>
    </xf>
    <xf numFmtId="2" fontId="18" fillId="0" borderId="5" xfId="0" applyNumberFormat="1" applyFont="1" applyBorder="1" applyAlignment="1">
      <alignment horizontal="center"/>
    </xf>
    <xf numFmtId="0" fontId="2" fillId="18" borderId="5" xfId="0" applyFont="1" applyFill="1" applyBorder="1"/>
    <xf numFmtId="0" fontId="37" fillId="18" borderId="5" xfId="5" applyFill="1" applyBorder="1" applyAlignment="1">
      <alignment horizontal="center" wrapText="1"/>
    </xf>
    <xf numFmtId="0" fontId="2" fillId="19" borderId="5" xfId="0" applyFont="1" applyFill="1" applyBorder="1"/>
    <xf numFmtId="0" fontId="37" fillId="19" borderId="5" xfId="5" applyFill="1" applyBorder="1" applyAlignment="1">
      <alignment horizontal="center" wrapText="1"/>
    </xf>
    <xf numFmtId="0" fontId="38" fillId="0" borderId="0" xfId="0" applyFont="1" applyAlignment="1">
      <alignment wrapText="1"/>
    </xf>
    <xf numFmtId="0" fontId="39" fillId="0" borderId="0" xfId="0" applyFont="1"/>
    <xf numFmtId="0" fontId="39" fillId="0" borderId="0" xfId="0" applyFont="1" applyAlignment="1">
      <alignment horizontal="center" wrapText="1"/>
    </xf>
    <xf numFmtId="0" fontId="40" fillId="0" borderId="0" xfId="0" applyFont="1"/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11" fillId="0" borderId="0" xfId="0" applyFont="1" applyBorder="1"/>
    <xf numFmtId="0" fontId="20" fillId="10" borderId="0" xfId="0" applyFont="1" applyFill="1" applyBorder="1" applyAlignment="1">
      <alignment horizontal="left"/>
    </xf>
    <xf numFmtId="0" fontId="20" fillId="10" borderId="13" xfId="0" applyFont="1" applyFill="1" applyBorder="1" applyAlignment="1">
      <alignment horizontal="left"/>
    </xf>
    <xf numFmtId="0" fontId="20" fillId="0" borderId="0" xfId="0" applyFont="1" applyBorder="1" applyAlignment="1">
      <alignment horizontal="center"/>
    </xf>
    <xf numFmtId="0" fontId="42" fillId="20" borderId="18" xfId="1" applyFont="1" applyFill="1" applyBorder="1" applyAlignment="1">
      <alignment horizontal="center" vertical="center" wrapText="1"/>
    </xf>
    <xf numFmtId="0" fontId="19" fillId="0" borderId="18" xfId="1" applyNumberFormat="1" applyFont="1" applyFill="1" applyBorder="1" applyAlignment="1" applyProtection="1">
      <alignment horizontal="left" vertical="center" wrapText="1"/>
    </xf>
    <xf numFmtId="166" fontId="1" fillId="0" borderId="1" xfId="0" quotePrefix="1" applyNumberFormat="1" applyFont="1" applyBorder="1" applyAlignment="1">
      <alignment horizontal="center"/>
    </xf>
    <xf numFmtId="2" fontId="14" fillId="13" borderId="5" xfId="0" quotePrefix="1" applyNumberFormat="1" applyFont="1" applyFill="1" applyBorder="1" applyAlignment="1">
      <alignment horizontal="center"/>
    </xf>
    <xf numFmtId="2" fontId="31" fillId="2" borderId="5" xfId="0" applyNumberFormat="1" applyFont="1" applyFill="1" applyBorder="1" applyAlignment="1">
      <alignment horizontal="center"/>
    </xf>
    <xf numFmtId="2" fontId="30" fillId="2" borderId="5" xfId="0" applyNumberFormat="1" applyFont="1" applyFill="1" applyBorder="1" applyAlignment="1">
      <alignment horizontal="center"/>
    </xf>
    <xf numFmtId="2" fontId="14" fillId="0" borderId="5" xfId="0" applyNumberFormat="1" applyFont="1" applyBorder="1"/>
    <xf numFmtId="0" fontId="20" fillId="0" borderId="13" xfId="0" applyFont="1" applyBorder="1" applyAlignment="1">
      <alignment horizontal="left" wrapText="1"/>
    </xf>
    <xf numFmtId="0" fontId="20" fillId="0" borderId="0" xfId="0" applyFont="1" applyAlignment="1">
      <alignment horizontal="center"/>
    </xf>
    <xf numFmtId="0" fontId="20" fillId="7" borderId="0" xfId="0" applyFont="1" applyFill="1" applyBorder="1" applyAlignment="1">
      <alignment horizontal="center"/>
    </xf>
    <xf numFmtId="0" fontId="20" fillId="7" borderId="13" xfId="0" applyFont="1" applyFill="1" applyBorder="1" applyAlignment="1">
      <alignment horizontal="center"/>
    </xf>
    <xf numFmtId="0" fontId="20" fillId="10" borderId="10" xfId="0" applyFont="1" applyFill="1" applyBorder="1" applyAlignment="1">
      <alignment horizontal="left"/>
    </xf>
    <xf numFmtId="0" fontId="20" fillId="10" borderId="11" xfId="0" applyFont="1" applyFill="1" applyBorder="1" applyAlignment="1">
      <alignment horizontal="left"/>
    </xf>
    <xf numFmtId="0" fontId="20" fillId="8" borderId="15" xfId="0" applyFont="1" applyFill="1" applyBorder="1" applyAlignment="1">
      <alignment horizontal="left" wrapText="1"/>
    </xf>
    <xf numFmtId="0" fontId="20" fillId="8" borderId="16" xfId="0" applyFont="1" applyFill="1" applyBorder="1" applyAlignment="1">
      <alignment horizontal="left" wrapText="1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34" fillId="14" borderId="5" xfId="0" applyFont="1" applyFill="1" applyBorder="1"/>
    <xf numFmtId="0" fontId="33" fillId="0" borderId="5" xfId="0" applyFont="1" applyBorder="1"/>
    <xf numFmtId="0" fontId="0" fillId="0" borderId="5" xfId="0" applyFont="1" applyBorder="1"/>
    <xf numFmtId="0" fontId="33" fillId="0" borderId="5" xfId="0" quotePrefix="1" applyFont="1" applyBorder="1"/>
    <xf numFmtId="0" fontId="1" fillId="0" borderId="20" xfId="0" applyFont="1" applyBorder="1" applyAlignment="1">
      <alignment horizontal="center"/>
    </xf>
    <xf numFmtId="49" fontId="25" fillId="12" borderId="5" xfId="0" applyNumberFormat="1" applyFont="1" applyFill="1" applyBorder="1" applyAlignment="1">
      <alignment horizontal="center" vertical="center" wrapText="1"/>
    </xf>
    <xf numFmtId="2" fontId="26" fillId="9" borderId="5" xfId="0" applyNumberFormat="1" applyFont="1" applyFill="1" applyBorder="1" applyAlignment="1">
      <alignment horizontal="center" vertical="center"/>
    </xf>
  </cellXfs>
  <cellStyles count="6">
    <cellStyle name="Lien hypertexte" xfId="5" builtinId="8"/>
    <cellStyle name="NiveauLigne_4" xfId="1" builtinId="1" iLevel="3"/>
    <cellStyle name="Normal" xfId="0" builtinId="0"/>
    <cellStyle name="Normal 2" xfId="4"/>
    <cellStyle name="Normal_Accès OA" xfId="2"/>
    <cellStyle name="Normal_creatsocanael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228600</xdr:colOff>
      <xdr:row>2</xdr:row>
      <xdr:rowOff>139700</xdr:rowOff>
    </xdr:to>
    <xdr:pic>
      <xdr:nvPicPr>
        <xdr:cNvPr id="6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365250" cy="47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49"/>
  <sheetViews>
    <sheetView topLeftCell="A13" workbookViewId="0">
      <selection activeCell="E23" sqref="E23:E25"/>
    </sheetView>
  </sheetViews>
  <sheetFormatPr baseColWidth="10" defaultRowHeight="13" x14ac:dyDescent="0.3"/>
  <cols>
    <col min="1" max="1" width="16.26953125" customWidth="1"/>
    <col min="3" max="3" width="11.26953125" bestFit="1" customWidth="1"/>
    <col min="4" max="4" width="17" customWidth="1"/>
    <col min="5" max="5" width="38.453125" bestFit="1" customWidth="1"/>
    <col min="6" max="6" width="22.81640625" customWidth="1"/>
    <col min="7" max="7" width="16.26953125" bestFit="1" customWidth="1"/>
  </cols>
  <sheetData>
    <row r="1" spans="1:7" ht="14" x14ac:dyDescent="0.3">
      <c r="D1" s="106"/>
      <c r="E1" s="107" t="s">
        <v>210</v>
      </c>
      <c r="F1" s="108"/>
      <c r="G1" s="109"/>
    </row>
    <row r="2" spans="1:7" ht="15" customHeight="1" x14ac:dyDescent="0.3">
      <c r="D2" s="106"/>
      <c r="E2" s="110"/>
      <c r="F2" s="110"/>
      <c r="G2" s="110"/>
    </row>
    <row r="3" spans="1:7" ht="14" x14ac:dyDescent="0.3">
      <c r="D3" s="106"/>
      <c r="E3" s="110"/>
      <c r="F3" s="110"/>
      <c r="G3" s="110"/>
    </row>
    <row r="4" spans="1:7" ht="14" x14ac:dyDescent="0.3">
      <c r="A4" s="65" t="s">
        <v>163</v>
      </c>
      <c r="E4" s="167"/>
      <c r="F4" s="167"/>
      <c r="G4" s="167"/>
    </row>
    <row r="8" spans="1:7" ht="14.5" x14ac:dyDescent="0.35">
      <c r="A8" s="66" t="s">
        <v>164</v>
      </c>
      <c r="C8" s="90"/>
    </row>
    <row r="9" spans="1:7" x14ac:dyDescent="0.3">
      <c r="C9" s="67"/>
    </row>
    <row r="10" spans="1:7" ht="14" x14ac:dyDescent="0.3">
      <c r="D10" s="68" t="s">
        <v>165</v>
      </c>
      <c r="E10" s="89" t="s">
        <v>166</v>
      </c>
      <c r="F10" s="69"/>
      <c r="G10" s="70"/>
    </row>
    <row r="11" spans="1:7" ht="14" x14ac:dyDescent="0.3">
      <c r="D11" s="71" t="s">
        <v>167</v>
      </c>
      <c r="E11" s="72" t="s">
        <v>193</v>
      </c>
      <c r="F11" s="11"/>
      <c r="G11" s="73"/>
    </row>
    <row r="12" spans="1:7" ht="14" x14ac:dyDescent="0.3">
      <c r="D12" s="71" t="s">
        <v>168</v>
      </c>
      <c r="E12" s="168" t="s">
        <v>211</v>
      </c>
      <c r="F12" s="168"/>
      <c r="G12" s="169"/>
    </row>
    <row r="13" spans="1:7" ht="15" customHeight="1" x14ac:dyDescent="0.3">
      <c r="D13" s="74"/>
      <c r="E13" s="172" t="s">
        <v>194</v>
      </c>
      <c r="F13" s="172"/>
      <c r="G13" s="173"/>
    </row>
    <row r="14" spans="1:7" x14ac:dyDescent="0.3">
      <c r="D14" s="11"/>
      <c r="E14" s="11"/>
      <c r="F14" s="11"/>
      <c r="G14" s="11"/>
    </row>
    <row r="16" spans="1:7" ht="15" customHeight="1" x14ac:dyDescent="0.3">
      <c r="A16" s="65" t="s">
        <v>11</v>
      </c>
      <c r="D16" s="134" t="s">
        <v>169</v>
      </c>
      <c r="E16" s="170" t="s">
        <v>271</v>
      </c>
      <c r="F16" s="170"/>
      <c r="G16" s="171"/>
    </row>
    <row r="17" spans="1:7" ht="14" x14ac:dyDescent="0.3">
      <c r="A17" s="65"/>
      <c r="D17" s="91" t="s">
        <v>195</v>
      </c>
      <c r="E17" s="156" t="s">
        <v>272</v>
      </c>
      <c r="F17" s="156"/>
      <c r="G17" s="157"/>
    </row>
    <row r="18" spans="1:7" ht="14" x14ac:dyDescent="0.3">
      <c r="A18" s="65"/>
      <c r="D18" s="91"/>
      <c r="E18" s="156" t="s">
        <v>273</v>
      </c>
      <c r="F18" s="156"/>
      <c r="G18" s="157"/>
    </row>
    <row r="19" spans="1:7" ht="14" x14ac:dyDescent="0.3">
      <c r="D19" s="92" t="s">
        <v>196</v>
      </c>
      <c r="E19" s="93"/>
      <c r="F19" s="94"/>
      <c r="G19" s="95"/>
    </row>
    <row r="21" spans="1:7" ht="14" x14ac:dyDescent="0.3">
      <c r="D21" s="68" t="s">
        <v>170</v>
      </c>
      <c r="E21" s="77" t="s">
        <v>274</v>
      </c>
      <c r="F21" s="69"/>
      <c r="G21" s="70"/>
    </row>
    <row r="22" spans="1:7" ht="15" customHeight="1" x14ac:dyDescent="0.3">
      <c r="D22" s="71" t="s">
        <v>171</v>
      </c>
      <c r="E22" s="1" t="s">
        <v>275</v>
      </c>
      <c r="F22" s="1"/>
      <c r="G22" s="166"/>
    </row>
    <row r="23" spans="1:7" ht="14" x14ac:dyDescent="0.3">
      <c r="D23" s="75" t="s">
        <v>197</v>
      </c>
      <c r="E23" s="72" t="s">
        <v>276</v>
      </c>
      <c r="F23" s="11"/>
      <c r="G23" s="73"/>
    </row>
    <row r="24" spans="1:7" ht="15" customHeight="1" x14ac:dyDescent="0.3">
      <c r="D24" s="71" t="s">
        <v>172</v>
      </c>
      <c r="E24" s="72" t="s">
        <v>277</v>
      </c>
      <c r="F24" s="11"/>
      <c r="G24" s="73"/>
    </row>
    <row r="25" spans="1:7" ht="15" customHeight="1" x14ac:dyDescent="0.3">
      <c r="D25" s="71" t="s">
        <v>173</v>
      </c>
      <c r="E25" s="72" t="s">
        <v>278</v>
      </c>
      <c r="F25" s="11"/>
      <c r="G25" s="73"/>
    </row>
    <row r="26" spans="1:7" ht="14" x14ac:dyDescent="0.3">
      <c r="D26" s="78" t="s">
        <v>174</v>
      </c>
      <c r="E26" s="79"/>
      <c r="F26" s="79"/>
      <c r="G26" s="80" t="s">
        <v>110</v>
      </c>
    </row>
    <row r="28" spans="1:7" ht="14" x14ac:dyDescent="0.3">
      <c r="D28" s="78" t="s">
        <v>175</v>
      </c>
      <c r="E28" s="79"/>
      <c r="F28" s="79"/>
      <c r="G28" s="80" t="s">
        <v>81</v>
      </c>
    </row>
    <row r="30" spans="1:7" ht="14" x14ac:dyDescent="0.3">
      <c r="D30" s="68" t="s">
        <v>176</v>
      </c>
      <c r="E30" s="69"/>
      <c r="F30" s="83"/>
      <c r="G30" s="81">
        <v>513473</v>
      </c>
    </row>
    <row r="31" spans="1:7" ht="14" x14ac:dyDescent="0.3">
      <c r="D31" s="74" t="s">
        <v>177</v>
      </c>
      <c r="E31" s="76"/>
      <c r="F31" s="76"/>
      <c r="G31" s="82" t="s">
        <v>110</v>
      </c>
    </row>
    <row r="32" spans="1:7" x14ac:dyDescent="0.3">
      <c r="D32" s="11"/>
      <c r="E32" s="11"/>
      <c r="F32" s="11"/>
    </row>
    <row r="33" spans="1:8" ht="14.5" x14ac:dyDescent="0.35">
      <c r="A33" s="66"/>
      <c r="B33" s="11"/>
      <c r="D33" s="41"/>
    </row>
    <row r="34" spans="1:8" ht="14" x14ac:dyDescent="0.3">
      <c r="A34" s="65" t="s">
        <v>178</v>
      </c>
      <c r="D34" s="68" t="s">
        <v>179</v>
      </c>
      <c r="E34" s="69"/>
      <c r="F34" s="69"/>
      <c r="G34" s="80" t="s">
        <v>81</v>
      </c>
    </row>
    <row r="35" spans="1:8" ht="14" x14ac:dyDescent="0.3">
      <c r="A35" s="65"/>
      <c r="D35" s="74" t="s">
        <v>180</v>
      </c>
      <c r="E35" s="76"/>
      <c r="F35" s="76"/>
      <c r="G35" s="96"/>
    </row>
    <row r="36" spans="1:8" ht="14" x14ac:dyDescent="0.3">
      <c r="D36" s="74" t="s">
        <v>181</v>
      </c>
      <c r="E36" s="76"/>
      <c r="F36" s="84"/>
      <c r="G36" s="97"/>
    </row>
    <row r="39" spans="1:8" ht="14" x14ac:dyDescent="0.3">
      <c r="A39" s="85" t="s">
        <v>182</v>
      </c>
      <c r="B39" s="98"/>
      <c r="C39" s="98"/>
      <c r="D39" s="98"/>
      <c r="E39" s="99" t="s">
        <v>183</v>
      </c>
      <c r="F39" s="100"/>
      <c r="G39" s="101"/>
      <c r="H39" s="98"/>
    </row>
    <row r="40" spans="1:8" ht="14" x14ac:dyDescent="0.3">
      <c r="A40" s="85"/>
      <c r="B40" s="98"/>
      <c r="C40" s="98"/>
      <c r="D40" s="98"/>
      <c r="E40" s="99" t="s">
        <v>212</v>
      </c>
      <c r="F40" s="100"/>
      <c r="G40" s="101"/>
      <c r="H40" s="98"/>
    </row>
    <row r="41" spans="1:8" ht="14.5" x14ac:dyDescent="0.35">
      <c r="A41" s="66" t="s">
        <v>184</v>
      </c>
      <c r="B41" s="11"/>
      <c r="D41" s="41"/>
      <c r="E41" s="99" t="s">
        <v>198</v>
      </c>
      <c r="F41" s="102"/>
      <c r="G41" s="103"/>
    </row>
    <row r="42" spans="1:8" ht="14" x14ac:dyDescent="0.3">
      <c r="D42" s="41"/>
      <c r="E42" s="99" t="s">
        <v>199</v>
      </c>
      <c r="F42" s="102"/>
      <c r="G42" s="103"/>
    </row>
    <row r="43" spans="1:8" ht="14" x14ac:dyDescent="0.3">
      <c r="D43" s="41"/>
      <c r="E43" s="99" t="s">
        <v>200</v>
      </c>
      <c r="F43" s="102"/>
      <c r="G43" s="103"/>
    </row>
    <row r="44" spans="1:8" ht="14" x14ac:dyDescent="0.3">
      <c r="D44" s="41"/>
      <c r="E44" s="99" t="s">
        <v>201</v>
      </c>
      <c r="F44" s="102"/>
      <c r="G44" s="103"/>
    </row>
    <row r="46" spans="1:8" ht="14" x14ac:dyDescent="0.3">
      <c r="E46" s="86"/>
      <c r="F46" s="86"/>
      <c r="G46" s="86"/>
    </row>
    <row r="47" spans="1:8" x14ac:dyDescent="0.3">
      <c r="F47" s="87"/>
    </row>
    <row r="48" spans="1:8" ht="14" x14ac:dyDescent="0.3">
      <c r="A48" s="65" t="s">
        <v>185</v>
      </c>
    </row>
    <row r="49" spans="1:7" ht="14.5" x14ac:dyDescent="0.35">
      <c r="A49" s="66" t="s">
        <v>184</v>
      </c>
      <c r="E49" s="104" t="s">
        <v>186</v>
      </c>
      <c r="F49" s="102" t="s">
        <v>202</v>
      </c>
      <c r="G49" s="103"/>
    </row>
  </sheetData>
  <mergeCells count="5">
    <mergeCell ref="E22:G22"/>
    <mergeCell ref="E4:G4"/>
    <mergeCell ref="E12:G12"/>
    <mergeCell ref="E16:G16"/>
    <mergeCell ref="E13:G13"/>
  </mergeCells>
  <pageMargins left="0.11811023622047245" right="0.11811023622047245" top="0.15748031496062992" bottom="0.35433070866141736" header="0.31496062992125984" footer="0.11811023622047245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L80"/>
  <sheetViews>
    <sheetView tabSelected="1" topLeftCell="D1" workbookViewId="0">
      <selection activeCell="H10" sqref="H10"/>
    </sheetView>
  </sheetViews>
  <sheetFormatPr baseColWidth="10" defaultRowHeight="15" customHeight="1" x14ac:dyDescent="0.3"/>
  <cols>
    <col min="1" max="1" width="6.1796875" customWidth="1"/>
    <col min="3" max="3" width="17.26953125" customWidth="1"/>
    <col min="8" max="8" width="47.90625" style="7" bestFit="1" customWidth="1"/>
    <col min="9" max="9" width="26.08984375" style="23" bestFit="1" customWidth="1"/>
    <col min="10" max="10" width="11.90625" bestFit="1" customWidth="1"/>
    <col min="11" max="11" width="6.453125" bestFit="1" customWidth="1"/>
  </cols>
  <sheetData>
    <row r="1" spans="1:12" ht="15" customHeight="1" x14ac:dyDescent="0.35">
      <c r="A1" s="174" t="s">
        <v>0</v>
      </c>
      <c r="B1" s="174"/>
      <c r="C1" s="174"/>
      <c r="D1" s="174"/>
      <c r="E1" s="174"/>
      <c r="F1" s="174"/>
      <c r="G1" s="174"/>
      <c r="H1" s="174"/>
      <c r="I1" s="21"/>
    </row>
    <row r="2" spans="1:12" s="4" customFormat="1" ht="27.75" customHeight="1" x14ac:dyDescent="0.3">
      <c r="B2" s="4" t="s">
        <v>71</v>
      </c>
      <c r="H2" s="111"/>
      <c r="I2" s="20"/>
    </row>
    <row r="3" spans="1:12" s="4" customFormat="1" ht="27.75" customHeight="1" x14ac:dyDescent="0.3">
      <c r="B3" s="176" t="s">
        <v>72</v>
      </c>
      <c r="C3" s="176"/>
      <c r="D3" s="176"/>
      <c r="E3" s="176"/>
      <c r="F3" s="176"/>
      <c r="G3" s="176"/>
      <c r="H3" s="111"/>
      <c r="I3" s="20"/>
    </row>
    <row r="4" spans="1:12" s="31" customFormat="1" ht="15" customHeight="1" x14ac:dyDescent="0.35">
      <c r="A4" s="29"/>
      <c r="B4" s="175" t="s">
        <v>66</v>
      </c>
      <c r="C4" s="175"/>
      <c r="D4" s="175"/>
      <c r="E4" s="175"/>
      <c r="F4" s="175"/>
      <c r="G4" s="175"/>
      <c r="H4" s="175"/>
      <c r="I4" s="30"/>
    </row>
    <row r="5" spans="1:12" s="4" customFormat="1" ht="15" customHeight="1" x14ac:dyDescent="0.3">
      <c r="A5" s="3" t="s">
        <v>70</v>
      </c>
      <c r="H5" s="111"/>
      <c r="I5" s="22"/>
    </row>
    <row r="6" spans="1:12" ht="13.5" thickBot="1" x14ac:dyDescent="0.35">
      <c r="B6" t="s">
        <v>1</v>
      </c>
      <c r="F6" s="56"/>
      <c r="G6" s="56"/>
      <c r="H6" s="112" t="s">
        <v>287</v>
      </c>
      <c r="I6" s="188" t="s">
        <v>160</v>
      </c>
      <c r="J6" s="188" t="s">
        <v>208</v>
      </c>
      <c r="K6" s="188" t="s">
        <v>143</v>
      </c>
    </row>
    <row r="7" spans="1:12" ht="15" customHeight="1" thickBot="1" x14ac:dyDescent="0.35">
      <c r="B7" t="s">
        <v>96</v>
      </c>
      <c r="D7" s="2"/>
      <c r="E7" s="2"/>
      <c r="G7" s="2"/>
      <c r="H7" s="187" t="str">
        <f>raison</f>
        <v>MERICOURT CHALEUR URBAINE</v>
      </c>
      <c r="I7" s="189" t="str">
        <f>code</f>
        <v>0402</v>
      </c>
      <c r="J7" s="189" t="s">
        <v>290</v>
      </c>
      <c r="K7" s="189" t="str">
        <f>etab</f>
        <v>DCW</v>
      </c>
    </row>
    <row r="8" spans="1:12" ht="15" customHeight="1" thickBot="1" x14ac:dyDescent="0.35">
      <c r="B8" t="s">
        <v>2</v>
      </c>
      <c r="D8" s="2"/>
      <c r="E8" s="2"/>
      <c r="F8" s="56"/>
      <c r="G8" s="56"/>
      <c r="H8" s="42" t="s">
        <v>291</v>
      </c>
    </row>
    <row r="9" spans="1:12" ht="15" customHeight="1" thickBot="1" x14ac:dyDescent="0.35">
      <c r="B9" t="s">
        <v>213</v>
      </c>
      <c r="D9" s="2"/>
      <c r="E9" s="2"/>
      <c r="F9" s="56"/>
      <c r="G9" s="56"/>
      <c r="H9" s="42"/>
    </row>
    <row r="10" spans="1:12" ht="15" customHeight="1" thickBot="1" x14ac:dyDescent="0.35">
      <c r="B10" t="s">
        <v>29</v>
      </c>
      <c r="D10" s="2"/>
      <c r="E10" s="2"/>
      <c r="G10" s="2"/>
      <c r="H10" s="130">
        <v>54425</v>
      </c>
    </row>
    <row r="11" spans="1:12" ht="15" customHeight="1" thickBot="1" x14ac:dyDescent="0.35">
      <c r="B11" t="s">
        <v>24</v>
      </c>
      <c r="D11" s="2"/>
      <c r="E11" s="2"/>
      <c r="G11" s="2"/>
      <c r="H11" s="42" t="s">
        <v>288</v>
      </c>
      <c r="L11" s="18"/>
    </row>
    <row r="12" spans="1:12" ht="15" customHeight="1" thickBot="1" x14ac:dyDescent="0.35">
      <c r="B12" t="s">
        <v>8</v>
      </c>
      <c r="D12" s="2"/>
      <c r="E12" s="2"/>
      <c r="F12" s="2"/>
      <c r="G12" s="2"/>
      <c r="H12" s="49" t="s">
        <v>206</v>
      </c>
    </row>
    <row r="13" spans="1:12" ht="15" customHeight="1" thickBot="1" x14ac:dyDescent="0.35">
      <c r="B13" t="s">
        <v>28</v>
      </c>
      <c r="D13" s="2"/>
      <c r="E13" s="2"/>
      <c r="F13" s="2"/>
      <c r="G13" s="2"/>
      <c r="H13" s="42" t="s">
        <v>289</v>
      </c>
    </row>
    <row r="14" spans="1:12" ht="15" customHeight="1" thickBot="1" x14ac:dyDescent="0.35">
      <c r="B14" t="s">
        <v>7</v>
      </c>
      <c r="D14" s="2"/>
      <c r="E14" s="2"/>
      <c r="F14" s="2"/>
      <c r="G14" s="2"/>
      <c r="H14" s="50">
        <v>37000</v>
      </c>
    </row>
    <row r="15" spans="1:12" ht="15" customHeight="1" thickBot="1" x14ac:dyDescent="0.35">
      <c r="B15" t="s">
        <v>68</v>
      </c>
      <c r="D15" s="2"/>
      <c r="E15" s="2"/>
      <c r="F15" s="2"/>
      <c r="G15" s="2"/>
      <c r="H15" s="131" t="s">
        <v>314</v>
      </c>
    </row>
    <row r="16" spans="1:12" ht="15" customHeight="1" thickBot="1" x14ac:dyDescent="0.35">
      <c r="B16" t="s">
        <v>69</v>
      </c>
      <c r="D16" s="2"/>
      <c r="E16" s="2"/>
      <c r="F16" s="2"/>
      <c r="G16" s="2"/>
      <c r="H16" s="52" t="s">
        <v>292</v>
      </c>
    </row>
    <row r="17" spans="1:11" ht="15" customHeight="1" thickBot="1" x14ac:dyDescent="0.35">
      <c r="B17" s="2" t="s">
        <v>76</v>
      </c>
      <c r="D17" s="2"/>
      <c r="E17" s="2"/>
      <c r="F17" s="2"/>
      <c r="G17" s="2"/>
      <c r="H17" s="51"/>
    </row>
    <row r="18" spans="1:11" ht="15" customHeight="1" thickBot="1" x14ac:dyDescent="0.35">
      <c r="B18" t="s">
        <v>79</v>
      </c>
      <c r="D18" s="2"/>
      <c r="E18" s="2"/>
      <c r="F18" s="2"/>
      <c r="G18" s="2"/>
      <c r="H18" s="46" t="s">
        <v>293</v>
      </c>
    </row>
    <row r="19" spans="1:11" ht="15" customHeight="1" thickBot="1" x14ac:dyDescent="0.35">
      <c r="B19" t="s">
        <v>78</v>
      </c>
      <c r="D19" s="2"/>
      <c r="E19" s="2"/>
      <c r="F19" s="2"/>
      <c r="G19" s="2"/>
      <c r="H19" s="51" t="s">
        <v>315</v>
      </c>
    </row>
    <row r="20" spans="1:11" ht="15" customHeight="1" thickBot="1" x14ac:dyDescent="0.35">
      <c r="B20" t="s">
        <v>77</v>
      </c>
      <c r="D20" s="2"/>
      <c r="E20" s="2"/>
      <c r="F20" s="2"/>
      <c r="G20" s="2"/>
      <c r="H20" s="51" t="s">
        <v>311</v>
      </c>
    </row>
    <row r="21" spans="1:11" ht="15" customHeight="1" thickBot="1" x14ac:dyDescent="0.35">
      <c r="B21" t="s">
        <v>80</v>
      </c>
      <c r="D21" s="2"/>
      <c r="E21" s="2"/>
      <c r="F21" s="2"/>
      <c r="G21" s="2"/>
      <c r="H21" s="53">
        <f>cp</f>
        <v>54425</v>
      </c>
    </row>
    <row r="22" spans="1:11" ht="15" customHeight="1" thickBot="1" x14ac:dyDescent="0.35">
      <c r="B22" s="128" t="s">
        <v>209</v>
      </c>
      <c r="D22" s="2"/>
      <c r="E22" s="2"/>
      <c r="F22" s="2"/>
      <c r="G22" s="2"/>
      <c r="H22" s="42" t="s">
        <v>290</v>
      </c>
    </row>
    <row r="23" spans="1:11" ht="24" customHeight="1" thickBot="1" x14ac:dyDescent="0.4">
      <c r="B23" s="2" t="s">
        <v>6</v>
      </c>
      <c r="D23" s="2"/>
      <c r="E23" s="113"/>
      <c r="F23" s="112"/>
      <c r="G23" s="2"/>
      <c r="H23" s="129" t="s">
        <v>294</v>
      </c>
    </row>
    <row r="24" spans="1:11" s="4" customFormat="1" ht="28.5" customHeight="1" thickBot="1" x14ac:dyDescent="0.35">
      <c r="B24" s="3" t="s">
        <v>39</v>
      </c>
      <c r="E24" s="12"/>
      <c r="F24" s="111"/>
      <c r="H24" s="114" t="s">
        <v>295</v>
      </c>
      <c r="I24" s="23"/>
      <c r="J24"/>
      <c r="K24"/>
    </row>
    <row r="25" spans="1:11" s="4" customFormat="1" ht="28.5" customHeight="1" thickBot="1" x14ac:dyDescent="0.35">
      <c r="E25" s="3" t="s">
        <v>20</v>
      </c>
      <c r="F25" s="111"/>
      <c r="H25" s="115"/>
      <c r="I25" s="23"/>
      <c r="J25"/>
      <c r="K25"/>
    </row>
    <row r="26" spans="1:11" s="4" customFormat="1" ht="15" customHeight="1" thickBot="1" x14ac:dyDescent="0.35">
      <c r="B26" s="3" t="s">
        <v>37</v>
      </c>
      <c r="E26" s="12"/>
      <c r="F26" s="111"/>
      <c r="H26" s="54" t="s">
        <v>81</v>
      </c>
      <c r="I26" s="23"/>
      <c r="J26"/>
      <c r="K26"/>
    </row>
    <row r="27" spans="1:11" s="4" customFormat="1" ht="15" customHeight="1" x14ac:dyDescent="0.3">
      <c r="B27" s="3"/>
      <c r="E27" s="12"/>
      <c r="F27" s="111"/>
      <c r="H27" s="116"/>
      <c r="I27" s="23"/>
      <c r="J27"/>
      <c r="K27"/>
    </row>
    <row r="28" spans="1:11" s="5" customFormat="1" ht="28.5" customHeight="1" thickBot="1" x14ac:dyDescent="0.35">
      <c r="A28" s="179" t="s">
        <v>52</v>
      </c>
      <c r="B28" s="179"/>
      <c r="C28" s="179"/>
      <c r="D28" s="179"/>
      <c r="E28" s="179"/>
      <c r="F28" s="179"/>
      <c r="G28" s="179"/>
      <c r="H28" s="179"/>
      <c r="I28" s="23"/>
      <c r="J28"/>
      <c r="K28"/>
    </row>
    <row r="29" spans="1:11" s="5" customFormat="1" ht="15" customHeight="1" thickBot="1" x14ac:dyDescent="0.35">
      <c r="A29" s="6"/>
      <c r="B29" t="s">
        <v>18</v>
      </c>
      <c r="H29" s="117">
        <v>44860</v>
      </c>
      <c r="I29" s="23"/>
      <c r="J29"/>
      <c r="K29"/>
    </row>
    <row r="30" spans="1:11" ht="15" customHeight="1" thickBot="1" x14ac:dyDescent="0.35">
      <c r="A30" s="180" t="s">
        <v>53</v>
      </c>
      <c r="B30" t="s">
        <v>54</v>
      </c>
      <c r="H30" s="118"/>
      <c r="I30" s="19"/>
    </row>
    <row r="31" spans="1:11" ht="15" customHeight="1" thickBot="1" x14ac:dyDescent="0.35">
      <c r="A31" s="180"/>
      <c r="B31" t="s">
        <v>55</v>
      </c>
      <c r="H31" s="118">
        <v>46022</v>
      </c>
      <c r="I31" s="24"/>
    </row>
    <row r="32" spans="1:11" ht="29.25" customHeight="1" thickBot="1" x14ac:dyDescent="0.35">
      <c r="B32" s="3" t="s">
        <v>10</v>
      </c>
      <c r="H32" s="56"/>
    </row>
    <row r="33" spans="2:9" ht="15" customHeight="1" thickBot="1" x14ac:dyDescent="0.35">
      <c r="B33" t="s">
        <v>38</v>
      </c>
      <c r="F33" s="11"/>
      <c r="H33" s="119" t="s">
        <v>297</v>
      </c>
      <c r="I33" s="23" t="s">
        <v>296</v>
      </c>
    </row>
    <row r="34" spans="2:9" ht="15" customHeight="1" thickBot="1" x14ac:dyDescent="0.35">
      <c r="B34" t="s">
        <v>90</v>
      </c>
      <c r="F34" s="11"/>
      <c r="H34" s="119" t="s">
        <v>81</v>
      </c>
    </row>
    <row r="35" spans="2:9" ht="15" customHeight="1" thickBot="1" x14ac:dyDescent="0.35">
      <c r="B35" t="s">
        <v>3</v>
      </c>
      <c r="H35" s="120" t="str">
        <f>etab</f>
        <v>DCW</v>
      </c>
      <c r="I35" s="121"/>
    </row>
    <row r="36" spans="2:9" ht="13.5" thickBot="1" x14ac:dyDescent="0.35">
      <c r="B36" s="125" t="s">
        <v>207</v>
      </c>
      <c r="C36" s="4"/>
      <c r="D36" s="4"/>
      <c r="E36" s="4"/>
      <c r="F36" s="12"/>
      <c r="G36" s="4"/>
      <c r="H36" s="54" t="s">
        <v>81</v>
      </c>
      <c r="I36" s="122"/>
    </row>
    <row r="37" spans="2:9" ht="13.5" thickBot="1" x14ac:dyDescent="0.35">
      <c r="B37" s="4" t="s">
        <v>119</v>
      </c>
      <c r="C37" s="4"/>
      <c r="D37" s="4"/>
      <c r="E37" s="4"/>
      <c r="F37" s="12"/>
      <c r="G37" s="4"/>
      <c r="H37" s="120" t="s">
        <v>81</v>
      </c>
      <c r="I37" s="149"/>
    </row>
    <row r="38" spans="2:9" ht="15" customHeight="1" thickBot="1" x14ac:dyDescent="0.4">
      <c r="B38" t="s">
        <v>4</v>
      </c>
      <c r="F38" s="11"/>
      <c r="H38" s="55" t="s">
        <v>120</v>
      </c>
      <c r="I38" s="150"/>
    </row>
    <row r="39" spans="2:9" ht="15" customHeight="1" thickBot="1" x14ac:dyDescent="0.35">
      <c r="B39" t="s">
        <v>5</v>
      </c>
      <c r="H39" s="119" t="s">
        <v>81</v>
      </c>
      <c r="I39" s="150"/>
    </row>
    <row r="40" spans="2:9" ht="15" customHeight="1" thickBot="1" x14ac:dyDescent="0.35">
      <c r="B40" s="36" t="s">
        <v>137</v>
      </c>
      <c r="H40" s="119" t="s">
        <v>81</v>
      </c>
      <c r="I40" s="150"/>
    </row>
    <row r="41" spans="2:9" ht="15" customHeight="1" thickBot="1" x14ac:dyDescent="0.35">
      <c r="B41" t="s">
        <v>9</v>
      </c>
      <c r="H41" s="42" t="s">
        <v>120</v>
      </c>
      <c r="I41" s="150"/>
    </row>
    <row r="42" spans="2:9" ht="15" customHeight="1" thickBot="1" x14ac:dyDescent="0.35">
      <c r="B42" t="s">
        <v>16</v>
      </c>
      <c r="H42" s="119" t="s">
        <v>81</v>
      </c>
      <c r="I42" s="150" t="s">
        <v>149</v>
      </c>
    </row>
    <row r="43" spans="2:9" ht="22" thickBot="1" x14ac:dyDescent="0.35">
      <c r="B43" s="36" t="s">
        <v>148</v>
      </c>
      <c r="H43" s="123" t="str">
        <f>'Nouveau référentiel R12'!K3</f>
        <v>GK1477306G</v>
      </c>
      <c r="I43" s="151" t="s">
        <v>147</v>
      </c>
    </row>
    <row r="44" spans="2:9" ht="15" customHeight="1" thickBot="1" x14ac:dyDescent="0.35">
      <c r="B44" t="s">
        <v>40</v>
      </c>
      <c r="H44" s="124" t="s">
        <v>81</v>
      </c>
      <c r="I44" s="150"/>
    </row>
    <row r="45" spans="2:9" ht="15" customHeight="1" thickBot="1" x14ac:dyDescent="0.35">
      <c r="B45" t="s">
        <v>19</v>
      </c>
      <c r="H45" s="57"/>
      <c r="I45" s="152"/>
    </row>
    <row r="46" spans="2:9" ht="13.5" customHeight="1" thickBot="1" x14ac:dyDescent="0.35">
      <c r="C46" s="4" t="s">
        <v>17</v>
      </c>
      <c r="D46" s="4"/>
      <c r="E46" s="4"/>
      <c r="F46" s="4"/>
      <c r="G46" s="4"/>
      <c r="H46" s="42"/>
      <c r="I46" s="153"/>
    </row>
    <row r="47" spans="2:9" ht="13.5" customHeight="1" thickBot="1" x14ac:dyDescent="0.35">
      <c r="B47" t="s">
        <v>87</v>
      </c>
      <c r="C47" s="4"/>
      <c r="D47" s="4"/>
      <c r="E47" s="4"/>
      <c r="F47" s="4"/>
      <c r="G47" s="4"/>
      <c r="H47" s="119" t="s">
        <v>81</v>
      </c>
      <c r="I47" s="154"/>
    </row>
    <row r="48" spans="2:9" ht="30" customHeight="1" thickBot="1" x14ac:dyDescent="0.35">
      <c r="B48" s="181" t="s">
        <v>74</v>
      </c>
      <c r="C48" s="181"/>
      <c r="D48" s="181"/>
      <c r="E48" s="181"/>
      <c r="F48" s="181"/>
      <c r="G48" s="182"/>
      <c r="H48" s="42" t="s">
        <v>120</v>
      </c>
      <c r="I48" s="150"/>
    </row>
    <row r="49" spans="1:9" ht="32.25" customHeight="1" thickBot="1" x14ac:dyDescent="0.35">
      <c r="B49" s="177" t="s">
        <v>118</v>
      </c>
      <c r="C49" s="177"/>
      <c r="D49" s="177"/>
      <c r="E49" s="177"/>
      <c r="F49" s="177"/>
      <c r="G49" s="178"/>
      <c r="H49" s="119" t="s">
        <v>120</v>
      </c>
      <c r="I49" s="150"/>
    </row>
    <row r="50" spans="1:9" ht="15" customHeight="1" thickBot="1" x14ac:dyDescent="0.35">
      <c r="B50" t="s">
        <v>21</v>
      </c>
      <c r="H50" s="42" t="s">
        <v>120</v>
      </c>
      <c r="I50" s="150"/>
    </row>
    <row r="51" spans="1:9" ht="15" customHeight="1" thickBot="1" x14ac:dyDescent="0.35">
      <c r="B51" t="s">
        <v>32</v>
      </c>
      <c r="H51" s="42" t="s">
        <v>283</v>
      </c>
      <c r="I51" s="150" t="s">
        <v>281</v>
      </c>
    </row>
    <row r="52" spans="1:9" ht="15" customHeight="1" thickBot="1" x14ac:dyDescent="0.35">
      <c r="B52" t="s">
        <v>67</v>
      </c>
      <c r="F52" t="s">
        <v>33</v>
      </c>
      <c r="H52" s="58">
        <v>30003</v>
      </c>
      <c r="I52" s="150"/>
    </row>
    <row r="53" spans="1:9" ht="15" customHeight="1" thickBot="1" x14ac:dyDescent="0.35">
      <c r="F53" t="s">
        <v>34</v>
      </c>
      <c r="H53" s="43" t="s">
        <v>284</v>
      </c>
      <c r="I53" s="155"/>
    </row>
    <row r="54" spans="1:9" ht="15" customHeight="1" thickBot="1" x14ac:dyDescent="0.35">
      <c r="F54" t="s">
        <v>35</v>
      </c>
      <c r="H54" s="44" t="s">
        <v>285</v>
      </c>
      <c r="I54" s="155"/>
    </row>
    <row r="55" spans="1:9" ht="15" customHeight="1" thickBot="1" x14ac:dyDescent="0.35">
      <c r="F55" t="s">
        <v>36</v>
      </c>
      <c r="H55" s="161" t="s">
        <v>286</v>
      </c>
      <c r="I55" s="152"/>
    </row>
    <row r="56" spans="1:9" ht="15" customHeight="1" x14ac:dyDescent="0.3">
      <c r="H56" s="111"/>
      <c r="I56" s="150"/>
    </row>
    <row r="57" spans="1:9" s="4" customFormat="1" ht="14.25" customHeight="1" x14ac:dyDescent="0.3">
      <c r="A57" s="4" t="s">
        <v>30</v>
      </c>
      <c r="D57" s="35">
        <v>45672</v>
      </c>
      <c r="E57" s="25"/>
      <c r="H57" s="112"/>
      <c r="I57" s="150" t="s">
        <v>277</v>
      </c>
    </row>
    <row r="58" spans="1:9" ht="15" customHeight="1" x14ac:dyDescent="0.3">
      <c r="A58" t="s">
        <v>31</v>
      </c>
      <c r="H58" s="158" t="s">
        <v>276</v>
      </c>
    </row>
    <row r="59" spans="1:9" ht="15" customHeight="1" x14ac:dyDescent="0.3">
      <c r="D59" s="36" t="s">
        <v>123</v>
      </c>
      <c r="H59" s="158" t="s">
        <v>277</v>
      </c>
    </row>
    <row r="60" spans="1:9" ht="15" customHeight="1" x14ac:dyDescent="0.3">
      <c r="D60" s="36"/>
      <c r="H60" s="158" t="s">
        <v>278</v>
      </c>
    </row>
    <row r="62" spans="1:9" ht="13" x14ac:dyDescent="0.3">
      <c r="C62" s="159" t="s">
        <v>159</v>
      </c>
      <c r="D62" s="159" t="s">
        <v>143</v>
      </c>
      <c r="E62" s="159" t="s">
        <v>160</v>
      </c>
      <c r="F62" s="159" t="s">
        <v>161</v>
      </c>
      <c r="G62" s="159" t="s">
        <v>162</v>
      </c>
      <c r="H62" s="159" t="s">
        <v>279</v>
      </c>
    </row>
    <row r="63" spans="1:9" ht="50" x14ac:dyDescent="0.3">
      <c r="C63" s="160" t="s">
        <v>316</v>
      </c>
      <c r="D63" s="160" t="s">
        <v>297</v>
      </c>
      <c r="E63" s="160" t="s">
        <v>282</v>
      </c>
      <c r="F63" s="160" t="s">
        <v>259</v>
      </c>
      <c r="G63" s="160" t="s">
        <v>280</v>
      </c>
      <c r="H63" s="160" t="s">
        <v>281</v>
      </c>
    </row>
    <row r="79" spans="9:9" ht="15" customHeight="1" x14ac:dyDescent="0.3">
      <c r="I79"/>
    </row>
    <row r="80" spans="9:9" ht="15" customHeight="1" x14ac:dyDescent="0.3">
      <c r="I80"/>
    </row>
  </sheetData>
  <mergeCells count="7">
    <mergeCell ref="A1:H1"/>
    <mergeCell ref="B4:H4"/>
    <mergeCell ref="B3:G3"/>
    <mergeCell ref="B49:G49"/>
    <mergeCell ref="A28:H28"/>
    <mergeCell ref="A30:A31"/>
    <mergeCell ref="B48:G48"/>
  </mergeCells>
  <phoneticPr fontId="0" type="noConversion"/>
  <pageMargins left="0" right="0" top="0" bottom="0" header="0" footer="0"/>
  <pageSetup paperSize="9" scale="67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30"/>
  <sheetViews>
    <sheetView workbookViewId="0">
      <selection activeCell="C11" sqref="C11"/>
    </sheetView>
  </sheetViews>
  <sheetFormatPr baseColWidth="10" defaultRowHeight="13" x14ac:dyDescent="0.3"/>
  <cols>
    <col min="1" max="1" width="29.453125" bestFit="1" customWidth="1"/>
    <col min="2" max="2" width="12.453125" bestFit="1" customWidth="1"/>
    <col min="3" max="3" width="15.54296875" style="41" bestFit="1" customWidth="1"/>
    <col min="4" max="4" width="18.453125" customWidth="1"/>
    <col min="5" max="5" width="20" bestFit="1" customWidth="1"/>
    <col min="6" max="6" width="49.81640625" bestFit="1" customWidth="1"/>
    <col min="7" max="7" width="22" bestFit="1" customWidth="1"/>
    <col min="8" max="8" width="13.1796875" bestFit="1" customWidth="1"/>
    <col min="9" max="9" width="18.81640625" bestFit="1" customWidth="1"/>
    <col min="10" max="11" width="18.54296875" bestFit="1" customWidth="1"/>
    <col min="12" max="12" width="26.1796875" bestFit="1" customWidth="1"/>
    <col min="13" max="13" width="20" bestFit="1" customWidth="1"/>
    <col min="14" max="14" width="15.453125" bestFit="1" customWidth="1"/>
    <col min="15" max="15" width="16.26953125" bestFit="1" customWidth="1"/>
  </cols>
  <sheetData>
    <row r="1" spans="1:17" x14ac:dyDescent="0.3">
      <c r="A1" s="36" t="s">
        <v>298</v>
      </c>
      <c r="C1"/>
    </row>
    <row r="2" spans="1:17" x14ac:dyDescent="0.3">
      <c r="A2" s="48" t="s">
        <v>138</v>
      </c>
      <c r="B2" s="48" t="s">
        <v>139</v>
      </c>
      <c r="C2" s="48" t="s">
        <v>140</v>
      </c>
      <c r="D2" s="48" t="s">
        <v>141</v>
      </c>
      <c r="E2" s="48" t="s">
        <v>142</v>
      </c>
      <c r="F2" s="48" t="s">
        <v>191</v>
      </c>
      <c r="G2" s="48" t="s">
        <v>214</v>
      </c>
      <c r="H2" s="48" t="s">
        <v>143</v>
      </c>
      <c r="I2" s="48" t="s">
        <v>144</v>
      </c>
      <c r="J2" s="48" t="s">
        <v>145</v>
      </c>
      <c r="K2" s="59" t="s">
        <v>146</v>
      </c>
      <c r="L2" s="59" t="s">
        <v>189</v>
      </c>
      <c r="M2" s="59" t="s">
        <v>190</v>
      </c>
    </row>
    <row r="3" spans="1:17" ht="15.5" x14ac:dyDescent="0.35">
      <c r="A3" s="165" t="str">
        <f>raison</f>
        <v>MERICOURT CHALEUR URBAINE</v>
      </c>
      <c r="B3" s="162" t="str">
        <f>code</f>
        <v>0402</v>
      </c>
      <c r="C3" s="61"/>
      <c r="D3" s="62"/>
      <c r="E3" s="163" t="str">
        <f>G22</f>
        <v>FB0088916R</v>
      </c>
      <c r="F3" s="62" t="s">
        <v>310</v>
      </c>
      <c r="G3" s="62" t="s">
        <v>215</v>
      </c>
      <c r="H3" s="60" t="s">
        <v>297</v>
      </c>
      <c r="I3" s="60" t="s">
        <v>308</v>
      </c>
      <c r="J3" s="60" t="s">
        <v>309</v>
      </c>
      <c r="K3" s="164" t="str">
        <f>A22</f>
        <v>GK1477306G</v>
      </c>
      <c r="L3" s="132" t="s">
        <v>301</v>
      </c>
      <c r="M3" s="62" t="s">
        <v>192</v>
      </c>
    </row>
    <row r="4" spans="1:17" x14ac:dyDescent="0.3">
      <c r="B4" s="41"/>
    </row>
    <row r="5" spans="1:17" x14ac:dyDescent="0.3">
      <c r="B5" s="41"/>
    </row>
    <row r="7" spans="1:17" x14ac:dyDescent="0.3">
      <c r="A7" s="36" t="s">
        <v>151</v>
      </c>
    </row>
    <row r="8" spans="1:17" x14ac:dyDescent="0.3">
      <c r="A8" s="47" t="s">
        <v>150</v>
      </c>
    </row>
    <row r="9" spans="1:17" x14ac:dyDescent="0.3">
      <c r="A9" s="133" t="str">
        <f>A17</f>
        <v>K24023369H</v>
      </c>
    </row>
    <row r="11" spans="1:17" x14ac:dyDescent="0.3">
      <c r="A11" s="126"/>
      <c r="B11" s="87"/>
      <c r="C11" s="11"/>
      <c r="D11" s="127"/>
    </row>
    <row r="12" spans="1:17" x14ac:dyDescent="0.3">
      <c r="A12" t="s">
        <v>160</v>
      </c>
      <c r="B12" s="41"/>
      <c r="C12"/>
    </row>
    <row r="13" spans="1:17" ht="14.5" x14ac:dyDescent="0.35">
      <c r="A13" s="183" t="s">
        <v>216</v>
      </c>
      <c r="B13" s="183" t="s">
        <v>144</v>
      </c>
      <c r="C13" s="183" t="s">
        <v>187</v>
      </c>
      <c r="D13" s="183" t="s">
        <v>218</v>
      </c>
      <c r="E13" s="183" t="s">
        <v>219</v>
      </c>
      <c r="F13" s="183" t="s">
        <v>220</v>
      </c>
      <c r="G13" s="183" t="s">
        <v>221</v>
      </c>
      <c r="H13" s="183" t="s">
        <v>222</v>
      </c>
      <c r="I13" s="183" t="s">
        <v>8</v>
      </c>
      <c r="J13" s="183" t="s">
        <v>223</v>
      </c>
      <c r="K13" s="183" t="s">
        <v>224</v>
      </c>
      <c r="L13" s="183" t="s">
        <v>225</v>
      </c>
      <c r="M13" s="183" t="s">
        <v>247</v>
      </c>
      <c r="N13" s="183" t="s">
        <v>246</v>
      </c>
      <c r="O13" s="183" t="s">
        <v>245</v>
      </c>
      <c r="P13" s="183" t="s">
        <v>241</v>
      </c>
      <c r="Q13" s="183" t="s">
        <v>242</v>
      </c>
    </row>
    <row r="14" spans="1:17" x14ac:dyDescent="0.3">
      <c r="A14" s="184" t="s">
        <v>305</v>
      </c>
      <c r="B14" s="184" t="s">
        <v>300</v>
      </c>
      <c r="C14" s="184" t="s">
        <v>306</v>
      </c>
      <c r="D14" s="185"/>
      <c r="E14" s="184">
        <v>887572402</v>
      </c>
      <c r="F14" s="184" t="s">
        <v>203</v>
      </c>
      <c r="G14" s="184" t="s">
        <v>226</v>
      </c>
      <c r="H14" s="184">
        <v>5710</v>
      </c>
      <c r="I14" s="184" t="s">
        <v>227</v>
      </c>
      <c r="J14" s="184">
        <v>3530</v>
      </c>
      <c r="K14" s="184" t="s">
        <v>307</v>
      </c>
      <c r="L14" s="184" t="s">
        <v>294</v>
      </c>
      <c r="M14" s="184"/>
      <c r="N14" s="184"/>
      <c r="O14" s="185"/>
      <c r="P14" s="184">
        <v>0</v>
      </c>
      <c r="Q14" s="184">
        <v>2</v>
      </c>
    </row>
    <row r="15" spans="1:17" x14ac:dyDescent="0.3">
      <c r="A15" t="s">
        <v>240</v>
      </c>
      <c r="B15" s="41"/>
      <c r="C15"/>
    </row>
    <row r="16" spans="1:17" ht="14.5" x14ac:dyDescent="0.35">
      <c r="A16" s="183" t="s">
        <v>216</v>
      </c>
      <c r="B16" s="183" t="s">
        <v>144</v>
      </c>
      <c r="C16" s="183" t="s">
        <v>228</v>
      </c>
      <c r="D16" s="183" t="s">
        <v>229</v>
      </c>
      <c r="E16" s="183" t="s">
        <v>219</v>
      </c>
      <c r="F16" s="183" t="s">
        <v>230</v>
      </c>
      <c r="G16" s="183" t="s">
        <v>231</v>
      </c>
      <c r="H16" s="183" t="s">
        <v>232</v>
      </c>
      <c r="I16" s="183" t="s">
        <v>244</v>
      </c>
      <c r="J16" s="183" t="s">
        <v>24</v>
      </c>
      <c r="K16" s="183" t="s">
        <v>233</v>
      </c>
      <c r="L16" s="183" t="s">
        <v>234</v>
      </c>
      <c r="M16" s="183" t="s">
        <v>235</v>
      </c>
      <c r="N16" s="183" t="s">
        <v>236</v>
      </c>
      <c r="O16" s="183" t="s">
        <v>237</v>
      </c>
      <c r="P16" s="183" t="s">
        <v>324</v>
      </c>
      <c r="Q16" s="183" t="s">
        <v>243</v>
      </c>
    </row>
    <row r="17" spans="1:17" x14ac:dyDescent="0.3">
      <c r="A17" s="184" t="s">
        <v>325</v>
      </c>
      <c r="B17" s="184" t="s">
        <v>300</v>
      </c>
      <c r="C17" s="184" t="s">
        <v>306</v>
      </c>
      <c r="D17" s="185"/>
      <c r="E17" s="186" t="s">
        <v>314</v>
      </c>
      <c r="F17" s="185"/>
      <c r="G17" s="184" t="s">
        <v>238</v>
      </c>
      <c r="H17" s="184" t="s">
        <v>239</v>
      </c>
      <c r="I17" s="184" t="s">
        <v>326</v>
      </c>
      <c r="J17" s="184" t="s">
        <v>327</v>
      </c>
      <c r="K17" s="185"/>
      <c r="L17" s="184" t="s">
        <v>328</v>
      </c>
      <c r="M17" s="184" t="s">
        <v>81</v>
      </c>
      <c r="N17" s="184" t="s">
        <v>305</v>
      </c>
      <c r="O17" s="184" t="s">
        <v>203</v>
      </c>
      <c r="P17" s="184">
        <v>0</v>
      </c>
      <c r="Q17" s="184">
        <v>1</v>
      </c>
    </row>
    <row r="18" spans="1:17" x14ac:dyDescent="0.3">
      <c r="B18" s="41"/>
      <c r="C18"/>
    </row>
    <row r="19" spans="1:17" s="136" customFormat="1" x14ac:dyDescent="0.3"/>
    <row r="20" spans="1:17" x14ac:dyDescent="0.3">
      <c r="A20" t="s">
        <v>322</v>
      </c>
    </row>
    <row r="21" spans="1:17" ht="14.5" x14ac:dyDescent="0.35">
      <c r="A21" s="138" t="s">
        <v>216</v>
      </c>
      <c r="B21" s="138" t="s">
        <v>217</v>
      </c>
      <c r="C21" s="138" t="s">
        <v>144</v>
      </c>
      <c r="D21" s="138" t="s">
        <v>228</v>
      </c>
      <c r="E21" s="138" t="s">
        <v>248</v>
      </c>
      <c r="F21" s="138" t="s">
        <v>249</v>
      </c>
      <c r="G21" s="138" t="s">
        <v>250</v>
      </c>
      <c r="H21" s="138" t="s">
        <v>251</v>
      </c>
      <c r="I21" s="138" t="s">
        <v>252</v>
      </c>
      <c r="J21" s="138" t="s">
        <v>253</v>
      </c>
      <c r="K21" s="138" t="s">
        <v>254</v>
      </c>
      <c r="L21" s="138" t="s">
        <v>255</v>
      </c>
      <c r="M21" s="138" t="s">
        <v>256</v>
      </c>
      <c r="N21" s="138" t="s">
        <v>257</v>
      </c>
      <c r="O21" s="138" t="s">
        <v>258</v>
      </c>
    </row>
    <row r="22" spans="1:17" x14ac:dyDescent="0.3">
      <c r="A22" s="137" t="s">
        <v>299</v>
      </c>
      <c r="B22" s="137" t="s">
        <v>188</v>
      </c>
      <c r="C22" s="137" t="s">
        <v>300</v>
      </c>
      <c r="D22" s="137" t="s">
        <v>301</v>
      </c>
      <c r="E22" s="137" t="s">
        <v>192</v>
      </c>
      <c r="F22" s="137" t="s">
        <v>302</v>
      </c>
      <c r="G22" s="137" t="s">
        <v>303</v>
      </c>
      <c r="H22" s="137" t="s">
        <v>294</v>
      </c>
      <c r="I22" s="137">
        <v>0</v>
      </c>
      <c r="J22" s="137">
        <v>0</v>
      </c>
      <c r="K22" s="137">
        <v>0</v>
      </c>
      <c r="L22" s="137">
        <v>0</v>
      </c>
      <c r="M22" s="137" t="s">
        <v>304</v>
      </c>
      <c r="N22" s="136"/>
      <c r="O22" s="137" t="s">
        <v>260</v>
      </c>
    </row>
    <row r="24" spans="1:17" x14ac:dyDescent="0.3">
      <c r="A24" t="s">
        <v>323</v>
      </c>
    </row>
    <row r="25" spans="1:17" ht="14.5" x14ac:dyDescent="0.35">
      <c r="A25" s="138" t="s">
        <v>216</v>
      </c>
      <c r="B25" s="138" t="s">
        <v>217</v>
      </c>
      <c r="C25" s="138" t="s">
        <v>144</v>
      </c>
      <c r="D25" s="138" t="s">
        <v>228</v>
      </c>
      <c r="E25" s="138" t="s">
        <v>248</v>
      </c>
      <c r="F25" s="138" t="s">
        <v>249</v>
      </c>
      <c r="G25" s="138" t="s">
        <v>250</v>
      </c>
      <c r="H25" s="138" t="s">
        <v>251</v>
      </c>
      <c r="I25" s="138" t="s">
        <v>252</v>
      </c>
      <c r="J25" s="138" t="s">
        <v>253</v>
      </c>
      <c r="K25" s="138" t="s">
        <v>254</v>
      </c>
      <c r="L25" s="138" t="s">
        <v>255</v>
      </c>
      <c r="M25" s="138" t="s">
        <v>256</v>
      </c>
      <c r="N25" s="138" t="s">
        <v>257</v>
      </c>
      <c r="O25" s="138" t="s">
        <v>258</v>
      </c>
    </row>
    <row r="26" spans="1:17" x14ac:dyDescent="0.3">
      <c r="A26" s="137" t="s">
        <v>317</v>
      </c>
      <c r="B26" s="137" t="s">
        <v>188</v>
      </c>
      <c r="C26" s="137" t="s">
        <v>259</v>
      </c>
      <c r="D26" s="137" t="s">
        <v>318</v>
      </c>
      <c r="E26" s="137" t="s">
        <v>192</v>
      </c>
      <c r="F26" s="137" t="s">
        <v>319</v>
      </c>
      <c r="G26" s="137" t="s">
        <v>320</v>
      </c>
      <c r="H26" s="137" t="s">
        <v>294</v>
      </c>
      <c r="I26" s="137">
        <v>0</v>
      </c>
      <c r="J26" s="137">
        <v>0</v>
      </c>
      <c r="K26" s="137">
        <v>0</v>
      </c>
      <c r="L26" s="137">
        <v>0</v>
      </c>
      <c r="M26" s="137" t="s">
        <v>321</v>
      </c>
      <c r="N26" s="136"/>
      <c r="O26" s="137" t="s">
        <v>260</v>
      </c>
    </row>
    <row r="29" spans="1:17" x14ac:dyDescent="0.3">
      <c r="B29" s="41"/>
      <c r="C29"/>
    </row>
    <row r="30" spans="1:17" x14ac:dyDescent="0.3">
      <c r="B30" s="41"/>
      <c r="C30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42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zoomScale="120" zoomScaleNormal="120" workbookViewId="0">
      <selection activeCell="D2" sqref="D2:D5"/>
    </sheetView>
  </sheetViews>
  <sheetFormatPr baseColWidth="10" defaultColWidth="11.453125" defaultRowHeight="12.5" x14ac:dyDescent="0.25"/>
  <cols>
    <col min="1" max="1" width="9.26953125" style="27" bestFit="1" customWidth="1"/>
    <col min="2" max="2" width="13.81640625" style="27" bestFit="1" customWidth="1"/>
    <col min="3" max="3" width="14" style="27" customWidth="1"/>
    <col min="4" max="4" width="7.453125" style="27" customWidth="1"/>
    <col min="5" max="6" width="5" style="27" customWidth="1"/>
    <col min="7" max="7" width="10.54296875" style="27" bestFit="1" customWidth="1"/>
    <col min="8" max="8" width="5" style="27" customWidth="1"/>
    <col min="9" max="16384" width="11.453125" style="27"/>
  </cols>
  <sheetData>
    <row r="1" spans="1:19" s="26" customFormat="1" ht="234.75" customHeight="1" x14ac:dyDescent="0.3">
      <c r="A1" s="26" t="s">
        <v>41</v>
      </c>
      <c r="B1" s="26" t="s">
        <v>42</v>
      </c>
      <c r="C1" s="26" t="s">
        <v>43</v>
      </c>
      <c r="D1" s="26" t="s">
        <v>44</v>
      </c>
      <c r="E1" s="45" t="s">
        <v>58</v>
      </c>
      <c r="F1" s="45" t="s">
        <v>124</v>
      </c>
      <c r="G1" s="45" t="s">
        <v>125</v>
      </c>
      <c r="H1" s="45" t="s">
        <v>126</v>
      </c>
      <c r="I1" s="45" t="s">
        <v>127</v>
      </c>
      <c r="J1" s="45" t="s">
        <v>128</v>
      </c>
      <c r="K1" s="45" t="s">
        <v>129</v>
      </c>
      <c r="L1" s="45" t="s">
        <v>129</v>
      </c>
      <c r="M1" s="37" t="s">
        <v>130</v>
      </c>
      <c r="N1" s="37" t="s">
        <v>131</v>
      </c>
      <c r="O1" s="37" t="s">
        <v>132</v>
      </c>
      <c r="P1" s="37" t="s">
        <v>133</v>
      </c>
      <c r="Q1" s="37" t="s">
        <v>134</v>
      </c>
      <c r="R1" s="37" t="s">
        <v>135</v>
      </c>
      <c r="S1" s="37" t="s">
        <v>136</v>
      </c>
    </row>
    <row r="2" spans="1:19" x14ac:dyDescent="0.25">
      <c r="A2" s="40"/>
      <c r="B2" s="40"/>
      <c r="C2" s="40"/>
      <c r="D2" s="39" t="s">
        <v>297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x14ac:dyDescent="0.25">
      <c r="A3" s="38"/>
      <c r="B3" s="38"/>
      <c r="C3" s="38"/>
      <c r="D3" s="39" t="s">
        <v>297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4" spans="1:19" ht="13" x14ac:dyDescent="0.3">
      <c r="A4" s="88"/>
      <c r="B4" s="38"/>
      <c r="C4" s="38"/>
      <c r="D4" s="39" t="s">
        <v>297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19" x14ac:dyDescent="0.25">
      <c r="A5" s="40"/>
      <c r="B5" s="40"/>
      <c r="C5" s="40"/>
      <c r="D5" s="39" t="s">
        <v>297</v>
      </c>
      <c r="E5" s="40"/>
      <c r="F5" s="40"/>
      <c r="G5" s="40"/>
      <c r="H5" s="40"/>
      <c r="I5" s="40"/>
      <c r="J5" s="40"/>
      <c r="K5" s="40"/>
      <c r="L5" s="40"/>
      <c r="M5" s="39"/>
      <c r="N5" s="40"/>
      <c r="O5" s="40"/>
      <c r="P5" s="40"/>
      <c r="Q5" s="40"/>
      <c r="R5" s="40"/>
      <c r="S5" s="40"/>
    </row>
    <row r="6" spans="1:19" x14ac:dyDescent="0.25">
      <c r="A6" s="40"/>
      <c r="B6" s="40"/>
      <c r="C6" s="40"/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</row>
    <row r="7" spans="1:19" x14ac:dyDescent="0.25">
      <c r="A7" s="40"/>
      <c r="B7" s="40"/>
      <c r="C7" s="40"/>
      <c r="D7" s="38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3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22"/>
  <sheetViews>
    <sheetView workbookViewId="0">
      <selection activeCell="B8" sqref="B8"/>
    </sheetView>
  </sheetViews>
  <sheetFormatPr baseColWidth="10" defaultRowHeight="13" x14ac:dyDescent="0.3"/>
  <cols>
    <col min="1" max="1" width="28.81640625" bestFit="1" customWidth="1"/>
    <col min="2" max="2" width="40.453125" bestFit="1" customWidth="1"/>
    <col min="3" max="3" width="16.54296875" bestFit="1" customWidth="1"/>
    <col min="4" max="4" width="19.54296875" bestFit="1" customWidth="1"/>
    <col min="5" max="5" width="7" bestFit="1" customWidth="1"/>
    <col min="6" max="6" width="21.81640625" bestFit="1" customWidth="1"/>
  </cols>
  <sheetData>
    <row r="1" spans="1:7" ht="26" x14ac:dyDescent="0.3">
      <c r="A1" s="139" t="s">
        <v>144</v>
      </c>
      <c r="B1" s="139" t="s">
        <v>261</v>
      </c>
      <c r="C1" s="139" t="s">
        <v>262</v>
      </c>
      <c r="D1" s="139" t="s">
        <v>263</v>
      </c>
      <c r="E1" s="139" t="s">
        <v>264</v>
      </c>
      <c r="F1" s="139" t="s">
        <v>24</v>
      </c>
      <c r="G1" s="139" t="s">
        <v>265</v>
      </c>
    </row>
    <row r="2" spans="1:7" x14ac:dyDescent="0.3">
      <c r="A2" s="140" t="s">
        <v>308</v>
      </c>
      <c r="B2" s="140" t="s">
        <v>313</v>
      </c>
      <c r="C2" s="141" t="s">
        <v>312</v>
      </c>
      <c r="D2" s="140"/>
      <c r="E2" s="140">
        <v>59784</v>
      </c>
      <c r="F2" s="140" t="s">
        <v>266</v>
      </c>
      <c r="G2" s="140" t="s">
        <v>107</v>
      </c>
    </row>
    <row r="6" spans="1:7" ht="14" x14ac:dyDescent="0.3">
      <c r="A6" s="142" t="s">
        <v>44</v>
      </c>
      <c r="B6" s="142" t="s">
        <v>152</v>
      </c>
    </row>
    <row r="7" spans="1:7" x14ac:dyDescent="0.3">
      <c r="A7" s="135" t="s">
        <v>297</v>
      </c>
      <c r="B7" s="143" t="s">
        <v>294</v>
      </c>
    </row>
    <row r="9" spans="1:7" ht="13.5" thickBot="1" x14ac:dyDescent="0.35">
      <c r="A9" s="64" t="s">
        <v>153</v>
      </c>
      <c r="B9" s="64" t="s">
        <v>145</v>
      </c>
      <c r="C9" s="64" t="s">
        <v>154</v>
      </c>
      <c r="D9" s="64" t="s">
        <v>155</v>
      </c>
      <c r="E9" s="64" t="s">
        <v>106</v>
      </c>
      <c r="F9" s="64" t="s">
        <v>156</v>
      </c>
    </row>
    <row r="10" spans="1:7" ht="13.5" thickBot="1" x14ac:dyDescent="0.35">
      <c r="A10" s="144" t="s">
        <v>308</v>
      </c>
      <c r="B10" s="42" t="s">
        <v>313</v>
      </c>
      <c r="C10" s="63" t="s">
        <v>312</v>
      </c>
      <c r="D10" s="63" t="s">
        <v>157</v>
      </c>
      <c r="E10" s="63" t="s">
        <v>158</v>
      </c>
      <c r="F10" s="63" t="s">
        <v>297</v>
      </c>
    </row>
    <row r="13" spans="1:7" x14ac:dyDescent="0.3">
      <c r="B13" s="105"/>
    </row>
    <row r="15" spans="1:7" ht="13.5" thickBot="1" x14ac:dyDescent="0.35"/>
    <row r="16" spans="1:7" ht="13.5" thickBot="1" x14ac:dyDescent="0.35">
      <c r="A16" s="105" t="s">
        <v>204</v>
      </c>
      <c r="B16" s="51" t="str">
        <f>siren</f>
        <v>88757240200048</v>
      </c>
    </row>
    <row r="17" spans="1:2" ht="13.5" thickBot="1" x14ac:dyDescent="0.35">
      <c r="A17" s="105" t="s">
        <v>205</v>
      </c>
      <c r="B17" s="52" t="str">
        <f>intracom</f>
        <v>FR94887572402</v>
      </c>
    </row>
    <row r="20" spans="1:2" ht="14.5" x14ac:dyDescent="0.35">
      <c r="A20" s="145" t="s">
        <v>267</v>
      </c>
      <c r="B20" s="146" t="s">
        <v>268</v>
      </c>
    </row>
    <row r="22" spans="1:2" ht="29" x14ac:dyDescent="0.35">
      <c r="A22" s="147" t="s">
        <v>269</v>
      </c>
      <c r="B22" s="148" t="s">
        <v>270</v>
      </c>
    </row>
  </sheetData>
  <printOptions gridLines="1"/>
  <pageMargins left="0.11811023622047245" right="0.11811023622047245" top="0.74803149606299213" bottom="0.74803149606299213" header="0.31496062992125984" footer="0.31496062992125984"/>
  <pageSetup paperSize="9" orientation="landscape" r:id="rId1"/>
  <headerFooter>
    <oddFooter>&amp;L&amp;D&amp;T&amp;C&amp;P&amp;R&amp;F&amp;A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topLeftCell="A34" workbookViewId="0">
      <selection activeCell="G3" sqref="G3"/>
    </sheetView>
  </sheetViews>
  <sheetFormatPr baseColWidth="10" defaultColWidth="11.453125" defaultRowHeight="12.5" x14ac:dyDescent="0.25"/>
  <cols>
    <col min="1" max="1" width="16.7265625" style="8" customWidth="1"/>
    <col min="2" max="2" width="11.453125" style="8"/>
    <col min="3" max="3" width="7.1796875" style="9" customWidth="1"/>
    <col min="4" max="4" width="30.7265625" style="8" customWidth="1"/>
    <col min="5" max="5" width="6" style="8" customWidth="1"/>
    <col min="6" max="6" width="5.81640625" style="8" customWidth="1"/>
    <col min="7" max="16384" width="11.453125" style="8"/>
  </cols>
  <sheetData>
    <row r="1" spans="1:9" ht="13" x14ac:dyDescent="0.3">
      <c r="A1" s="16" t="s">
        <v>97</v>
      </c>
    </row>
    <row r="2" spans="1:9" ht="13" x14ac:dyDescent="0.3">
      <c r="B2" s="14"/>
      <c r="C2" s="9" t="s">
        <v>11</v>
      </c>
      <c r="G2" s="16" t="str">
        <f>code</f>
        <v>0402</v>
      </c>
    </row>
    <row r="3" spans="1:9" ht="13" x14ac:dyDescent="0.3">
      <c r="B3" s="14"/>
      <c r="C3" s="15" t="s">
        <v>94</v>
      </c>
      <c r="G3" s="16" t="str">
        <f>+sigle</f>
        <v>MERICOURT CHALEUR URBAINE</v>
      </c>
    </row>
    <row r="4" spans="1:9" ht="13" x14ac:dyDescent="0.3">
      <c r="B4" s="14"/>
      <c r="C4" s="15" t="s">
        <v>95</v>
      </c>
      <c r="G4" s="34">
        <f>'BD STE ET AUTRES'!H7</f>
        <v>0</v>
      </c>
    </row>
    <row r="5" spans="1:9" x14ac:dyDescent="0.25">
      <c r="C5" s="15" t="s">
        <v>93</v>
      </c>
      <c r="G5" s="8" t="str">
        <f>geree</f>
        <v>OUI</v>
      </c>
      <c r="H5" s="8" t="str">
        <f>IF(geree="","",geree)</f>
        <v>OUI</v>
      </c>
    </row>
    <row r="6" spans="1:9" x14ac:dyDescent="0.25">
      <c r="C6" s="15" t="s">
        <v>91</v>
      </c>
      <c r="H6" s="10"/>
    </row>
    <row r="7" spans="1:9" x14ac:dyDescent="0.25">
      <c r="C7" s="15" t="s">
        <v>92</v>
      </c>
      <c r="H7" s="10"/>
    </row>
    <row r="8" spans="1:9" x14ac:dyDescent="0.25">
      <c r="C8" s="15" t="s">
        <v>113</v>
      </c>
    </row>
    <row r="9" spans="1:9" x14ac:dyDescent="0.25">
      <c r="C9" s="15" t="s">
        <v>114</v>
      </c>
    </row>
    <row r="10" spans="1:9" x14ac:dyDescent="0.25">
      <c r="C10" s="15" t="s">
        <v>115</v>
      </c>
      <c r="G10" s="13" t="s">
        <v>116</v>
      </c>
      <c r="H10" s="13" t="s">
        <v>117</v>
      </c>
    </row>
    <row r="11" spans="1:9" x14ac:dyDescent="0.25">
      <c r="C11" s="9" t="s">
        <v>12</v>
      </c>
      <c r="G11" s="8" t="str">
        <f>conso</f>
        <v>YS0102</v>
      </c>
    </row>
    <row r="13" spans="1:9" x14ac:dyDescent="0.25">
      <c r="B13" s="14"/>
      <c r="C13" s="9" t="s">
        <v>15</v>
      </c>
    </row>
    <row r="14" spans="1:9" x14ac:dyDescent="0.25">
      <c r="A14" s="13"/>
      <c r="C14" s="15" t="s">
        <v>98</v>
      </c>
      <c r="H14" s="14">
        <f>cloture</f>
        <v>0</v>
      </c>
    </row>
    <row r="15" spans="1:9" x14ac:dyDescent="0.25">
      <c r="A15" s="13"/>
      <c r="C15" s="15" t="s">
        <v>121</v>
      </c>
      <c r="E15" s="8" t="s">
        <v>122</v>
      </c>
      <c r="H15" s="8" t="str">
        <f>etab</f>
        <v>DCW</v>
      </c>
    </row>
    <row r="16" spans="1:9" x14ac:dyDescent="0.25">
      <c r="C16" s="15" t="s">
        <v>99</v>
      </c>
      <c r="H16" s="8" t="str">
        <f>lieudetenue</f>
        <v>DCW</v>
      </c>
      <c r="I16" s="13" t="s">
        <v>85</v>
      </c>
    </row>
    <row r="17" spans="2:8" x14ac:dyDescent="0.25">
      <c r="C17" s="15" t="s">
        <v>100</v>
      </c>
      <c r="H17" s="13" t="s">
        <v>101</v>
      </c>
    </row>
    <row r="18" spans="2:8" x14ac:dyDescent="0.25">
      <c r="C18" s="15" t="s">
        <v>102</v>
      </c>
      <c r="H18" s="8">
        <f>fraisste</f>
        <v>0</v>
      </c>
    </row>
    <row r="20" spans="2:8" x14ac:dyDescent="0.25">
      <c r="B20" s="14"/>
      <c r="C20" s="15" t="s">
        <v>22</v>
      </c>
      <c r="D20" s="13"/>
      <c r="H20" s="13"/>
    </row>
    <row r="21" spans="2:8" x14ac:dyDescent="0.25">
      <c r="B21" s="14"/>
      <c r="C21" s="15" t="s">
        <v>103</v>
      </c>
      <c r="D21" s="13"/>
      <c r="G21" s="8" t="str">
        <f>adressesiege</f>
        <v>6, RUE DES TREZELOTS</v>
      </c>
      <c r="H21" s="13"/>
    </row>
    <row r="22" spans="2:8" x14ac:dyDescent="0.25">
      <c r="B22" s="14"/>
      <c r="C22" s="15" t="s">
        <v>104</v>
      </c>
      <c r="D22" s="13"/>
      <c r="H22" s="13"/>
    </row>
    <row r="23" spans="2:8" x14ac:dyDescent="0.25">
      <c r="B23" s="14"/>
      <c r="C23" s="15" t="s">
        <v>105</v>
      </c>
      <c r="D23" s="13"/>
      <c r="H23" s="13"/>
    </row>
    <row r="24" spans="2:8" x14ac:dyDescent="0.25">
      <c r="B24" s="14"/>
      <c r="C24" s="15" t="s">
        <v>23</v>
      </c>
      <c r="D24" s="13"/>
      <c r="G24" s="8">
        <f>cp</f>
        <v>54425</v>
      </c>
      <c r="H24" s="13"/>
    </row>
    <row r="25" spans="2:8" x14ac:dyDescent="0.25">
      <c r="B25" s="14"/>
      <c r="C25" s="15" t="s">
        <v>24</v>
      </c>
      <c r="D25" s="13"/>
      <c r="G25" s="8" t="str">
        <f>ville</f>
        <v>PULNOY</v>
      </c>
      <c r="H25" s="13"/>
    </row>
    <row r="26" spans="2:8" x14ac:dyDescent="0.25">
      <c r="B26" s="14"/>
      <c r="C26" s="15" t="s">
        <v>106</v>
      </c>
      <c r="D26" s="13"/>
      <c r="G26" s="13" t="s">
        <v>107</v>
      </c>
      <c r="H26" s="13"/>
    </row>
    <row r="27" spans="2:8" x14ac:dyDescent="0.25">
      <c r="B27" s="14"/>
      <c r="C27" s="15" t="s">
        <v>25</v>
      </c>
      <c r="D27" s="13"/>
      <c r="G27" s="8" t="str">
        <f>MID(siren,1,9)</f>
        <v>887572402</v>
      </c>
      <c r="H27" s="13"/>
    </row>
    <row r="28" spans="2:8" x14ac:dyDescent="0.25">
      <c r="B28" s="14"/>
      <c r="C28" s="15" t="s">
        <v>8</v>
      </c>
      <c r="D28" s="13"/>
      <c r="G28" s="8" t="str">
        <f>forme</f>
        <v>SAS</v>
      </c>
      <c r="H28" s="13"/>
    </row>
    <row r="29" spans="2:8" x14ac:dyDescent="0.25">
      <c r="B29" s="14"/>
      <c r="C29" s="15" t="s">
        <v>26</v>
      </c>
      <c r="D29" s="13"/>
      <c r="G29" s="8" t="str">
        <f>MID(siren,10,5)</f>
        <v>00048</v>
      </c>
      <c r="H29" s="13"/>
    </row>
    <row r="30" spans="2:8" x14ac:dyDescent="0.25">
      <c r="B30" s="14"/>
      <c r="C30" s="15" t="s">
        <v>27</v>
      </c>
      <c r="D30" s="13"/>
      <c r="G30" s="8">
        <f>capital</f>
        <v>37000</v>
      </c>
      <c r="H30" s="13"/>
    </row>
    <row r="31" spans="2:8" x14ac:dyDescent="0.25">
      <c r="B31" s="14"/>
      <c r="C31" s="15" t="s">
        <v>108</v>
      </c>
      <c r="D31" s="13"/>
      <c r="G31" s="8" t="str">
        <f>naf</f>
        <v>3530Z</v>
      </c>
      <c r="H31" s="13"/>
    </row>
    <row r="32" spans="2:8" x14ac:dyDescent="0.25">
      <c r="B32" s="14"/>
      <c r="C32" s="15" t="s">
        <v>109</v>
      </c>
      <c r="D32" s="13"/>
      <c r="G32" s="13" t="s">
        <v>110</v>
      </c>
      <c r="H32" s="13"/>
    </row>
    <row r="33" spans="1:9" x14ac:dyDescent="0.25">
      <c r="B33" s="14"/>
      <c r="C33" s="15" t="s">
        <v>111</v>
      </c>
      <c r="D33" s="13"/>
      <c r="G33" s="8" t="str">
        <f>villedepot</f>
        <v>NANCY</v>
      </c>
      <c r="H33" s="13"/>
    </row>
    <row r="34" spans="1:9" x14ac:dyDescent="0.25">
      <c r="B34" s="14"/>
      <c r="C34" s="15" t="s">
        <v>112</v>
      </c>
      <c r="D34" s="13"/>
      <c r="G34" s="8" t="str">
        <f>intracom</f>
        <v>FR94887572402</v>
      </c>
      <c r="H34" s="13"/>
    </row>
    <row r="35" spans="1:9" x14ac:dyDescent="0.25">
      <c r="B35" s="14"/>
      <c r="C35" s="15"/>
      <c r="D35" s="13"/>
      <c r="H35" s="13"/>
    </row>
    <row r="36" spans="1:9" ht="13" thickBot="1" x14ac:dyDescent="0.3">
      <c r="B36" s="8" t="s">
        <v>13</v>
      </c>
    </row>
    <row r="37" spans="1:9" ht="13" thickBot="1" x14ac:dyDescent="0.3">
      <c r="B37" s="14"/>
      <c r="C37" s="9" t="s">
        <v>14</v>
      </c>
      <c r="H37" s="17"/>
    </row>
    <row r="39" spans="1:9" x14ac:dyDescent="0.25">
      <c r="A39" s="28"/>
      <c r="B39" s="13" t="s">
        <v>57</v>
      </c>
    </row>
    <row r="40" spans="1:9" x14ac:dyDescent="0.25">
      <c r="B40" s="13"/>
      <c r="D40" s="13" t="s">
        <v>56</v>
      </c>
    </row>
    <row r="41" spans="1:9" x14ac:dyDescent="0.25">
      <c r="D41" s="13" t="s">
        <v>45</v>
      </c>
    </row>
    <row r="42" spans="1:9" x14ac:dyDescent="0.25">
      <c r="D42" s="13" t="s">
        <v>46</v>
      </c>
    </row>
    <row r="44" spans="1:9" x14ac:dyDescent="0.25">
      <c r="C44" s="13" t="s">
        <v>89</v>
      </c>
    </row>
    <row r="45" spans="1:9" x14ac:dyDescent="0.25">
      <c r="C45" s="15" t="s">
        <v>88</v>
      </c>
      <c r="D45" s="32"/>
      <c r="E45" s="33"/>
      <c r="F45" s="33"/>
      <c r="G45" s="33"/>
      <c r="H45" s="33"/>
      <c r="I45" s="33"/>
    </row>
    <row r="46" spans="1:9" hidden="1" x14ac:dyDescent="0.25">
      <c r="D46" s="13" t="s">
        <v>82</v>
      </c>
    </row>
    <row r="47" spans="1:9" x14ac:dyDescent="0.25">
      <c r="C47" s="9" t="s">
        <v>83</v>
      </c>
      <c r="D47" s="13"/>
    </row>
    <row r="48" spans="1:9" hidden="1" x14ac:dyDescent="0.25">
      <c r="D48" s="13" t="s">
        <v>84</v>
      </c>
    </row>
    <row r="49" spans="1:4" x14ac:dyDescent="0.25">
      <c r="D49" s="13" t="s">
        <v>75</v>
      </c>
    </row>
    <row r="50" spans="1:4" x14ac:dyDescent="0.25">
      <c r="B50" s="13" t="s">
        <v>73</v>
      </c>
      <c r="D50" s="13"/>
    </row>
    <row r="51" spans="1:4" x14ac:dyDescent="0.25">
      <c r="B51" s="13" t="s">
        <v>86</v>
      </c>
      <c r="D51" s="13"/>
    </row>
    <row r="52" spans="1:4" x14ac:dyDescent="0.25">
      <c r="A52" s="13" t="s">
        <v>47</v>
      </c>
    </row>
    <row r="53" spans="1:4" x14ac:dyDescent="0.25">
      <c r="A53" s="13" t="s">
        <v>59</v>
      </c>
    </row>
    <row r="54" spans="1:4" x14ac:dyDescent="0.25">
      <c r="A54" s="13" t="s">
        <v>61</v>
      </c>
    </row>
    <row r="55" spans="1:4" x14ac:dyDescent="0.25">
      <c r="A55" s="13" t="s">
        <v>60</v>
      </c>
    </row>
    <row r="56" spans="1:4" x14ac:dyDescent="0.25">
      <c r="A56" s="13" t="s">
        <v>62</v>
      </c>
    </row>
    <row r="57" spans="1:4" x14ac:dyDescent="0.25">
      <c r="A57" s="13" t="s">
        <v>63</v>
      </c>
    </row>
    <row r="58" spans="1:4" x14ac:dyDescent="0.25">
      <c r="A58" s="13" t="s">
        <v>48</v>
      </c>
    </row>
    <row r="59" spans="1:4" x14ac:dyDescent="0.25">
      <c r="A59" s="13" t="s">
        <v>49</v>
      </c>
    </row>
    <row r="60" spans="1:4" x14ac:dyDescent="0.25">
      <c r="A60" s="13" t="s">
        <v>64</v>
      </c>
    </row>
    <row r="61" spans="1:4" x14ac:dyDescent="0.25">
      <c r="A61" s="13" t="s">
        <v>50</v>
      </c>
    </row>
    <row r="62" spans="1:4" x14ac:dyDescent="0.25">
      <c r="A62" s="13" t="s">
        <v>65</v>
      </c>
    </row>
    <row r="63" spans="1:4" x14ac:dyDescent="0.25">
      <c r="A63" s="13" t="s">
        <v>51</v>
      </c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23</vt:i4>
      </vt:variant>
    </vt:vector>
  </HeadingPairs>
  <TitlesOfParts>
    <vt:vector size="29" baseType="lpstr">
      <vt:lpstr>513473 - banque</vt:lpstr>
      <vt:lpstr>INITSOC- Oracle R12</vt:lpstr>
      <vt:lpstr>Nouveau référentiel R12</vt:lpstr>
      <vt:lpstr>Attributions Responsabilités</vt:lpstr>
      <vt:lpstr>ADRESSE TSA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'ADRESSE TSA'!Zone_d_impression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2025-01-22T11:59:37Z</cp:lastPrinted>
  <dcterms:created xsi:type="dcterms:W3CDTF">1999-03-09T10:58:01Z</dcterms:created>
  <dcterms:modified xsi:type="dcterms:W3CDTF">2025-01-22T11:59:53Z</dcterms:modified>
</cp:coreProperties>
</file>