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malezieux\Documents\A - Clôture 2025\A - Référentiel\Sociétés\DK 45 à DK 54 - 02 2025\DK 48 - 01 2025\"/>
    </mc:Choice>
  </mc:AlternateContent>
  <bookViews>
    <workbookView xWindow="-10" yWindow="110" windowWidth="15340" windowHeight="4200" activeTab="1"/>
  </bookViews>
  <sheets>
    <sheet name="513599" sheetId="8" r:id="rId1"/>
    <sheet name="INITSOC- Oracle R12" sheetId="1" r:id="rId2"/>
    <sheet name="Nouveau référentiel R12" sheetId="10" r:id="rId3"/>
    <sheet name="Attributions Responsabilités" sheetId="7" r:id="rId4"/>
    <sheet name="BD STE ET AUTRES" sheetId="5" r:id="rId5"/>
  </sheets>
  <definedNames>
    <definedName name="_xlnm._FilterDatabase" localSheetId="3" hidden="1">'Attributions Responsabilités'!$A$1:$H$21</definedName>
    <definedName name="adressesiege">'INITSOC- Oracle R12'!$H$8</definedName>
    <definedName name="capital">'INITSOC- Oracle R12'!$H$13</definedName>
    <definedName name="cloture">'INITSOC- Oracle R12'!$H$28</definedName>
    <definedName name="code">'INITSOC- Oracle R12'!$H$21</definedName>
    <definedName name="conso">'INITSOC- Oracle R12'!$H$22</definedName>
    <definedName name="cp">'INITSOC- Oracle R12'!$H$9</definedName>
    <definedName name="debut">'INITSOC- Oracle R12'!$H$27</definedName>
    <definedName name="etab">'INITSOC- Oracle R12'!$H$31</definedName>
    <definedName name="forme">'INITSOC- Oracle R12'!$H$11</definedName>
    <definedName name="fraisste">'BD STE ET AUTRES'!$H$37</definedName>
    <definedName name="geree">'INITSOC- Oracle R12'!$H$24</definedName>
    <definedName name="_xlnm.Print_Titles" localSheetId="2">'Nouveau référentiel R12'!$2:$2</definedName>
    <definedName name="intracom">'INITSOC- Oracle R12'!$H$15</definedName>
    <definedName name="lieudetenue">'INITSOC- Oracle R12'!$H$33</definedName>
    <definedName name="naf">'INITSOC- Oracle R12'!$H$17</definedName>
    <definedName name="nongeree">'INITSOC- Oracle R12'!#REF!</definedName>
    <definedName name="raison">'INITSOC- Oracle R12'!$H$6</definedName>
    <definedName name="sigle">'INITSOC- Oracle R12'!$H$7</definedName>
    <definedName name="siren">'INITSOC- Oracle R12'!$H$14</definedName>
    <definedName name="siret">'INITSOC- Oracle R12'!#REF!</definedName>
    <definedName name="ville">'INITSOC- Oracle R12'!$H$10</definedName>
    <definedName name="villedepot">'INITSOC- Oracle R12'!$H$12</definedName>
    <definedName name="_xlnm.Print_Area" localSheetId="3">'Attributions Responsabilités'!$A$1:$T$7</definedName>
    <definedName name="_xlnm.Print_Area" localSheetId="1">'INITSOC- Oracle R12'!$A$1:$I$61</definedName>
  </definedNames>
  <calcPr calcId="162913"/>
</workbook>
</file>

<file path=xl/calcChain.xml><?xml version="1.0" encoding="utf-8"?>
<calcChain xmlns="http://schemas.openxmlformats.org/spreadsheetml/2006/main">
  <c r="B12" i="10" l="1"/>
  <c r="A12" i="10"/>
  <c r="H7" i="1"/>
  <c r="I6" i="1"/>
  <c r="D12" i="10" l="1"/>
  <c r="C12" i="10"/>
  <c r="H41" i="1" l="1"/>
  <c r="G34" i="5" l="1"/>
  <c r="G3" i="5"/>
  <c r="G4" i="5"/>
  <c r="G29" i="5"/>
  <c r="G27" i="5"/>
  <c r="G31" i="5"/>
  <c r="G30" i="5"/>
  <c r="G28" i="5"/>
  <c r="G33" i="5"/>
  <c r="G25" i="5"/>
  <c r="G24" i="5"/>
  <c r="G21" i="5"/>
  <c r="H16" i="5"/>
  <c r="H15" i="5"/>
  <c r="H14" i="5"/>
  <c r="G11" i="5"/>
  <c r="G5" i="5"/>
  <c r="G2" i="5"/>
  <c r="H18" i="5"/>
  <c r="H5" i="5"/>
</calcChain>
</file>

<file path=xl/sharedStrings.xml><?xml version="1.0" encoding="utf-8"?>
<sst xmlns="http://schemas.openxmlformats.org/spreadsheetml/2006/main" count="349" uniqueCount="284">
  <si>
    <t>INITIALISATION DE SOCIETE</t>
  </si>
  <si>
    <t>Raison sociale :</t>
  </si>
  <si>
    <t>Adresse du siège :</t>
  </si>
  <si>
    <t>Appartenance de tenue de la comptabilité  :</t>
  </si>
  <si>
    <t>Personnel  :  OUI   NON</t>
  </si>
  <si>
    <t>Activité travaux H et/ou R:   OUI   NON</t>
  </si>
  <si>
    <t>CODE SOCIETE</t>
  </si>
  <si>
    <t>CAPITAL</t>
  </si>
  <si>
    <t>Forme juridique</t>
  </si>
  <si>
    <t>Option TVA sur les débits :     OUI     NON</t>
  </si>
  <si>
    <t>En cas de reprise s'assurer que l'archivage fiscal est effectué</t>
  </si>
  <si>
    <t>DONNEES GENERALES</t>
  </si>
  <si>
    <t>Code conso :</t>
  </si>
  <si>
    <t>Création d'appartenance</t>
  </si>
  <si>
    <t>Frais de société</t>
  </si>
  <si>
    <t>DONNEES COMPTABLES</t>
  </si>
  <si>
    <t>Implantation dans la B.D. Appartenances (facultatif) :</t>
  </si>
  <si>
    <t>Lieu(x) géographique(s) :</t>
  </si>
  <si>
    <t>Date de début du premier exercice sur le système :</t>
  </si>
  <si>
    <t>Date de mise en service de la plus ancienne immobilisation (en cas de reprise)</t>
  </si>
  <si>
    <t xml:space="preserve">Cocher SVP le type de sté </t>
  </si>
  <si>
    <t>Gestion de la Garantie Totale ? OUI/NON</t>
  </si>
  <si>
    <t>DONNEES SOCIALES</t>
  </si>
  <si>
    <t>C.P.</t>
  </si>
  <si>
    <t>Ville</t>
  </si>
  <si>
    <t>Siren</t>
  </si>
  <si>
    <t>Siret</t>
  </si>
  <si>
    <t>Capital</t>
  </si>
  <si>
    <t>Ville de dépôt des statuts</t>
  </si>
  <si>
    <t>Code Postal</t>
  </si>
  <si>
    <t xml:space="preserve">DATE  DE LA DEMANDE : </t>
  </si>
  <si>
    <t xml:space="preserve">NOM ET VISA DU DEMANDEUR   : </t>
  </si>
  <si>
    <t>RIB BANCAIRE NECESSAIRE A LA CREATION DU TIERS FOURNISSEUR</t>
  </si>
  <si>
    <t>CODE BANQUE</t>
  </si>
  <si>
    <t>CODE GUICHET</t>
  </si>
  <si>
    <t>COMPTE</t>
  </si>
  <si>
    <t>CLE RIB</t>
  </si>
  <si>
    <t>Société à créer dans ORACLE</t>
  </si>
  <si>
    <t>Etablissement(s)  à créer dans ORACLE :</t>
  </si>
  <si>
    <t>Implantation dans le module  FA (systèmatique)</t>
  </si>
  <si>
    <t>MATRICULE</t>
  </si>
  <si>
    <t>NOM</t>
  </si>
  <si>
    <t>PRENOM</t>
  </si>
  <si>
    <t>REGION</t>
  </si>
  <si>
    <t>Code fournisseur Oracle</t>
  </si>
  <si>
    <t>Code client Oracle</t>
  </si>
  <si>
    <t>M.A.J. FICHIER CLEHOA.XLS</t>
  </si>
  <si>
    <t>M.A.J. FICHIER ADRESSESORACLE.XLS</t>
  </si>
  <si>
    <t>(1) Récupération du code client ANAEL</t>
  </si>
  <si>
    <t>(2)Récupération du fournisseur ANAEL</t>
  </si>
  <si>
    <t>Tant que l'interface fonctionne, pas de pb</t>
  </si>
  <si>
    <t>Rechercher le fournisseur</t>
  </si>
  <si>
    <t>Ouvrir le CUF dans l'écran "Sites fournisseur", le code ANAEL est renseigné.</t>
  </si>
  <si>
    <t>RENSEIGNEMENTS A FOURNIR POUR IMPLANTATION DANS ORACLE
(exercice de 12 mois maximum avec clôture impérative en Juin ou Décembre)</t>
  </si>
  <si>
    <t>ou</t>
  </si>
  <si>
    <t>Date de clôture du premier exercice sur le système en Juin de l'année :</t>
  </si>
  <si>
    <t>Date de clôture du premier exercice sur le système en Décembre de l'année :</t>
  </si>
  <si>
    <t>DISQUE PARTAGE/EDITIONS</t>
  </si>
  <si>
    <t>ADRESSES ASPHERIA</t>
  </si>
  <si>
    <t>DKA APyyyy CONSULTATION SEULE</t>
  </si>
  <si>
    <t>Responsabilité DKA AR Administrateur/Clients/Standard</t>
  </si>
  <si>
    <t>Dans l'écran "Résultats de la recherche" se placer sur une ligne "détail" et cliquer sur OK</t>
  </si>
  <si>
    <t>Rechercher le client Dans l'écran "Rechercher/saisir clients"</t>
  </si>
  <si>
    <t>Dans l'écran "Clients - Standard" ouvrir l'onglet "Adresses"</t>
  </si>
  <si>
    <t>Le code ANAEL est renseigné dans l'onglet "Fonctions économiques".</t>
  </si>
  <si>
    <t>Sinon, Responsabilité DKA AP Consultation referentiel/Fournisseurs/Rechercher</t>
  </si>
  <si>
    <t>Dans l'écran "Fournisseurs(Dalkia_ope)", cliquer sur Sites</t>
  </si>
  <si>
    <t>Merci de tout saisir en lettre majuscules (utilisation de la fonction copier/coller)</t>
  </si>
  <si>
    <t>(Fourni par le Service Trésorerie)</t>
  </si>
  <si>
    <t>SIREN/SIRET (14 chiffres sans espaces)</t>
  </si>
  <si>
    <t>N° TVA intracommunautaire (sans espaces)</t>
  </si>
  <si>
    <t xml:space="preserve">RENSEIGNEMENTS A FOURNIR </t>
  </si>
  <si>
    <t>Les onglets "INITSOC" et "Attributions Responsabilités" sont à adresser dûment complétés à la MOA FINANCE</t>
  </si>
  <si>
    <t>Ce fichier vous sera retourné après l'initialisation des différents modules</t>
  </si>
  <si>
    <t>MISE A JOUR DU FICHIER DES EDITIONS, onglets "Autres états" et "LCJ"</t>
  </si>
  <si>
    <t xml:space="preserve">Module PO /SSP Site de facturation spécifique à la société
(avec par défaut l'adresse du siège social) </t>
  </si>
  <si>
    <t>Finance.am</t>
  </si>
  <si>
    <t>DONNEES POUR DAS2</t>
  </si>
  <si>
    <t xml:space="preserve"> - Code INSEE de la commune du siège social</t>
  </si>
  <si>
    <t xml:space="preserve"> - Profession ou activité de l'entreprise</t>
  </si>
  <si>
    <t xml:space="preserve"> - Code NAF/APE</t>
  </si>
  <si>
    <t xml:space="preserve"> - Bureau distributeur de la commune du siège social</t>
  </si>
  <si>
    <t>OUI</t>
  </si>
  <si>
    <t>(Lebeurre, Jouret, Sellitto, Dupont)</t>
  </si>
  <si>
    <t xml:space="preserve">Liste MOA </t>
  </si>
  <si>
    <t>(Myriam, Bernard, Gilbert, Didier, Alexis, Dominique)</t>
  </si>
  <si>
    <t>GFPB pour GFK</t>
  </si>
  <si>
    <t>MISE A JOUR DU FICHIER STES TENUES DANS OA dans MOA Finance\PARAMETRAGE 11.5.9</t>
  </si>
  <si>
    <t>SOCIETE INTEGREE DANS LE PERIMETRE DU CSP : OUI  NON</t>
  </si>
  <si>
    <t>Liste GF CREATION SOCIETE</t>
  </si>
  <si>
    <t>Copier le texte du fichier "Mail Infos sur création de société" dans le mail et utiliser la liste de la région concernée</t>
  </si>
  <si>
    <t>SOCIETE SUIVIE PAR LE CONTRÔLE DE GESTION  : OUI    NON</t>
  </si>
  <si>
    <t>Code adresse partenaire (Client ANAEL)</t>
  </si>
  <si>
    <t>Code fournisseur ancien système</t>
  </si>
  <si>
    <t>Type société : gérée</t>
  </si>
  <si>
    <t>Sigle</t>
  </si>
  <si>
    <t>Raison sociale</t>
  </si>
  <si>
    <t>Sigle (20 caracyères maximum):</t>
  </si>
  <si>
    <t>BD SOCIETES</t>
  </si>
  <si>
    <t>Mois de clôture</t>
  </si>
  <si>
    <t>Appartenance destinataire des états (OPTIO)</t>
  </si>
  <si>
    <t>Appartenance à un sous groupe</t>
  </si>
  <si>
    <t>DALKIA</t>
  </si>
  <si>
    <t>Imputation frais de société</t>
  </si>
  <si>
    <t>adresse 1</t>
  </si>
  <si>
    <t>adresse 2</t>
  </si>
  <si>
    <t>adresse 3</t>
  </si>
  <si>
    <t>Pays</t>
  </si>
  <si>
    <t>FR</t>
  </si>
  <si>
    <t>Code APE</t>
  </si>
  <si>
    <t>Devise</t>
  </si>
  <si>
    <t>EUR</t>
  </si>
  <si>
    <t>RCS</t>
  </si>
  <si>
    <t>TVA Intracommunautaire</t>
  </si>
  <si>
    <t>Code support édition</t>
  </si>
  <si>
    <t>Lien logo</t>
  </si>
  <si>
    <t>Branche d'activité Veolia</t>
  </si>
  <si>
    <t>Energie</t>
  </si>
  <si>
    <t>(par défaut)</t>
  </si>
  <si>
    <t>LOGO spécifique pour les commandes ?
Dans l'affirmative, fournir le fichier</t>
  </si>
  <si>
    <t>Echéancier automatique : OUI   NON (Si Oui, fournir éventuellement le logo)</t>
  </si>
  <si>
    <t>SAS</t>
  </si>
  <si>
    <t>NON</t>
  </si>
  <si>
    <t>Centre de gestion siège</t>
  </si>
  <si>
    <t>SIEGE</t>
  </si>
  <si>
    <t>MALEZIEUX Arnaud</t>
  </si>
  <si>
    <t>DKA AP YYYY XXX SAISIE FACT RGLT</t>
  </si>
  <si>
    <t>DKA AP YYYY SAISIE STE (Multi région uniquement)</t>
  </si>
  <si>
    <t xml:space="preserve">DKA AP YYYY XXX DEBLOCAGE ACOMPTES </t>
  </si>
  <si>
    <t>DKA AP YYYY XXX DEBLOCAGE FACTURES</t>
  </si>
  <si>
    <t>DKA AP YYYY XXX DEBLOCAGE NDF</t>
  </si>
  <si>
    <t>DKA AP YYYY XXX FACT RGLT ANNUL</t>
  </si>
  <si>
    <t>DKA AR YYYY CONSULTATION RECOUVREMENT</t>
  </si>
  <si>
    <t>DKA AR YYYY XXX ANNUL REGLEMENT</t>
  </si>
  <si>
    <t>DKA AR YYYY XXX SAISIE</t>
  </si>
  <si>
    <t>DKA AR YYYY SAISIE STE (Multi région uniquement)</t>
  </si>
  <si>
    <t>DKA FA YYYY XXX SAISIE</t>
  </si>
  <si>
    <t>DKA GL YYYY SAISIE (Multi région uniquement)</t>
  </si>
  <si>
    <t>DKA GL YYYY CONSULTATION (Multi région uniquement)</t>
  </si>
  <si>
    <t>Utilisation des outils facturation Exploitation et/ou CITY :    OUI    NON</t>
  </si>
  <si>
    <t xml:space="preserve">Société </t>
  </si>
  <si>
    <t>Code société</t>
  </si>
  <si>
    <t>Affaire organique</t>
  </si>
  <si>
    <t>Centre Finance</t>
  </si>
  <si>
    <t>Projet Finance par UO</t>
  </si>
  <si>
    <t>Région</t>
  </si>
  <si>
    <t>UO</t>
  </si>
  <si>
    <t>Description</t>
  </si>
  <si>
    <t>Tâche finance</t>
  </si>
  <si>
    <t>A compléter + renseigner onglet "Nouveau référentiel R12"</t>
  </si>
  <si>
    <t>B00001916C</t>
  </si>
  <si>
    <t>DOS</t>
  </si>
  <si>
    <t>Tache finance de rattachement de la tache finance frais de société</t>
  </si>
  <si>
    <t>Demande faite à Kador</t>
  </si>
  <si>
    <t>x</t>
  </si>
  <si>
    <t>DK code partenaire</t>
  </si>
  <si>
    <t>Kador :</t>
  </si>
  <si>
    <t>Direction Trésorerie Financement</t>
  </si>
  <si>
    <t>Demande de création du</t>
  </si>
  <si>
    <t>Emetteur :</t>
  </si>
  <si>
    <t>Carole LAGUELLE</t>
  </si>
  <si>
    <t>Valideur :</t>
  </si>
  <si>
    <t>Destinataire :</t>
  </si>
  <si>
    <t>SOCIETE :</t>
  </si>
  <si>
    <t>Adresse siège :</t>
  </si>
  <si>
    <t>BANQUE</t>
  </si>
  <si>
    <t>AGENCE</t>
  </si>
  <si>
    <t>BIC:</t>
  </si>
  <si>
    <t>RIB :</t>
  </si>
  <si>
    <t>IBAN :</t>
  </si>
  <si>
    <t>Devise de Tenue de compte</t>
  </si>
  <si>
    <t>Création dans ORACLE</t>
  </si>
  <si>
    <t>COMPTE COMPTABLE :</t>
  </si>
  <si>
    <t>Devise de Comptabilisation dans Oracle</t>
  </si>
  <si>
    <t>CASH POOLING</t>
  </si>
  <si>
    <t>Intégration au CASH Pooling</t>
  </si>
  <si>
    <t>Remontée sur société</t>
  </si>
  <si>
    <t>Remontée sur compte</t>
  </si>
  <si>
    <t>TYPE DE COMPTE</t>
  </si>
  <si>
    <t>PRINCIPAL</t>
  </si>
  <si>
    <t>Virement manuel</t>
  </si>
  <si>
    <t>(à cocher)</t>
  </si>
  <si>
    <t>virements express</t>
  </si>
  <si>
    <t>virement tiers echeancier</t>
  </si>
  <si>
    <t>virement groupe echéancier</t>
  </si>
  <si>
    <t>virement NDF</t>
  </si>
  <si>
    <t>TYPE DE RAPPROCHEMENT pour RB</t>
  </si>
  <si>
    <t>O</t>
  </si>
  <si>
    <t>compte bancaire  sera suivi et intégtré dans RB</t>
  </si>
  <si>
    <t>PF - Libellé</t>
  </si>
  <si>
    <t>PF - Classe (Type de projet)</t>
  </si>
  <si>
    <t>TF - Libellé</t>
  </si>
  <si>
    <t>TF - Libellé Type</t>
  </si>
  <si>
    <t>Organique</t>
  </si>
  <si>
    <t>Activités organiques</t>
  </si>
  <si>
    <t>Trésorerie gérée par Tour Europe :  OUI    NON</t>
  </si>
  <si>
    <t>CREATION DE COMPTE BANCAIRE et Parametrage Oracle  complet  ( RB + GL)</t>
  </si>
  <si>
    <t>Pas de responsabilité spécifique à attribuer</t>
  </si>
  <si>
    <t>CODE  CONSO Magnitude :</t>
  </si>
  <si>
    <t>3511Z</t>
  </si>
  <si>
    <t>Production d'électricité</t>
  </si>
  <si>
    <t xml:space="preserve">Société Oracle </t>
  </si>
  <si>
    <t>DK Code Partenaire</t>
  </si>
  <si>
    <t>DK Code Société</t>
  </si>
  <si>
    <t>Paramètrage Groupe Dalkia</t>
  </si>
  <si>
    <t>Oui</t>
  </si>
  <si>
    <t>92099 - TSA 77655</t>
  </si>
  <si>
    <t>PARIS LA DEFENSE CEDEX</t>
  </si>
  <si>
    <t>Nanterre</t>
  </si>
  <si>
    <t>TOUR EUROPE - 33, Place des Corolles</t>
  </si>
  <si>
    <t>92026</t>
  </si>
  <si>
    <t>LIVRE COMPTABLE</t>
  </si>
  <si>
    <t>A créer sous UO - Dalkia Siège :</t>
  </si>
  <si>
    <t>92099 PARIS LA DEFENSE</t>
  </si>
  <si>
    <t>SOCIETE GENERALE</t>
  </si>
  <si>
    <t>SOGEFRPP</t>
  </si>
  <si>
    <t>03620</t>
  </si>
  <si>
    <t>DK Code</t>
  </si>
  <si>
    <t>Statut</t>
  </si>
  <si>
    <t>Dénomination sociale</t>
  </si>
  <si>
    <t>Immatriculation</t>
  </si>
  <si>
    <t>Catégorie</t>
  </si>
  <si>
    <t>Genre</t>
  </si>
  <si>
    <t>Code forme juridique</t>
  </si>
  <si>
    <t>Code NAF</t>
  </si>
  <si>
    <t>Libellé NAF</t>
  </si>
  <si>
    <t>Matricule Dalkia</t>
  </si>
  <si>
    <t>OUV</t>
  </si>
  <si>
    <t>IF</t>
  </si>
  <si>
    <t>Dalkia</t>
  </si>
  <si>
    <t>Privé</t>
  </si>
  <si>
    <t>SAS, société par actions simplifiée</t>
  </si>
  <si>
    <t>Libellé</t>
  </si>
  <si>
    <t>Nature</t>
  </si>
  <si>
    <t>Sous-segment</t>
  </si>
  <si>
    <t>DK Code adresse principale</t>
  </si>
  <si>
    <t>Ref adr. client</t>
  </si>
  <si>
    <t>Siège</t>
  </si>
  <si>
    <t>DK Code société</t>
  </si>
  <si>
    <t>Etablissement</t>
  </si>
  <si>
    <t>Industrie-Process</t>
  </si>
  <si>
    <t>COURBEVOIE - 92400</t>
  </si>
  <si>
    <t xml:space="preserve">DSIN,MOA finance,Agnes KURI, Olivier DESHAYES,
 </t>
  </si>
  <si>
    <t xml:space="preserve">Maxence BLANCHET, Rachid MELLAS,  ,Arnaud  MALEZIEUX  </t>
  </si>
  <si>
    <t>TOUR EUROPE</t>
  </si>
  <si>
    <t>33, Place des Corolles - TSA 77655</t>
  </si>
  <si>
    <t>ETABLISSEMENT :DOS</t>
  </si>
  <si>
    <t>PARIS CENTRE ENTREPRISES</t>
  </si>
  <si>
    <t>0545</t>
  </si>
  <si>
    <t>DK 48</t>
  </si>
  <si>
    <t>YS2348</t>
  </si>
  <si>
    <t>93766276500018</t>
  </si>
  <si>
    <t xml:space="preserve"> FR44937662765</t>
  </si>
  <si>
    <t>Patricia BENJEBRIA</t>
  </si>
  <si>
    <t>0545 DK 48</t>
  </si>
  <si>
    <t>30003 03620 00020160626 16</t>
  </si>
  <si>
    <t>FR 76 3000 3036 2000 0201 6062 616</t>
  </si>
  <si>
    <t>Compte local 513599</t>
  </si>
  <si>
    <t>00020160626</t>
  </si>
  <si>
    <t>16</t>
  </si>
  <si>
    <t>FB0088973F</t>
  </si>
  <si>
    <t>PF FPS 0545 DK 48</t>
  </si>
  <si>
    <t>DOS0545</t>
  </si>
  <si>
    <t>PROJET FINANCE DK 48 UO DOS0545</t>
  </si>
  <si>
    <t>GK1478791V</t>
  </si>
  <si>
    <t>TF FPS 0545 DK 48</t>
  </si>
  <si>
    <t>Type</t>
  </si>
  <si>
    <t>CF</t>
  </si>
  <si>
    <t>PF</t>
  </si>
  <si>
    <t>Société du PF</t>
  </si>
  <si>
    <t>Nb Ressources</t>
  </si>
  <si>
    <t>Nb Emplacements</t>
  </si>
  <si>
    <t>Nb Installations</t>
  </si>
  <si>
    <t>Nb Contrats</t>
  </si>
  <si>
    <t>Début</t>
  </si>
  <si>
    <t>Fin</t>
  </si>
  <si>
    <t>SG</t>
  </si>
  <si>
    <t>2025-01-20 00:00:00</t>
  </si>
  <si>
    <t>Nb Partenaires</t>
  </si>
  <si>
    <t>D00334377V</t>
  </si>
  <si>
    <t>Complement adresse établissement</t>
  </si>
  <si>
    <t>K24023309N</t>
  </si>
  <si>
    <t>L00219243N</t>
  </si>
  <si>
    <t>0586082I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</si>
</sst>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\ &quot;F&quot;;\-#,##0\ &quot;F&quot;"/>
    <numFmt numFmtId="165" formatCode="#,##0\ &quot;F&quot;;[Red]\-#,##0\ &quot;F&quot;"/>
    <numFmt numFmtId="166" formatCode="00"/>
    <numFmt numFmtId="167" formatCode="00000000000000"/>
    <numFmt numFmtId="168" formatCode="00000"/>
    <numFmt numFmtId="169" formatCode="0000"/>
    <numFmt numFmtId="170" formatCode="#,##0&quot; €&quot;"/>
    <numFmt numFmtId="171" formatCode="00000000000"/>
  </numFmts>
  <fonts count="30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b/>
      <sz val="12"/>
      <name val="MS Sans Serif"/>
      <family val="2"/>
    </font>
    <font>
      <b/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MS Sans Serif"/>
      <family val="2"/>
    </font>
    <font>
      <b/>
      <sz val="12"/>
      <color indexed="10"/>
      <name val="MS Sans Serif"/>
      <family val="2"/>
    </font>
    <font>
      <sz val="10"/>
      <color indexed="10"/>
      <name val="MS Sans Serif"/>
      <family val="2"/>
    </font>
    <font>
      <sz val="7"/>
      <name val="Arial"/>
      <family val="2"/>
    </font>
    <font>
      <b/>
      <sz val="8"/>
      <name val="Arial"/>
      <family val="2"/>
    </font>
    <font>
      <sz val="12"/>
      <name val="MS Sans Serif"/>
      <family val="2"/>
    </font>
    <font>
      <sz val="10"/>
      <color rgb="FFFF0000"/>
      <name val="Arial"/>
      <family val="2"/>
    </font>
    <font>
      <sz val="12.1"/>
      <color rgb="FF000000"/>
      <name val="Calibri"/>
      <family val="2"/>
      <scheme val="minor"/>
    </font>
    <font>
      <sz val="10"/>
      <color rgb="FFFF0000"/>
      <name val="MS Sans Serif"/>
      <family val="2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2"/>
      <name val="Calibri"/>
      <family val="2"/>
      <scheme val="minor"/>
    </font>
    <font>
      <b/>
      <sz val="10"/>
      <color theme="1"/>
      <name val="MS Sans Serif"/>
      <family val="2"/>
    </font>
    <font>
      <b/>
      <sz val="10"/>
      <color rgb="FF0070C0"/>
      <name val="MS Sans Serif"/>
      <family val="2"/>
    </font>
    <font>
      <b/>
      <sz val="12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0"/>
      <name val="Arial"/>
      <family val="2"/>
      <charset val="1"/>
    </font>
    <font>
      <b/>
      <sz val="8"/>
      <color rgb="FFFFFFFF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5BBB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177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5" fillId="0" borderId="0" xfId="2"/>
    <xf numFmtId="166" fontId="5" fillId="0" borderId="0" xfId="2" applyNumberFormat="1"/>
    <xf numFmtId="164" fontId="5" fillId="0" borderId="0" xfId="2" applyNumberFormat="1"/>
    <xf numFmtId="0" fontId="0" fillId="0" borderId="0" xfId="0" applyBorder="1"/>
    <xf numFmtId="0" fontId="0" fillId="0" borderId="0" xfId="0" applyBorder="1" applyAlignment="1">
      <alignment vertical="center"/>
    </xf>
    <xf numFmtId="0" fontId="5" fillId="0" borderId="0" xfId="2" applyFont="1"/>
    <xf numFmtId="14" fontId="5" fillId="0" borderId="0" xfId="2" applyNumberFormat="1"/>
    <xf numFmtId="166" fontId="5" fillId="0" borderId="0" xfId="2" applyNumberFormat="1" applyFont="1"/>
    <xf numFmtId="0" fontId="6" fillId="0" borderId="0" xfId="2" applyFont="1"/>
    <xf numFmtId="0" fontId="5" fillId="0" borderId="1" xfId="2" applyFont="1" applyBorder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Continuous"/>
    </xf>
    <xf numFmtId="0" fontId="9" fillId="0" borderId="0" xfId="0" applyFont="1" applyAlignment="1">
      <alignment vertical="center"/>
    </xf>
    <xf numFmtId="0" fontId="9" fillId="0" borderId="0" xfId="0" applyFont="1"/>
    <xf numFmtId="0" fontId="0" fillId="0" borderId="0" xfId="0" quotePrefix="1" applyAlignment="1">
      <alignment vertical="center"/>
    </xf>
    <xf numFmtId="0" fontId="10" fillId="0" borderId="0" xfId="1" applyFont="1" applyAlignment="1">
      <alignment horizontal="center" vertical="center" wrapText="1"/>
    </xf>
    <xf numFmtId="0" fontId="5" fillId="0" borderId="0" xfId="1"/>
    <xf numFmtId="16" fontId="5" fillId="0" borderId="0" xfId="2" applyNumberForma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2" applyFont="1" applyAlignment="1">
      <alignment wrapText="1"/>
    </xf>
    <xf numFmtId="0" fontId="5" fillId="0" borderId="0" xfId="2" applyAlignment="1">
      <alignment wrapText="1"/>
    </xf>
    <xf numFmtId="164" fontId="6" fillId="0" borderId="0" xfId="2" applyNumberFormat="1" applyFont="1"/>
    <xf numFmtId="14" fontId="0" fillId="0" borderId="0" xfId="0" applyNumberFormat="1" applyAlignment="1">
      <alignment vertical="center"/>
    </xf>
    <xf numFmtId="0" fontId="2" fillId="0" borderId="0" xfId="0" applyFont="1"/>
    <xf numFmtId="0" fontId="11" fillId="0" borderId="4" xfId="1" applyFont="1" applyBorder="1" applyAlignment="1">
      <alignment horizontal="center" vertical="center" textRotation="76" wrapText="1"/>
    </xf>
    <xf numFmtId="0" fontId="13" fillId="0" borderId="5" xfId="1" applyFont="1" applyBorder="1"/>
    <xf numFmtId="0" fontId="13" fillId="0" borderId="5" xfId="1" applyFont="1" applyBorder="1" applyAlignment="1">
      <alignment horizontal="center"/>
    </xf>
    <xf numFmtId="0" fontId="5" fillId="0" borderId="5" xfId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168" fontId="1" fillId="0" borderId="1" xfId="0" quotePrefix="1" applyNumberFormat="1" applyFont="1" applyBorder="1" applyAlignment="1">
      <alignment horizontal="center"/>
    </xf>
    <xf numFmtId="171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9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1" fillId="4" borderId="4" xfId="1" applyFont="1" applyFill="1" applyBorder="1" applyAlignment="1">
      <alignment horizontal="center" vertical="center" textRotation="76" wrapText="1"/>
    </xf>
    <xf numFmtId="0" fontId="15" fillId="0" borderId="0" xfId="0" applyFont="1" applyAlignment="1">
      <alignment vertical="center"/>
    </xf>
    <xf numFmtId="165" fontId="1" fillId="0" borderId="1" xfId="0" applyNumberFormat="1" applyFont="1" applyFill="1" applyBorder="1" applyAlignment="1">
      <alignment horizontal="center"/>
    </xf>
    <xf numFmtId="0" fontId="16" fillId="5" borderId="5" xfId="0" applyFont="1" applyFill="1" applyBorder="1"/>
    <xf numFmtId="0" fontId="16" fillId="0" borderId="5" xfId="0" applyFont="1" applyBorder="1"/>
    <xf numFmtId="49" fontId="0" fillId="3" borderId="5" xfId="0" applyNumberForma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70" fontId="1" fillId="0" borderId="1" xfId="0" applyNumberFormat="1" applyFont="1" applyFill="1" applyBorder="1" applyAlignment="1">
      <alignment horizontal="center"/>
    </xf>
    <xf numFmtId="167" fontId="1" fillId="0" borderId="1" xfId="0" quotePrefix="1" applyNumberFormat="1" applyFont="1" applyFill="1" applyBorder="1" applyAlignment="1">
      <alignment horizontal="center"/>
    </xf>
    <xf numFmtId="168" fontId="1" fillId="0" borderId="1" xfId="0" quotePrefix="1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8" fontId="1" fillId="0" borderId="1" xfId="0" applyNumberFormat="1" applyFont="1" applyBorder="1" applyAlignment="1">
      <alignment horizontal="center"/>
    </xf>
    <xf numFmtId="0" fontId="13" fillId="6" borderId="5" xfId="1" applyFont="1" applyFill="1" applyBorder="1" applyAlignment="1">
      <alignment horizontal="center"/>
    </xf>
    <xf numFmtId="0" fontId="5" fillId="6" borderId="5" xfId="1" applyFill="1" applyBorder="1"/>
    <xf numFmtId="49" fontId="0" fillId="3" borderId="5" xfId="0" applyNumberFormat="1" applyFill="1" applyBorder="1" applyAlignment="1">
      <alignment horizontal="center" wrapText="1"/>
    </xf>
    <xf numFmtId="49" fontId="14" fillId="0" borderId="5" xfId="0" applyNumberFormat="1" applyFont="1" applyBorder="1"/>
    <xf numFmtId="49" fontId="14" fillId="0" borderId="5" xfId="0" applyNumberFormat="1" applyFont="1" applyBorder="1" applyAlignment="1">
      <alignment horizontal="center"/>
    </xf>
    <xf numFmtId="49" fontId="14" fillId="0" borderId="5" xfId="0" applyNumberFormat="1" applyFont="1" applyFill="1" applyBorder="1" applyAlignment="1">
      <alignment horizontal="center"/>
    </xf>
    <xf numFmtId="0" fontId="0" fillId="0" borderId="5" xfId="0" applyFill="1" applyBorder="1"/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1" fillId="0" borderId="2" xfId="0" applyNumberFormat="1" applyFont="1" applyBorder="1" applyAlignment="1">
      <alignment horizontal="center"/>
    </xf>
    <xf numFmtId="0" fontId="2" fillId="0" borderId="0" xfId="0" applyFont="1" applyBorder="1"/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7" fillId="0" borderId="0" xfId="0" applyFont="1" applyBorder="1" applyAlignment="1">
      <alignment horizontal="centerContinuous" vertical="center" shrinkToFit="1"/>
    </xf>
    <xf numFmtId="0" fontId="17" fillId="0" borderId="6" xfId="0" applyFont="1" applyBorder="1" applyAlignment="1">
      <alignment horizontal="centerContinuous" vertical="center" shrinkToFit="1"/>
    </xf>
    <xf numFmtId="0" fontId="0" fillId="0" borderId="7" xfId="0" applyBorder="1" applyAlignment="1">
      <alignment horizontal="centerContinuous" vertical="center" shrinkToFit="1"/>
    </xf>
    <xf numFmtId="0" fontId="0" fillId="0" borderId="8" xfId="0" applyBorder="1" applyAlignment="1">
      <alignment horizontal="centerContinuous" vertical="center" shrinkToFit="1"/>
    </xf>
    <xf numFmtId="0" fontId="0" fillId="0" borderId="0" xfId="0" applyBorder="1" applyAlignment="1">
      <alignment horizontal="centerContinuous" vertical="center" shrinkToFit="1"/>
    </xf>
    <xf numFmtId="0" fontId="18" fillId="0" borderId="0" xfId="0" applyFont="1"/>
    <xf numFmtId="0" fontId="19" fillId="0" borderId="0" xfId="0" applyFont="1"/>
    <xf numFmtId="14" fontId="20" fillId="0" borderId="5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9" xfId="0" applyBorder="1"/>
    <xf numFmtId="0" fontId="17" fillId="0" borderId="10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7" fillId="0" borderId="0" xfId="0" applyFont="1" applyBorder="1"/>
    <xf numFmtId="0" fontId="0" fillId="0" borderId="13" xfId="0" applyBorder="1"/>
    <xf numFmtId="0" fontId="0" fillId="0" borderId="14" xfId="0" applyBorder="1"/>
    <xf numFmtId="0" fontId="0" fillId="9" borderId="9" xfId="0" applyFill="1" applyBorder="1"/>
    <xf numFmtId="0" fontId="20" fillId="9" borderId="12" xfId="0" applyFont="1" applyFill="1" applyBorder="1"/>
    <xf numFmtId="0" fontId="20" fillId="9" borderId="14" xfId="0" applyFont="1" applyFill="1" applyBorder="1"/>
    <xf numFmtId="0" fontId="0" fillId="9" borderId="15" xfId="0" applyFill="1" applyBorder="1"/>
    <xf numFmtId="0" fontId="17" fillId="9" borderId="15" xfId="0" applyFont="1" applyFill="1" applyBorder="1"/>
    <xf numFmtId="0" fontId="0" fillId="9" borderId="16" xfId="0" applyFill="1" applyBorder="1"/>
    <xf numFmtId="0" fontId="17" fillId="0" borderId="10" xfId="0" applyFont="1" applyBorder="1"/>
    <xf numFmtId="0" fontId="20" fillId="0" borderId="12" xfId="0" applyFont="1" applyBorder="1"/>
    <xf numFmtId="0" fontId="0" fillId="0" borderId="6" xfId="0" applyBorder="1"/>
    <xf numFmtId="0" fontId="0" fillId="0" borderId="7" xfId="0" applyBorder="1"/>
    <xf numFmtId="0" fontId="17" fillId="8" borderId="5" xfId="0" applyFont="1" applyFill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8" borderId="4" xfId="0" applyFont="1" applyFill="1" applyBorder="1" applyAlignment="1">
      <alignment horizontal="center"/>
    </xf>
    <xf numFmtId="0" fontId="0" fillId="0" borderId="15" xfId="0" applyBorder="1"/>
    <xf numFmtId="0" fontId="17" fillId="8" borderId="17" xfId="0" applyFont="1" applyFill="1" applyBorder="1" applyAlignment="1">
      <alignment horizontal="center"/>
    </xf>
    <xf numFmtId="49" fontId="17" fillId="10" borderId="4" xfId="0" applyNumberFormat="1" applyFont="1" applyFill="1" applyBorder="1" applyAlignment="1">
      <alignment horizontal="center"/>
    </xf>
    <xf numFmtId="3" fontId="17" fillId="0" borderId="15" xfId="0" applyNumberFormat="1" applyFont="1" applyFill="1" applyBorder="1"/>
    <xf numFmtId="0" fontId="17" fillId="10" borderId="5" xfId="0" applyFont="1" applyFill="1" applyBorder="1" applyAlignment="1">
      <alignment horizontal="center"/>
    </xf>
    <xf numFmtId="0" fontId="17" fillId="0" borderId="0" xfId="0" applyFont="1"/>
    <xf numFmtId="0" fontId="20" fillId="0" borderId="0" xfId="0" applyFont="1"/>
    <xf numFmtId="0" fontId="20" fillId="2" borderId="6" xfId="0" applyFont="1" applyFill="1" applyBorder="1"/>
    <xf numFmtId="0" fontId="17" fillId="2" borderId="7" xfId="0" applyFont="1" applyFill="1" applyBorder="1"/>
    <xf numFmtId="0" fontId="17" fillId="2" borderId="8" xfId="0" applyFont="1" applyFill="1" applyBorder="1"/>
    <xf numFmtId="0" fontId="20" fillId="2" borderId="7" xfId="0" applyFont="1" applyFill="1" applyBorder="1"/>
    <xf numFmtId="0" fontId="20" fillId="2" borderId="8" xfId="0" applyFont="1" applyFill="1" applyBorder="1"/>
    <xf numFmtId="0" fontId="17" fillId="0" borderId="0" xfId="0" applyFont="1" applyFill="1" applyBorder="1" applyAlignment="1">
      <alignment horizontal="left"/>
    </xf>
    <xf numFmtId="0" fontId="0" fillId="0" borderId="0" xfId="0" applyBorder="1" applyAlignment="1">
      <alignment horizontal="center"/>
    </xf>
    <xf numFmtId="0" fontId="6" fillId="0" borderId="0" xfId="1" applyFont="1"/>
    <xf numFmtId="49" fontId="21" fillId="2" borderId="5" xfId="0" applyNumberFormat="1" applyFont="1" applyFill="1" applyBorder="1" applyAlignment="1">
      <alignment horizontal="center"/>
    </xf>
    <xf numFmtId="0" fontId="20" fillId="2" borderId="6" xfId="0" applyFont="1" applyFill="1" applyBorder="1" applyAlignment="1">
      <alignment horizontal="left"/>
    </xf>
    <xf numFmtId="169" fontId="1" fillId="11" borderId="1" xfId="0" quotePrefix="1" applyNumberFormat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9" borderId="0" xfId="0" applyFill="1"/>
    <xf numFmtId="0" fontId="17" fillId="0" borderId="0" xfId="0" applyFont="1" applyBorder="1" applyAlignment="1">
      <alignment horizontal="center"/>
    </xf>
    <xf numFmtId="0" fontId="23" fillId="0" borderId="5" xfId="0" applyFont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49" fontId="14" fillId="12" borderId="5" xfId="0" quotePrefix="1" applyNumberFormat="1" applyFont="1" applyFill="1" applyBorder="1" applyAlignment="1">
      <alignment horizontal="center"/>
    </xf>
    <xf numFmtId="0" fontId="0" fillId="0" borderId="0" xfId="0" applyFont="1"/>
    <xf numFmtId="2" fontId="14" fillId="0" borderId="5" xfId="0" applyNumberFormat="1" applyFont="1" applyBorder="1"/>
    <xf numFmtId="2" fontId="14" fillId="12" borderId="5" xfId="0" quotePrefix="1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20" fillId="10" borderId="6" xfId="0" applyFont="1" applyFill="1" applyBorder="1"/>
    <xf numFmtId="0" fontId="20" fillId="10" borderId="7" xfId="0" applyFont="1" applyFill="1" applyBorder="1"/>
    <xf numFmtId="0" fontId="20" fillId="10" borderId="8" xfId="0" applyFont="1" applyFill="1" applyBorder="1"/>
    <xf numFmtId="166" fontId="1" fillId="0" borderId="1" xfId="0" quotePrefix="1" applyNumberFormat="1" applyFont="1" applyBorder="1" applyAlignment="1">
      <alignment horizontal="center"/>
    </xf>
    <xf numFmtId="167" fontId="22" fillId="0" borderId="1" xfId="0" quotePrefix="1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49" fontId="24" fillId="2" borderId="5" xfId="0" applyNumberFormat="1" applyFont="1" applyFill="1" applyBorder="1" applyAlignment="1">
      <alignment horizontal="center"/>
    </xf>
    <xf numFmtId="0" fontId="17" fillId="0" borderId="0" xfId="0" applyFont="1" applyBorder="1" applyAlignment="1">
      <alignment horizontal="center" wrapText="1"/>
    </xf>
    <xf numFmtId="0" fontId="25" fillId="13" borderId="5" xfId="0" applyFont="1" applyFill="1" applyBorder="1"/>
    <xf numFmtId="0" fontId="25" fillId="13" borderId="5" xfId="0" applyFont="1" applyFill="1" applyBorder="1" applyAlignment="1">
      <alignment horizontal="center"/>
    </xf>
    <xf numFmtId="0" fontId="26" fillId="0" borderId="5" xfId="0" applyFont="1" applyBorder="1"/>
    <xf numFmtId="0" fontId="27" fillId="0" borderId="5" xfId="0" applyFont="1" applyBorder="1" applyAlignment="1">
      <alignment horizontal="center"/>
    </xf>
    <xf numFmtId="0" fontId="28" fillId="2" borderId="5" xfId="0" applyFont="1" applyFill="1" applyBorder="1" applyAlignment="1">
      <alignment horizontal="center"/>
    </xf>
    <xf numFmtId="0" fontId="0" fillId="0" borderId="5" xfId="0" applyFont="1" applyBorder="1"/>
    <xf numFmtId="0" fontId="29" fillId="13" borderId="5" xfId="0" applyFont="1" applyFill="1" applyBorder="1" applyAlignment="1">
      <alignment horizontal="center"/>
    </xf>
    <xf numFmtId="0" fontId="29" fillId="13" borderId="5" xfId="0" applyFont="1" applyFill="1" applyBorder="1"/>
    <xf numFmtId="0" fontId="26" fillId="0" borderId="5" xfId="0" applyFont="1" applyBorder="1" applyAlignment="1">
      <alignment horizontal="center"/>
    </xf>
    <xf numFmtId="0" fontId="26" fillId="0" borderId="5" xfId="0" quotePrefix="1" applyFont="1" applyBorder="1" applyAlignment="1">
      <alignment horizontal="center"/>
    </xf>
    <xf numFmtId="0" fontId="17" fillId="0" borderId="0" xfId="0" applyFont="1" applyBorder="1" applyAlignment="1">
      <alignment horizontal="left" wrapText="1"/>
    </xf>
    <xf numFmtId="0" fontId="17" fillId="0" borderId="13" xfId="0" applyFont="1" applyBorder="1" applyAlignment="1">
      <alignment horizontal="left" wrapText="1"/>
    </xf>
    <xf numFmtId="0" fontId="17" fillId="7" borderId="0" xfId="0" applyFont="1" applyFill="1" applyBorder="1" applyAlignment="1">
      <alignment horizontal="left" vertical="top" wrapText="1"/>
    </xf>
    <xf numFmtId="0" fontId="17" fillId="7" borderId="0" xfId="0" applyFont="1" applyFill="1" applyBorder="1" applyAlignment="1">
      <alignment horizontal="left" vertical="top"/>
    </xf>
    <xf numFmtId="0" fontId="17" fillId="7" borderId="13" xfId="0" applyFont="1" applyFill="1" applyBorder="1" applyAlignment="1">
      <alignment horizontal="left" vertical="top"/>
    </xf>
    <xf numFmtId="0" fontId="17" fillId="0" borderId="0" xfId="0" applyFont="1" applyAlignment="1">
      <alignment horizontal="center"/>
    </xf>
    <xf numFmtId="0" fontId="17" fillId="8" borderId="15" xfId="0" applyFont="1" applyFill="1" applyBorder="1" applyAlignment="1">
      <alignment horizontal="left" wrapText="1"/>
    </xf>
    <xf numFmtId="0" fontId="17" fillId="8" borderId="16" xfId="0" applyFont="1" applyFill="1" applyBorder="1" applyAlignment="1">
      <alignment horizontal="left" wrapText="1"/>
    </xf>
    <xf numFmtId="0" fontId="17" fillId="9" borderId="10" xfId="0" applyFont="1" applyFill="1" applyBorder="1" applyAlignment="1">
      <alignment horizontal="left"/>
    </xf>
    <xf numFmtId="0" fontId="17" fillId="9" borderId="11" xfId="0" applyFont="1" applyFill="1" applyBorder="1" applyAlignment="1">
      <alignment horizontal="left"/>
    </xf>
    <xf numFmtId="0" fontId="20" fillId="9" borderId="0" xfId="0" applyFont="1" applyFill="1" applyBorder="1" applyAlignment="1">
      <alignment horizontal="left"/>
    </xf>
    <xf numFmtId="0" fontId="20" fillId="9" borderId="13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3" xfId="0" applyBorder="1" applyAlignment="1">
      <alignment horizontal="left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</cellXfs>
  <cellStyles count="3">
    <cellStyle name="Normal" xfId="0" builtinId="0"/>
    <cellStyle name="Normal_Accès OA" xfId="1"/>
    <cellStyle name="Normal_creatsocanael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63500</xdr:rowOff>
    </xdr:from>
    <xdr:to>
      <xdr:col>1</xdr:col>
      <xdr:colOff>628650</xdr:colOff>
      <xdr:row>3</xdr:row>
      <xdr:rowOff>12700</xdr:rowOff>
    </xdr:to>
    <xdr:pic>
      <xdr:nvPicPr>
        <xdr:cNvPr id="3" name="Image 2" descr="https://lh5.googleusercontent.com/-GpiOseqefxI/U9ZyZDwWu1I/AAAAAAAAABE/vRxtmRdug5Q/w140-h53-p/DALKIA%2520edf%2520new%2520logo.jp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63500"/>
          <a:ext cx="1314450" cy="482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H50"/>
  <sheetViews>
    <sheetView topLeftCell="A4" workbookViewId="0">
      <selection activeCell="E24" sqref="E24:G26"/>
    </sheetView>
  </sheetViews>
  <sheetFormatPr baseColWidth="10" defaultRowHeight="13" x14ac:dyDescent="0.3"/>
  <cols>
    <col min="4" max="4" width="32.54296875" bestFit="1" customWidth="1"/>
    <col min="5" max="5" width="22.36328125" customWidth="1"/>
    <col min="6" max="6" width="30.54296875" customWidth="1"/>
    <col min="7" max="7" width="10.08984375" customWidth="1"/>
  </cols>
  <sheetData>
    <row r="1" spans="1:7" ht="14" x14ac:dyDescent="0.3">
      <c r="D1" s="76"/>
      <c r="E1" s="77" t="s">
        <v>196</v>
      </c>
      <c r="F1" s="78"/>
      <c r="G1" s="79"/>
    </row>
    <row r="2" spans="1:7" ht="14" x14ac:dyDescent="0.3">
      <c r="D2" s="76"/>
      <c r="E2" s="80"/>
      <c r="F2" s="80"/>
      <c r="G2" s="80"/>
    </row>
    <row r="3" spans="1:7" ht="14" x14ac:dyDescent="0.3">
      <c r="D3" s="76"/>
      <c r="E3" s="80"/>
      <c r="F3" s="80"/>
      <c r="G3" s="80"/>
    </row>
    <row r="4" spans="1:7" ht="14" x14ac:dyDescent="0.3">
      <c r="A4" s="81" t="s">
        <v>157</v>
      </c>
      <c r="E4" s="161"/>
      <c r="F4" s="161"/>
      <c r="G4" s="161"/>
    </row>
    <row r="8" spans="1:7" ht="14.5" x14ac:dyDescent="0.35">
      <c r="A8" s="82" t="s">
        <v>158</v>
      </c>
      <c r="C8" s="83">
        <v>45660</v>
      </c>
    </row>
    <row r="9" spans="1:7" ht="15" customHeight="1" x14ac:dyDescent="0.3">
      <c r="C9" s="84"/>
    </row>
    <row r="10" spans="1:7" ht="14" x14ac:dyDescent="0.3">
      <c r="D10" s="85" t="s">
        <v>159</v>
      </c>
      <c r="E10" s="86" t="s">
        <v>160</v>
      </c>
      <c r="F10" s="87"/>
      <c r="G10" s="88"/>
    </row>
    <row r="11" spans="1:7" ht="14" x14ac:dyDescent="0.3">
      <c r="D11" s="89" t="s">
        <v>161</v>
      </c>
      <c r="E11" s="90" t="s">
        <v>253</v>
      </c>
      <c r="F11" s="10"/>
      <c r="G11" s="91"/>
    </row>
    <row r="12" spans="1:7" ht="15" customHeight="1" x14ac:dyDescent="0.3">
      <c r="D12" s="89" t="s">
        <v>162</v>
      </c>
      <c r="E12" s="158" t="s">
        <v>242</v>
      </c>
      <c r="F12" s="159"/>
      <c r="G12" s="160"/>
    </row>
    <row r="13" spans="1:7" ht="13.75" customHeight="1" x14ac:dyDescent="0.3">
      <c r="D13" s="92"/>
      <c r="E13" s="162" t="s">
        <v>243</v>
      </c>
      <c r="F13" s="162"/>
      <c r="G13" s="163"/>
    </row>
    <row r="14" spans="1:7" x14ac:dyDescent="0.3">
      <c r="D14" s="10"/>
      <c r="E14" s="10"/>
      <c r="F14" s="10"/>
      <c r="G14" s="10"/>
    </row>
    <row r="16" spans="1:7" ht="14" x14ac:dyDescent="0.3">
      <c r="A16" s="81" t="s">
        <v>11</v>
      </c>
      <c r="D16" s="93" t="s">
        <v>163</v>
      </c>
      <c r="E16" s="164" t="s">
        <v>254</v>
      </c>
      <c r="F16" s="164"/>
      <c r="G16" s="165"/>
    </row>
    <row r="17" spans="1:7" ht="14" x14ac:dyDescent="0.3">
      <c r="A17" s="81"/>
      <c r="D17" s="94" t="s">
        <v>164</v>
      </c>
      <c r="E17" s="126" t="s">
        <v>244</v>
      </c>
      <c r="F17" s="126"/>
      <c r="G17" s="126"/>
    </row>
    <row r="18" spans="1:7" ht="15" customHeight="1" x14ac:dyDescent="0.3">
      <c r="A18" s="81"/>
      <c r="D18" s="94"/>
      <c r="E18" s="126" t="s">
        <v>245</v>
      </c>
      <c r="F18" s="126"/>
      <c r="G18" s="126"/>
    </row>
    <row r="19" spans="1:7" ht="14" x14ac:dyDescent="0.3">
      <c r="A19" s="81"/>
      <c r="D19" s="94"/>
      <c r="E19" s="166" t="s">
        <v>213</v>
      </c>
      <c r="F19" s="166"/>
      <c r="G19" s="167"/>
    </row>
    <row r="20" spans="1:7" ht="14" x14ac:dyDescent="0.3">
      <c r="D20" s="95" t="s">
        <v>246</v>
      </c>
      <c r="E20" s="96"/>
      <c r="F20" s="97"/>
      <c r="G20" s="98"/>
    </row>
    <row r="21" spans="1:7" ht="13.75" customHeight="1" x14ac:dyDescent="0.3"/>
    <row r="22" spans="1:7" ht="13.75" customHeight="1" x14ac:dyDescent="0.3">
      <c r="D22" s="85" t="s">
        <v>165</v>
      </c>
      <c r="E22" s="99" t="s">
        <v>214</v>
      </c>
      <c r="F22" s="87"/>
      <c r="G22" s="88"/>
    </row>
    <row r="23" spans="1:7" ht="14" customHeight="1" x14ac:dyDescent="0.3">
      <c r="D23" s="89" t="s">
        <v>166</v>
      </c>
      <c r="E23" s="156" t="s">
        <v>247</v>
      </c>
      <c r="F23" s="156"/>
      <c r="G23" s="157"/>
    </row>
    <row r="24" spans="1:7" ht="14" x14ac:dyDescent="0.3">
      <c r="D24" s="100" t="s">
        <v>167</v>
      </c>
      <c r="E24" s="156" t="s">
        <v>215</v>
      </c>
      <c r="F24" s="156"/>
      <c r="G24" s="157"/>
    </row>
    <row r="25" spans="1:7" ht="14" x14ac:dyDescent="0.3">
      <c r="D25" s="89" t="s">
        <v>168</v>
      </c>
      <c r="E25" s="90" t="s">
        <v>255</v>
      </c>
      <c r="F25" s="10"/>
      <c r="G25" s="91"/>
    </row>
    <row r="26" spans="1:7" ht="14" x14ac:dyDescent="0.3">
      <c r="D26" s="89" t="s">
        <v>169</v>
      </c>
      <c r="E26" s="90" t="s">
        <v>256</v>
      </c>
      <c r="F26" s="10"/>
      <c r="G26" s="91"/>
    </row>
    <row r="27" spans="1:7" ht="14" x14ac:dyDescent="0.3">
      <c r="D27" s="101" t="s">
        <v>170</v>
      </c>
      <c r="E27" s="102"/>
      <c r="F27" s="102"/>
      <c r="G27" s="103" t="s">
        <v>111</v>
      </c>
    </row>
    <row r="29" spans="1:7" ht="14" x14ac:dyDescent="0.3">
      <c r="D29" s="101" t="s">
        <v>171</v>
      </c>
      <c r="E29" s="102"/>
      <c r="F29" s="102"/>
      <c r="G29" s="103" t="s">
        <v>82</v>
      </c>
    </row>
    <row r="31" spans="1:7" ht="14" x14ac:dyDescent="0.3">
      <c r="D31" s="85" t="s">
        <v>172</v>
      </c>
      <c r="E31" s="87"/>
      <c r="F31" s="104"/>
      <c r="G31" s="105">
        <v>513599</v>
      </c>
    </row>
    <row r="32" spans="1:7" ht="14" x14ac:dyDescent="0.3">
      <c r="D32" s="92" t="s">
        <v>173</v>
      </c>
      <c r="E32" s="106"/>
      <c r="F32" s="106"/>
      <c r="G32" s="107" t="s">
        <v>111</v>
      </c>
    </row>
    <row r="33" spans="1:8" x14ac:dyDescent="0.3">
      <c r="D33" s="10"/>
      <c r="E33" s="10"/>
      <c r="F33" s="10"/>
    </row>
    <row r="34" spans="1:8" ht="14.5" x14ac:dyDescent="0.35">
      <c r="A34" s="82"/>
      <c r="B34" s="10"/>
      <c r="D34" s="36"/>
    </row>
    <row r="35" spans="1:8" ht="14" x14ac:dyDescent="0.3">
      <c r="A35" s="81" t="s">
        <v>174</v>
      </c>
      <c r="D35" s="85" t="s">
        <v>175</v>
      </c>
      <c r="E35" s="87"/>
      <c r="F35" s="87"/>
      <c r="G35" s="103" t="s">
        <v>82</v>
      </c>
    </row>
    <row r="36" spans="1:8" ht="14" x14ac:dyDescent="0.3">
      <c r="A36" s="81"/>
      <c r="D36" s="92" t="s">
        <v>176</v>
      </c>
      <c r="E36" s="106"/>
      <c r="F36" s="106"/>
      <c r="G36" s="108"/>
    </row>
    <row r="37" spans="1:8" ht="14" x14ac:dyDescent="0.3">
      <c r="D37" s="92" t="s">
        <v>177</v>
      </c>
      <c r="E37" s="106"/>
      <c r="F37" s="109"/>
      <c r="G37" s="110"/>
    </row>
    <row r="40" spans="1:8" ht="14" x14ac:dyDescent="0.3">
      <c r="A40" s="111" t="s">
        <v>178</v>
      </c>
      <c r="B40" s="112"/>
      <c r="C40" s="112"/>
      <c r="D40" s="112"/>
      <c r="E40" s="113" t="s">
        <v>179</v>
      </c>
      <c r="F40" s="114"/>
      <c r="G40" s="115"/>
      <c r="H40" s="112"/>
    </row>
    <row r="41" spans="1:8" ht="14" x14ac:dyDescent="0.3">
      <c r="A41" s="111"/>
      <c r="B41" s="112"/>
      <c r="C41" s="112"/>
      <c r="D41" s="112"/>
      <c r="E41" s="113" t="s">
        <v>180</v>
      </c>
      <c r="F41" s="114"/>
      <c r="G41" s="115"/>
      <c r="H41" s="112"/>
    </row>
    <row r="42" spans="1:8" ht="14.5" x14ac:dyDescent="0.35">
      <c r="A42" s="82" t="s">
        <v>181</v>
      </c>
      <c r="B42" s="10"/>
      <c r="D42" s="36"/>
      <c r="E42" s="113" t="s">
        <v>182</v>
      </c>
      <c r="F42" s="116"/>
      <c r="G42" s="117"/>
    </row>
    <row r="43" spans="1:8" ht="14" x14ac:dyDescent="0.3">
      <c r="D43" s="36"/>
      <c r="E43" s="113" t="s">
        <v>183</v>
      </c>
      <c r="F43" s="116"/>
      <c r="G43" s="117"/>
    </row>
    <row r="44" spans="1:8" ht="14" x14ac:dyDescent="0.3">
      <c r="D44" s="36"/>
      <c r="E44" s="113" t="s">
        <v>184</v>
      </c>
      <c r="F44" s="116"/>
      <c r="G44" s="117"/>
    </row>
    <row r="45" spans="1:8" ht="14" x14ac:dyDescent="0.3">
      <c r="D45" s="36"/>
      <c r="E45" s="138" t="s">
        <v>185</v>
      </c>
      <c r="F45" s="139"/>
      <c r="G45" s="140"/>
    </row>
    <row r="47" spans="1:8" ht="14" x14ac:dyDescent="0.3">
      <c r="E47" s="118"/>
      <c r="F47" s="118"/>
      <c r="G47" s="118"/>
    </row>
    <row r="48" spans="1:8" x14ac:dyDescent="0.3">
      <c r="F48" s="119"/>
    </row>
    <row r="49" spans="1:7" ht="14" x14ac:dyDescent="0.3">
      <c r="A49" s="81" t="s">
        <v>186</v>
      </c>
    </row>
    <row r="50" spans="1:7" ht="14.5" x14ac:dyDescent="0.35">
      <c r="A50" s="82" t="s">
        <v>181</v>
      </c>
      <c r="E50" s="122" t="s">
        <v>187</v>
      </c>
      <c r="F50" s="116" t="s">
        <v>188</v>
      </c>
      <c r="G50" s="117"/>
    </row>
  </sheetData>
  <mergeCells count="7">
    <mergeCell ref="E24:G24"/>
    <mergeCell ref="E23:G23"/>
    <mergeCell ref="E12:G12"/>
    <mergeCell ref="E4:G4"/>
    <mergeCell ref="E13:G13"/>
    <mergeCell ref="E16:G16"/>
    <mergeCell ref="E19:G19"/>
  </mergeCells>
  <pageMargins left="0.11811023622047245" right="0.11811023622047245" top="0.15748031496062992" bottom="0.35433070866141736" header="0.31496062992125984" footer="0.11811023622047245"/>
  <pageSetup paperSize="9" scale="7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FF00"/>
    <pageSetUpPr fitToPage="1"/>
  </sheetPr>
  <dimension ref="A1:K63"/>
  <sheetViews>
    <sheetView tabSelected="1" topLeftCell="D1" workbookViewId="0">
      <selection activeCell="H28" sqref="H28"/>
    </sheetView>
  </sheetViews>
  <sheetFormatPr baseColWidth="10" defaultRowHeight="15" customHeight="1" x14ac:dyDescent="0.3"/>
  <cols>
    <col min="1" max="1" width="6.08984375" customWidth="1"/>
    <col min="8" max="8" width="57.90625" style="6" bestFit="1" customWidth="1"/>
    <col min="9" max="9" width="36.7265625" style="20" bestFit="1" customWidth="1"/>
  </cols>
  <sheetData>
    <row r="1" spans="1:9" ht="15" customHeight="1" x14ac:dyDescent="0.35">
      <c r="A1" s="168" t="s">
        <v>0</v>
      </c>
      <c r="B1" s="168"/>
      <c r="C1" s="168"/>
      <c r="D1" s="168"/>
      <c r="E1" s="168"/>
      <c r="F1" s="168"/>
      <c r="G1" s="168"/>
      <c r="H1" s="168"/>
      <c r="I1" s="18"/>
    </row>
    <row r="2" spans="1:9" s="3" customFormat="1" ht="27.75" customHeight="1" x14ac:dyDescent="0.3">
      <c r="B2" s="3" t="s">
        <v>72</v>
      </c>
      <c r="H2" s="67"/>
      <c r="I2" s="17"/>
    </row>
    <row r="3" spans="1:9" s="3" customFormat="1" ht="27.75" customHeight="1" x14ac:dyDescent="0.3">
      <c r="B3" s="170" t="s">
        <v>73</v>
      </c>
      <c r="C3" s="170"/>
      <c r="D3" s="170"/>
      <c r="E3" s="170"/>
      <c r="F3" s="170"/>
      <c r="G3" s="170"/>
      <c r="H3" s="67"/>
      <c r="I3" s="17"/>
    </row>
    <row r="4" spans="1:9" s="26" customFormat="1" ht="15" customHeight="1" x14ac:dyDescent="0.35">
      <c r="A4" s="25"/>
      <c r="B4" s="169" t="s">
        <v>67</v>
      </c>
      <c r="C4" s="169"/>
      <c r="D4" s="169"/>
      <c r="E4" s="169"/>
      <c r="F4" s="169"/>
      <c r="G4" s="169"/>
      <c r="H4" s="169"/>
      <c r="I4" s="17"/>
    </row>
    <row r="5" spans="1:9" s="3" customFormat="1" ht="15" customHeight="1" thickBot="1" x14ac:dyDescent="0.35">
      <c r="A5" s="2" t="s">
        <v>71</v>
      </c>
      <c r="H5" s="67"/>
      <c r="I5" s="128" t="s">
        <v>211</v>
      </c>
    </row>
    <row r="6" spans="1:9" ht="15" customHeight="1" thickBot="1" x14ac:dyDescent="0.35">
      <c r="B6" t="s">
        <v>1</v>
      </c>
      <c r="F6" s="57"/>
      <c r="G6" s="57"/>
      <c r="H6" s="38" t="s">
        <v>249</v>
      </c>
      <c r="I6" s="128" t="str">
        <f>raison</f>
        <v>DK 48</v>
      </c>
    </row>
    <row r="7" spans="1:9" ht="15" customHeight="1" thickBot="1" x14ac:dyDescent="0.35">
      <c r="B7" t="s">
        <v>97</v>
      </c>
      <c r="D7" s="1"/>
      <c r="E7" s="1"/>
      <c r="G7" s="1"/>
      <c r="H7" s="38" t="str">
        <f>raison</f>
        <v>DK 48</v>
      </c>
      <c r="I7" s="17"/>
    </row>
    <row r="8" spans="1:9" ht="15" customHeight="1" thickBot="1" x14ac:dyDescent="0.35">
      <c r="B8" t="s">
        <v>2</v>
      </c>
      <c r="D8" s="1"/>
      <c r="E8" s="1"/>
      <c r="F8" s="57"/>
      <c r="G8" s="57"/>
      <c r="H8" s="38" t="s">
        <v>209</v>
      </c>
      <c r="I8"/>
    </row>
    <row r="9" spans="1:9" ht="15" customHeight="1" thickBot="1" x14ac:dyDescent="0.35">
      <c r="B9" t="s">
        <v>29</v>
      </c>
      <c r="D9" s="1"/>
      <c r="E9" s="1"/>
      <c r="G9" s="1"/>
      <c r="H9" s="51" t="s">
        <v>206</v>
      </c>
      <c r="I9"/>
    </row>
    <row r="10" spans="1:9" ht="15" customHeight="1" thickBot="1" x14ac:dyDescent="0.35">
      <c r="B10" t="s">
        <v>24</v>
      </c>
      <c r="D10" s="1"/>
      <c r="E10" s="1"/>
      <c r="G10" s="1"/>
      <c r="H10" s="38" t="s">
        <v>207</v>
      </c>
      <c r="I10"/>
    </row>
    <row r="11" spans="1:9" ht="15" customHeight="1" thickBot="1" x14ac:dyDescent="0.35">
      <c r="B11" t="s">
        <v>8</v>
      </c>
      <c r="D11" s="1"/>
      <c r="E11" s="1"/>
      <c r="F11" s="1"/>
      <c r="G11" s="1"/>
      <c r="H11" s="52" t="s">
        <v>121</v>
      </c>
      <c r="I11"/>
    </row>
    <row r="12" spans="1:9" ht="15" customHeight="1" thickBot="1" x14ac:dyDescent="0.35">
      <c r="B12" t="s">
        <v>28</v>
      </c>
      <c r="D12" s="1"/>
      <c r="E12" s="1"/>
      <c r="F12" s="1"/>
      <c r="G12" s="1"/>
      <c r="H12" s="38" t="s">
        <v>208</v>
      </c>
      <c r="I12"/>
    </row>
    <row r="13" spans="1:9" ht="15" customHeight="1" thickBot="1" x14ac:dyDescent="0.35">
      <c r="B13" t="s">
        <v>7</v>
      </c>
      <c r="D13" s="1"/>
      <c r="E13" s="1"/>
      <c r="F13" s="1"/>
      <c r="G13" s="1"/>
      <c r="H13" s="53">
        <v>37000</v>
      </c>
      <c r="I13"/>
    </row>
    <row r="14" spans="1:9" ht="15" customHeight="1" thickBot="1" x14ac:dyDescent="0.35">
      <c r="B14" t="s">
        <v>69</v>
      </c>
      <c r="D14" s="1"/>
      <c r="E14" s="1"/>
      <c r="F14" s="1"/>
      <c r="G14" s="1"/>
      <c r="H14" s="142" t="s">
        <v>251</v>
      </c>
      <c r="I14"/>
    </row>
    <row r="15" spans="1:9" ht="15" customHeight="1" thickBot="1" x14ac:dyDescent="0.35">
      <c r="B15" t="s">
        <v>70</v>
      </c>
      <c r="D15" s="1"/>
      <c r="E15" s="1"/>
      <c r="F15" s="1"/>
      <c r="G15" s="1"/>
      <c r="H15" s="143" t="s">
        <v>252</v>
      </c>
      <c r="I15"/>
    </row>
    <row r="16" spans="1:9" ht="15" customHeight="1" thickBot="1" x14ac:dyDescent="0.35">
      <c r="B16" s="1" t="s">
        <v>77</v>
      </c>
      <c r="D16" s="1"/>
      <c r="E16" s="1"/>
      <c r="F16" s="1"/>
      <c r="G16" s="1"/>
      <c r="H16" s="54"/>
      <c r="I16"/>
    </row>
    <row r="17" spans="1:10" ht="15" customHeight="1" thickBot="1" x14ac:dyDescent="0.35">
      <c r="B17" t="s">
        <v>80</v>
      </c>
      <c r="D17" s="1"/>
      <c r="E17" s="1"/>
      <c r="F17" s="1"/>
      <c r="G17" s="1"/>
      <c r="H17" s="47" t="s">
        <v>199</v>
      </c>
      <c r="I17"/>
    </row>
    <row r="18" spans="1:10" ht="15" customHeight="1" thickBot="1" x14ac:dyDescent="0.35">
      <c r="B18" t="s">
        <v>79</v>
      </c>
      <c r="D18" s="1"/>
      <c r="E18" s="1"/>
      <c r="F18" s="1"/>
      <c r="G18" s="1"/>
      <c r="H18" s="54" t="s">
        <v>200</v>
      </c>
      <c r="I18"/>
    </row>
    <row r="19" spans="1:10" ht="15" customHeight="1" thickBot="1" x14ac:dyDescent="0.35">
      <c r="B19" t="s">
        <v>78</v>
      </c>
      <c r="D19" s="1"/>
      <c r="E19" s="1"/>
      <c r="F19" s="1"/>
      <c r="G19" s="1"/>
      <c r="H19" s="54" t="s">
        <v>210</v>
      </c>
      <c r="I19"/>
    </row>
    <row r="20" spans="1:10" ht="15" customHeight="1" thickBot="1" x14ac:dyDescent="0.35">
      <c r="B20" t="s">
        <v>81</v>
      </c>
      <c r="D20" s="1"/>
      <c r="E20" s="1"/>
      <c r="F20" s="1"/>
      <c r="G20" s="1"/>
      <c r="H20" s="55">
        <v>92400</v>
      </c>
      <c r="I20"/>
    </row>
    <row r="21" spans="1:10" ht="24" customHeight="1" thickBot="1" x14ac:dyDescent="0.35">
      <c r="B21" s="1" t="s">
        <v>6</v>
      </c>
      <c r="D21" s="1"/>
      <c r="E21" s="68"/>
      <c r="F21" s="37"/>
      <c r="G21" s="1"/>
      <c r="H21" s="123" t="s">
        <v>248</v>
      </c>
      <c r="I21"/>
    </row>
    <row r="22" spans="1:10" s="3" customFormat="1" ht="28.5" customHeight="1" thickBot="1" x14ac:dyDescent="0.35">
      <c r="B22" s="2" t="s">
        <v>198</v>
      </c>
      <c r="E22" s="11"/>
      <c r="F22" s="67"/>
      <c r="H22" s="39" t="s">
        <v>250</v>
      </c>
      <c r="I22"/>
      <c r="J22"/>
    </row>
    <row r="23" spans="1:10" s="3" customFormat="1" ht="28.5" customHeight="1" thickBot="1" x14ac:dyDescent="0.35">
      <c r="E23" s="2" t="s">
        <v>20</v>
      </c>
      <c r="F23" s="67"/>
      <c r="H23" s="69"/>
      <c r="I23"/>
      <c r="J23"/>
    </row>
    <row r="24" spans="1:10" s="3" customFormat="1" ht="15" customHeight="1" thickBot="1" x14ac:dyDescent="0.35">
      <c r="B24" s="2" t="s">
        <v>37</v>
      </c>
      <c r="E24" s="11"/>
      <c r="F24" s="67"/>
      <c r="H24" s="56" t="s">
        <v>82</v>
      </c>
      <c r="I24"/>
      <c r="J24"/>
    </row>
    <row r="25" spans="1:10" s="3" customFormat="1" ht="15" customHeight="1" x14ac:dyDescent="0.3">
      <c r="B25" s="2"/>
      <c r="E25" s="11"/>
      <c r="F25" s="67"/>
      <c r="H25" s="70"/>
      <c r="I25"/>
      <c r="J25"/>
    </row>
    <row r="26" spans="1:10" s="4" customFormat="1" ht="28.5" customHeight="1" thickBot="1" x14ac:dyDescent="0.35">
      <c r="A26" s="173" t="s">
        <v>53</v>
      </c>
      <c r="B26" s="173"/>
      <c r="C26" s="173"/>
      <c r="D26" s="173"/>
      <c r="E26" s="173"/>
      <c r="F26" s="173"/>
      <c r="G26" s="173"/>
      <c r="H26" s="173"/>
      <c r="I26"/>
      <c r="J26"/>
    </row>
    <row r="27" spans="1:10" s="4" customFormat="1" ht="15" customHeight="1" thickBot="1" x14ac:dyDescent="0.35">
      <c r="A27" s="5"/>
      <c r="B27" t="s">
        <v>18</v>
      </c>
      <c r="H27" s="71">
        <v>45658</v>
      </c>
      <c r="I27"/>
      <c r="J27"/>
    </row>
    <row r="28" spans="1:10" ht="15" customHeight="1" thickBot="1" x14ac:dyDescent="0.35">
      <c r="A28" s="174" t="s">
        <v>54</v>
      </c>
      <c r="B28" t="s">
        <v>55</v>
      </c>
      <c r="H28" s="72"/>
      <c r="I28"/>
    </row>
    <row r="29" spans="1:10" ht="15" customHeight="1" thickBot="1" x14ac:dyDescent="0.35">
      <c r="A29" s="174"/>
      <c r="B29" t="s">
        <v>56</v>
      </c>
      <c r="H29" s="72">
        <v>46022</v>
      </c>
      <c r="I29"/>
    </row>
    <row r="30" spans="1:10" ht="29.25" customHeight="1" thickBot="1" x14ac:dyDescent="0.35">
      <c r="B30" s="2" t="s">
        <v>10</v>
      </c>
      <c r="H30" s="57"/>
    </row>
    <row r="31" spans="1:10" ht="15" customHeight="1" thickBot="1" x14ac:dyDescent="0.35">
      <c r="B31" t="s">
        <v>38</v>
      </c>
      <c r="F31" s="10"/>
      <c r="H31" s="38" t="s">
        <v>151</v>
      </c>
    </row>
    <row r="32" spans="1:10" ht="15" customHeight="1" thickBot="1" x14ac:dyDescent="0.35">
      <c r="B32" t="s">
        <v>91</v>
      </c>
      <c r="F32" s="10"/>
      <c r="H32" s="38" t="s">
        <v>82</v>
      </c>
      <c r="I32" s="73"/>
    </row>
    <row r="33" spans="2:9" ht="15" customHeight="1" thickBot="1" x14ac:dyDescent="0.35">
      <c r="B33" t="s">
        <v>3</v>
      </c>
      <c r="H33" s="56" t="s">
        <v>151</v>
      </c>
      <c r="I33" s="74"/>
    </row>
    <row r="34" spans="2:9" ht="13.5" thickBot="1" x14ac:dyDescent="0.35">
      <c r="B34" s="129" t="s">
        <v>195</v>
      </c>
      <c r="C34" s="130"/>
      <c r="D34" s="130"/>
      <c r="E34" s="130"/>
      <c r="F34" s="131"/>
      <c r="G34" s="130"/>
      <c r="H34" s="39" t="s">
        <v>82</v>
      </c>
      <c r="I34" s="74"/>
    </row>
    <row r="35" spans="2:9" ht="13.5" thickBot="1" x14ac:dyDescent="0.35">
      <c r="B35" s="3" t="s">
        <v>120</v>
      </c>
      <c r="C35" s="3"/>
      <c r="D35" s="3"/>
      <c r="E35" s="3"/>
      <c r="F35" s="11"/>
      <c r="G35" s="3"/>
      <c r="H35" s="56" t="s">
        <v>122</v>
      </c>
    </row>
    <row r="36" spans="2:9" ht="15" customHeight="1" thickBot="1" x14ac:dyDescent="0.35">
      <c r="B36" t="s">
        <v>4</v>
      </c>
      <c r="F36" s="10"/>
      <c r="H36" s="56" t="s">
        <v>122</v>
      </c>
    </row>
    <row r="37" spans="2:9" ht="15" customHeight="1" thickBot="1" x14ac:dyDescent="0.35">
      <c r="B37" t="s">
        <v>5</v>
      </c>
      <c r="H37" s="38" t="s">
        <v>122</v>
      </c>
    </row>
    <row r="38" spans="2:9" ht="15" customHeight="1" thickBot="1" x14ac:dyDescent="0.35">
      <c r="B38" s="31" t="s">
        <v>139</v>
      </c>
      <c r="H38" s="38" t="s">
        <v>122</v>
      </c>
    </row>
    <row r="39" spans="2:9" ht="15" customHeight="1" thickBot="1" x14ac:dyDescent="0.35">
      <c r="B39" t="s">
        <v>9</v>
      </c>
      <c r="H39" s="38" t="s">
        <v>122</v>
      </c>
    </row>
    <row r="40" spans="2:9" ht="15" customHeight="1" thickBot="1" x14ac:dyDescent="0.35">
      <c r="B40" t="s">
        <v>16</v>
      </c>
      <c r="H40" s="38" t="s">
        <v>82</v>
      </c>
      <c r="I40" s="20" t="s">
        <v>153</v>
      </c>
    </row>
    <row r="41" spans="2:9" ht="26.5" thickBot="1" x14ac:dyDescent="0.35">
      <c r="B41" s="31" t="s">
        <v>152</v>
      </c>
      <c r="H41" s="136" t="str">
        <f>'Nouveau référentiel R12'!K3</f>
        <v>GK1478791V</v>
      </c>
      <c r="I41" s="43" t="s">
        <v>149</v>
      </c>
    </row>
    <row r="42" spans="2:9" ht="15" customHeight="1" thickBot="1" x14ac:dyDescent="0.35">
      <c r="B42" t="s">
        <v>39</v>
      </c>
      <c r="H42" s="57" t="s">
        <v>122</v>
      </c>
    </row>
    <row r="43" spans="2:9" ht="15" customHeight="1" thickBot="1" x14ac:dyDescent="0.35">
      <c r="B43" t="s">
        <v>19</v>
      </c>
      <c r="H43" s="58"/>
      <c r="I43" s="31"/>
    </row>
    <row r="44" spans="2:9" ht="13.5" customHeight="1" thickBot="1" x14ac:dyDescent="0.35">
      <c r="C44" s="3" t="s">
        <v>17</v>
      </c>
      <c r="D44" s="3"/>
      <c r="E44" s="3"/>
      <c r="F44" s="3"/>
      <c r="G44" s="3"/>
      <c r="H44" s="38"/>
      <c r="I44" s="75"/>
    </row>
    <row r="45" spans="2:9" ht="13.5" customHeight="1" thickBot="1" x14ac:dyDescent="0.35">
      <c r="B45" t="s">
        <v>88</v>
      </c>
      <c r="C45" s="3"/>
      <c r="D45" s="3"/>
      <c r="E45" s="3"/>
      <c r="F45" s="3"/>
      <c r="G45" s="3"/>
      <c r="H45" s="38" t="s">
        <v>122</v>
      </c>
      <c r="I45" s="46"/>
    </row>
    <row r="46" spans="2:9" ht="30" customHeight="1" thickBot="1" x14ac:dyDescent="0.35">
      <c r="B46" s="175" t="s">
        <v>75</v>
      </c>
      <c r="C46" s="175"/>
      <c r="D46" s="175"/>
      <c r="E46" s="175"/>
      <c r="F46" s="175"/>
      <c r="G46" s="176"/>
      <c r="H46" s="38" t="s">
        <v>122</v>
      </c>
    </row>
    <row r="47" spans="2:9" ht="32.25" customHeight="1" thickBot="1" x14ac:dyDescent="0.35">
      <c r="B47" s="171" t="s">
        <v>119</v>
      </c>
      <c r="C47" s="171"/>
      <c r="D47" s="171"/>
      <c r="E47" s="171"/>
      <c r="F47" s="171"/>
      <c r="G47" s="172"/>
      <c r="H47" s="38" t="s">
        <v>122</v>
      </c>
    </row>
    <row r="48" spans="2:9" ht="15" customHeight="1" thickBot="1" x14ac:dyDescent="0.35">
      <c r="B48" t="s">
        <v>21</v>
      </c>
      <c r="H48" s="38" t="s">
        <v>122</v>
      </c>
    </row>
    <row r="49" spans="1:11" ht="15" customHeight="1" thickBot="1" x14ac:dyDescent="0.35">
      <c r="B49" t="s">
        <v>32</v>
      </c>
      <c r="H49" s="38" t="s">
        <v>257</v>
      </c>
    </row>
    <row r="50" spans="1:11" ht="15" customHeight="1" thickBot="1" x14ac:dyDescent="0.35">
      <c r="B50" t="s">
        <v>68</v>
      </c>
      <c r="F50" t="s">
        <v>33</v>
      </c>
      <c r="H50" s="59">
        <v>30003</v>
      </c>
    </row>
    <row r="51" spans="1:11" ht="15" customHeight="1" thickBot="1" x14ac:dyDescent="0.35">
      <c r="F51" t="s">
        <v>34</v>
      </c>
      <c r="H51" s="40" t="s">
        <v>216</v>
      </c>
    </row>
    <row r="52" spans="1:11" ht="15" customHeight="1" thickBot="1" x14ac:dyDescent="0.35">
      <c r="F52" t="s">
        <v>35</v>
      </c>
      <c r="H52" s="41" t="s">
        <v>258</v>
      </c>
    </row>
    <row r="53" spans="1:11" ht="15" customHeight="1" thickBot="1" x14ac:dyDescent="0.35">
      <c r="F53" t="s">
        <v>36</v>
      </c>
      <c r="H53" s="141" t="s">
        <v>259</v>
      </c>
      <c r="I53" s="31"/>
    </row>
    <row r="54" spans="1:11" ht="15" customHeight="1" thickBot="1" x14ac:dyDescent="0.35">
      <c r="B54" t="s">
        <v>44</v>
      </c>
      <c r="H54" s="38" t="s">
        <v>122</v>
      </c>
      <c r="I54" s="44"/>
    </row>
    <row r="55" spans="1:11" ht="15" customHeight="1" thickBot="1" x14ac:dyDescent="0.35">
      <c r="B55" t="s">
        <v>45</v>
      </c>
      <c r="H55" s="42" t="s">
        <v>122</v>
      </c>
      <c r="I55" s="44"/>
    </row>
    <row r="56" spans="1:11" ht="15" customHeight="1" x14ac:dyDescent="0.3">
      <c r="H56" s="67"/>
    </row>
    <row r="57" spans="1:11" s="3" customFormat="1" ht="14.25" customHeight="1" x14ac:dyDescent="0.3">
      <c r="A57" s="3" t="s">
        <v>30</v>
      </c>
      <c r="D57" s="30">
        <v>45679</v>
      </c>
      <c r="E57" s="21"/>
      <c r="H57" s="37"/>
      <c r="I57" s="19"/>
    </row>
    <row r="58" spans="1:11" ht="15" customHeight="1" x14ac:dyDescent="0.3">
      <c r="A58" t="s">
        <v>31</v>
      </c>
      <c r="H58" s="145" t="s">
        <v>215</v>
      </c>
      <c r="I58" s="19"/>
      <c r="J58" s="3"/>
      <c r="K58" s="3"/>
    </row>
    <row r="59" spans="1:11" ht="15" customHeight="1" x14ac:dyDescent="0.3">
      <c r="D59" s="31" t="s">
        <v>125</v>
      </c>
      <c r="H59" s="127" t="s">
        <v>255</v>
      </c>
      <c r="I59" s="19"/>
      <c r="J59" s="3"/>
      <c r="K59" s="3"/>
    </row>
    <row r="60" spans="1:11" ht="15" customHeight="1" x14ac:dyDescent="0.3">
      <c r="D60" s="31"/>
      <c r="H60" s="127" t="s">
        <v>256</v>
      </c>
      <c r="I60" s="19"/>
      <c r="J60" s="3"/>
      <c r="K60" s="3"/>
    </row>
    <row r="61" spans="1:11" ht="15" customHeight="1" x14ac:dyDescent="0.3">
      <c r="H61" s="37"/>
      <c r="I61" s="19"/>
      <c r="J61" s="3"/>
      <c r="K61" s="3"/>
    </row>
    <row r="62" spans="1:11" ht="15" customHeight="1" x14ac:dyDescent="0.3">
      <c r="H62" s="37"/>
      <c r="I62" s="19"/>
      <c r="J62" s="3"/>
      <c r="K62" s="3"/>
    </row>
    <row r="63" spans="1:11" ht="15" customHeight="1" x14ac:dyDescent="0.3">
      <c r="I63" s="19"/>
      <c r="J63" s="3"/>
      <c r="K63" s="3"/>
    </row>
  </sheetData>
  <mergeCells count="7">
    <mergeCell ref="A1:H1"/>
    <mergeCell ref="B4:H4"/>
    <mergeCell ref="B3:G3"/>
    <mergeCell ref="B47:G47"/>
    <mergeCell ref="A26:H26"/>
    <mergeCell ref="A28:A29"/>
    <mergeCell ref="B46:G46"/>
  </mergeCells>
  <phoneticPr fontId="0" type="noConversion"/>
  <pageMargins left="0" right="0" top="0" bottom="0" header="0" footer="0"/>
  <pageSetup paperSize="9" scale="62" orientation="portrait" horizontalDpi="180" verticalDpi="4294967292" r:id="rId1"/>
  <headerFooter alignWithMargins="0">
    <oddFooter xml:space="preserve">&amp;C&amp;F/&amp;A&amp;Rversion du 07/04/2005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Q22"/>
  <sheetViews>
    <sheetView workbookViewId="0">
      <selection activeCell="C8" sqref="C8"/>
    </sheetView>
  </sheetViews>
  <sheetFormatPr baseColWidth="10" defaultRowHeight="13" x14ac:dyDescent="0.3"/>
  <cols>
    <col min="1" max="1" width="15.453125" customWidth="1"/>
    <col min="2" max="2" width="12.453125" bestFit="1" customWidth="1"/>
    <col min="3" max="3" width="16.81640625" bestFit="1" customWidth="1"/>
    <col min="4" max="4" width="14.54296875" bestFit="1" customWidth="1"/>
    <col min="5" max="5" width="23.1796875" bestFit="1" customWidth="1"/>
    <col min="6" max="6" width="19.90625" bestFit="1" customWidth="1"/>
    <col min="7" max="7" width="25.36328125" bestFit="1" customWidth="1"/>
    <col min="8" max="8" width="17.453125" bestFit="1" customWidth="1"/>
    <col min="9" max="9" width="9.54296875" bestFit="1" customWidth="1"/>
    <col min="10" max="10" width="37.90625" bestFit="1" customWidth="1"/>
    <col min="11" max="11" width="18.54296875" bestFit="1" customWidth="1"/>
    <col min="12" max="12" width="19.54296875" bestFit="1" customWidth="1"/>
    <col min="13" max="13" width="20" bestFit="1" customWidth="1"/>
    <col min="14" max="14" width="3.26953125" bestFit="1" customWidth="1"/>
  </cols>
  <sheetData>
    <row r="1" spans="1:13" x14ac:dyDescent="0.3">
      <c r="A1" s="31" t="s">
        <v>212</v>
      </c>
    </row>
    <row r="2" spans="1:13" x14ac:dyDescent="0.3">
      <c r="A2" s="50" t="s">
        <v>140</v>
      </c>
      <c r="B2" s="50" t="s">
        <v>141</v>
      </c>
      <c r="C2" s="50" t="s">
        <v>142</v>
      </c>
      <c r="D2" s="50" t="s">
        <v>143</v>
      </c>
      <c r="E2" s="50" t="s">
        <v>144</v>
      </c>
      <c r="F2" s="50" t="s">
        <v>189</v>
      </c>
      <c r="G2" s="50" t="s">
        <v>190</v>
      </c>
      <c r="H2" s="50" t="s">
        <v>145</v>
      </c>
      <c r="I2" s="50" t="s">
        <v>146</v>
      </c>
      <c r="J2" s="50" t="s">
        <v>147</v>
      </c>
      <c r="K2" s="62" t="s">
        <v>148</v>
      </c>
      <c r="L2" s="62" t="s">
        <v>191</v>
      </c>
      <c r="M2" s="62" t="s">
        <v>192</v>
      </c>
    </row>
    <row r="3" spans="1:13" ht="15.5" x14ac:dyDescent="0.35">
      <c r="A3" s="63" t="s">
        <v>249</v>
      </c>
      <c r="B3" s="132" t="s">
        <v>248</v>
      </c>
      <c r="C3" s="64"/>
      <c r="D3" s="65" t="s">
        <v>150</v>
      </c>
      <c r="E3" s="144" t="s">
        <v>260</v>
      </c>
      <c r="F3" s="65" t="s">
        <v>261</v>
      </c>
      <c r="G3" s="65" t="s">
        <v>193</v>
      </c>
      <c r="H3" s="63" t="s">
        <v>151</v>
      </c>
      <c r="I3" s="63" t="s">
        <v>262</v>
      </c>
      <c r="J3" s="63" t="s">
        <v>263</v>
      </c>
      <c r="K3" s="121" t="s">
        <v>264</v>
      </c>
      <c r="L3" s="66" t="s">
        <v>265</v>
      </c>
      <c r="M3" s="65" t="s">
        <v>194</v>
      </c>
    </row>
    <row r="4" spans="1:13" x14ac:dyDescent="0.3">
      <c r="B4" s="36"/>
      <c r="C4" s="36"/>
    </row>
    <row r="5" spans="1:13" x14ac:dyDescent="0.3">
      <c r="B5" s="36"/>
      <c r="C5" s="36"/>
    </row>
    <row r="7" spans="1:13" x14ac:dyDescent="0.3">
      <c r="A7" s="31" t="s">
        <v>156</v>
      </c>
    </row>
    <row r="8" spans="1:13" x14ac:dyDescent="0.3">
      <c r="A8" s="48" t="s">
        <v>155</v>
      </c>
    </row>
    <row r="9" spans="1:13" x14ac:dyDescent="0.3">
      <c r="A9" s="49"/>
    </row>
    <row r="11" spans="1:13" x14ac:dyDescent="0.3">
      <c r="A11" s="124"/>
      <c r="B11" s="125" t="s">
        <v>201</v>
      </c>
      <c r="C11" s="124" t="s">
        <v>202</v>
      </c>
      <c r="D11" s="124" t="s">
        <v>203</v>
      </c>
      <c r="E11" s="124" t="s">
        <v>204</v>
      </c>
    </row>
    <row r="12" spans="1:13" ht="15.5" x14ac:dyDescent="0.35">
      <c r="A12" s="134" t="str">
        <f>A3</f>
        <v>DK 48</v>
      </c>
      <c r="B12" s="135" t="str">
        <f>B3</f>
        <v>0545</v>
      </c>
      <c r="C12" s="124" t="str">
        <f>A18</f>
        <v>K24023309N</v>
      </c>
      <c r="D12" s="124" t="str">
        <f>A15</f>
        <v>D00334377V</v>
      </c>
      <c r="E12" s="124" t="s">
        <v>205</v>
      </c>
    </row>
    <row r="14" spans="1:13" s="133" customFormat="1" x14ac:dyDescent="0.3">
      <c r="A14" s="152" t="s">
        <v>217</v>
      </c>
      <c r="B14" s="152" t="s">
        <v>218</v>
      </c>
      <c r="C14" s="152" t="s">
        <v>146</v>
      </c>
      <c r="D14" s="152" t="s">
        <v>219</v>
      </c>
      <c r="E14" s="152" t="s">
        <v>220</v>
      </c>
      <c r="F14" s="153" t="s">
        <v>221</v>
      </c>
      <c r="G14" s="153" t="s">
        <v>222</v>
      </c>
      <c r="H14" s="152" t="s">
        <v>223</v>
      </c>
      <c r="I14" s="152" t="s">
        <v>8</v>
      </c>
      <c r="J14" s="153" t="s">
        <v>224</v>
      </c>
      <c r="K14" s="153" t="s">
        <v>225</v>
      </c>
      <c r="L14" s="153" t="s">
        <v>226</v>
      </c>
      <c r="M14" s="153" t="s">
        <v>278</v>
      </c>
    </row>
    <row r="15" spans="1:13" s="133" customFormat="1" x14ac:dyDescent="0.3">
      <c r="A15" s="154" t="s">
        <v>279</v>
      </c>
      <c r="B15" s="154" t="s">
        <v>227</v>
      </c>
      <c r="C15" s="154" t="s">
        <v>228</v>
      </c>
      <c r="D15" s="154" t="s">
        <v>249</v>
      </c>
      <c r="E15" s="154">
        <v>937662765</v>
      </c>
      <c r="F15" s="148" t="s">
        <v>229</v>
      </c>
      <c r="G15" s="148" t="s">
        <v>230</v>
      </c>
      <c r="H15" s="154">
        <v>5710</v>
      </c>
      <c r="I15" s="154" t="s">
        <v>231</v>
      </c>
      <c r="J15" s="148">
        <v>3511</v>
      </c>
      <c r="K15" s="148" t="s">
        <v>200</v>
      </c>
      <c r="L15" s="148" t="s">
        <v>248</v>
      </c>
      <c r="M15" s="148">
        <v>1</v>
      </c>
    </row>
    <row r="16" spans="1:13" s="133" customFormat="1" x14ac:dyDescent="0.3">
      <c r="L16" s="137"/>
    </row>
    <row r="17" spans="1:17" s="133" customFormat="1" x14ac:dyDescent="0.3">
      <c r="A17" s="152" t="s">
        <v>217</v>
      </c>
      <c r="B17" s="152" t="s">
        <v>218</v>
      </c>
      <c r="C17" s="152" t="s">
        <v>146</v>
      </c>
      <c r="D17" s="152" t="s">
        <v>232</v>
      </c>
      <c r="E17" s="152" t="s">
        <v>220</v>
      </c>
      <c r="F17" s="153" t="s">
        <v>233</v>
      </c>
      <c r="G17" s="153" t="s">
        <v>234</v>
      </c>
      <c r="H17" s="152" t="s">
        <v>235</v>
      </c>
      <c r="I17" s="153" t="s">
        <v>24</v>
      </c>
      <c r="J17" s="153" t="s">
        <v>280</v>
      </c>
      <c r="K17" s="153" t="s">
        <v>236</v>
      </c>
      <c r="L17" s="153" t="s">
        <v>237</v>
      </c>
      <c r="M17" s="153" t="s">
        <v>238</v>
      </c>
    </row>
    <row r="18" spans="1:17" s="133" customFormat="1" x14ac:dyDescent="0.3">
      <c r="A18" s="154" t="s">
        <v>281</v>
      </c>
      <c r="B18" s="154" t="s">
        <v>227</v>
      </c>
      <c r="C18" s="154" t="s">
        <v>228</v>
      </c>
      <c r="D18" s="154" t="s">
        <v>249</v>
      </c>
      <c r="E18" s="155" t="s">
        <v>251</v>
      </c>
      <c r="F18" s="148" t="s">
        <v>239</v>
      </c>
      <c r="G18" s="148" t="s">
        <v>240</v>
      </c>
      <c r="H18" s="154" t="s">
        <v>282</v>
      </c>
      <c r="I18" s="148" t="s">
        <v>241</v>
      </c>
      <c r="J18" s="151"/>
      <c r="K18" s="148" t="s">
        <v>283</v>
      </c>
      <c r="L18" s="148" t="s">
        <v>82</v>
      </c>
      <c r="M18" s="148" t="s">
        <v>279</v>
      </c>
    </row>
    <row r="19" spans="1:17" x14ac:dyDescent="0.3">
      <c r="N19" s="133"/>
      <c r="O19" s="133"/>
      <c r="P19" s="133"/>
      <c r="Q19" s="133"/>
    </row>
    <row r="21" spans="1:17" ht="14.5" x14ac:dyDescent="0.35">
      <c r="A21" s="146" t="s">
        <v>217</v>
      </c>
      <c r="B21" s="146" t="s">
        <v>218</v>
      </c>
      <c r="C21" s="146" t="s">
        <v>146</v>
      </c>
      <c r="D21" s="146" t="s">
        <v>232</v>
      </c>
      <c r="E21" s="146" t="s">
        <v>266</v>
      </c>
      <c r="F21" s="146" t="s">
        <v>267</v>
      </c>
      <c r="G21" s="147" t="s">
        <v>268</v>
      </c>
      <c r="H21" s="147" t="s">
        <v>269</v>
      </c>
      <c r="I21" s="146" t="s">
        <v>270</v>
      </c>
      <c r="J21" s="146" t="s">
        <v>271</v>
      </c>
      <c r="K21" s="146" t="s">
        <v>272</v>
      </c>
      <c r="L21" s="146" t="s">
        <v>273</v>
      </c>
      <c r="M21" s="146" t="s">
        <v>274</v>
      </c>
      <c r="N21" s="146" t="s">
        <v>275</v>
      </c>
    </row>
    <row r="22" spans="1:17" x14ac:dyDescent="0.3">
      <c r="A22" s="148" t="s">
        <v>264</v>
      </c>
      <c r="B22" s="148" t="s">
        <v>227</v>
      </c>
      <c r="C22" s="148" t="s">
        <v>276</v>
      </c>
      <c r="D22" s="148" t="s">
        <v>265</v>
      </c>
      <c r="E22" s="148" t="s">
        <v>194</v>
      </c>
      <c r="F22" s="148" t="s">
        <v>150</v>
      </c>
      <c r="G22" s="149" t="s">
        <v>260</v>
      </c>
      <c r="H22" s="150"/>
      <c r="I22" s="148">
        <v>0</v>
      </c>
      <c r="J22" s="148">
        <v>0</v>
      </c>
      <c r="K22" s="148">
        <v>0</v>
      </c>
      <c r="L22" s="148">
        <v>0</v>
      </c>
      <c r="M22" s="148" t="s">
        <v>277</v>
      </c>
      <c r="N22" s="151"/>
    </row>
  </sheetData>
  <printOptions gridLines="1"/>
  <pageMargins left="0.11811023622047245" right="0.11811023622047245" top="0.74803149606299213" bottom="0.74803149606299213" header="0.31496062992125984" footer="0.31496062992125984"/>
  <pageSetup paperSize="9" scale="58" orientation="landscape" r:id="rId1"/>
  <headerFooter>
    <oddFooter>&amp;L&amp;D&amp;T&amp;C&amp;P&amp;R&amp;F&amp;A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0"/>
  <sheetViews>
    <sheetView zoomScale="84" workbookViewId="0">
      <selection activeCell="C14" sqref="C14"/>
    </sheetView>
  </sheetViews>
  <sheetFormatPr baseColWidth="10" defaultColWidth="11.453125" defaultRowHeight="12.5" x14ac:dyDescent="0.25"/>
  <cols>
    <col min="1" max="1" width="9.36328125" style="23" bestFit="1" customWidth="1"/>
    <col min="2" max="2" width="13.90625" style="23" bestFit="1" customWidth="1"/>
    <col min="3" max="3" width="11.453125" style="23"/>
    <col min="4" max="4" width="7.453125" style="23" customWidth="1"/>
    <col min="5" max="6" width="5" style="23" customWidth="1"/>
    <col min="7" max="7" width="10.54296875" style="23" bestFit="1" customWidth="1"/>
    <col min="8" max="8" width="5" style="23" customWidth="1"/>
    <col min="9" max="16384" width="11.453125" style="23"/>
  </cols>
  <sheetData>
    <row r="1" spans="1:19" s="22" customFormat="1" ht="234.75" customHeight="1" x14ac:dyDescent="0.3">
      <c r="A1" s="22" t="s">
        <v>40</v>
      </c>
      <c r="B1" s="22" t="s">
        <v>41</v>
      </c>
      <c r="C1" s="22" t="s">
        <v>42</v>
      </c>
      <c r="D1" s="22" t="s">
        <v>43</v>
      </c>
      <c r="E1" s="45" t="s">
        <v>59</v>
      </c>
      <c r="F1" s="45" t="s">
        <v>126</v>
      </c>
      <c r="G1" s="45" t="s">
        <v>127</v>
      </c>
      <c r="H1" s="45" t="s">
        <v>128</v>
      </c>
      <c r="I1" s="45" t="s">
        <v>129</v>
      </c>
      <c r="J1" s="45" t="s">
        <v>130</v>
      </c>
      <c r="K1" s="45" t="s">
        <v>131</v>
      </c>
      <c r="L1" s="45" t="s">
        <v>131</v>
      </c>
      <c r="M1" s="32" t="s">
        <v>132</v>
      </c>
      <c r="N1" s="32" t="s">
        <v>133</v>
      </c>
      <c r="O1" s="32" t="s">
        <v>134</v>
      </c>
      <c r="P1" s="32" t="s">
        <v>135</v>
      </c>
      <c r="Q1" s="32" t="s">
        <v>136</v>
      </c>
      <c r="R1" s="32" t="s">
        <v>137</v>
      </c>
      <c r="S1" s="32" t="s">
        <v>138</v>
      </c>
    </row>
    <row r="2" spans="1:19" x14ac:dyDescent="0.25">
      <c r="A2" s="33"/>
      <c r="B2" s="33"/>
      <c r="C2" s="33"/>
      <c r="D2" s="33" t="s">
        <v>151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34" t="s">
        <v>154</v>
      </c>
      <c r="S2" s="34" t="s">
        <v>154</v>
      </c>
    </row>
    <row r="3" spans="1:19" x14ac:dyDescent="0.25">
      <c r="A3" s="33"/>
      <c r="B3" s="33"/>
      <c r="C3" s="33"/>
      <c r="D3" s="33" t="s">
        <v>151</v>
      </c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34" t="s">
        <v>154</v>
      </c>
      <c r="S3" s="34" t="s">
        <v>154</v>
      </c>
    </row>
    <row r="4" spans="1:19" x14ac:dyDescent="0.25">
      <c r="A4" s="33"/>
      <c r="B4" s="33"/>
      <c r="C4" s="33"/>
      <c r="D4" s="33" t="s">
        <v>151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34"/>
      <c r="S4" s="34"/>
    </row>
    <row r="5" spans="1:19" x14ac:dyDescent="0.25">
      <c r="A5" s="35"/>
      <c r="B5" s="35"/>
      <c r="C5" s="35"/>
      <c r="D5" s="33" t="s">
        <v>151</v>
      </c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35"/>
      <c r="S5" s="35"/>
    </row>
    <row r="6" spans="1:19" x14ac:dyDescent="0.25">
      <c r="A6" s="35"/>
      <c r="B6" s="35"/>
      <c r="C6" s="35"/>
      <c r="D6" s="33" t="s">
        <v>151</v>
      </c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35"/>
      <c r="S6" s="35"/>
    </row>
    <row r="7" spans="1:19" x14ac:dyDescent="0.25">
      <c r="A7" s="35"/>
      <c r="B7" s="35"/>
      <c r="C7" s="35"/>
      <c r="D7" s="33" t="s">
        <v>151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35"/>
      <c r="S7" s="35"/>
    </row>
    <row r="10" spans="1:19" ht="13" x14ac:dyDescent="0.3">
      <c r="G10" s="120" t="s">
        <v>197</v>
      </c>
    </row>
  </sheetData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64" orientation="landscape" horizontalDpi="1200" r:id="rId1"/>
  <headerFooter alignWithMargins="0">
    <oddFooter xml:space="preserve">&amp;L&amp;A/&amp;F
YYYY= N° de sté
XXX = Code de la région
&amp;C&amp;D&amp;Rversion du 06/09/2005
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63"/>
  <sheetViews>
    <sheetView workbookViewId="0">
      <selection activeCell="I35" sqref="I35"/>
    </sheetView>
  </sheetViews>
  <sheetFormatPr baseColWidth="10" defaultColWidth="11.453125" defaultRowHeight="12.5" x14ac:dyDescent="0.25"/>
  <cols>
    <col min="1" max="1" width="16.6328125" style="7" customWidth="1"/>
    <col min="2" max="2" width="11.453125" style="7"/>
    <col min="3" max="3" width="7.08984375" style="8" customWidth="1"/>
    <col min="4" max="4" width="30.6328125" style="7" customWidth="1"/>
    <col min="5" max="5" width="6" style="7" customWidth="1"/>
    <col min="6" max="6" width="5.90625" style="7" customWidth="1"/>
    <col min="7" max="16384" width="11.453125" style="7"/>
  </cols>
  <sheetData>
    <row r="1" spans="1:9" ht="13" x14ac:dyDescent="0.3">
      <c r="A1" s="15" t="s">
        <v>98</v>
      </c>
    </row>
    <row r="2" spans="1:9" ht="13" x14ac:dyDescent="0.3">
      <c r="B2" s="13"/>
      <c r="C2" s="8" t="s">
        <v>11</v>
      </c>
      <c r="G2" s="15" t="str">
        <f>code</f>
        <v>0545</v>
      </c>
    </row>
    <row r="3" spans="1:9" ht="13" x14ac:dyDescent="0.3">
      <c r="B3" s="13"/>
      <c r="C3" s="14" t="s">
        <v>95</v>
      </c>
      <c r="G3" s="15" t="str">
        <f>+sigle</f>
        <v>DK 48</v>
      </c>
    </row>
    <row r="4" spans="1:9" ht="13" x14ac:dyDescent="0.3">
      <c r="B4" s="13"/>
      <c r="C4" s="14" t="s">
        <v>96</v>
      </c>
      <c r="G4" s="29">
        <f>'BD STE ET AUTRES'!H7</f>
        <v>0</v>
      </c>
    </row>
    <row r="5" spans="1:9" x14ac:dyDescent="0.25">
      <c r="C5" s="14" t="s">
        <v>94</v>
      </c>
      <c r="G5" s="7" t="str">
        <f>geree</f>
        <v>OUI</v>
      </c>
      <c r="H5" s="7" t="str">
        <f>IF(geree="","",geree)</f>
        <v>OUI</v>
      </c>
    </row>
    <row r="6" spans="1:9" x14ac:dyDescent="0.25">
      <c r="C6" s="14" t="s">
        <v>92</v>
      </c>
      <c r="H6" s="9"/>
    </row>
    <row r="7" spans="1:9" x14ac:dyDescent="0.25">
      <c r="C7" s="14" t="s">
        <v>93</v>
      </c>
      <c r="H7" s="9"/>
    </row>
    <row r="8" spans="1:9" x14ac:dyDescent="0.25">
      <c r="C8" s="14" t="s">
        <v>114</v>
      </c>
    </row>
    <row r="9" spans="1:9" x14ac:dyDescent="0.25">
      <c r="C9" s="14" t="s">
        <v>115</v>
      </c>
    </row>
    <row r="10" spans="1:9" x14ac:dyDescent="0.25">
      <c r="C10" s="14" t="s">
        <v>116</v>
      </c>
      <c r="G10" s="12" t="s">
        <v>117</v>
      </c>
      <c r="H10" s="12" t="s">
        <v>118</v>
      </c>
    </row>
    <row r="11" spans="1:9" x14ac:dyDescent="0.25">
      <c r="C11" s="8" t="s">
        <v>12</v>
      </c>
      <c r="G11" s="7" t="str">
        <f>conso</f>
        <v>YS2348</v>
      </c>
    </row>
    <row r="13" spans="1:9" x14ac:dyDescent="0.25">
      <c r="B13" s="13"/>
      <c r="C13" s="8" t="s">
        <v>15</v>
      </c>
    </row>
    <row r="14" spans="1:9" x14ac:dyDescent="0.25">
      <c r="A14" s="12"/>
      <c r="C14" s="14" t="s">
        <v>99</v>
      </c>
      <c r="H14" s="13">
        <f>cloture</f>
        <v>0</v>
      </c>
    </row>
    <row r="15" spans="1:9" x14ac:dyDescent="0.25">
      <c r="A15" s="12"/>
      <c r="C15" s="14" t="s">
        <v>123</v>
      </c>
      <c r="E15" s="7" t="s">
        <v>124</v>
      </c>
      <c r="H15" s="7" t="str">
        <f>etab</f>
        <v>DOS</v>
      </c>
    </row>
    <row r="16" spans="1:9" x14ac:dyDescent="0.25">
      <c r="C16" s="14" t="s">
        <v>100</v>
      </c>
      <c r="H16" s="7" t="str">
        <f>lieudetenue</f>
        <v>DOS</v>
      </c>
      <c r="I16" s="12" t="s">
        <v>86</v>
      </c>
    </row>
    <row r="17" spans="2:8" x14ac:dyDescent="0.25">
      <c r="C17" s="14" t="s">
        <v>101</v>
      </c>
      <c r="H17" s="12" t="s">
        <v>102</v>
      </c>
    </row>
    <row r="18" spans="2:8" x14ac:dyDescent="0.25">
      <c r="C18" s="14" t="s">
        <v>103</v>
      </c>
      <c r="H18" s="7">
        <f>fraisste</f>
        <v>0</v>
      </c>
    </row>
    <row r="20" spans="2:8" x14ac:dyDescent="0.25">
      <c r="B20" s="13"/>
      <c r="C20" s="14" t="s">
        <v>22</v>
      </c>
      <c r="D20" s="12"/>
      <c r="H20" s="12"/>
    </row>
    <row r="21" spans="2:8" x14ac:dyDescent="0.25">
      <c r="B21" s="13"/>
      <c r="C21" s="14" t="s">
        <v>104</v>
      </c>
      <c r="D21" s="12"/>
      <c r="G21" s="7" t="str">
        <f>adressesiege</f>
        <v>TOUR EUROPE - 33, Place des Corolles</v>
      </c>
      <c r="H21" s="12"/>
    </row>
    <row r="22" spans="2:8" x14ac:dyDescent="0.25">
      <c r="B22" s="13"/>
      <c r="C22" s="14" t="s">
        <v>105</v>
      </c>
      <c r="D22" s="12"/>
      <c r="H22" s="12"/>
    </row>
    <row r="23" spans="2:8" x14ac:dyDescent="0.25">
      <c r="B23" s="13"/>
      <c r="C23" s="14" t="s">
        <v>106</v>
      </c>
      <c r="D23" s="12"/>
      <c r="H23" s="12"/>
    </row>
    <row r="24" spans="2:8" x14ac:dyDescent="0.25">
      <c r="B24" s="13"/>
      <c r="C24" s="14" t="s">
        <v>23</v>
      </c>
      <c r="D24" s="12"/>
      <c r="G24" s="7" t="str">
        <f>cp</f>
        <v>92099 - TSA 77655</v>
      </c>
      <c r="H24" s="12"/>
    </row>
    <row r="25" spans="2:8" x14ac:dyDescent="0.25">
      <c r="B25" s="13"/>
      <c r="C25" s="14" t="s">
        <v>24</v>
      </c>
      <c r="D25" s="12"/>
      <c r="G25" s="7" t="str">
        <f>ville</f>
        <v>PARIS LA DEFENSE CEDEX</v>
      </c>
      <c r="H25" s="12"/>
    </row>
    <row r="26" spans="2:8" x14ac:dyDescent="0.25">
      <c r="B26" s="13"/>
      <c r="C26" s="14" t="s">
        <v>107</v>
      </c>
      <c r="D26" s="12"/>
      <c r="G26" s="12" t="s">
        <v>108</v>
      </c>
      <c r="H26" s="12"/>
    </row>
    <row r="27" spans="2:8" x14ac:dyDescent="0.25">
      <c r="B27" s="13"/>
      <c r="C27" s="14" t="s">
        <v>25</v>
      </c>
      <c r="D27" s="12"/>
      <c r="G27" s="7" t="str">
        <f>MID(siren,1,9)</f>
        <v>937662765</v>
      </c>
      <c r="H27" s="12"/>
    </row>
    <row r="28" spans="2:8" x14ac:dyDescent="0.25">
      <c r="B28" s="13"/>
      <c r="C28" s="14" t="s">
        <v>8</v>
      </c>
      <c r="D28" s="12"/>
      <c r="G28" s="7" t="str">
        <f>forme</f>
        <v>SAS</v>
      </c>
      <c r="H28" s="12"/>
    </row>
    <row r="29" spans="2:8" x14ac:dyDescent="0.25">
      <c r="B29" s="13"/>
      <c r="C29" s="14" t="s">
        <v>26</v>
      </c>
      <c r="D29" s="12"/>
      <c r="G29" s="7" t="str">
        <f>MID(siren,10,5)</f>
        <v>00018</v>
      </c>
      <c r="H29" s="12"/>
    </row>
    <row r="30" spans="2:8" x14ac:dyDescent="0.25">
      <c r="B30" s="13"/>
      <c r="C30" s="14" t="s">
        <v>27</v>
      </c>
      <c r="D30" s="12"/>
      <c r="G30" s="7">
        <f>capital</f>
        <v>37000</v>
      </c>
      <c r="H30" s="12"/>
    </row>
    <row r="31" spans="2:8" x14ac:dyDescent="0.25">
      <c r="B31" s="13"/>
      <c r="C31" s="14" t="s">
        <v>109</v>
      </c>
      <c r="D31" s="12"/>
      <c r="G31" s="7" t="str">
        <f>naf</f>
        <v>3511Z</v>
      </c>
      <c r="H31" s="12"/>
    </row>
    <row r="32" spans="2:8" x14ac:dyDescent="0.25">
      <c r="B32" s="13"/>
      <c r="C32" s="14" t="s">
        <v>110</v>
      </c>
      <c r="D32" s="12"/>
      <c r="G32" s="12" t="s">
        <v>111</v>
      </c>
      <c r="H32" s="12"/>
    </row>
    <row r="33" spans="1:9" x14ac:dyDescent="0.25">
      <c r="B33" s="13"/>
      <c r="C33" s="14" t="s">
        <v>112</v>
      </c>
      <c r="D33" s="12"/>
      <c r="G33" s="7" t="str">
        <f>villedepot</f>
        <v>Nanterre</v>
      </c>
      <c r="H33" s="12"/>
    </row>
    <row r="34" spans="1:9" x14ac:dyDescent="0.25">
      <c r="B34" s="13"/>
      <c r="C34" s="14" t="s">
        <v>113</v>
      </c>
      <c r="D34" s="12"/>
      <c r="G34" s="7" t="str">
        <f>intracom</f>
        <v xml:space="preserve"> FR44937662765</v>
      </c>
      <c r="H34" s="12"/>
    </row>
    <row r="35" spans="1:9" x14ac:dyDescent="0.25">
      <c r="B35" s="13"/>
      <c r="C35" s="14"/>
      <c r="D35" s="12"/>
      <c r="H35" s="12"/>
    </row>
    <row r="36" spans="1:9" ht="13" thickBot="1" x14ac:dyDescent="0.3">
      <c r="B36" s="7" t="s">
        <v>13</v>
      </c>
    </row>
    <row r="37" spans="1:9" ht="13" thickBot="1" x14ac:dyDescent="0.3">
      <c r="B37" s="13"/>
      <c r="C37" s="8" t="s">
        <v>14</v>
      </c>
      <c r="H37" s="16"/>
    </row>
    <row r="39" spans="1:9" x14ac:dyDescent="0.25">
      <c r="A39" s="24"/>
      <c r="B39" s="12" t="s">
        <v>58</v>
      </c>
    </row>
    <row r="40" spans="1:9" x14ac:dyDescent="0.25">
      <c r="B40" s="12"/>
      <c r="D40" s="12" t="s">
        <v>57</v>
      </c>
    </row>
    <row r="41" spans="1:9" x14ac:dyDescent="0.25">
      <c r="D41" s="12" t="s">
        <v>46</v>
      </c>
    </row>
    <row r="42" spans="1:9" x14ac:dyDescent="0.25">
      <c r="D42" s="12" t="s">
        <v>47</v>
      </c>
    </row>
    <row r="44" spans="1:9" x14ac:dyDescent="0.25">
      <c r="C44" s="12" t="s">
        <v>90</v>
      </c>
    </row>
    <row r="45" spans="1:9" x14ac:dyDescent="0.25">
      <c r="C45" s="14" t="s">
        <v>89</v>
      </c>
      <c r="D45" s="27"/>
      <c r="E45" s="28"/>
      <c r="F45" s="28"/>
      <c r="G45" s="28"/>
      <c r="H45" s="28"/>
      <c r="I45" s="28"/>
    </row>
    <row r="46" spans="1:9" hidden="1" x14ac:dyDescent="0.25">
      <c r="D46" s="12" t="s">
        <v>83</v>
      </c>
    </row>
    <row r="47" spans="1:9" x14ac:dyDescent="0.25">
      <c r="C47" s="8" t="s">
        <v>84</v>
      </c>
      <c r="D47" s="12"/>
    </row>
    <row r="48" spans="1:9" hidden="1" x14ac:dyDescent="0.25">
      <c r="D48" s="12" t="s">
        <v>85</v>
      </c>
    </row>
    <row r="49" spans="1:4" x14ac:dyDescent="0.25">
      <c r="D49" s="12" t="s">
        <v>76</v>
      </c>
    </row>
    <row r="50" spans="1:4" x14ac:dyDescent="0.25">
      <c r="B50" s="12" t="s">
        <v>74</v>
      </c>
      <c r="D50" s="12"/>
    </row>
    <row r="51" spans="1:4" x14ac:dyDescent="0.25">
      <c r="B51" s="12" t="s">
        <v>87</v>
      </c>
      <c r="D51" s="12"/>
    </row>
    <row r="52" spans="1:4" x14ac:dyDescent="0.25">
      <c r="A52" s="12" t="s">
        <v>48</v>
      </c>
    </row>
    <row r="53" spans="1:4" x14ac:dyDescent="0.25">
      <c r="A53" s="12" t="s">
        <v>60</v>
      </c>
    </row>
    <row r="54" spans="1:4" x14ac:dyDescent="0.25">
      <c r="A54" s="12" t="s">
        <v>62</v>
      </c>
    </row>
    <row r="55" spans="1:4" x14ac:dyDescent="0.25">
      <c r="A55" s="12" t="s">
        <v>61</v>
      </c>
    </row>
    <row r="56" spans="1:4" x14ac:dyDescent="0.25">
      <c r="A56" s="12" t="s">
        <v>63</v>
      </c>
    </row>
    <row r="57" spans="1:4" x14ac:dyDescent="0.25">
      <c r="A57" s="12" t="s">
        <v>64</v>
      </c>
    </row>
    <row r="58" spans="1:4" x14ac:dyDescent="0.25">
      <c r="A58" s="12" t="s">
        <v>49</v>
      </c>
    </row>
    <row r="59" spans="1:4" x14ac:dyDescent="0.25">
      <c r="A59" s="12" t="s">
        <v>50</v>
      </c>
    </row>
    <row r="60" spans="1:4" x14ac:dyDescent="0.25">
      <c r="A60" s="12" t="s">
        <v>65</v>
      </c>
    </row>
    <row r="61" spans="1:4" x14ac:dyDescent="0.25">
      <c r="A61" s="12" t="s">
        <v>51</v>
      </c>
    </row>
    <row r="62" spans="1:4" x14ac:dyDescent="0.25">
      <c r="A62" s="12" t="s">
        <v>66</v>
      </c>
    </row>
    <row r="63" spans="1:4" x14ac:dyDescent="0.25">
      <c r="A63" s="12" t="s">
        <v>52</v>
      </c>
    </row>
  </sheetData>
  <phoneticPr fontId="0" type="noConversion"/>
  <pageMargins left="0.78740157499999996" right="0.78740157499999996" top="0.984251969" bottom="0.984251969" header="0.4921259845" footer="0.4921259845"/>
  <pageSetup paperSize="9" scale="61" orientation="portrait" r:id="rId1"/>
  <headerFooter alignWithMargins="0">
    <oddFooter xml:space="preserve">&amp;L&amp;F/&amp;A&amp;C&amp;D&amp;Rversion du 07/04/2005
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22</vt:i4>
      </vt:variant>
    </vt:vector>
  </HeadingPairs>
  <TitlesOfParts>
    <vt:vector size="27" baseType="lpstr">
      <vt:lpstr>513599</vt:lpstr>
      <vt:lpstr>INITSOC- Oracle R12</vt:lpstr>
      <vt:lpstr>Nouveau référentiel R12</vt:lpstr>
      <vt:lpstr>Attributions Responsabilités</vt:lpstr>
      <vt:lpstr>BD STE ET AUTRES</vt:lpstr>
      <vt:lpstr>adressesiege</vt:lpstr>
      <vt:lpstr>capital</vt:lpstr>
      <vt:lpstr>cloture</vt:lpstr>
      <vt:lpstr>code</vt:lpstr>
      <vt:lpstr>conso</vt:lpstr>
      <vt:lpstr>cp</vt:lpstr>
      <vt:lpstr>debut</vt:lpstr>
      <vt:lpstr>etab</vt:lpstr>
      <vt:lpstr>forme</vt:lpstr>
      <vt:lpstr>fraisste</vt:lpstr>
      <vt:lpstr>geree</vt:lpstr>
      <vt:lpstr>'Nouveau référentiel R12'!Impression_des_titres</vt:lpstr>
      <vt:lpstr>intracom</vt:lpstr>
      <vt:lpstr>lieudetenue</vt:lpstr>
      <vt:lpstr>naf</vt:lpstr>
      <vt:lpstr>raison</vt:lpstr>
      <vt:lpstr>sigle</vt:lpstr>
      <vt:lpstr>siren</vt:lpstr>
      <vt:lpstr>ville</vt:lpstr>
      <vt:lpstr>villedepot</vt:lpstr>
      <vt:lpstr>'Attributions Responsabilités'!Zone_d_impression</vt:lpstr>
      <vt:lpstr>'INITSOC- Oracle R12'!Zone_d_impression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cgc</dc:creator>
  <cp:lastModifiedBy>MALEZIEUX Arnaud</cp:lastModifiedBy>
  <cp:lastPrinted>2025-01-22T08:49:02Z</cp:lastPrinted>
  <dcterms:created xsi:type="dcterms:W3CDTF">1999-03-09T10:58:01Z</dcterms:created>
  <dcterms:modified xsi:type="dcterms:W3CDTF">2025-01-22T08:49:05Z</dcterms:modified>
</cp:coreProperties>
</file>