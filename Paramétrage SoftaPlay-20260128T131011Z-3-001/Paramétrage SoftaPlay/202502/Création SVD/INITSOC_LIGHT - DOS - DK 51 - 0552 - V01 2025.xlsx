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51 - 01 2025\"/>
    </mc:Choice>
  </mc:AlternateContent>
  <bookViews>
    <workbookView xWindow="-10" yWindow="110" windowWidth="15340" windowHeight="4200" activeTab="2"/>
  </bookViews>
  <sheets>
    <sheet name="513602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<sst xmlns="http://schemas.openxmlformats.org/spreadsheetml/2006/main" count="349" uniqueCount="285">
  <si>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</si>
  <si>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</si>
  <si>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</si>
  <si>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</si>
  <si>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</si>
  <si>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</si>
  <si>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</si>
  <si>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</si>
  <si>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</si>
  <si>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</si>
  <si>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</si>
  <si>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</si>
  <si>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</si>
  <si>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</si>
  <si>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</si>
  <si>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</si>
  <si>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</si>
  <si>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</si>
  <si>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</si>
  <si>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</si>
  <si>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</si>
  <si>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</si>
  <si>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</si>
  <si>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</si>
  <si>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</si>
  <si>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</si>
  <si>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</si>
  <si>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</si>
  <si>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</si>
  <si>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</si>
  <si>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</si>
  <si>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</si>
  <si>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</si>
  <si>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</si>
  <si>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</si>
  <si>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</si>
  <si>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</si>
  <si>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</si>
  <si>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</si>
  <si>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</si>
  <si>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</si>
  <si>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</si>
  <si>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</si>
  <si>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</si>
  <si>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</si>
  <si>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</si>
  <si>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</si>
  <si>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</si>
  <si>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</si>
  <si>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</si>
  <si>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</si>
  <si>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</si>
  <si>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</si>
  <si>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</si>
  <si>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</si>
  <si>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</si>
  <si>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</si>
  <si>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</si>
  <si>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</si>
  <si>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</si>
  <si>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</si>
  <si>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</si>
  <si>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</si>
  <si>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</si>
  <si>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</si>
  <si>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</si>
  <si>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</si>
  <si>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</si>
  <si>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</si>
  <si>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</si>
  <si>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</si>
  <si>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</si>
  <si>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</si>
  <si>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</si>
  <si>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</si>
  <si>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</si>
  <si>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</si>
  <si>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</si>
  <si>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</si>
  <si>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</si>
  <si>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</si>
  <si>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</si>
  <si>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</si>
  <si>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</si>
  <si>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</si>
  <si>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</si>
  <si>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</si>
  <si>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</si>
  <si>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</si>
  <si>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</si>
  <si>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</si>
  <si>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</si>
  <si>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</si>
  <si>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</si>
  <si>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</si>
  <si>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</si>
  <si>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</si>
  <si>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</si>
  <si>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</si>
  <si>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</si>
  <si>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</si>
  <si>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</si>
  <si>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</si>
  <si>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</si>
  <si>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</si>
  <si>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</si>
  <si>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</si>
  <si>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</si>
  <si>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</si>
  <si>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</si>
  <si>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</si>
  <si>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</si>
  <si>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</si>
  <si>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</si>
  <si>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</si>
  <si>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</si>
  <si>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</si>
  <si>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</si>
  <si>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</si>
  <si>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</si>
  <si>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</si>
  <si>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</si>
  <si>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</si>
  <si>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</si>
  <si>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</si>
  <si>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</si>
  <si>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</si>
  <si>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</si>
  <si>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</si>
  <si>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</si>
  <si>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</si>
  <si>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</si>
  <si>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</si>
  <si>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</si>
  <si>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</si>
  <si>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</si>
  <si>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</si>
  <si>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</si>
  <si>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</si>
  <si>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</si>
  <si>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</si>
  <si>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</si>
  <si>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</si>
  <si>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</si>
  <si>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</si>
  <si>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</si>
  <si>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</si>
  <si>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</si>
  <si>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</si>
  <si>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</si>
  <si>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</si>
  <si>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</si>
  <si>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</si>
  <si>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</si>
  <si>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</si>
  <si>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</si>
  <si>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</si>
  <si>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</si>
  <si>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</si>
  <si>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</si>
  <si>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</si>
  <si>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</si>
  <si>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</si>
  <si>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</si>
  <si>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</si>
  <si>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</si>
  <si>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</si>
  <si>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</si>
  <si>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</si>
  <si>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</si>
  <si>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</si>
  <si>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</si>
  <si>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</si>
  <si>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</si>
  <si>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</si>
  <si>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</si>
  <si>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</si>
  <si>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</si>
  <si>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</si>
  <si>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</si>
  <si>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</si>
  <si>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</si>
  <si>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</si>
  <si>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</si>
  <si>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</si>
  <si>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</si>
  <si>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</si>
  <si>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</si>
  <si>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</si>
  <si>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</si>
  <si>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</si>
  <si>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</si>
  <si>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</si>
  <si>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</si>
  <si>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</si>
  <si>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</si>
  <si>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</si>
  <si>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</si>
  <si>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</si>
  <si>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</si>
  <si>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</si>
  <si>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</si>
  <si>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</si>
  <si>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</si>
  <si>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</si>
  <si>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</si>
  <si>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</si>
  <si>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</si>
  <si>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</si>
  <si>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</si>
  <si>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</si>
  <si>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</si>
  <si>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</si>
  <si>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</si>
  <si>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</si>
  <si>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</si>
  <si>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</si>
  <si>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</si>
  <si>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</si>
  <si>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</si>
  <si>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</si>
  <si>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</si>
  <si>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</si>
  <si>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</si>
  <si>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</si>
  <si>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</si>
  <si>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</si>
  <si>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</si>
  <si>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</si>
  <si>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</si>
  <si>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</si>
  <si>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</si>
  <si>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</si>
  <si>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</si>
  <si>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</si>
  <si>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</si>
  <si>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</si>
  <si>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</si>
  <si>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</si>
  <si>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</si>
  <si>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</si>
  <si>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</si>
  <si>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</si>
  <si>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</si>
  <si>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0552</t>
  </si>
  <si>
    <t>DK 51</t>
  </si>
  <si>
    <t>YS2351</t>
  </si>
  <si>
    <t>93897978800016</t>
  </si>
  <si>
    <t xml:space="preserve"> FR12938979788</t>
  </si>
  <si>
    <t>Patricia BENJEBRIA</t>
  </si>
  <si>
    <t>0552 DK 51</t>
  </si>
  <si>
    <t>BNP PARIBAS</t>
  </si>
  <si>
    <t>PARIS AGENCE CENTRALE</t>
  </si>
  <si>
    <t>BNPAFRPPXXX</t>
  </si>
  <si>
    <t>30004 00828 00013508179 76</t>
  </si>
  <si>
    <t>FR76 3000 4008 2800 0135 0817 976</t>
  </si>
  <si>
    <t>Compte local 513602</t>
  </si>
  <si>
    <t>00828</t>
  </si>
  <si>
    <t>00013508179</t>
  </si>
  <si>
    <t>76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</si>
  <si>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</si>
  <si>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</si>
  <si>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</si>
  <si>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</si>
  <si>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</si>
  <si>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</si>
  <si>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</si>
  <si>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</si>
  <si>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</si>
  <si>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</si>
  <si>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GK1478818A</t>
  </si>
  <si>
    <t>SG</t>
  </si>
  <si>
    <t>TF FPS 0552 DK 51</t>
  </si>
  <si>
    <t>FB0088976J</t>
  </si>
  <si>
    <t>2025-01-20 00:00:00</t>
  </si>
  <si>
    <t>PF FPS 0552 DK 51</t>
  </si>
  <si>
    <t>DOS0552</t>
  </si>
  <si>
    <t>PROJET FINANCE DK 51 UO DOS0552</t>
  </si>
  <si>
    <t xml:space="preserve"> GK1478818A</t>
  </si>
  <si>
    <t>Nb Partenaires</t>
  </si>
  <si>
    <t>D00334392O</t>
  </si>
  <si>
    <t>Complement adresse établissement</t>
  </si>
  <si>
    <t>K24023318A</t>
  </si>
  <si>
    <t>L00219252A</t>
  </si>
  <si>
    <t>0586091R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</si>
</sst>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8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wrapText="1"/>
    </xf>
    <xf numFmtId="0" fontId="17" fillId="0" borderId="0" xfId="0" applyFont="1" applyBorder="1" applyAlignment="1">
      <alignment horizontal="center" wrapText="1"/>
    </xf>
    <xf numFmtId="0" fontId="25" fillId="13" borderId="5" xfId="0" applyFont="1" applyFill="1" applyBorder="1"/>
    <xf numFmtId="0" fontId="25" fillId="13" borderId="5" xfId="0" applyFont="1" applyFill="1" applyBorder="1" applyAlignment="1">
      <alignment horizontal="center"/>
    </xf>
    <xf numFmtId="0" fontId="26" fillId="0" borderId="5" xfId="0" applyFont="1" applyBorder="1"/>
    <xf numFmtId="0" fontId="27" fillId="0" borderId="5" xfId="0" applyFont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0" borderId="5" xfId="0" applyFont="1" applyBorder="1"/>
    <xf numFmtId="0" fontId="29" fillId="13" borderId="5" xfId="0" applyFont="1" applyFill="1" applyBorder="1" applyAlignment="1">
      <alignment horizontal="center"/>
    </xf>
    <xf numFmtId="0" fontId="29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quotePrefix="1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9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4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9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2"/>
      <c r="F4" s="162"/>
      <c r="G4" s="162"/>
    </row>
    <row r="8" spans="1:7" ht="14.5" x14ac:dyDescent="0.35">
      <c r="A8" s="82" t="s">
        <v>158</v>
      </c>
      <c r="C8" s="83">
        <v>45670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249</v>
      </c>
      <c r="F11" s="10"/>
      <c r="G11" s="91"/>
    </row>
    <row r="12" spans="1:7" ht="15" customHeight="1" x14ac:dyDescent="0.3">
      <c r="D12" s="89" t="s">
        <v>162</v>
      </c>
      <c r="E12" s="159" t="s">
        <v>239</v>
      </c>
      <c r="F12" s="160"/>
      <c r="G12" s="161"/>
    </row>
    <row r="13" spans="1:7" ht="13.75" customHeight="1" x14ac:dyDescent="0.3">
      <c r="D13" s="92"/>
      <c r="E13" s="163" t="s">
        <v>240</v>
      </c>
      <c r="F13" s="163"/>
      <c r="G13" s="164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5" t="s">
        <v>250</v>
      </c>
      <c r="F16" s="165"/>
      <c r="G16" s="166"/>
    </row>
    <row r="17" spans="1:7" ht="14" x14ac:dyDescent="0.3">
      <c r="A17" s="81"/>
      <c r="D17" s="94" t="s">
        <v>164</v>
      </c>
      <c r="E17" s="126" t="s">
        <v>241</v>
      </c>
      <c r="F17" s="126"/>
      <c r="G17" s="126"/>
    </row>
    <row r="18" spans="1:7" ht="15" customHeight="1" x14ac:dyDescent="0.3">
      <c r="A18" s="81"/>
      <c r="D18" s="94"/>
      <c r="E18" s="126" t="s">
        <v>242</v>
      </c>
      <c r="F18" s="126"/>
      <c r="G18" s="126"/>
    </row>
    <row r="19" spans="1:7" ht="14" x14ac:dyDescent="0.3">
      <c r="A19" s="81"/>
      <c r="D19" s="94"/>
      <c r="E19" s="167" t="s">
        <v>213</v>
      </c>
      <c r="F19" s="167"/>
      <c r="G19" s="168"/>
    </row>
    <row r="20" spans="1:7" ht="14" x14ac:dyDescent="0.3">
      <c r="D20" s="95" t="s">
        <v>243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251</v>
      </c>
      <c r="F22" s="87"/>
      <c r="G22" s="88"/>
    </row>
    <row r="23" spans="1:7" ht="14" customHeight="1" x14ac:dyDescent="0.3">
      <c r="D23" s="89" t="s">
        <v>166</v>
      </c>
      <c r="E23" s="157" t="s">
        <v>252</v>
      </c>
      <c r="F23" s="157"/>
      <c r="G23" s="158"/>
    </row>
    <row r="24" spans="1:7" ht="14" x14ac:dyDescent="0.3">
      <c r="D24" s="100" t="s">
        <v>167</v>
      </c>
      <c r="E24" s="157" t="s">
        <v>253</v>
      </c>
      <c r="F24" s="157"/>
      <c r="G24" s="158"/>
    </row>
    <row r="25" spans="1:7" ht="14" x14ac:dyDescent="0.3">
      <c r="D25" s="89" t="s">
        <v>168</v>
      </c>
      <c r="E25" s="90" t="s">
        <v>254</v>
      </c>
      <c r="F25" s="10"/>
      <c r="G25" s="91"/>
    </row>
    <row r="26" spans="1:7" ht="14" x14ac:dyDescent="0.3">
      <c r="D26" s="89" t="s">
        <v>169</v>
      </c>
      <c r="E26" s="90" t="s">
        <v>255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513602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opLeftCell="D3" workbookViewId="0">
      <selection activeCell="G58" sqref="G5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0" bestFit="1" customWidth="1"/>
  </cols>
  <sheetData>
    <row r="1" spans="1:9" ht="15" customHeight="1" x14ac:dyDescent="0.35">
      <c r="A1" s="169" t="s">
        <v>0</v>
      </c>
      <c r="B1" s="169"/>
      <c r="C1" s="169"/>
      <c r="D1" s="169"/>
      <c r="E1" s="169"/>
      <c r="F1" s="169"/>
      <c r="G1" s="169"/>
      <c r="H1" s="169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71" t="s">
        <v>73</v>
      </c>
      <c r="C3" s="171"/>
      <c r="D3" s="171"/>
      <c r="E3" s="171"/>
      <c r="F3" s="171"/>
      <c r="G3" s="171"/>
      <c r="H3" s="67"/>
      <c r="I3" s="17"/>
    </row>
    <row r="4" spans="1:9" s="26" customFormat="1" ht="15" customHeight="1" x14ac:dyDescent="0.35">
      <c r="A4" s="25"/>
      <c r="B4" s="170" t="s">
        <v>67</v>
      </c>
      <c r="C4" s="170"/>
      <c r="D4" s="170"/>
      <c r="E4" s="170"/>
      <c r="F4" s="170"/>
      <c r="G4" s="170"/>
      <c r="H4" s="170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245</v>
      </c>
      <c r="I6" s="128" t="str">
        <f>raison</f>
        <v>DK 51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51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8" t="s">
        <v>209</v>
      </c>
      <c r="I8"/>
    </row>
    <row r="9" spans="1:9" ht="15" customHeight="1" thickBot="1" x14ac:dyDescent="0.35">
      <c r="B9" t="s">
        <v>29</v>
      </c>
      <c r="D9" s="1"/>
      <c r="E9" s="1"/>
      <c r="G9" s="1"/>
      <c r="H9" s="51" t="s">
        <v>206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8" t="s">
        <v>207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8" t="s">
        <v>208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37000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2" t="s">
        <v>247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3" t="s">
        <v>248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7" t="s">
        <v>199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4" t="s">
        <v>200</v>
      </c>
      <c r="I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210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92400</v>
      </c>
      <c r="I20"/>
    </row>
    <row r="21" spans="1:10" ht="24" customHeight="1" thickBot="1" x14ac:dyDescent="0.35">
      <c r="B21" s="1" t="s">
        <v>6</v>
      </c>
      <c r="D21" s="1"/>
      <c r="E21" s="68"/>
      <c r="F21" s="37"/>
      <c r="G21" s="1"/>
      <c r="H21" s="123" t="s">
        <v>244</v>
      </c>
      <c r="I21"/>
    </row>
    <row r="22" spans="1:10" s="3" customFormat="1" ht="28.5" customHeight="1" thickBot="1" x14ac:dyDescent="0.35">
      <c r="B22" s="2" t="s">
        <v>198</v>
      </c>
      <c r="E22" s="11"/>
      <c r="F22" s="67"/>
      <c r="H22" s="39" t="s">
        <v>246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74" t="s">
        <v>53</v>
      </c>
      <c r="B26" s="174"/>
      <c r="C26" s="174"/>
      <c r="D26" s="174"/>
      <c r="E26" s="174"/>
      <c r="F26" s="174"/>
      <c r="G26" s="174"/>
      <c r="H26" s="174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45658</v>
      </c>
      <c r="I27"/>
      <c r="J27"/>
    </row>
    <row r="28" spans="1:10" ht="15" customHeight="1" thickBot="1" x14ac:dyDescent="0.35">
      <c r="A28" s="175" t="s">
        <v>54</v>
      </c>
      <c r="B28" t="s">
        <v>55</v>
      </c>
      <c r="H28" s="72"/>
      <c r="I28"/>
    </row>
    <row r="29" spans="1:10" ht="15" customHeight="1" thickBot="1" x14ac:dyDescent="0.35">
      <c r="A29" s="175"/>
      <c r="B29" t="s">
        <v>56</v>
      </c>
      <c r="H29" s="72">
        <v>46022</v>
      </c>
    </row>
    <row r="30" spans="1:10" ht="29.25" customHeight="1" thickBot="1" x14ac:dyDescent="0.35">
      <c r="B30" s="2" t="s">
        <v>10</v>
      </c>
      <c r="H30" s="57"/>
    </row>
    <row r="31" spans="1:10" ht="15" customHeight="1" thickBot="1" x14ac:dyDescent="0.35">
      <c r="B31" t="s">
        <v>38</v>
      </c>
      <c r="F31" s="10"/>
      <c r="H31" s="38" t="s">
        <v>151</v>
      </c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 xml:space="preserve"> GK1478818A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6" t="s">
        <v>75</v>
      </c>
      <c r="C46" s="176"/>
      <c r="D46" s="176"/>
      <c r="E46" s="176"/>
      <c r="F46" s="176"/>
      <c r="G46" s="177"/>
      <c r="H46" s="38" t="s">
        <v>122</v>
      </c>
    </row>
    <row r="47" spans="2:9" ht="32.25" customHeight="1" thickBot="1" x14ac:dyDescent="0.35">
      <c r="B47" s="172" t="s">
        <v>119</v>
      </c>
      <c r="C47" s="172"/>
      <c r="D47" s="172"/>
      <c r="E47" s="172"/>
      <c r="F47" s="172"/>
      <c r="G47" s="173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10" ht="15" customHeight="1" thickBot="1" x14ac:dyDescent="0.35">
      <c r="B49" t="s">
        <v>32</v>
      </c>
      <c r="H49" s="38" t="s">
        <v>256</v>
      </c>
    </row>
    <row r="50" spans="1:10" ht="15" customHeight="1" thickBot="1" x14ac:dyDescent="0.35">
      <c r="B50" t="s">
        <v>68</v>
      </c>
      <c r="F50" t="s">
        <v>33</v>
      </c>
      <c r="H50" s="59">
        <v>30004</v>
      </c>
    </row>
    <row r="51" spans="1:10" ht="15" customHeight="1" thickBot="1" x14ac:dyDescent="0.35">
      <c r="F51" t="s">
        <v>34</v>
      </c>
      <c r="H51" s="40" t="s">
        <v>257</v>
      </c>
    </row>
    <row r="52" spans="1:10" ht="15" customHeight="1" thickBot="1" x14ac:dyDescent="0.35">
      <c r="F52" t="s">
        <v>35</v>
      </c>
      <c r="H52" s="41" t="s">
        <v>258</v>
      </c>
    </row>
    <row r="53" spans="1:10" ht="15" customHeight="1" thickBot="1" x14ac:dyDescent="0.35">
      <c r="F53" t="s">
        <v>36</v>
      </c>
      <c r="H53" s="141" t="s">
        <v>259</v>
      </c>
      <c r="I53" s="31"/>
    </row>
    <row r="54" spans="1:10" ht="15" customHeight="1" thickBot="1" x14ac:dyDescent="0.35">
      <c r="B54" t="s">
        <v>44</v>
      </c>
      <c r="H54" s="38" t="s">
        <v>122</v>
      </c>
      <c r="I54" s="44"/>
    </row>
    <row r="55" spans="1:10" ht="15" customHeight="1" thickBot="1" x14ac:dyDescent="0.35">
      <c r="B55" t="s">
        <v>45</v>
      </c>
      <c r="H55" s="42" t="s">
        <v>122</v>
      </c>
      <c r="I55" s="44"/>
    </row>
    <row r="56" spans="1:10" ht="15" customHeight="1" x14ac:dyDescent="0.3">
      <c r="H56" s="67"/>
    </row>
    <row r="57" spans="1:10" s="3" customFormat="1" ht="14.25" customHeight="1" x14ac:dyDescent="0.3">
      <c r="A57" s="3" t="s">
        <v>30</v>
      </c>
      <c r="D57" s="30">
        <v>45679</v>
      </c>
      <c r="E57" s="21"/>
      <c r="H57" s="37"/>
      <c r="I57" s="19"/>
      <c r="J57"/>
    </row>
    <row r="58" spans="1:10" ht="15" customHeight="1" x14ac:dyDescent="0.3">
      <c r="A58" t="s">
        <v>31</v>
      </c>
      <c r="H58" s="146" t="s">
        <v>253</v>
      </c>
      <c r="I58" s="145"/>
    </row>
    <row r="59" spans="1:10" ht="15" customHeight="1" x14ac:dyDescent="0.3">
      <c r="D59" s="31" t="s">
        <v>125</v>
      </c>
      <c r="H59" s="127" t="s">
        <v>254</v>
      </c>
      <c r="I59" s="119"/>
    </row>
    <row r="60" spans="1:10" ht="15" customHeight="1" x14ac:dyDescent="0.3">
      <c r="D60" s="31"/>
      <c r="H60" s="127" t="s">
        <v>255</v>
      </c>
      <c r="I60" s="119"/>
    </row>
    <row r="61" spans="1:10" ht="15" customHeight="1" x14ac:dyDescent="0.3">
      <c r="H61" s="37"/>
    </row>
    <row r="62" spans="1:10" ht="15" customHeight="1" x14ac:dyDescent="0.3">
      <c r="H62" s="37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22"/>
  <sheetViews>
    <sheetView tabSelected="1" workbookViewId="0">
      <selection activeCell="D9" sqref="D9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245</v>
      </c>
      <c r="B3" s="132" t="s">
        <v>244</v>
      </c>
      <c r="C3" s="64"/>
      <c r="D3" s="65" t="s">
        <v>150</v>
      </c>
      <c r="E3" s="144" t="s">
        <v>273</v>
      </c>
      <c r="F3" s="65" t="s">
        <v>275</v>
      </c>
      <c r="G3" s="65" t="s">
        <v>193</v>
      </c>
      <c r="H3" s="63" t="s">
        <v>151</v>
      </c>
      <c r="I3" s="63" t="s">
        <v>276</v>
      </c>
      <c r="J3" s="63" t="s">
        <v>277</v>
      </c>
      <c r="K3" s="121" t="s">
        <v>278</v>
      </c>
      <c r="L3" s="66" t="s">
        <v>272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51</v>
      </c>
      <c r="B12" s="135" t="str">
        <f>B3</f>
        <v>0552</v>
      </c>
      <c r="C12" s="124" t="str">
        <f>A18</f>
        <v>K24023318A</v>
      </c>
      <c r="D12" s="124" t="str">
        <f>A15</f>
        <v>D00334392O</v>
      </c>
      <c r="E12" s="124" t="s">
        <v>205</v>
      </c>
    </row>
    <row r="14" spans="1:13" s="133" customFormat="1" x14ac:dyDescent="0.3">
      <c r="A14" s="153" t="s">
        <v>214</v>
      </c>
      <c r="B14" s="153" t="s">
        <v>215</v>
      </c>
      <c r="C14" s="153" t="s">
        <v>146</v>
      </c>
      <c r="D14" s="153" t="s">
        <v>216</v>
      </c>
      <c r="E14" s="153" t="s">
        <v>217</v>
      </c>
      <c r="F14" s="154" t="s">
        <v>218</v>
      </c>
      <c r="G14" s="154" t="s">
        <v>219</v>
      </c>
      <c r="H14" s="153" t="s">
        <v>220</v>
      </c>
      <c r="I14" s="153" t="s">
        <v>8</v>
      </c>
      <c r="J14" s="154" t="s">
        <v>221</v>
      </c>
      <c r="K14" s="154" t="s">
        <v>222</v>
      </c>
      <c r="L14" s="154" t="s">
        <v>223</v>
      </c>
      <c r="M14" s="154" t="s">
        <v>279</v>
      </c>
    </row>
    <row r="15" spans="1:13" s="133" customFormat="1" x14ac:dyDescent="0.3">
      <c r="A15" s="155" t="s">
        <v>280</v>
      </c>
      <c r="B15" s="155" t="s">
        <v>224</v>
      </c>
      <c r="C15" s="155" t="s">
        <v>225</v>
      </c>
      <c r="D15" s="155" t="s">
        <v>245</v>
      </c>
      <c r="E15" s="155">
        <v>938979788</v>
      </c>
      <c r="F15" s="149" t="s">
        <v>226</v>
      </c>
      <c r="G15" s="149" t="s">
        <v>227</v>
      </c>
      <c r="H15" s="155">
        <v>5710</v>
      </c>
      <c r="I15" s="155" t="s">
        <v>228</v>
      </c>
      <c r="J15" s="149">
        <v>3511</v>
      </c>
      <c r="K15" s="149" t="s">
        <v>200</v>
      </c>
      <c r="L15" s="149" t="s">
        <v>244</v>
      </c>
      <c r="M15" s="149">
        <v>1</v>
      </c>
    </row>
    <row r="16" spans="1:13" s="133" customFormat="1" x14ac:dyDescent="0.3">
      <c r="L16" s="137"/>
    </row>
    <row r="17" spans="1:14" s="133" customFormat="1" x14ac:dyDescent="0.3">
      <c r="A17" s="153" t="s">
        <v>214</v>
      </c>
      <c r="B17" s="153" t="s">
        <v>215</v>
      </c>
      <c r="C17" s="153" t="s">
        <v>146</v>
      </c>
      <c r="D17" s="153" t="s">
        <v>229</v>
      </c>
      <c r="E17" s="153" t="s">
        <v>217</v>
      </c>
      <c r="F17" s="154" t="s">
        <v>230</v>
      </c>
      <c r="G17" s="154" t="s">
        <v>231</v>
      </c>
      <c r="H17" s="153" t="s">
        <v>232</v>
      </c>
      <c r="I17" s="154" t="s">
        <v>24</v>
      </c>
      <c r="J17" s="154" t="s">
        <v>281</v>
      </c>
      <c r="K17" s="154" t="s">
        <v>233</v>
      </c>
      <c r="L17" s="154" t="s">
        <v>234</v>
      </c>
      <c r="M17" s="154" t="s">
        <v>235</v>
      </c>
    </row>
    <row r="18" spans="1:14" s="133" customFormat="1" x14ac:dyDescent="0.3">
      <c r="A18" s="155" t="s">
        <v>282</v>
      </c>
      <c r="B18" s="155" t="s">
        <v>224</v>
      </c>
      <c r="C18" s="155" t="s">
        <v>225</v>
      </c>
      <c r="D18" s="155" t="s">
        <v>245</v>
      </c>
      <c r="E18" s="156" t="s">
        <v>247</v>
      </c>
      <c r="F18" s="149" t="s">
        <v>236</v>
      </c>
      <c r="G18" s="149" t="s">
        <v>237</v>
      </c>
      <c r="H18" s="155" t="s">
        <v>283</v>
      </c>
      <c r="I18" s="149" t="s">
        <v>238</v>
      </c>
      <c r="J18" s="152"/>
      <c r="K18" s="149" t="s">
        <v>284</v>
      </c>
      <c r="L18" s="149" t="s">
        <v>82</v>
      </c>
      <c r="M18" s="149" t="s">
        <v>280</v>
      </c>
    </row>
    <row r="21" spans="1:14" ht="14.5" x14ac:dyDescent="0.35">
      <c r="A21" s="147" t="s">
        <v>214</v>
      </c>
      <c r="B21" s="147" t="s">
        <v>215</v>
      </c>
      <c r="C21" s="147" t="s">
        <v>146</v>
      </c>
      <c r="D21" s="147" t="s">
        <v>229</v>
      </c>
      <c r="E21" s="147" t="s">
        <v>260</v>
      </c>
      <c r="F21" s="147" t="s">
        <v>261</v>
      </c>
      <c r="G21" s="148" t="s">
        <v>262</v>
      </c>
      <c r="H21" s="148" t="s">
        <v>263</v>
      </c>
      <c r="I21" s="147" t="s">
        <v>264</v>
      </c>
      <c r="J21" s="147" t="s">
        <v>265</v>
      </c>
      <c r="K21" s="147" t="s">
        <v>266</v>
      </c>
      <c r="L21" s="147" t="s">
        <v>267</v>
      </c>
      <c r="M21" s="147" t="s">
        <v>268</v>
      </c>
      <c r="N21" s="147" t="s">
        <v>269</v>
      </c>
    </row>
    <row r="22" spans="1:14" x14ac:dyDescent="0.3">
      <c r="A22" s="149" t="s">
        <v>270</v>
      </c>
      <c r="B22" s="149" t="s">
        <v>224</v>
      </c>
      <c r="C22" s="149" t="s">
        <v>271</v>
      </c>
      <c r="D22" s="149" t="s">
        <v>272</v>
      </c>
      <c r="E22" s="149" t="s">
        <v>194</v>
      </c>
      <c r="F22" s="149" t="s">
        <v>150</v>
      </c>
      <c r="G22" s="150" t="s">
        <v>273</v>
      </c>
      <c r="H22" s="151"/>
      <c r="I22" s="149">
        <v>0</v>
      </c>
      <c r="J22" s="149">
        <v>0</v>
      </c>
      <c r="K22" s="149">
        <v>0</v>
      </c>
      <c r="L22" s="149">
        <v>0</v>
      </c>
      <c r="M22" s="149" t="s">
        <v>274</v>
      </c>
      <c r="N22" s="152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0552</v>
      </c>
    </row>
    <row r="3" spans="1:9" ht="13" x14ac:dyDescent="0.3">
      <c r="B3" s="13"/>
      <c r="C3" s="14" t="s">
        <v>95</v>
      </c>
      <c r="G3" s="15" t="str">
        <f>+sigle</f>
        <v>DK 51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YS2351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938979788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00016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FR12938979788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513602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2025-01-22T08:53:07Z</cp:lastPrinted>
  <dcterms:created xsi:type="dcterms:W3CDTF">1999-03-09T10:58:01Z</dcterms:created>
  <dcterms:modified xsi:type="dcterms:W3CDTF">2025-01-22T08:53:09Z</dcterms:modified>
</cp:coreProperties>
</file>