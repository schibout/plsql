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5 à DK 54 - 02 2025\DK 46 - 01 2025\"/>
    </mc:Choice>
  </mc:AlternateContent>
  <bookViews>
    <workbookView xWindow="-10" yWindow="110" windowWidth="15340" windowHeight="4200" activeTab="2"/>
  </bookViews>
  <sheets>
    <sheet name="513597" sheetId="8" r:id="rId1"/>
    <sheet name="INITSOC- Oracle R12" sheetId="1" r:id="rId2"/>
    <sheet name="Nouveau référentiel R12" sheetId="10" r:id="rId3"/>
    <sheet name="Attributions Responsabilités" sheetId="7" r:id="rId4"/>
    <sheet name="BD STE ET AUTRES" sheetId="5" r:id="rId5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A12" i="10" l="1"/>
  <c r="B12" i="10" l="1"/>
  <c r="H7" i="1"/>
  <c r="I6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<sst xmlns="http://schemas.openxmlformats.org/spreadsheetml/2006/main" count="376" uniqueCount="284">
  <si>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</si>
  <si>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</si>
  <si>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</si>
  <si>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</si>
  <si>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</si>
  <si>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</si>
  <si>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</si>
  <si>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</si>
  <si>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</si>
  <si>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</si>
  <si>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</si>
  <si>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</si>
  <si>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</si>
  <si>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</si>
  <si>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</si>
  <si>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</si>
  <si>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</si>
  <si>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</si>
  <si>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</si>
  <si>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</si>
  <si>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</si>
  <si>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</si>
  <si>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</si>
  <si>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</si>
  <si>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</si>
  <si>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</si>
  <si>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</si>
  <si>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</si>
  <si>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</si>
  <si>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</si>
  <si>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</si>
  <si>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</si>
  <si>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</si>
  <si>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</si>
  <si>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</si>
  <si>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</si>
  <si>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</si>
  <si>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</si>
  <si>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</si>
  <si>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</si>
  <si>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</si>
  <si>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</si>
  <si>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</si>
  <si>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</si>
  <si>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</si>
  <si>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</si>
  <si>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</si>
  <si>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</si>
  <si>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</si>
  <si>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</si>
  <si>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</si>
  <si>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</si>
  <si>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</si>
  <si>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</si>
  <si>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</si>
  <si>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</si>
  <si>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</si>
  <si>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</si>
  <si>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</si>
  <si>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</si>
  <si>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</si>
  <si>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</si>
  <si>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</si>
  <si>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</si>
  <si>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</si>
  <si>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</si>
  <si>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</si>
  <si>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</si>
  <si>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</si>
  <si>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</si>
  <si>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</si>
  <si>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</si>
  <si>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</si>
  <si>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</si>
  <si>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</si>
  <si>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</si>
  <si>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</si>
  <si>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</si>
  <si>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</si>
  <si>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</si>
  <si>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</si>
  <si>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</si>
  <si>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</si>
  <si>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</si>
  <si>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</si>
  <si>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</si>
  <si>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</si>
  <si>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</si>
  <si>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</si>
  <si>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</si>
  <si>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</si>
  <si>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</si>
  <si>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</si>
  <si>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</si>
  <si>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</si>
  <si>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</si>
  <si>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</si>
  <si>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</si>
  <si>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</si>
  <si>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</si>
  <si>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</si>
  <si>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</si>
  <si>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</si>
  <si>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</si>
  <si>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</si>
  <si>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</si>
  <si>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</si>
  <si>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</si>
  <si>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</si>
  <si>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</si>
  <si>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</si>
  <si>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</si>
  <si>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</si>
  <si>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</si>
  <si>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</si>
  <si>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</si>
  <si>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</si>
  <si>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</si>
  <si>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</si>
  <si>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</si>
  <si>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</si>
  <si>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</si>
  <si>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</si>
  <si>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</si>
  <si>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</si>
  <si>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</si>
  <si>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</si>
  <si>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</si>
  <si>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</si>
  <si>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</si>
  <si>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</si>
  <si>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</si>
  <si>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</si>
  <si>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</si>
  <si>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</si>
  <si>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</si>
  <si>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</si>
  <si>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</si>
  <si>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</si>
  <si>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</si>
  <si>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</si>
  <si>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</si>
  <si>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</si>
  <si>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</si>
  <si>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</si>
  <si>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</si>
  <si>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</si>
  <si>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</si>
  <si>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</si>
  <si>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</si>
  <si>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</si>
  <si>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</si>
  <si>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</si>
  <si>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</si>
  <si>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</si>
  <si>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</si>
  <si>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</si>
  <si>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</si>
  <si>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</si>
  <si>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</si>
  <si>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</si>
  <si>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</si>
  <si>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</si>
  <si>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</si>
  <si>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</si>
  <si>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</si>
  <si>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</si>
  <si>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</si>
  <si>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</si>
  <si>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</si>
  <si>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</si>
  <si>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</si>
  <si>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</si>
  <si>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</si>
  <si>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</si>
  <si>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</si>
  <si>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</si>
  <si>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</si>
  <si>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</si>
  <si>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</si>
  <si>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</si>
  <si>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</si>
  <si>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</si>
  <si>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</si>
  <si>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</si>
  <si>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</si>
  <si>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</si>
  <si>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</si>
  <si>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</si>
  <si>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</si>
  <si>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</si>
  <si>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</si>
  <si>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</si>
  <si>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</si>
  <si>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</si>
  <si>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</si>
  <si>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</si>
  <si>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</si>
  <si>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</si>
  <si>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3511Z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</si>
  <si>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</si>
  <si>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</si>
  <si>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</si>
  <si>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</si>
  <si>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</si>
  <si>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</si>
  <si>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92099 - TSA 77655</t>
  </si>
  <si>
    <t>PARIS LA DEFENSE CEDEX</t>
  </si>
  <si>
    <t>Nanterre</t>
  </si>
  <si>
    <t>TOUR EUROPE - 33, Place des Corolles</t>
  </si>
  <si>
    <t>92026</t>
  </si>
  <si>
    <t>LIVRE COMPTABLE</t>
  </si>
  <si>
    <t>A créer sous UO - Dalkia Siège :</t>
  </si>
  <si>
    <t>92099 PARIS LA DEFENSE</t>
  </si>
  <si>
    <t>SOCIETE GENERALE</t>
  </si>
  <si>
    <t>SOGEFRPP</t>
  </si>
  <si>
    <t>03620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</si>
  <si>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</si>
  <si>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</si>
  <si>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</si>
  <si>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</si>
  <si>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</si>
  <si>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</si>
  <si>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</si>
  <si>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</si>
  <si>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</si>
  <si>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</si>
  <si>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</si>
  <si>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</si>
  <si>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</si>
  <si>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</si>
  <si>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</si>
  <si>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</si>
  <si>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Nature</t>
  </si>
  <si>
    <t>Sous-segment</t>
  </si>
  <si>
    <t>DK Code adresse principale</t>
  </si>
  <si>
    <t>Ref adr. client</t>
  </si>
  <si>
    <t>Siège</t>
  </si>
  <si>
    <t>DK Code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</si>
  <si>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</si>
  <si>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</si>
  <si>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</si>
  <si>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</si>
  <si>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</si>
  <si>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</si>
  <si>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</si>
  <si>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</si>
  <si>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PARIS CENTRE ENTREPRISES</t>
  </si>
  <si>
    <t>0541</t>
  </si>
  <si>
    <t>DK 46</t>
  </si>
  <si>
    <t>YS2346</t>
  </si>
  <si>
    <t>93767498400011</t>
  </si>
  <si>
    <t xml:space="preserve"> FR35937674984</t>
  </si>
  <si>
    <t>Patricia BENJEBRIA</t>
  </si>
  <si>
    <t>0541 DK 46</t>
  </si>
  <si>
    <t>30003 03620 00020160592 21</t>
  </si>
  <si>
    <t>FR 76 3000 3036 2000 0201 6059 221</t>
  </si>
  <si>
    <t>Compte local 513597</t>
  </si>
  <si>
    <t>21</t>
  </si>
  <si>
    <t>00020160592</t>
  </si>
  <si>
    <t>Nb Partenaires</t>
  </si>
  <si>
    <t>D00334376U</t>
  </si>
  <si>
    <t>Complement adresse établissement</t>
  </si>
  <si>
    <t>K24023308M</t>
  </si>
  <si>
    <t>L00219241L</t>
  </si>
  <si>
    <t>0586080G</t>
  </si>
  <si>
    <t>FB0088972E</t>
  </si>
  <si>
    <t>PF FPS 0541 DK 46</t>
  </si>
  <si>
    <t>DOS0541</t>
  </si>
  <si>
    <t>PROJET FINANCE DK 46 UO DOS0541</t>
  </si>
  <si>
    <t>GK1478773Z</t>
  </si>
  <si>
    <t>TF FPS 0541 DK 46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</si>
  <si>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</si>
  <si>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</si>
  <si>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</si>
  <si>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</si>
  <si>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</si>
  <si>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</si>
  <si>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</si>
  <si>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</si>
  <si>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</si>
  <si>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</si>
  <si>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SG</t>
  </si>
  <si>
    <t>2025-01-20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</si>
</sst>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0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2"/>
      <color rgb="FF000000"/>
      <name val="Calibri"/>
      <family val="2"/>
      <scheme val="minor"/>
    </font>
    <font>
      <b/>
      <sz val="8"/>
      <color rgb="FFFFFFFF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Calibri"/>
      <family val="2"/>
    </font>
    <font>
      <b/>
      <sz val="1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24" fillId="2" borderId="5" xfId="0" applyNumberFormat="1" applyFont="1" applyFill="1" applyBorder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25" fillId="13" borderId="5" xfId="0" applyFont="1" applyFill="1" applyBorder="1" applyAlignment="1">
      <alignment horizontal="center"/>
    </xf>
    <xf numFmtId="0" fontId="25" fillId="13" borderId="5" xfId="0" applyFont="1" applyFill="1" applyBorder="1"/>
    <xf numFmtId="0" fontId="26" fillId="0" borderId="5" xfId="0" applyFont="1" applyBorder="1" applyAlignment="1">
      <alignment horizontal="center"/>
    </xf>
    <xf numFmtId="0" fontId="26" fillId="0" borderId="5" xfId="0" applyFont="1" applyBorder="1"/>
    <xf numFmtId="0" fontId="26" fillId="0" borderId="5" xfId="0" quotePrefix="1" applyFont="1" applyBorder="1" applyAlignment="1">
      <alignment horizontal="center"/>
    </xf>
    <xf numFmtId="0" fontId="0" fillId="0" borderId="5" xfId="0" applyFont="1" applyBorder="1"/>
    <xf numFmtId="0" fontId="27" fillId="13" borderId="5" xfId="0" applyFont="1" applyFill="1" applyBorder="1"/>
    <xf numFmtId="0" fontId="27" fillId="13" borderId="5" xfId="0" applyFont="1" applyFill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3">
    <cellStyle name="Normal" xfId="0" builtinId="0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3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13" workbookViewId="0">
      <selection activeCell="C29" sqref="C29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7"/>
      <c r="E1" s="78" t="s">
        <v>196</v>
      </c>
      <c r="F1" s="79"/>
      <c r="G1" s="80"/>
    </row>
    <row r="2" spans="1:7" ht="14" x14ac:dyDescent="0.3">
      <c r="D2" s="77"/>
      <c r="E2" s="81"/>
      <c r="F2" s="81"/>
      <c r="G2" s="81"/>
    </row>
    <row r="3" spans="1:7" ht="14" x14ac:dyDescent="0.3">
      <c r="D3" s="77"/>
      <c r="E3" s="81"/>
      <c r="F3" s="81"/>
      <c r="G3" s="81"/>
    </row>
    <row r="4" spans="1:7" ht="14" x14ac:dyDescent="0.3">
      <c r="A4" s="82" t="s">
        <v>157</v>
      </c>
      <c r="E4" s="162"/>
      <c r="F4" s="162"/>
      <c r="G4" s="162"/>
    </row>
    <row r="8" spans="1:7" ht="14.5" x14ac:dyDescent="0.35">
      <c r="A8" s="83" t="s">
        <v>158</v>
      </c>
      <c r="C8" s="84">
        <v>45660</v>
      </c>
    </row>
    <row r="9" spans="1:7" ht="15" customHeight="1" x14ac:dyDescent="0.3">
      <c r="C9" s="85"/>
    </row>
    <row r="10" spans="1:7" ht="14" x14ac:dyDescent="0.3">
      <c r="D10" s="86" t="s">
        <v>159</v>
      </c>
      <c r="E10" s="87" t="s">
        <v>160</v>
      </c>
      <c r="F10" s="88"/>
      <c r="G10" s="89"/>
    </row>
    <row r="11" spans="1:7" ht="14" x14ac:dyDescent="0.3">
      <c r="D11" s="90" t="s">
        <v>161</v>
      </c>
      <c r="E11" s="91" t="s">
        <v>253</v>
      </c>
      <c r="F11" s="10"/>
      <c r="G11" s="92"/>
    </row>
    <row r="12" spans="1:7" ht="15" customHeight="1" x14ac:dyDescent="0.3">
      <c r="D12" s="90" t="s">
        <v>162</v>
      </c>
      <c r="E12" s="159" t="s">
        <v>242</v>
      </c>
      <c r="F12" s="160"/>
      <c r="G12" s="161"/>
    </row>
    <row r="13" spans="1:7" ht="13.75" customHeight="1" x14ac:dyDescent="0.3">
      <c r="D13" s="93"/>
      <c r="E13" s="163" t="s">
        <v>243</v>
      </c>
      <c r="F13" s="163"/>
      <c r="G13" s="164"/>
    </row>
    <row r="14" spans="1:7" x14ac:dyDescent="0.3">
      <c r="D14" s="10"/>
      <c r="E14" s="10"/>
      <c r="F14" s="10"/>
      <c r="G14" s="10"/>
    </row>
    <row r="16" spans="1:7" ht="14" x14ac:dyDescent="0.3">
      <c r="A16" s="82" t="s">
        <v>11</v>
      </c>
      <c r="D16" s="94" t="s">
        <v>163</v>
      </c>
      <c r="E16" s="165" t="s">
        <v>254</v>
      </c>
      <c r="F16" s="165"/>
      <c r="G16" s="166"/>
    </row>
    <row r="17" spans="1:7" ht="14" x14ac:dyDescent="0.3">
      <c r="A17" s="82"/>
      <c r="D17" s="95" t="s">
        <v>164</v>
      </c>
      <c r="E17" s="127" t="s">
        <v>244</v>
      </c>
      <c r="F17" s="127"/>
      <c r="G17" s="127"/>
    </row>
    <row r="18" spans="1:7" ht="15" customHeight="1" x14ac:dyDescent="0.3">
      <c r="A18" s="82"/>
      <c r="D18" s="95"/>
      <c r="E18" s="127" t="s">
        <v>245</v>
      </c>
      <c r="F18" s="127"/>
      <c r="G18" s="127"/>
    </row>
    <row r="19" spans="1:7" ht="14" x14ac:dyDescent="0.3">
      <c r="A19" s="82"/>
      <c r="D19" s="95"/>
      <c r="E19" s="167" t="s">
        <v>213</v>
      </c>
      <c r="F19" s="167"/>
      <c r="G19" s="168"/>
    </row>
    <row r="20" spans="1:7" ht="14" x14ac:dyDescent="0.3">
      <c r="D20" s="96" t="s">
        <v>246</v>
      </c>
      <c r="E20" s="97"/>
      <c r="F20" s="98"/>
      <c r="G20" s="99"/>
    </row>
    <row r="21" spans="1:7" ht="13.75" customHeight="1" x14ac:dyDescent="0.3"/>
    <row r="22" spans="1:7" ht="13.75" customHeight="1" x14ac:dyDescent="0.3">
      <c r="D22" s="86" t="s">
        <v>165</v>
      </c>
      <c r="E22" s="100" t="s">
        <v>214</v>
      </c>
      <c r="F22" s="88"/>
      <c r="G22" s="89"/>
    </row>
    <row r="23" spans="1:7" ht="14" customHeight="1" x14ac:dyDescent="0.3">
      <c r="D23" s="90" t="s">
        <v>166</v>
      </c>
      <c r="E23" s="157" t="s">
        <v>247</v>
      </c>
      <c r="F23" s="157"/>
      <c r="G23" s="158"/>
    </row>
    <row r="24" spans="1:7" ht="14" x14ac:dyDescent="0.3">
      <c r="D24" s="101" t="s">
        <v>167</v>
      </c>
      <c r="E24" s="157" t="s">
        <v>215</v>
      </c>
      <c r="F24" s="157"/>
      <c r="G24" s="158"/>
    </row>
    <row r="25" spans="1:7" ht="14" x14ac:dyDescent="0.3">
      <c r="D25" s="90" t="s">
        <v>168</v>
      </c>
      <c r="E25" s="91" t="s">
        <v>255</v>
      </c>
      <c r="F25" s="10"/>
      <c r="G25" s="92"/>
    </row>
    <row r="26" spans="1:7" ht="14" x14ac:dyDescent="0.3">
      <c r="D26" s="90" t="s">
        <v>169</v>
      </c>
      <c r="E26" s="91" t="s">
        <v>256</v>
      </c>
      <c r="F26" s="10"/>
      <c r="G26" s="92"/>
    </row>
    <row r="27" spans="1:7" ht="14" x14ac:dyDescent="0.3">
      <c r="D27" s="102" t="s">
        <v>170</v>
      </c>
      <c r="E27" s="103"/>
      <c r="F27" s="103"/>
      <c r="G27" s="104" t="s">
        <v>111</v>
      </c>
    </row>
    <row r="29" spans="1:7" ht="14" x14ac:dyDescent="0.3">
      <c r="D29" s="102" t="s">
        <v>171</v>
      </c>
      <c r="E29" s="103"/>
      <c r="F29" s="103"/>
      <c r="G29" s="104" t="s">
        <v>82</v>
      </c>
    </row>
    <row r="31" spans="1:7" ht="14" x14ac:dyDescent="0.3">
      <c r="D31" s="86" t="s">
        <v>172</v>
      </c>
      <c r="E31" s="88"/>
      <c r="F31" s="105"/>
      <c r="G31" s="106">
        <v>513597</v>
      </c>
    </row>
    <row r="32" spans="1:7" ht="14" x14ac:dyDescent="0.3">
      <c r="D32" s="93" t="s">
        <v>173</v>
      </c>
      <c r="E32" s="107"/>
      <c r="F32" s="107"/>
      <c r="G32" s="108" t="s">
        <v>111</v>
      </c>
    </row>
    <row r="33" spans="1:8" x14ac:dyDescent="0.3">
      <c r="D33" s="10"/>
      <c r="E33" s="10"/>
      <c r="F33" s="10"/>
    </row>
    <row r="34" spans="1:8" ht="14.5" x14ac:dyDescent="0.35">
      <c r="A34" s="83"/>
      <c r="B34" s="10"/>
      <c r="D34" s="37"/>
    </row>
    <row r="35" spans="1:8" ht="14" x14ac:dyDescent="0.3">
      <c r="A35" s="82" t="s">
        <v>174</v>
      </c>
      <c r="D35" s="86" t="s">
        <v>175</v>
      </c>
      <c r="E35" s="88"/>
      <c r="F35" s="88"/>
      <c r="G35" s="104" t="s">
        <v>82</v>
      </c>
    </row>
    <row r="36" spans="1:8" ht="14" x14ac:dyDescent="0.3">
      <c r="A36" s="82"/>
      <c r="D36" s="93" t="s">
        <v>176</v>
      </c>
      <c r="E36" s="107"/>
      <c r="F36" s="107"/>
      <c r="G36" s="109"/>
    </row>
    <row r="37" spans="1:8" ht="14" x14ac:dyDescent="0.3">
      <c r="D37" s="93" t="s">
        <v>177</v>
      </c>
      <c r="E37" s="107"/>
      <c r="F37" s="110"/>
      <c r="G37" s="111"/>
    </row>
    <row r="40" spans="1:8" ht="14" x14ac:dyDescent="0.3">
      <c r="A40" s="112" t="s">
        <v>178</v>
      </c>
      <c r="B40" s="113"/>
      <c r="C40" s="113"/>
      <c r="D40" s="113"/>
      <c r="E40" s="114" t="s">
        <v>179</v>
      </c>
      <c r="F40" s="115"/>
      <c r="G40" s="116"/>
      <c r="H40" s="113"/>
    </row>
    <row r="41" spans="1:8" ht="14" x14ac:dyDescent="0.3">
      <c r="A41" s="112"/>
      <c r="B41" s="113"/>
      <c r="C41" s="113"/>
      <c r="D41" s="113"/>
      <c r="E41" s="114" t="s">
        <v>180</v>
      </c>
      <c r="F41" s="115"/>
      <c r="G41" s="116"/>
      <c r="H41" s="113"/>
    </row>
    <row r="42" spans="1:8" ht="14.5" x14ac:dyDescent="0.35">
      <c r="A42" s="83" t="s">
        <v>181</v>
      </c>
      <c r="B42" s="10"/>
      <c r="D42" s="37"/>
      <c r="E42" s="114" t="s">
        <v>182</v>
      </c>
      <c r="F42" s="117"/>
      <c r="G42" s="118"/>
    </row>
    <row r="43" spans="1:8" ht="14" x14ac:dyDescent="0.3">
      <c r="D43" s="37"/>
      <c r="E43" s="114" t="s">
        <v>183</v>
      </c>
      <c r="F43" s="117"/>
      <c r="G43" s="118"/>
    </row>
    <row r="44" spans="1:8" ht="14" x14ac:dyDescent="0.3">
      <c r="D44" s="37"/>
      <c r="E44" s="114" t="s">
        <v>184</v>
      </c>
      <c r="F44" s="117"/>
      <c r="G44" s="118"/>
    </row>
    <row r="45" spans="1:8" ht="14" x14ac:dyDescent="0.3">
      <c r="D45" s="37"/>
      <c r="E45" s="139" t="s">
        <v>185</v>
      </c>
      <c r="F45" s="140"/>
      <c r="G45" s="141"/>
    </row>
    <row r="47" spans="1:8" ht="14" x14ac:dyDescent="0.3">
      <c r="E47" s="119"/>
      <c r="F47" s="119"/>
      <c r="G47" s="119"/>
    </row>
    <row r="48" spans="1:8" x14ac:dyDescent="0.3">
      <c r="F48" s="120"/>
    </row>
    <row r="49" spans="1:7" ht="14" x14ac:dyDescent="0.3">
      <c r="A49" s="82" t="s">
        <v>186</v>
      </c>
    </row>
    <row r="50" spans="1:7" ht="14.5" x14ac:dyDescent="0.35">
      <c r="A50" s="83" t="s">
        <v>181</v>
      </c>
      <c r="E50" s="123" t="s">
        <v>187</v>
      </c>
      <c r="F50" s="117" t="s">
        <v>188</v>
      </c>
      <c r="G50" s="118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6"/>
  <sheetViews>
    <sheetView topLeftCell="D22" workbookViewId="0">
      <selection activeCell="H28" sqref="H28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36.7265625" style="20" bestFit="1" customWidth="1"/>
  </cols>
  <sheetData>
    <row r="1" spans="1:9" ht="15" customHeight="1" x14ac:dyDescent="0.35">
      <c r="A1" s="169" t="s">
        <v>0</v>
      </c>
      <c r="B1" s="169"/>
      <c r="C1" s="169"/>
      <c r="D1" s="169"/>
      <c r="E1" s="169"/>
      <c r="F1" s="169"/>
      <c r="G1" s="169"/>
      <c r="H1" s="169"/>
      <c r="I1" s="19"/>
    </row>
    <row r="2" spans="1:9" s="3" customFormat="1" ht="27.75" customHeight="1" x14ac:dyDescent="0.3">
      <c r="B2" s="3" t="s">
        <v>72</v>
      </c>
      <c r="H2" s="68"/>
      <c r="I2" s="18"/>
    </row>
    <row r="3" spans="1:9" s="3" customFormat="1" ht="27.75" customHeight="1" x14ac:dyDescent="0.3">
      <c r="B3" s="171" t="s">
        <v>73</v>
      </c>
      <c r="C3" s="171"/>
      <c r="D3" s="171"/>
      <c r="E3" s="171"/>
      <c r="F3" s="171"/>
      <c r="G3" s="171"/>
      <c r="H3" s="68"/>
      <c r="I3" s="18"/>
    </row>
    <row r="4" spans="1:9" s="27" customFormat="1" ht="15" customHeight="1" x14ac:dyDescent="0.35">
      <c r="A4" s="26"/>
      <c r="B4" s="170" t="s">
        <v>67</v>
      </c>
      <c r="C4" s="170"/>
      <c r="D4" s="170"/>
      <c r="E4" s="170"/>
      <c r="F4" s="170"/>
      <c r="G4" s="170"/>
      <c r="H4" s="170"/>
      <c r="I4" s="18"/>
    </row>
    <row r="5" spans="1:9" s="3" customFormat="1" ht="15" customHeight="1" thickBot="1" x14ac:dyDescent="0.35">
      <c r="A5" s="2" t="s">
        <v>71</v>
      </c>
      <c r="H5" s="68"/>
      <c r="I5" s="129" t="s">
        <v>211</v>
      </c>
    </row>
    <row r="6" spans="1:9" ht="15" customHeight="1" thickBot="1" x14ac:dyDescent="0.35">
      <c r="B6" t="s">
        <v>1</v>
      </c>
      <c r="F6" s="58"/>
      <c r="G6" s="58"/>
      <c r="H6" s="39" t="s">
        <v>249</v>
      </c>
      <c r="I6" s="129" t="str">
        <f>raison</f>
        <v>DK 46</v>
      </c>
    </row>
    <row r="7" spans="1:9" ht="15" customHeight="1" thickBot="1" x14ac:dyDescent="0.35">
      <c r="B7" t="s">
        <v>97</v>
      </c>
      <c r="D7" s="1"/>
      <c r="E7" s="1"/>
      <c r="G7" s="1"/>
      <c r="H7" s="39" t="str">
        <f>raison</f>
        <v>DK 46</v>
      </c>
      <c r="I7" s="18"/>
    </row>
    <row r="8" spans="1:9" ht="15" customHeight="1" thickBot="1" x14ac:dyDescent="0.35">
      <c r="B8" t="s">
        <v>2</v>
      </c>
      <c r="D8" s="1"/>
      <c r="E8" s="1"/>
      <c r="F8" s="58"/>
      <c r="G8" s="58"/>
      <c r="H8" s="39" t="s">
        <v>209</v>
      </c>
      <c r="I8" s="17"/>
    </row>
    <row r="9" spans="1:9" ht="15" customHeight="1" thickBot="1" x14ac:dyDescent="0.35">
      <c r="B9" t="s">
        <v>29</v>
      </c>
      <c r="D9" s="1"/>
      <c r="E9" s="1"/>
      <c r="G9" s="1"/>
      <c r="H9" s="52" t="s">
        <v>206</v>
      </c>
      <c r="I9" s="17"/>
    </row>
    <row r="10" spans="1:9" ht="15" customHeight="1" thickBot="1" x14ac:dyDescent="0.35">
      <c r="B10" t="s">
        <v>24</v>
      </c>
      <c r="D10" s="1"/>
      <c r="E10" s="1"/>
      <c r="G10" s="1"/>
      <c r="H10" s="39" t="s">
        <v>207</v>
      </c>
      <c r="I10" s="17"/>
    </row>
    <row r="11" spans="1:9" ht="15" customHeight="1" thickBot="1" x14ac:dyDescent="0.35">
      <c r="B11" t="s">
        <v>8</v>
      </c>
      <c r="D11" s="1"/>
      <c r="E11" s="1"/>
      <c r="F11" s="1"/>
      <c r="G11" s="1"/>
      <c r="H11" s="53" t="s">
        <v>121</v>
      </c>
      <c r="I11" s="17"/>
    </row>
    <row r="12" spans="1:9" ht="15" customHeight="1" thickBot="1" x14ac:dyDescent="0.35">
      <c r="B12" t="s">
        <v>28</v>
      </c>
      <c r="D12" s="1"/>
      <c r="E12" s="1"/>
      <c r="F12" s="1"/>
      <c r="G12" s="1"/>
      <c r="H12" s="39" t="s">
        <v>208</v>
      </c>
      <c r="I12" s="17"/>
    </row>
    <row r="13" spans="1:9" ht="15" customHeight="1" thickBot="1" x14ac:dyDescent="0.35">
      <c r="B13" t="s">
        <v>7</v>
      </c>
      <c r="D13" s="1"/>
      <c r="E13" s="1"/>
      <c r="F13" s="1"/>
      <c r="G13" s="1"/>
      <c r="H13" s="54">
        <v>37000</v>
      </c>
      <c r="I13" s="17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3" t="s">
        <v>251</v>
      </c>
      <c r="I14" s="17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4" t="s">
        <v>252</v>
      </c>
      <c r="I15" s="17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5"/>
      <c r="I16" s="17"/>
    </row>
    <row r="17" spans="1:10" ht="15" customHeight="1" thickBot="1" x14ac:dyDescent="0.35">
      <c r="B17" t="s">
        <v>80</v>
      </c>
      <c r="D17" s="1"/>
      <c r="E17" s="1"/>
      <c r="F17" s="1"/>
      <c r="G17" s="1"/>
      <c r="H17" s="48" t="s">
        <v>199</v>
      </c>
      <c r="I17" s="17"/>
    </row>
    <row r="18" spans="1:10" ht="15" customHeight="1" thickBot="1" x14ac:dyDescent="0.35">
      <c r="B18" t="s">
        <v>79</v>
      </c>
      <c r="D18" s="1"/>
      <c r="E18" s="1"/>
      <c r="F18" s="1"/>
      <c r="G18" s="1"/>
      <c r="H18" s="55" t="s">
        <v>200</v>
      </c>
      <c r="I18" s="17"/>
    </row>
    <row r="19" spans="1:10" ht="15" customHeight="1" thickBot="1" x14ac:dyDescent="0.35">
      <c r="B19" t="s">
        <v>78</v>
      </c>
      <c r="D19" s="1"/>
      <c r="E19" s="1"/>
      <c r="F19" s="1"/>
      <c r="G19" s="1"/>
      <c r="H19" s="55" t="s">
        <v>210</v>
      </c>
      <c r="I19" s="17"/>
    </row>
    <row r="20" spans="1:10" ht="15" customHeight="1" thickBot="1" x14ac:dyDescent="0.35">
      <c r="B20" t="s">
        <v>81</v>
      </c>
      <c r="D20" s="1"/>
      <c r="E20" s="1"/>
      <c r="F20" s="1"/>
      <c r="G20" s="1"/>
      <c r="H20" s="56">
        <v>92400</v>
      </c>
      <c r="I20" s="17"/>
    </row>
    <row r="21" spans="1:10" ht="24" customHeight="1" thickBot="1" x14ac:dyDescent="0.35">
      <c r="B21" s="1" t="s">
        <v>6</v>
      </c>
      <c r="D21" s="1"/>
      <c r="E21" s="69"/>
      <c r="F21" s="38"/>
      <c r="G21" s="1"/>
      <c r="H21" s="124" t="s">
        <v>248</v>
      </c>
      <c r="I21" s="17"/>
    </row>
    <row r="22" spans="1:10" s="3" customFormat="1" ht="28.5" customHeight="1" thickBot="1" x14ac:dyDescent="0.35">
      <c r="B22" s="2" t="s">
        <v>198</v>
      </c>
      <c r="E22" s="11"/>
      <c r="F22" s="68"/>
      <c r="H22" s="40" t="s">
        <v>250</v>
      </c>
      <c r="I22" s="17"/>
      <c r="J22"/>
    </row>
    <row r="23" spans="1:10" s="3" customFormat="1" ht="28.5" customHeight="1" thickBot="1" x14ac:dyDescent="0.35">
      <c r="E23" s="2" t="s">
        <v>20</v>
      </c>
      <c r="F23" s="68"/>
      <c r="H23" s="70"/>
      <c r="I23" s="17"/>
      <c r="J23"/>
    </row>
    <row r="24" spans="1:10" s="3" customFormat="1" ht="15" customHeight="1" thickBot="1" x14ac:dyDescent="0.35">
      <c r="B24" s="2" t="s">
        <v>37</v>
      </c>
      <c r="E24" s="11"/>
      <c r="F24" s="68"/>
      <c r="H24" s="57" t="s">
        <v>82</v>
      </c>
      <c r="I24" s="17"/>
      <c r="J24"/>
    </row>
    <row r="25" spans="1:10" s="3" customFormat="1" ht="15" customHeight="1" x14ac:dyDescent="0.3">
      <c r="B25" s="2"/>
      <c r="E25" s="11"/>
      <c r="F25" s="68"/>
      <c r="H25" s="71"/>
      <c r="I25" s="17"/>
      <c r="J25"/>
    </row>
    <row r="26" spans="1:10" s="4" customFormat="1" ht="28.5" customHeight="1" thickBot="1" x14ac:dyDescent="0.35">
      <c r="A26" s="174" t="s">
        <v>53</v>
      </c>
      <c r="B26" s="174"/>
      <c r="C26" s="174"/>
      <c r="D26" s="174"/>
      <c r="E26" s="174"/>
      <c r="F26" s="174"/>
      <c r="G26" s="174"/>
      <c r="H26" s="174"/>
      <c r="I26" s="17"/>
      <c r="J26"/>
    </row>
    <row r="27" spans="1:10" s="4" customFormat="1" ht="15" customHeight="1" thickBot="1" x14ac:dyDescent="0.35">
      <c r="A27" s="5"/>
      <c r="B27" t="s">
        <v>18</v>
      </c>
      <c r="H27" s="72">
        <v>45658</v>
      </c>
      <c r="I27" s="17"/>
      <c r="J27"/>
    </row>
    <row r="28" spans="1:10" ht="15" customHeight="1" thickBot="1" x14ac:dyDescent="0.35">
      <c r="A28" s="175" t="s">
        <v>54</v>
      </c>
      <c r="B28" t="s">
        <v>55</v>
      </c>
      <c r="H28" s="73"/>
      <c r="I28" s="21"/>
    </row>
    <row r="29" spans="1:10" ht="15" customHeight="1" thickBot="1" x14ac:dyDescent="0.35">
      <c r="A29" s="175"/>
      <c r="B29" t="s">
        <v>56</v>
      </c>
      <c r="H29" s="73">
        <v>46022</v>
      </c>
    </row>
    <row r="30" spans="1:10" ht="29.25" customHeight="1" thickBot="1" x14ac:dyDescent="0.35">
      <c r="B30" s="2" t="s">
        <v>10</v>
      </c>
      <c r="H30" s="58"/>
    </row>
    <row r="31" spans="1:10" ht="15" customHeight="1" thickBot="1" x14ac:dyDescent="0.35">
      <c r="B31" t="s">
        <v>38</v>
      </c>
      <c r="F31" s="10"/>
      <c r="H31" s="39" t="s">
        <v>151</v>
      </c>
    </row>
    <row r="32" spans="1:10" ht="15" customHeight="1" thickBot="1" x14ac:dyDescent="0.35">
      <c r="B32" t="s">
        <v>91</v>
      </c>
      <c r="F32" s="10"/>
      <c r="H32" s="39" t="s">
        <v>82</v>
      </c>
      <c r="I32" s="74"/>
    </row>
    <row r="33" spans="2:9" ht="15" customHeight="1" thickBot="1" x14ac:dyDescent="0.35">
      <c r="B33" t="s">
        <v>3</v>
      </c>
      <c r="H33" s="57" t="s">
        <v>151</v>
      </c>
      <c r="I33" s="75"/>
    </row>
    <row r="34" spans="2:9" ht="13.5" thickBot="1" x14ac:dyDescent="0.35">
      <c r="B34" s="130" t="s">
        <v>195</v>
      </c>
      <c r="C34" s="131"/>
      <c r="D34" s="131"/>
      <c r="E34" s="131"/>
      <c r="F34" s="132"/>
      <c r="G34" s="131"/>
      <c r="H34" s="40" t="s">
        <v>82</v>
      </c>
      <c r="I34" s="75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7" t="s">
        <v>122</v>
      </c>
    </row>
    <row r="36" spans="2:9" ht="15" customHeight="1" thickBot="1" x14ac:dyDescent="0.35">
      <c r="B36" t="s">
        <v>4</v>
      </c>
      <c r="F36" s="10"/>
      <c r="H36" s="57" t="s">
        <v>122</v>
      </c>
    </row>
    <row r="37" spans="2:9" ht="15" customHeight="1" thickBot="1" x14ac:dyDescent="0.35">
      <c r="B37" t="s">
        <v>5</v>
      </c>
      <c r="H37" s="39" t="s">
        <v>122</v>
      </c>
    </row>
    <row r="38" spans="2:9" ht="15" customHeight="1" thickBot="1" x14ac:dyDescent="0.35">
      <c r="B38" s="32" t="s">
        <v>139</v>
      </c>
      <c r="H38" s="39" t="s">
        <v>122</v>
      </c>
    </row>
    <row r="39" spans="2:9" ht="15" customHeight="1" thickBot="1" x14ac:dyDescent="0.35">
      <c r="B39" t="s">
        <v>9</v>
      </c>
      <c r="H39" s="39" t="s">
        <v>122</v>
      </c>
    </row>
    <row r="40" spans="2:9" ht="15" customHeight="1" thickBot="1" x14ac:dyDescent="0.35">
      <c r="B40" t="s">
        <v>16</v>
      </c>
      <c r="H40" s="39" t="s">
        <v>82</v>
      </c>
      <c r="I40" s="20" t="s">
        <v>153</v>
      </c>
    </row>
    <row r="41" spans="2:9" ht="26.5" thickBot="1" x14ac:dyDescent="0.35">
      <c r="B41" s="32" t="s">
        <v>152</v>
      </c>
      <c r="H41" s="137" t="str">
        <f>'Nouveau référentiel R12'!K3</f>
        <v>GK1478773Z</v>
      </c>
      <c r="I41" s="44" t="s">
        <v>149</v>
      </c>
    </row>
    <row r="42" spans="2:9" ht="15" customHeight="1" thickBot="1" x14ac:dyDescent="0.35">
      <c r="B42" t="s">
        <v>39</v>
      </c>
      <c r="H42" s="58" t="s">
        <v>122</v>
      </c>
    </row>
    <row r="43" spans="2:9" ht="15" customHeight="1" thickBot="1" x14ac:dyDescent="0.35">
      <c r="B43" t="s">
        <v>19</v>
      </c>
      <c r="H43" s="59"/>
      <c r="I43" s="32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39"/>
      <c r="I44" s="76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39" t="s">
        <v>122</v>
      </c>
      <c r="I45" s="47"/>
    </row>
    <row r="46" spans="2:9" ht="30" customHeight="1" thickBot="1" x14ac:dyDescent="0.35">
      <c r="B46" s="176" t="s">
        <v>75</v>
      </c>
      <c r="C46" s="176"/>
      <c r="D46" s="176"/>
      <c r="E46" s="176"/>
      <c r="F46" s="176"/>
      <c r="G46" s="177"/>
      <c r="H46" s="39" t="s">
        <v>122</v>
      </c>
    </row>
    <row r="47" spans="2:9" ht="32.25" customHeight="1" thickBot="1" x14ac:dyDescent="0.35">
      <c r="B47" s="172" t="s">
        <v>119</v>
      </c>
      <c r="C47" s="172"/>
      <c r="D47" s="172"/>
      <c r="E47" s="172"/>
      <c r="F47" s="172"/>
      <c r="G47" s="173"/>
      <c r="H47" s="39" t="s">
        <v>122</v>
      </c>
    </row>
    <row r="48" spans="2:9" ht="15" customHeight="1" thickBot="1" x14ac:dyDescent="0.35">
      <c r="B48" t="s">
        <v>21</v>
      </c>
      <c r="H48" s="39" t="s">
        <v>122</v>
      </c>
    </row>
    <row r="49" spans="1:10" ht="15" customHeight="1" thickBot="1" x14ac:dyDescent="0.35">
      <c r="B49" t="s">
        <v>32</v>
      </c>
      <c r="H49" s="39" t="s">
        <v>257</v>
      </c>
    </row>
    <row r="50" spans="1:10" ht="15" customHeight="1" thickBot="1" x14ac:dyDescent="0.35">
      <c r="B50" t="s">
        <v>68</v>
      </c>
      <c r="F50" t="s">
        <v>33</v>
      </c>
      <c r="H50" s="60">
        <v>30003</v>
      </c>
    </row>
    <row r="51" spans="1:10" ht="15" customHeight="1" thickBot="1" x14ac:dyDescent="0.35">
      <c r="F51" t="s">
        <v>34</v>
      </c>
      <c r="H51" s="41" t="s">
        <v>216</v>
      </c>
    </row>
    <row r="52" spans="1:10" ht="15" customHeight="1" thickBot="1" x14ac:dyDescent="0.35">
      <c r="F52" t="s">
        <v>35</v>
      </c>
      <c r="H52" s="42" t="s">
        <v>259</v>
      </c>
    </row>
    <row r="53" spans="1:10" ht="15" customHeight="1" thickBot="1" x14ac:dyDescent="0.35">
      <c r="F53" t="s">
        <v>36</v>
      </c>
      <c r="H53" s="142" t="s">
        <v>258</v>
      </c>
      <c r="I53" s="32"/>
    </row>
    <row r="54" spans="1:10" ht="15" customHeight="1" thickBot="1" x14ac:dyDescent="0.35">
      <c r="B54" t="s">
        <v>44</v>
      </c>
      <c r="H54" s="39" t="s">
        <v>122</v>
      </c>
      <c r="I54" s="45"/>
    </row>
    <row r="55" spans="1:10" ht="15" customHeight="1" thickBot="1" x14ac:dyDescent="0.35">
      <c r="B55" t="s">
        <v>45</v>
      </c>
      <c r="H55" s="43" t="s">
        <v>122</v>
      </c>
      <c r="I55" s="45"/>
    </row>
    <row r="56" spans="1:10" ht="15" customHeight="1" x14ac:dyDescent="0.3">
      <c r="H56" s="68"/>
      <c r="I56" s="45"/>
    </row>
    <row r="57" spans="1:10" s="3" customFormat="1" ht="14.25" customHeight="1" x14ac:dyDescent="0.3">
      <c r="A57" s="3" t="s">
        <v>30</v>
      </c>
      <c r="D57" s="31">
        <v>45677</v>
      </c>
      <c r="E57" s="22"/>
      <c r="H57" s="38"/>
      <c r="I57" s="45"/>
      <c r="J57"/>
    </row>
    <row r="58" spans="1:10" ht="15" customHeight="1" x14ac:dyDescent="0.3">
      <c r="A58" t="s">
        <v>31</v>
      </c>
      <c r="H58" s="105" t="s">
        <v>214</v>
      </c>
      <c r="I58" s="45"/>
    </row>
    <row r="59" spans="1:10" ht="15" customHeight="1" x14ac:dyDescent="0.3">
      <c r="D59" s="32" t="s">
        <v>125</v>
      </c>
      <c r="H59" s="146" t="s">
        <v>247</v>
      </c>
      <c r="I59" s="45"/>
    </row>
    <row r="60" spans="1:10" ht="15" customHeight="1" x14ac:dyDescent="0.3">
      <c r="D60" s="32"/>
      <c r="H60" s="146" t="s">
        <v>215</v>
      </c>
      <c r="I60" s="45"/>
    </row>
    <row r="61" spans="1:10" ht="15" customHeight="1" x14ac:dyDescent="0.3">
      <c r="H61" s="128" t="s">
        <v>255</v>
      </c>
      <c r="I61" s="45"/>
    </row>
    <row r="62" spans="1:10" ht="15" customHeight="1" x14ac:dyDescent="0.3">
      <c r="H62" s="128" t="s">
        <v>256</v>
      </c>
      <c r="I62" s="45"/>
    </row>
    <row r="63" spans="1:10" ht="15" customHeight="1" x14ac:dyDescent="0.3">
      <c r="I63" s="45"/>
    </row>
    <row r="64" spans="1:10" ht="15" customHeight="1" x14ac:dyDescent="0.3">
      <c r="I64" s="45"/>
    </row>
    <row r="65" spans="9:9" ht="15" customHeight="1" x14ac:dyDescent="0.3">
      <c r="I65" s="45"/>
    </row>
    <row r="66" spans="9:9" ht="15" customHeight="1" x14ac:dyDescent="0.3">
      <c r="I66" s="45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25"/>
  <sheetViews>
    <sheetView tabSelected="1" workbookViewId="0">
      <selection activeCell="A17" sqref="A17:M18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  <col min="14" max="14" width="3.26953125" bestFit="1" customWidth="1"/>
  </cols>
  <sheetData>
    <row r="1" spans="1:17" x14ac:dyDescent="0.3">
      <c r="A1" s="32" t="s">
        <v>212</v>
      </c>
    </row>
    <row r="2" spans="1:17" x14ac:dyDescent="0.3">
      <c r="A2" s="51" t="s">
        <v>140</v>
      </c>
      <c r="B2" s="51" t="s">
        <v>141</v>
      </c>
      <c r="C2" s="51" t="s">
        <v>142</v>
      </c>
      <c r="D2" s="51" t="s">
        <v>143</v>
      </c>
      <c r="E2" s="51" t="s">
        <v>144</v>
      </c>
      <c r="F2" s="51" t="s">
        <v>189</v>
      </c>
      <c r="G2" s="51" t="s">
        <v>190</v>
      </c>
      <c r="H2" s="51" t="s">
        <v>145</v>
      </c>
      <c r="I2" s="51" t="s">
        <v>146</v>
      </c>
      <c r="J2" s="51" t="s">
        <v>147</v>
      </c>
      <c r="K2" s="63" t="s">
        <v>148</v>
      </c>
      <c r="L2" s="63" t="s">
        <v>191</v>
      </c>
      <c r="M2" s="63" t="s">
        <v>192</v>
      </c>
    </row>
    <row r="3" spans="1:17" ht="15.5" x14ac:dyDescent="0.35">
      <c r="A3" s="64" t="s">
        <v>249</v>
      </c>
      <c r="B3" s="133" t="s">
        <v>248</v>
      </c>
      <c r="C3" s="65"/>
      <c r="D3" s="66" t="s">
        <v>150</v>
      </c>
      <c r="E3" s="145" t="s">
        <v>266</v>
      </c>
      <c r="F3" s="66" t="s">
        <v>267</v>
      </c>
      <c r="G3" s="66" t="s">
        <v>193</v>
      </c>
      <c r="H3" s="64" t="s">
        <v>151</v>
      </c>
      <c r="I3" s="64" t="s">
        <v>268</v>
      </c>
      <c r="J3" s="64" t="s">
        <v>269</v>
      </c>
      <c r="K3" s="122" t="s">
        <v>270</v>
      </c>
      <c r="L3" s="67" t="s">
        <v>271</v>
      </c>
      <c r="M3" s="66" t="s">
        <v>194</v>
      </c>
    </row>
    <row r="4" spans="1:17" x14ac:dyDescent="0.3">
      <c r="B4" s="37"/>
      <c r="C4" s="37"/>
    </row>
    <row r="5" spans="1:17" x14ac:dyDescent="0.3">
      <c r="B5" s="37"/>
      <c r="C5" s="37"/>
    </row>
    <row r="7" spans="1:17" x14ac:dyDescent="0.3">
      <c r="A7" s="32" t="s">
        <v>156</v>
      </c>
    </row>
    <row r="8" spans="1:17" x14ac:dyDescent="0.3">
      <c r="A8" s="49" t="s">
        <v>155</v>
      </c>
    </row>
    <row r="9" spans="1:17" x14ac:dyDescent="0.3">
      <c r="A9" s="50"/>
    </row>
    <row r="11" spans="1:17" x14ac:dyDescent="0.3">
      <c r="A11" s="125"/>
      <c r="B11" s="126" t="s">
        <v>201</v>
      </c>
      <c r="C11" s="125" t="s">
        <v>202</v>
      </c>
      <c r="D11" s="125" t="s">
        <v>203</v>
      </c>
      <c r="E11" s="125" t="s">
        <v>204</v>
      </c>
    </row>
    <row r="12" spans="1:17" ht="15.5" x14ac:dyDescent="0.35">
      <c r="A12" s="135" t="str">
        <f>A3</f>
        <v>DK 46</v>
      </c>
      <c r="B12" s="136" t="str">
        <f>B3</f>
        <v>0541</v>
      </c>
      <c r="C12" s="125" t="str">
        <f>A18</f>
        <v>K24023308M</v>
      </c>
      <c r="D12" s="125" t="str">
        <f>A15</f>
        <v>D00334376U</v>
      </c>
      <c r="E12" s="125" t="s">
        <v>205</v>
      </c>
    </row>
    <row r="14" spans="1:17" s="134" customFormat="1" x14ac:dyDescent="0.3">
      <c r="A14" s="147" t="s">
        <v>217</v>
      </c>
      <c r="B14" s="147" t="s">
        <v>218</v>
      </c>
      <c r="C14" s="147" t="s">
        <v>146</v>
      </c>
      <c r="D14" s="147" t="s">
        <v>219</v>
      </c>
      <c r="E14" s="147" t="s">
        <v>220</v>
      </c>
      <c r="F14" s="148" t="s">
        <v>221</v>
      </c>
      <c r="G14" s="148" t="s">
        <v>222</v>
      </c>
      <c r="H14" s="147" t="s">
        <v>223</v>
      </c>
      <c r="I14" s="147" t="s">
        <v>8</v>
      </c>
      <c r="J14" s="148" t="s">
        <v>224</v>
      </c>
      <c r="K14" s="148" t="s">
        <v>225</v>
      </c>
      <c r="L14" s="148" t="s">
        <v>226</v>
      </c>
      <c r="M14" s="148" t="s">
        <v>260</v>
      </c>
      <c r="N14"/>
      <c r="O14"/>
      <c r="P14"/>
      <c r="Q14"/>
    </row>
    <row r="15" spans="1:17" s="134" customFormat="1" x14ac:dyDescent="0.3">
      <c r="A15" s="149" t="s">
        <v>261</v>
      </c>
      <c r="B15" s="149" t="s">
        <v>227</v>
      </c>
      <c r="C15" s="149" t="s">
        <v>228</v>
      </c>
      <c r="D15" s="149" t="s">
        <v>249</v>
      </c>
      <c r="E15" s="149">
        <v>937674984</v>
      </c>
      <c r="F15" s="150" t="s">
        <v>229</v>
      </c>
      <c r="G15" s="150" t="s">
        <v>230</v>
      </c>
      <c r="H15" s="149">
        <v>5710</v>
      </c>
      <c r="I15" s="149" t="s">
        <v>231</v>
      </c>
      <c r="J15" s="150">
        <v>3511</v>
      </c>
      <c r="K15" s="150" t="s">
        <v>200</v>
      </c>
      <c r="L15" s="150" t="s">
        <v>248</v>
      </c>
      <c r="M15" s="150">
        <v>1</v>
      </c>
      <c r="N15"/>
      <c r="O15"/>
      <c r="P15"/>
      <c r="Q15"/>
    </row>
    <row r="16" spans="1:17" s="134" customFormat="1" x14ac:dyDescent="0.3">
      <c r="L16" s="138"/>
      <c r="N16"/>
      <c r="O16"/>
      <c r="P16"/>
      <c r="Q16"/>
    </row>
    <row r="17" spans="1:17" s="134" customFormat="1" x14ac:dyDescent="0.3">
      <c r="A17" s="147" t="s">
        <v>217</v>
      </c>
      <c r="B17" s="147" t="s">
        <v>218</v>
      </c>
      <c r="C17" s="147" t="s">
        <v>146</v>
      </c>
      <c r="D17" s="147" t="s">
        <v>232</v>
      </c>
      <c r="E17" s="147" t="s">
        <v>220</v>
      </c>
      <c r="F17" s="148" t="s">
        <v>233</v>
      </c>
      <c r="G17" s="148" t="s">
        <v>234</v>
      </c>
      <c r="H17" s="147" t="s">
        <v>235</v>
      </c>
      <c r="I17" s="148" t="s">
        <v>24</v>
      </c>
      <c r="J17" s="148" t="s">
        <v>262</v>
      </c>
      <c r="K17" s="148" t="s">
        <v>236</v>
      </c>
      <c r="L17" s="148" t="s">
        <v>237</v>
      </c>
      <c r="M17" s="148" t="s">
        <v>238</v>
      </c>
      <c r="N17"/>
      <c r="O17"/>
      <c r="P17"/>
      <c r="Q17"/>
    </row>
    <row r="18" spans="1:17" s="134" customFormat="1" x14ac:dyDescent="0.3">
      <c r="A18" s="149" t="s">
        <v>263</v>
      </c>
      <c r="B18" s="149" t="s">
        <v>227</v>
      </c>
      <c r="C18" s="149" t="s">
        <v>228</v>
      </c>
      <c r="D18" s="149" t="s">
        <v>249</v>
      </c>
      <c r="E18" s="151" t="s">
        <v>251</v>
      </c>
      <c r="F18" s="150" t="s">
        <v>239</v>
      </c>
      <c r="G18" s="150" t="s">
        <v>240</v>
      </c>
      <c r="H18" s="149" t="s">
        <v>264</v>
      </c>
      <c r="I18" s="150" t="s">
        <v>241</v>
      </c>
      <c r="J18" s="152"/>
      <c r="K18" s="150" t="s">
        <v>265</v>
      </c>
      <c r="L18" s="150" t="s">
        <v>82</v>
      </c>
      <c r="M18" s="150" t="s">
        <v>261</v>
      </c>
      <c r="N18"/>
      <c r="O18"/>
      <c r="P18"/>
      <c r="Q18"/>
    </row>
    <row r="21" spans="1:17" ht="14.5" x14ac:dyDescent="0.35">
      <c r="A21" s="153" t="s">
        <v>217</v>
      </c>
      <c r="B21" s="153" t="s">
        <v>218</v>
      </c>
      <c r="C21" s="153" t="s">
        <v>146</v>
      </c>
      <c r="D21" s="153" t="s">
        <v>232</v>
      </c>
      <c r="E21" s="153" t="s">
        <v>272</v>
      </c>
      <c r="F21" s="153" t="s">
        <v>273</v>
      </c>
      <c r="G21" s="154" t="s">
        <v>274</v>
      </c>
      <c r="H21" s="154" t="s">
        <v>275</v>
      </c>
      <c r="I21" s="153" t="s">
        <v>276</v>
      </c>
      <c r="J21" s="153" t="s">
        <v>277</v>
      </c>
      <c r="K21" s="153" t="s">
        <v>278</v>
      </c>
      <c r="L21" s="153" t="s">
        <v>279</v>
      </c>
      <c r="M21" s="153" t="s">
        <v>280</v>
      </c>
      <c r="N21" s="153" t="s">
        <v>281</v>
      </c>
    </row>
    <row r="22" spans="1:17" x14ac:dyDescent="0.3">
      <c r="A22" s="150" t="s">
        <v>270</v>
      </c>
      <c r="B22" s="150" t="s">
        <v>227</v>
      </c>
      <c r="C22" s="150" t="s">
        <v>282</v>
      </c>
      <c r="D22" s="150" t="s">
        <v>271</v>
      </c>
      <c r="E22" s="150" t="s">
        <v>194</v>
      </c>
      <c r="F22" s="150" t="s">
        <v>150</v>
      </c>
      <c r="G22" s="155" t="s">
        <v>266</v>
      </c>
      <c r="H22" s="156"/>
      <c r="I22" s="150">
        <v>0</v>
      </c>
      <c r="J22" s="150">
        <v>0</v>
      </c>
      <c r="K22" s="150">
        <v>0</v>
      </c>
      <c r="L22" s="150">
        <v>0</v>
      </c>
      <c r="M22" s="150" t="s">
        <v>283</v>
      </c>
      <c r="N22" s="152"/>
    </row>
    <row r="24" spans="1:17" s="134" customFormat="1" x14ac:dyDescent="0.3">
      <c r="A24" s="147" t="s">
        <v>217</v>
      </c>
      <c r="B24" s="147" t="s">
        <v>218</v>
      </c>
      <c r="C24" s="147" t="s">
        <v>146</v>
      </c>
      <c r="D24" s="147" t="s">
        <v>232</v>
      </c>
      <c r="E24" s="147" t="s">
        <v>220</v>
      </c>
      <c r="F24" s="148" t="s">
        <v>233</v>
      </c>
      <c r="G24" s="148" t="s">
        <v>234</v>
      </c>
      <c r="H24" s="147" t="s">
        <v>235</v>
      </c>
      <c r="I24" s="148" t="s">
        <v>24</v>
      </c>
      <c r="J24" s="148" t="s">
        <v>262</v>
      </c>
      <c r="K24" s="148" t="s">
        <v>236</v>
      </c>
      <c r="L24" s="148" t="s">
        <v>237</v>
      </c>
      <c r="M24" s="148" t="s">
        <v>238</v>
      </c>
      <c r="N24"/>
      <c r="O24"/>
      <c r="P24"/>
      <c r="Q24"/>
    </row>
    <row r="25" spans="1:17" s="134" customFormat="1" x14ac:dyDescent="0.3">
      <c r="A25" s="149" t="s">
        <v>263</v>
      </c>
      <c r="B25" s="149" t="s">
        <v>227</v>
      </c>
      <c r="C25" s="149" t="s">
        <v>228</v>
      </c>
      <c r="D25" s="149" t="s">
        <v>249</v>
      </c>
      <c r="E25" s="151" t="s">
        <v>251</v>
      </c>
      <c r="F25" s="150" t="s">
        <v>239</v>
      </c>
      <c r="G25" s="150" t="s">
        <v>240</v>
      </c>
      <c r="H25" s="149" t="s">
        <v>264</v>
      </c>
      <c r="I25" s="150" t="s">
        <v>241</v>
      </c>
      <c r="J25" s="152"/>
      <c r="K25" s="150" t="s">
        <v>265</v>
      </c>
      <c r="L25" s="150" t="s">
        <v>82</v>
      </c>
      <c r="M25" s="150" t="s">
        <v>261</v>
      </c>
      <c r="N25"/>
      <c r="O25"/>
      <c r="P25"/>
      <c r="Q25"/>
    </row>
  </sheetData>
  <printOptions gridLines="1"/>
  <pageMargins left="0.11811023622047245" right="0.11811023622047245" top="0.74803149606299213" bottom="0.74803149606299213" header="0.31496062992125984" footer="0.31496062992125984"/>
  <pageSetup paperSize="9" scale="60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C14" sqref="C14"/>
    </sheetView>
  </sheetViews>
  <sheetFormatPr baseColWidth="10" defaultColWidth="11.453125" defaultRowHeight="12.5" x14ac:dyDescent="0.25"/>
  <cols>
    <col min="1" max="1" width="9.36328125" style="24" bestFit="1" customWidth="1"/>
    <col min="2" max="2" width="13.90625" style="24" bestFit="1" customWidth="1"/>
    <col min="3" max="3" width="11.453125" style="24"/>
    <col min="4" max="4" width="7.453125" style="24" customWidth="1"/>
    <col min="5" max="6" width="5" style="24" customWidth="1"/>
    <col min="7" max="7" width="10.54296875" style="24" bestFit="1" customWidth="1"/>
    <col min="8" max="8" width="5" style="24" customWidth="1"/>
    <col min="9" max="16384" width="11.453125" style="24"/>
  </cols>
  <sheetData>
    <row r="1" spans="1:19" s="23" customFormat="1" ht="234.75" customHeight="1" x14ac:dyDescent="0.3">
      <c r="A1" s="23" t="s">
        <v>40</v>
      </c>
      <c r="B1" s="23" t="s">
        <v>41</v>
      </c>
      <c r="C1" s="23" t="s">
        <v>42</v>
      </c>
      <c r="D1" s="23" t="s">
        <v>43</v>
      </c>
      <c r="E1" s="46" t="s">
        <v>59</v>
      </c>
      <c r="F1" s="46" t="s">
        <v>126</v>
      </c>
      <c r="G1" s="46" t="s">
        <v>127</v>
      </c>
      <c r="H1" s="46" t="s">
        <v>128</v>
      </c>
      <c r="I1" s="46" t="s">
        <v>129</v>
      </c>
      <c r="J1" s="46" t="s">
        <v>130</v>
      </c>
      <c r="K1" s="46" t="s">
        <v>131</v>
      </c>
      <c r="L1" s="46" t="s">
        <v>131</v>
      </c>
      <c r="M1" s="33" t="s">
        <v>132</v>
      </c>
      <c r="N1" s="33" t="s">
        <v>133</v>
      </c>
      <c r="O1" s="33" t="s">
        <v>134</v>
      </c>
      <c r="P1" s="33" t="s">
        <v>135</v>
      </c>
      <c r="Q1" s="33" t="s">
        <v>136</v>
      </c>
      <c r="R1" s="33" t="s">
        <v>137</v>
      </c>
      <c r="S1" s="33" t="s">
        <v>138</v>
      </c>
    </row>
    <row r="2" spans="1:19" x14ac:dyDescent="0.25">
      <c r="A2" s="34"/>
      <c r="B2" s="34"/>
      <c r="C2" s="34"/>
      <c r="D2" s="34" t="s">
        <v>151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35" t="s">
        <v>154</v>
      </c>
      <c r="S2" s="35" t="s">
        <v>154</v>
      </c>
    </row>
    <row r="3" spans="1:19" x14ac:dyDescent="0.25">
      <c r="A3" s="34"/>
      <c r="B3" s="34"/>
      <c r="C3" s="34"/>
      <c r="D3" s="34" t="s">
        <v>151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35" t="s">
        <v>154</v>
      </c>
      <c r="S3" s="35" t="s">
        <v>154</v>
      </c>
    </row>
    <row r="4" spans="1:19" x14ac:dyDescent="0.25">
      <c r="A4" s="34"/>
      <c r="B4" s="34"/>
      <c r="C4" s="34"/>
      <c r="D4" s="34" t="s">
        <v>151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35"/>
      <c r="S4" s="35"/>
    </row>
    <row r="5" spans="1:19" x14ac:dyDescent="0.25">
      <c r="A5" s="36"/>
      <c r="B5" s="36"/>
      <c r="C5" s="36"/>
      <c r="D5" s="34" t="s">
        <v>151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36"/>
      <c r="S5" s="36"/>
    </row>
    <row r="6" spans="1:19" x14ac:dyDescent="0.25">
      <c r="A6" s="36"/>
      <c r="B6" s="36"/>
      <c r="C6" s="36"/>
      <c r="D6" s="34" t="s">
        <v>151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36"/>
      <c r="S6" s="36"/>
    </row>
    <row r="7" spans="1:19" x14ac:dyDescent="0.25">
      <c r="A7" s="36"/>
      <c r="B7" s="36"/>
      <c r="C7" s="36"/>
      <c r="D7" s="34" t="s">
        <v>151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36"/>
      <c r="S7" s="36"/>
    </row>
    <row r="10" spans="1:19" ht="13" x14ac:dyDescent="0.3">
      <c r="G10" s="121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0541</v>
      </c>
    </row>
    <row r="3" spans="1:9" ht="13" x14ac:dyDescent="0.3">
      <c r="B3" s="13"/>
      <c r="C3" s="14" t="s">
        <v>95</v>
      </c>
      <c r="G3" s="15" t="str">
        <f>+sigle</f>
        <v>DK 46</v>
      </c>
    </row>
    <row r="4" spans="1:9" ht="13" x14ac:dyDescent="0.3">
      <c r="B4" s="13"/>
      <c r="C4" s="14" t="s">
        <v>96</v>
      </c>
      <c r="G4" s="30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YS2346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DOS</v>
      </c>
    </row>
    <row r="16" spans="1:9" x14ac:dyDescent="0.25">
      <c r="C16" s="14" t="s">
        <v>100</v>
      </c>
      <c r="H16" s="7" t="str">
        <f>lieudetenue</f>
        <v>DOS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TOUR EUROPE - 33, Place des Corolles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 t="str">
        <f>cp</f>
        <v>92099 - TSA 77655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PARIS LA DEFENSE CEDEX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937674984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00011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3511Z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Nanterre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FR35937674984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5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8"/>
      <c r="E45" s="29"/>
      <c r="F45" s="29"/>
      <c r="G45" s="29"/>
      <c r="H45" s="29"/>
      <c r="I45" s="29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22</vt:i4>
      </vt:variant>
    </vt:vector>
  </HeadingPairs>
  <TitlesOfParts>
    <vt:vector size="27" baseType="lpstr">
      <vt:lpstr>513597</vt:lpstr>
      <vt:lpstr>INITSOC- Oracle R12</vt:lpstr>
      <vt:lpstr>Nouveau référentiel R12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2025-01-22T08:47:06Z</cp:lastPrinted>
  <dcterms:created xsi:type="dcterms:W3CDTF">1999-03-09T10:58:01Z</dcterms:created>
  <dcterms:modified xsi:type="dcterms:W3CDTF">2025-01-22T08:47:12Z</dcterms:modified>
</cp:coreProperties>
</file>