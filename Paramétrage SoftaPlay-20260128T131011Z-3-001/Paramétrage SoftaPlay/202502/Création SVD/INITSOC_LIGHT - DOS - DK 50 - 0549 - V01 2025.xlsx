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50 - 01 2025\"/>
    </mc:Choice>
  </mc:AlternateContent>
  <bookViews>
    <workbookView xWindow="-10" yWindow="110" windowWidth="15340" windowHeight="4200" activeTab="1"/>
  </bookViews>
  <sheets>
    <sheet name="513601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<sst xmlns="http://schemas.openxmlformats.org/spreadsheetml/2006/main" count="349" uniqueCount="284">
  <si>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</si>
  <si>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</si>
  <si>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</si>
  <si>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</si>
  <si>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</si>
  <si>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</si>
  <si>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</si>
  <si>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</si>
  <si>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</si>
  <si>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</si>
  <si>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</si>
  <si>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</si>
  <si>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</si>
  <si>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</si>
  <si>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</si>
  <si>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</si>
  <si>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</si>
  <si>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</si>
  <si>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</si>
  <si>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</si>
  <si>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</si>
  <si>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</si>
  <si>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</si>
  <si>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</si>
  <si>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</si>
  <si>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</si>
  <si>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</si>
  <si>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</si>
  <si>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</si>
  <si>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</si>
  <si>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</si>
  <si>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</si>
  <si>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</si>
  <si>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</si>
  <si>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</si>
  <si>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</si>
  <si>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</si>
  <si>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</si>
  <si>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</si>
  <si>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</si>
  <si>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</si>
  <si>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</si>
  <si>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</si>
  <si>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</si>
  <si>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</si>
  <si>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</si>
  <si>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</si>
  <si>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</si>
  <si>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</si>
  <si>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</si>
  <si>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</si>
  <si>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</si>
  <si>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</si>
  <si>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</si>
  <si>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</si>
  <si>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</si>
  <si>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</si>
  <si>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</si>
  <si>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</si>
  <si>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</si>
  <si>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</si>
  <si>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</si>
  <si>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</si>
  <si>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</si>
  <si>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</si>
  <si>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</si>
  <si>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</si>
  <si>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</si>
  <si>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</si>
  <si>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</si>
  <si>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</si>
  <si>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</si>
  <si>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</si>
  <si>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</si>
  <si>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</si>
  <si>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</si>
  <si>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</si>
  <si>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</si>
  <si>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</si>
  <si>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</si>
  <si>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</si>
  <si>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</si>
  <si>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</si>
  <si>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</si>
  <si>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</si>
  <si>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</si>
  <si>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</si>
  <si>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</si>
  <si>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</si>
  <si>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</si>
  <si>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</si>
  <si>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</si>
  <si>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</si>
  <si>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</si>
  <si>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</si>
  <si>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</si>
  <si>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</si>
  <si>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</si>
  <si>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</si>
  <si>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</si>
  <si>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</si>
  <si>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</si>
  <si>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</si>
  <si>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</si>
  <si>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</si>
  <si>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</si>
  <si>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</si>
  <si>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</si>
  <si>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</si>
  <si>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</si>
  <si>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</si>
  <si>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</si>
  <si>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</si>
  <si>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</si>
  <si>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</si>
  <si>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</si>
  <si>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</si>
  <si>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</si>
  <si>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</si>
  <si>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</si>
  <si>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</si>
  <si>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</si>
  <si>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</si>
  <si>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</si>
  <si>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</si>
  <si>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</si>
  <si>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</si>
  <si>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</si>
  <si>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</si>
  <si>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</si>
  <si>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</si>
  <si>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</si>
  <si>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</si>
  <si>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</si>
  <si>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</si>
  <si>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</si>
  <si>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</si>
  <si>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</si>
  <si>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</si>
  <si>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</si>
  <si>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</si>
  <si>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</si>
  <si>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</si>
  <si>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</si>
  <si>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</si>
  <si>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</si>
  <si>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</si>
  <si>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</si>
  <si>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</si>
  <si>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</si>
  <si>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</si>
  <si>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</si>
  <si>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</si>
  <si>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</si>
  <si>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</si>
  <si>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</si>
  <si>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</si>
  <si>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</si>
  <si>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</si>
  <si>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</si>
  <si>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</si>
  <si>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</si>
  <si>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</si>
  <si>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</si>
  <si>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</si>
  <si>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</si>
  <si>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</si>
  <si>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</si>
  <si>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</si>
  <si>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</si>
  <si>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</si>
  <si>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</si>
  <si>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</si>
  <si>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</si>
  <si>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</si>
  <si>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</si>
  <si>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</si>
  <si>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</si>
  <si>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</si>
  <si>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</si>
  <si>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</si>
  <si>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</si>
  <si>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</si>
  <si>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</si>
  <si>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</si>
  <si>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</si>
  <si>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</si>
  <si>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</si>
  <si>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</si>
  <si>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</si>
  <si>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</si>
  <si>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</si>
  <si>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</si>
  <si>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</si>
  <si>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</si>
  <si>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</si>
  <si>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</si>
  <si>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</si>
  <si>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</si>
  <si>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</si>
  <si>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</si>
  <si>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</si>
  <si>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</si>
  <si>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</si>
  <si>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</si>
  <si>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</si>
  <si>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</si>
  <si>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</si>
  <si>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</si>
  <si>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</si>
  <si>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</si>
  <si>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</si>
  <si>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</si>
  <si>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</si>
  <si>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</si>
  <si>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</si>
  <si>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</si>
  <si>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</si>
  <si>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</si>
  <si>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</si>
  <si>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</si>
  <si>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</si>
  <si>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</si>
  <si>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</si>
  <si>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</si>
  <si>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</si>
  <si>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</si>
  <si>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</si>
  <si>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</si>
  <si>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</si>
  <si>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</si>
  <si>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</si>
  <si>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</si>
  <si>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</si>
  <si>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</si>
  <si>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</si>
  <si>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</si>
  <si>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</si>
  <si>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</si>
  <si>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</si>
  <si>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</si>
  <si>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</si>
  <si>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</si>
  <si>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</si>
  <si>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0549</t>
  </si>
  <si>
    <t>DK 50</t>
  </si>
  <si>
    <t>YS2050</t>
  </si>
  <si>
    <t>93900466900015</t>
  </si>
  <si>
    <t xml:space="preserve"> FR62939004669</t>
  </si>
  <si>
    <t>Patricia BENJEBRIA</t>
  </si>
  <si>
    <t>0549 DK 50</t>
  </si>
  <si>
    <t>BNP PARIBAS</t>
  </si>
  <si>
    <t>PARIS AGENCE CENTRALE</t>
  </si>
  <si>
    <t>BNPAFRPPXXX</t>
  </si>
  <si>
    <t>30004 00828 00013508082 76</t>
  </si>
  <si>
    <t>FR76 3000 4008 2800 0135 0808 276</t>
  </si>
  <si>
    <t>Compte local 513601</t>
  </si>
  <si>
    <t>00828</t>
  </si>
  <si>
    <t>00013508082</t>
  </si>
  <si>
    <t>76</t>
  </si>
  <si>
    <t>FB0088975H</t>
  </si>
  <si>
    <t>PF FPS 0549 DK 50</t>
  </si>
  <si>
    <t>DOS0549</t>
  </si>
  <si>
    <t>PROJET FINANCE DK 50 UO DOS0549</t>
  </si>
  <si>
    <t>GK1478810R</t>
  </si>
  <si>
    <t>TF FPS 0549 DK 50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</si>
  <si>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</si>
  <si>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</si>
  <si>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</si>
  <si>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</si>
  <si>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</si>
  <si>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</si>
  <si>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</si>
  <si>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</si>
  <si>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</si>
  <si>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</si>
  <si>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SG</t>
  </si>
  <si>
    <t>2025-01-20 00:00:00</t>
  </si>
  <si>
    <t>Nb Partenaires</t>
  </si>
  <si>
    <t>D00334391N</t>
  </si>
  <si>
    <t>Complement adresse établissement</t>
  </si>
  <si>
    <t>K24023316U</t>
  </si>
  <si>
    <t>L00219250U</t>
  </si>
  <si>
    <t>0586089P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</si>
</sst>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  <font>
      <b/>
      <sz val="8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0" xfId="0" applyFont="1" applyBorder="1" applyAlignment="1">
      <alignment horizontal="center" wrapText="1"/>
    </xf>
    <xf numFmtId="0" fontId="25" fillId="13" borderId="5" xfId="0" applyFont="1" applyFill="1" applyBorder="1"/>
    <xf numFmtId="0" fontId="25" fillId="13" borderId="5" xfId="0" applyFont="1" applyFill="1" applyBorder="1" applyAlignment="1">
      <alignment horizontal="center"/>
    </xf>
    <xf numFmtId="0" fontId="26" fillId="0" borderId="5" xfId="0" applyFont="1" applyBorder="1"/>
    <xf numFmtId="0" fontId="27" fillId="0" borderId="5" xfId="0" applyFont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0" borderId="5" xfId="0" applyFont="1" applyBorder="1"/>
    <xf numFmtId="0" fontId="29" fillId="13" borderId="5" xfId="0" applyFont="1" applyFill="1" applyBorder="1" applyAlignment="1">
      <alignment horizontal="center"/>
    </xf>
    <xf numFmtId="0" fontId="29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quotePrefix="1" applyFont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0" workbookViewId="0">
      <selection activeCell="E26" sqref="E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8"/>
      <c r="E1" s="79" t="s">
        <v>196</v>
      </c>
      <c r="F1" s="80"/>
      <c r="G1" s="81"/>
    </row>
    <row r="2" spans="1:7" ht="14" x14ac:dyDescent="0.3">
      <c r="D2" s="78"/>
      <c r="E2" s="82"/>
      <c r="F2" s="82"/>
      <c r="G2" s="82"/>
    </row>
    <row r="3" spans="1:7" ht="14" x14ac:dyDescent="0.3">
      <c r="D3" s="78"/>
      <c r="E3" s="82"/>
      <c r="F3" s="82"/>
      <c r="G3" s="82"/>
    </row>
    <row r="4" spans="1:7" ht="14" x14ac:dyDescent="0.3">
      <c r="A4" s="83" t="s">
        <v>157</v>
      </c>
      <c r="E4" s="165"/>
      <c r="F4" s="165"/>
      <c r="G4" s="165"/>
    </row>
    <row r="8" spans="1:7" ht="14.5" x14ac:dyDescent="0.35">
      <c r="A8" s="84" t="s">
        <v>158</v>
      </c>
      <c r="C8" s="85">
        <v>45670</v>
      </c>
    </row>
    <row r="9" spans="1:7" ht="15" customHeight="1" x14ac:dyDescent="0.3">
      <c r="C9" s="86"/>
    </row>
    <row r="10" spans="1:7" ht="14" x14ac:dyDescent="0.3">
      <c r="D10" s="87" t="s">
        <v>159</v>
      </c>
      <c r="E10" s="88" t="s">
        <v>160</v>
      </c>
      <c r="F10" s="89"/>
      <c r="G10" s="90"/>
    </row>
    <row r="11" spans="1:7" ht="14" x14ac:dyDescent="0.3">
      <c r="D11" s="91" t="s">
        <v>161</v>
      </c>
      <c r="E11" s="92" t="s">
        <v>249</v>
      </c>
      <c r="F11" s="10"/>
      <c r="G11" s="93"/>
    </row>
    <row r="12" spans="1:7" ht="15" customHeight="1" x14ac:dyDescent="0.3">
      <c r="D12" s="91" t="s">
        <v>162</v>
      </c>
      <c r="E12" s="162" t="s">
        <v>239</v>
      </c>
      <c r="F12" s="163"/>
      <c r="G12" s="164"/>
    </row>
    <row r="13" spans="1:7" ht="13.75" customHeight="1" x14ac:dyDescent="0.3">
      <c r="D13" s="94"/>
      <c r="E13" s="166" t="s">
        <v>240</v>
      </c>
      <c r="F13" s="166"/>
      <c r="G13" s="167"/>
    </row>
    <row r="14" spans="1:7" x14ac:dyDescent="0.3">
      <c r="D14" s="10"/>
      <c r="E14" s="10"/>
      <c r="F14" s="10"/>
      <c r="G14" s="10"/>
    </row>
    <row r="16" spans="1:7" ht="14" x14ac:dyDescent="0.3">
      <c r="A16" s="83" t="s">
        <v>11</v>
      </c>
      <c r="D16" s="95" t="s">
        <v>163</v>
      </c>
      <c r="E16" s="168" t="s">
        <v>250</v>
      </c>
      <c r="F16" s="168"/>
      <c r="G16" s="169"/>
    </row>
    <row r="17" spans="1:7" ht="14" x14ac:dyDescent="0.3">
      <c r="A17" s="83"/>
      <c r="D17" s="96" t="s">
        <v>164</v>
      </c>
      <c r="E17" s="128" t="s">
        <v>241</v>
      </c>
      <c r="F17" s="128"/>
      <c r="G17" s="128"/>
    </row>
    <row r="18" spans="1:7" ht="15" customHeight="1" x14ac:dyDescent="0.3">
      <c r="A18" s="83"/>
      <c r="D18" s="96"/>
      <c r="E18" s="128" t="s">
        <v>242</v>
      </c>
      <c r="F18" s="128"/>
      <c r="G18" s="128"/>
    </row>
    <row r="19" spans="1:7" ht="14" x14ac:dyDescent="0.3">
      <c r="A19" s="83"/>
      <c r="D19" s="96"/>
      <c r="E19" s="170" t="s">
        <v>213</v>
      </c>
      <c r="F19" s="170"/>
      <c r="G19" s="171"/>
    </row>
    <row r="20" spans="1:7" ht="14" x14ac:dyDescent="0.3">
      <c r="D20" s="97" t="s">
        <v>243</v>
      </c>
      <c r="E20" s="98"/>
      <c r="F20" s="99"/>
      <c r="G20" s="100"/>
    </row>
    <row r="21" spans="1:7" ht="13.75" customHeight="1" x14ac:dyDescent="0.3"/>
    <row r="22" spans="1:7" ht="13.75" customHeight="1" x14ac:dyDescent="0.3">
      <c r="D22" s="87" t="s">
        <v>165</v>
      </c>
      <c r="E22" s="101" t="s">
        <v>251</v>
      </c>
      <c r="F22" s="89"/>
      <c r="G22" s="90"/>
    </row>
    <row r="23" spans="1:7" ht="14" customHeight="1" x14ac:dyDescent="0.3">
      <c r="D23" s="91" t="s">
        <v>166</v>
      </c>
      <c r="E23" s="160" t="s">
        <v>252</v>
      </c>
      <c r="F23" s="160"/>
      <c r="G23" s="161"/>
    </row>
    <row r="24" spans="1:7" ht="14" x14ac:dyDescent="0.3">
      <c r="D24" s="102" t="s">
        <v>167</v>
      </c>
      <c r="E24" s="160" t="s">
        <v>253</v>
      </c>
      <c r="F24" s="160"/>
      <c r="G24" s="161"/>
    </row>
    <row r="25" spans="1:7" ht="14" x14ac:dyDescent="0.3">
      <c r="D25" s="91" t="s">
        <v>168</v>
      </c>
      <c r="E25" s="92" t="s">
        <v>254</v>
      </c>
      <c r="F25" s="10"/>
      <c r="G25" s="93"/>
    </row>
    <row r="26" spans="1:7" ht="14" x14ac:dyDescent="0.3">
      <c r="D26" s="91" t="s">
        <v>169</v>
      </c>
      <c r="E26" s="92" t="s">
        <v>255</v>
      </c>
      <c r="F26" s="10"/>
      <c r="G26" s="93"/>
    </row>
    <row r="27" spans="1:7" ht="14" x14ac:dyDescent="0.3">
      <c r="D27" s="103" t="s">
        <v>170</v>
      </c>
      <c r="E27" s="104"/>
      <c r="F27" s="104"/>
      <c r="G27" s="105" t="s">
        <v>111</v>
      </c>
    </row>
    <row r="29" spans="1:7" ht="14" x14ac:dyDescent="0.3">
      <c r="D29" s="103" t="s">
        <v>171</v>
      </c>
      <c r="E29" s="104"/>
      <c r="F29" s="104"/>
      <c r="G29" s="105" t="s">
        <v>82</v>
      </c>
    </row>
    <row r="31" spans="1:7" ht="14" x14ac:dyDescent="0.3">
      <c r="D31" s="87" t="s">
        <v>172</v>
      </c>
      <c r="E31" s="89"/>
      <c r="F31" s="106"/>
      <c r="G31" s="107">
        <v>513601</v>
      </c>
    </row>
    <row r="32" spans="1:7" ht="14" x14ac:dyDescent="0.3">
      <c r="D32" s="94" t="s">
        <v>173</v>
      </c>
      <c r="E32" s="108"/>
      <c r="F32" s="108"/>
      <c r="G32" s="109" t="s">
        <v>111</v>
      </c>
    </row>
    <row r="33" spans="1:8" x14ac:dyDescent="0.3">
      <c r="D33" s="10"/>
      <c r="E33" s="10"/>
      <c r="F33" s="10"/>
    </row>
    <row r="34" spans="1:8" ht="14.5" x14ac:dyDescent="0.35">
      <c r="A34" s="84"/>
      <c r="B34" s="10"/>
      <c r="D34" s="38"/>
    </row>
    <row r="35" spans="1:8" ht="14" x14ac:dyDescent="0.3">
      <c r="A35" s="83" t="s">
        <v>174</v>
      </c>
      <c r="D35" s="87" t="s">
        <v>175</v>
      </c>
      <c r="E35" s="89"/>
      <c r="F35" s="89"/>
      <c r="G35" s="105" t="s">
        <v>82</v>
      </c>
    </row>
    <row r="36" spans="1:8" ht="14" x14ac:dyDescent="0.3">
      <c r="A36" s="83"/>
      <c r="D36" s="94" t="s">
        <v>176</v>
      </c>
      <c r="E36" s="108"/>
      <c r="F36" s="108"/>
      <c r="G36" s="110"/>
    </row>
    <row r="37" spans="1:8" ht="14" x14ac:dyDescent="0.3">
      <c r="D37" s="94" t="s">
        <v>177</v>
      </c>
      <c r="E37" s="108"/>
      <c r="F37" s="111"/>
      <c r="G37" s="112"/>
    </row>
    <row r="40" spans="1:8" ht="14" x14ac:dyDescent="0.3">
      <c r="A40" s="113" t="s">
        <v>178</v>
      </c>
      <c r="B40" s="114"/>
      <c r="C40" s="114"/>
      <c r="D40" s="114"/>
      <c r="E40" s="115" t="s">
        <v>179</v>
      </c>
      <c r="F40" s="116"/>
      <c r="G40" s="117"/>
      <c r="H40" s="114"/>
    </row>
    <row r="41" spans="1:8" ht="14" x14ac:dyDescent="0.3">
      <c r="A41" s="113"/>
      <c r="B41" s="114"/>
      <c r="C41" s="114"/>
      <c r="D41" s="114"/>
      <c r="E41" s="115" t="s">
        <v>180</v>
      </c>
      <c r="F41" s="116"/>
      <c r="G41" s="117"/>
      <c r="H41" s="114"/>
    </row>
    <row r="42" spans="1:8" ht="14.5" x14ac:dyDescent="0.35">
      <c r="A42" s="84" t="s">
        <v>181</v>
      </c>
      <c r="B42" s="10"/>
      <c r="D42" s="38"/>
      <c r="E42" s="115" t="s">
        <v>182</v>
      </c>
      <c r="F42" s="118"/>
      <c r="G42" s="119"/>
    </row>
    <row r="43" spans="1:8" ht="14" x14ac:dyDescent="0.3">
      <c r="D43" s="38"/>
      <c r="E43" s="115" t="s">
        <v>183</v>
      </c>
      <c r="F43" s="118"/>
      <c r="G43" s="119"/>
    </row>
    <row r="44" spans="1:8" ht="14" x14ac:dyDescent="0.3">
      <c r="D44" s="38"/>
      <c r="E44" s="115" t="s">
        <v>184</v>
      </c>
      <c r="F44" s="118"/>
      <c r="G44" s="119"/>
    </row>
    <row r="45" spans="1:8" ht="14" x14ac:dyDescent="0.3">
      <c r="D45" s="38"/>
      <c r="E45" s="140" t="s">
        <v>185</v>
      </c>
      <c r="F45" s="141"/>
      <c r="G45" s="142"/>
    </row>
    <row r="47" spans="1:8" ht="14" x14ac:dyDescent="0.3">
      <c r="E47" s="120"/>
      <c r="F47" s="120"/>
      <c r="G47" s="120"/>
    </row>
    <row r="48" spans="1:8" x14ac:dyDescent="0.3">
      <c r="F48" s="121"/>
    </row>
    <row r="49" spans="1:7" ht="14" x14ac:dyDescent="0.3">
      <c r="A49" s="83" t="s">
        <v>186</v>
      </c>
    </row>
    <row r="50" spans="1:7" ht="14.5" x14ac:dyDescent="0.35">
      <c r="A50" s="84" t="s">
        <v>181</v>
      </c>
      <c r="E50" s="124" t="s">
        <v>187</v>
      </c>
      <c r="F50" s="118" t="s">
        <v>188</v>
      </c>
      <c r="G50" s="119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topLeftCell="A7" workbookViewId="0">
      <selection activeCell="H22" sqref="H22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1" bestFit="1" customWidth="1"/>
  </cols>
  <sheetData>
    <row r="1" spans="1:9" ht="15" customHeight="1" x14ac:dyDescent="0.35">
      <c r="A1" s="172" t="s">
        <v>0</v>
      </c>
      <c r="B1" s="172"/>
      <c r="C1" s="172"/>
      <c r="D1" s="172"/>
      <c r="E1" s="172"/>
      <c r="F1" s="172"/>
      <c r="G1" s="172"/>
      <c r="H1" s="172"/>
      <c r="I1" s="19"/>
    </row>
    <row r="2" spans="1:9" s="3" customFormat="1" ht="27.75" customHeight="1" x14ac:dyDescent="0.3">
      <c r="B2" s="3" t="s">
        <v>72</v>
      </c>
      <c r="H2" s="69"/>
      <c r="I2" s="18"/>
    </row>
    <row r="3" spans="1:9" s="3" customFormat="1" ht="27.75" customHeight="1" x14ac:dyDescent="0.3">
      <c r="B3" s="174" t="s">
        <v>73</v>
      </c>
      <c r="C3" s="174"/>
      <c r="D3" s="174"/>
      <c r="E3" s="174"/>
      <c r="F3" s="174"/>
      <c r="G3" s="174"/>
      <c r="H3" s="69"/>
      <c r="I3" s="18"/>
    </row>
    <row r="4" spans="1:9" s="28" customFormat="1" ht="15" customHeight="1" x14ac:dyDescent="0.35">
      <c r="A4" s="27"/>
      <c r="B4" s="173" t="s">
        <v>67</v>
      </c>
      <c r="C4" s="173"/>
      <c r="D4" s="173"/>
      <c r="E4" s="173"/>
      <c r="F4" s="173"/>
      <c r="G4" s="173"/>
      <c r="H4" s="173"/>
      <c r="I4" s="18"/>
    </row>
    <row r="5" spans="1:9" s="3" customFormat="1" ht="15" customHeight="1" thickBot="1" x14ac:dyDescent="0.35">
      <c r="A5" s="2" t="s">
        <v>71</v>
      </c>
      <c r="H5" s="69"/>
      <c r="I5" s="130" t="s">
        <v>211</v>
      </c>
    </row>
    <row r="6" spans="1:9" ht="15" customHeight="1" thickBot="1" x14ac:dyDescent="0.35">
      <c r="B6" t="s">
        <v>1</v>
      </c>
      <c r="F6" s="59"/>
      <c r="G6" s="59"/>
      <c r="H6" s="40" t="s">
        <v>245</v>
      </c>
      <c r="I6" s="130" t="str">
        <f>raison</f>
        <v>DK 50</v>
      </c>
    </row>
    <row r="7" spans="1:9" ht="15" customHeight="1" thickBot="1" x14ac:dyDescent="0.35">
      <c r="B7" t="s">
        <v>97</v>
      </c>
      <c r="D7" s="1"/>
      <c r="E7" s="1"/>
      <c r="G7" s="1"/>
      <c r="H7" s="40" t="str">
        <f>raison</f>
        <v>DK 50</v>
      </c>
      <c r="I7" s="18"/>
    </row>
    <row r="8" spans="1:9" ht="15" customHeight="1" thickBot="1" x14ac:dyDescent="0.35">
      <c r="B8" t="s">
        <v>2</v>
      </c>
      <c r="D8" s="1"/>
      <c r="E8" s="1"/>
      <c r="F8" s="59"/>
      <c r="G8" s="59"/>
      <c r="H8" s="40" t="s">
        <v>209</v>
      </c>
      <c r="I8" s="18"/>
    </row>
    <row r="9" spans="1:9" ht="15" customHeight="1" thickBot="1" x14ac:dyDescent="0.35">
      <c r="B9" t="s">
        <v>29</v>
      </c>
      <c r="D9" s="1"/>
      <c r="E9" s="1"/>
      <c r="G9" s="1"/>
      <c r="H9" s="53" t="s">
        <v>206</v>
      </c>
      <c r="I9" s="18"/>
    </row>
    <row r="10" spans="1:9" ht="15" customHeight="1" thickBot="1" x14ac:dyDescent="0.35">
      <c r="B10" t="s">
        <v>24</v>
      </c>
      <c r="D10" s="1"/>
      <c r="E10" s="1"/>
      <c r="G10" s="1"/>
      <c r="H10" s="40" t="s">
        <v>207</v>
      </c>
      <c r="I10" s="18"/>
    </row>
    <row r="11" spans="1:9" ht="15" customHeight="1" thickBot="1" x14ac:dyDescent="0.35">
      <c r="B11" t="s">
        <v>8</v>
      </c>
      <c r="D11" s="1"/>
      <c r="E11" s="1"/>
      <c r="F11" s="1"/>
      <c r="G11" s="1"/>
      <c r="H11" s="54" t="s">
        <v>121</v>
      </c>
      <c r="I11" s="18"/>
    </row>
    <row r="12" spans="1:9" ht="15" customHeight="1" thickBot="1" x14ac:dyDescent="0.35">
      <c r="B12" t="s">
        <v>28</v>
      </c>
      <c r="D12" s="1"/>
      <c r="E12" s="1"/>
      <c r="F12" s="1"/>
      <c r="G12" s="1"/>
      <c r="H12" s="40" t="s">
        <v>208</v>
      </c>
      <c r="I12" s="18"/>
    </row>
    <row r="13" spans="1:9" ht="15" customHeight="1" thickBot="1" x14ac:dyDescent="0.35">
      <c r="B13" t="s">
        <v>7</v>
      </c>
      <c r="D13" s="1"/>
      <c r="E13" s="1"/>
      <c r="F13" s="1"/>
      <c r="G13" s="1"/>
      <c r="H13" s="55">
        <v>37000</v>
      </c>
      <c r="I13" s="18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4" t="s">
        <v>247</v>
      </c>
      <c r="I14" s="18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5" t="s">
        <v>248</v>
      </c>
      <c r="I15" s="18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6"/>
      <c r="I16" s="18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9" t="s">
        <v>199</v>
      </c>
      <c r="I17" s="18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6" t="s">
        <v>200</v>
      </c>
      <c r="I18" s="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6" t="s">
        <v>210</v>
      </c>
      <c r="I19" s="18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7">
        <v>92400</v>
      </c>
      <c r="I20" s="18"/>
    </row>
    <row r="21" spans="1:10" ht="24" customHeight="1" thickBot="1" x14ac:dyDescent="0.35">
      <c r="B21" s="1" t="s">
        <v>6</v>
      </c>
      <c r="D21" s="1"/>
      <c r="E21" s="70"/>
      <c r="F21" s="39"/>
      <c r="G21" s="1"/>
      <c r="H21" s="125" t="s">
        <v>244</v>
      </c>
      <c r="I21" s="18"/>
    </row>
    <row r="22" spans="1:10" s="3" customFormat="1" ht="28.5" customHeight="1" thickBot="1" x14ac:dyDescent="0.35">
      <c r="B22" s="2" t="s">
        <v>198</v>
      </c>
      <c r="E22" s="11"/>
      <c r="F22" s="69"/>
      <c r="H22" s="41" t="s">
        <v>246</v>
      </c>
      <c r="I22" s="18"/>
      <c r="J22"/>
    </row>
    <row r="23" spans="1:10" s="3" customFormat="1" ht="28.5" customHeight="1" thickBot="1" x14ac:dyDescent="0.35">
      <c r="E23" s="2" t="s">
        <v>20</v>
      </c>
      <c r="F23" s="69"/>
      <c r="H23" s="71"/>
      <c r="I23" s="18"/>
      <c r="J23"/>
    </row>
    <row r="24" spans="1:10" s="3" customFormat="1" ht="15" customHeight="1" thickBot="1" x14ac:dyDescent="0.35">
      <c r="B24" s="2" t="s">
        <v>37</v>
      </c>
      <c r="E24" s="11"/>
      <c r="F24" s="69"/>
      <c r="H24" s="58" t="s">
        <v>82</v>
      </c>
      <c r="I24" s="18"/>
      <c r="J24"/>
    </row>
    <row r="25" spans="1:10" s="3" customFormat="1" ht="15" customHeight="1" x14ac:dyDescent="0.3">
      <c r="B25" s="2"/>
      <c r="E25" s="11"/>
      <c r="F25" s="69"/>
      <c r="H25" s="72"/>
      <c r="I25" s="18"/>
      <c r="J25"/>
    </row>
    <row r="26" spans="1:10" s="4" customFormat="1" ht="28.5" customHeight="1" thickBot="1" x14ac:dyDescent="0.35">
      <c r="A26" s="177" t="s">
        <v>53</v>
      </c>
      <c r="B26" s="177"/>
      <c r="C26" s="177"/>
      <c r="D26" s="177"/>
      <c r="E26" s="177"/>
      <c r="F26" s="177"/>
      <c r="G26" s="177"/>
      <c r="H26" s="177"/>
      <c r="I26" s="22"/>
      <c r="J26"/>
    </row>
    <row r="27" spans="1:10" s="4" customFormat="1" ht="15" customHeight="1" thickBot="1" x14ac:dyDescent="0.35">
      <c r="A27" s="5"/>
      <c r="B27" t="s">
        <v>18</v>
      </c>
      <c r="H27" s="73">
        <v>45658</v>
      </c>
      <c r="I27" s="17"/>
      <c r="J27"/>
    </row>
    <row r="28" spans="1:10" ht="15" customHeight="1" thickBot="1" x14ac:dyDescent="0.35">
      <c r="A28" s="178" t="s">
        <v>54</v>
      </c>
      <c r="B28" t="s">
        <v>55</v>
      </c>
      <c r="H28" s="74"/>
      <c r="I28" s="22"/>
    </row>
    <row r="29" spans="1:10" ht="15" customHeight="1" thickBot="1" x14ac:dyDescent="0.35">
      <c r="A29" s="178"/>
      <c r="B29" t="s">
        <v>56</v>
      </c>
      <c r="H29" s="74">
        <v>46022</v>
      </c>
    </row>
    <row r="30" spans="1:10" ht="29.25" customHeight="1" thickBot="1" x14ac:dyDescent="0.35">
      <c r="B30" s="2" t="s">
        <v>10</v>
      </c>
      <c r="H30" s="59"/>
    </row>
    <row r="31" spans="1:10" ht="15" customHeight="1" thickBot="1" x14ac:dyDescent="0.35">
      <c r="B31" t="s">
        <v>38</v>
      </c>
      <c r="F31" s="10"/>
      <c r="H31" s="40" t="s">
        <v>151</v>
      </c>
    </row>
    <row r="32" spans="1:10" ht="15" customHeight="1" thickBot="1" x14ac:dyDescent="0.35">
      <c r="B32" t="s">
        <v>91</v>
      </c>
      <c r="F32" s="10"/>
      <c r="H32" s="40" t="s">
        <v>82</v>
      </c>
      <c r="I32" s="75"/>
    </row>
    <row r="33" spans="2:9" ht="15" customHeight="1" thickBot="1" x14ac:dyDescent="0.35">
      <c r="B33" t="s">
        <v>3</v>
      </c>
      <c r="H33" s="58" t="s">
        <v>151</v>
      </c>
      <c r="I33" s="76"/>
    </row>
    <row r="34" spans="2:9" ht="13.5" thickBot="1" x14ac:dyDescent="0.35">
      <c r="B34" s="131" t="s">
        <v>195</v>
      </c>
      <c r="C34" s="132"/>
      <c r="D34" s="132"/>
      <c r="E34" s="132"/>
      <c r="F34" s="133"/>
      <c r="G34" s="132"/>
      <c r="H34" s="41" t="s">
        <v>82</v>
      </c>
      <c r="I34" s="76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8" t="s">
        <v>122</v>
      </c>
    </row>
    <row r="36" spans="2:9" ht="15" customHeight="1" thickBot="1" x14ac:dyDescent="0.35">
      <c r="B36" t="s">
        <v>4</v>
      </c>
      <c r="F36" s="10"/>
      <c r="H36" s="58" t="s">
        <v>122</v>
      </c>
    </row>
    <row r="37" spans="2:9" ht="15" customHeight="1" thickBot="1" x14ac:dyDescent="0.35">
      <c r="B37" t="s">
        <v>5</v>
      </c>
      <c r="H37" s="40" t="s">
        <v>122</v>
      </c>
    </row>
    <row r="38" spans="2:9" ht="15" customHeight="1" thickBot="1" x14ac:dyDescent="0.35">
      <c r="B38" s="33" t="s">
        <v>139</v>
      </c>
      <c r="H38" s="40" t="s">
        <v>122</v>
      </c>
    </row>
    <row r="39" spans="2:9" ht="15" customHeight="1" thickBot="1" x14ac:dyDescent="0.35">
      <c r="B39" t="s">
        <v>9</v>
      </c>
      <c r="H39" s="40" t="s">
        <v>122</v>
      </c>
    </row>
    <row r="40" spans="2:9" ht="15" customHeight="1" thickBot="1" x14ac:dyDescent="0.35">
      <c r="B40" t="s">
        <v>16</v>
      </c>
      <c r="H40" s="40" t="s">
        <v>82</v>
      </c>
      <c r="I40" s="21" t="s">
        <v>153</v>
      </c>
    </row>
    <row r="41" spans="2:9" ht="26.5" thickBot="1" x14ac:dyDescent="0.35">
      <c r="B41" s="33" t="s">
        <v>152</v>
      </c>
      <c r="H41" s="138" t="str">
        <f>'Nouveau référentiel R12'!K3</f>
        <v>GK1478810R</v>
      </c>
      <c r="I41" s="45" t="s">
        <v>149</v>
      </c>
    </row>
    <row r="42" spans="2:9" ht="15" customHeight="1" thickBot="1" x14ac:dyDescent="0.35">
      <c r="B42" t="s">
        <v>39</v>
      </c>
      <c r="H42" s="59" t="s">
        <v>122</v>
      </c>
    </row>
    <row r="43" spans="2:9" ht="15" customHeight="1" thickBot="1" x14ac:dyDescent="0.35">
      <c r="B43" t="s">
        <v>19</v>
      </c>
      <c r="H43" s="60"/>
      <c r="I43" s="33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40"/>
      <c r="I44" s="77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40" t="s">
        <v>122</v>
      </c>
      <c r="I45" s="48"/>
    </row>
    <row r="46" spans="2:9" ht="30" customHeight="1" thickBot="1" x14ac:dyDescent="0.35">
      <c r="B46" s="179" t="s">
        <v>75</v>
      </c>
      <c r="C46" s="179"/>
      <c r="D46" s="179"/>
      <c r="E46" s="179"/>
      <c r="F46" s="179"/>
      <c r="G46" s="180"/>
      <c r="H46" s="40" t="s">
        <v>122</v>
      </c>
    </row>
    <row r="47" spans="2:9" ht="32.25" customHeight="1" thickBot="1" x14ac:dyDescent="0.35">
      <c r="B47" s="175" t="s">
        <v>119</v>
      </c>
      <c r="C47" s="175"/>
      <c r="D47" s="175"/>
      <c r="E47" s="175"/>
      <c r="F47" s="175"/>
      <c r="G47" s="176"/>
      <c r="H47" s="40" t="s">
        <v>122</v>
      </c>
    </row>
    <row r="48" spans="2:9" ht="15" customHeight="1" thickBot="1" x14ac:dyDescent="0.35">
      <c r="B48" t="s">
        <v>21</v>
      </c>
      <c r="H48" s="40" t="s">
        <v>122</v>
      </c>
    </row>
    <row r="49" spans="1:10" ht="15" customHeight="1" thickBot="1" x14ac:dyDescent="0.35">
      <c r="B49" t="s">
        <v>32</v>
      </c>
      <c r="H49" s="40" t="s">
        <v>256</v>
      </c>
    </row>
    <row r="50" spans="1:10" ht="15" customHeight="1" thickBot="1" x14ac:dyDescent="0.35">
      <c r="B50" t="s">
        <v>68</v>
      </c>
      <c r="F50" t="s">
        <v>33</v>
      </c>
      <c r="H50" s="61">
        <v>30004</v>
      </c>
    </row>
    <row r="51" spans="1:10" ht="15" customHeight="1" thickBot="1" x14ac:dyDescent="0.35">
      <c r="F51" t="s">
        <v>34</v>
      </c>
      <c r="H51" s="42" t="s">
        <v>257</v>
      </c>
    </row>
    <row r="52" spans="1:10" ht="15" customHeight="1" thickBot="1" x14ac:dyDescent="0.35">
      <c r="F52" t="s">
        <v>35</v>
      </c>
      <c r="H52" s="43" t="s">
        <v>258</v>
      </c>
    </row>
    <row r="53" spans="1:10" ht="15" customHeight="1" thickBot="1" x14ac:dyDescent="0.35">
      <c r="F53" t="s">
        <v>36</v>
      </c>
      <c r="H53" s="143" t="s">
        <v>259</v>
      </c>
      <c r="I53" s="33"/>
    </row>
    <row r="54" spans="1:10" ht="15" customHeight="1" thickBot="1" x14ac:dyDescent="0.35">
      <c r="B54" t="s">
        <v>44</v>
      </c>
      <c r="H54" s="40" t="s">
        <v>122</v>
      </c>
      <c r="I54" s="46"/>
    </row>
    <row r="55" spans="1:10" ht="15" customHeight="1" thickBot="1" x14ac:dyDescent="0.35">
      <c r="B55" t="s">
        <v>45</v>
      </c>
      <c r="H55" s="44" t="s">
        <v>122</v>
      </c>
      <c r="I55" s="46"/>
    </row>
    <row r="56" spans="1:10" ht="15" customHeight="1" x14ac:dyDescent="0.3">
      <c r="H56" s="69"/>
    </row>
    <row r="57" spans="1:10" s="3" customFormat="1" ht="14.25" customHeight="1" x14ac:dyDescent="0.3">
      <c r="A57" s="3" t="s">
        <v>30</v>
      </c>
      <c r="D57" s="32">
        <v>45679</v>
      </c>
      <c r="E57" s="23"/>
      <c r="H57" s="39"/>
      <c r="I57" s="20"/>
    </row>
    <row r="58" spans="1:10" ht="15" customHeight="1" x14ac:dyDescent="0.3">
      <c r="A58" t="s">
        <v>31</v>
      </c>
      <c r="H58" s="149" t="s">
        <v>253</v>
      </c>
      <c r="I58" s="147"/>
      <c r="J58" s="148"/>
    </row>
    <row r="59" spans="1:10" ht="15" customHeight="1" x14ac:dyDescent="0.3">
      <c r="D59" s="33" t="s">
        <v>125</v>
      </c>
      <c r="H59" s="129" t="s">
        <v>254</v>
      </c>
      <c r="I59" s="10"/>
      <c r="J59" s="93"/>
    </row>
    <row r="60" spans="1:10" ht="15" customHeight="1" x14ac:dyDescent="0.3">
      <c r="D60" s="33"/>
      <c r="H60" s="129" t="s">
        <v>255</v>
      </c>
      <c r="I60" s="10"/>
      <c r="J60" s="93"/>
    </row>
    <row r="61" spans="1:10" ht="15" customHeight="1" x14ac:dyDescent="0.3">
      <c r="H61" s="39"/>
    </row>
    <row r="62" spans="1:10" ht="15" customHeight="1" x14ac:dyDescent="0.3">
      <c r="H62" s="39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2"/>
  <sheetViews>
    <sheetView workbookViewId="0">
      <selection activeCell="C25" sqref="C25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3" t="s">
        <v>212</v>
      </c>
    </row>
    <row r="2" spans="1:13" x14ac:dyDescent="0.3">
      <c r="A2" s="52" t="s">
        <v>140</v>
      </c>
      <c r="B2" s="52" t="s">
        <v>141</v>
      </c>
      <c r="C2" s="52" t="s">
        <v>142</v>
      </c>
      <c r="D2" s="52" t="s">
        <v>143</v>
      </c>
      <c r="E2" s="52" t="s">
        <v>144</v>
      </c>
      <c r="F2" s="52" t="s">
        <v>189</v>
      </c>
      <c r="G2" s="52" t="s">
        <v>190</v>
      </c>
      <c r="H2" s="52" t="s">
        <v>145</v>
      </c>
      <c r="I2" s="52" t="s">
        <v>146</v>
      </c>
      <c r="J2" s="52" t="s">
        <v>147</v>
      </c>
      <c r="K2" s="64" t="s">
        <v>148</v>
      </c>
      <c r="L2" s="64" t="s">
        <v>191</v>
      </c>
      <c r="M2" s="64" t="s">
        <v>192</v>
      </c>
    </row>
    <row r="3" spans="1:13" ht="15.5" x14ac:dyDescent="0.35">
      <c r="A3" s="65" t="s">
        <v>245</v>
      </c>
      <c r="B3" s="134" t="s">
        <v>244</v>
      </c>
      <c r="C3" s="66"/>
      <c r="D3" s="67" t="s">
        <v>150</v>
      </c>
      <c r="E3" s="146" t="s">
        <v>260</v>
      </c>
      <c r="F3" s="67" t="s">
        <v>261</v>
      </c>
      <c r="G3" s="67" t="s">
        <v>193</v>
      </c>
      <c r="H3" s="65" t="s">
        <v>151</v>
      </c>
      <c r="I3" s="65" t="s">
        <v>262</v>
      </c>
      <c r="J3" s="65" t="s">
        <v>263</v>
      </c>
      <c r="K3" s="123" t="s">
        <v>264</v>
      </c>
      <c r="L3" s="68" t="s">
        <v>265</v>
      </c>
      <c r="M3" s="67" t="s">
        <v>194</v>
      </c>
    </row>
    <row r="4" spans="1:13" x14ac:dyDescent="0.3">
      <c r="B4" s="38"/>
      <c r="C4" s="38"/>
    </row>
    <row r="5" spans="1:13" x14ac:dyDescent="0.3">
      <c r="B5" s="38"/>
      <c r="C5" s="38"/>
    </row>
    <row r="7" spans="1:13" x14ac:dyDescent="0.3">
      <c r="A7" s="33" t="s">
        <v>156</v>
      </c>
    </row>
    <row r="8" spans="1:13" x14ac:dyDescent="0.3">
      <c r="A8" s="50" t="s">
        <v>155</v>
      </c>
    </row>
    <row r="9" spans="1:13" x14ac:dyDescent="0.3">
      <c r="A9" s="51"/>
    </row>
    <row r="11" spans="1:13" x14ac:dyDescent="0.3">
      <c r="A11" s="126"/>
      <c r="B11" s="127" t="s">
        <v>201</v>
      </c>
      <c r="C11" s="126" t="s">
        <v>202</v>
      </c>
      <c r="D11" s="126" t="s">
        <v>203</v>
      </c>
      <c r="E11" s="126" t="s">
        <v>204</v>
      </c>
    </row>
    <row r="12" spans="1:13" ht="15.5" x14ac:dyDescent="0.35">
      <c r="A12" s="136" t="str">
        <f>A3</f>
        <v>DK 50</v>
      </c>
      <c r="B12" s="137" t="str">
        <f>B3</f>
        <v>0549</v>
      </c>
      <c r="C12" s="126" t="str">
        <f>A18</f>
        <v>K24023316U</v>
      </c>
      <c r="D12" s="126" t="str">
        <f>A15</f>
        <v>D00334391N</v>
      </c>
      <c r="E12" s="126" t="s">
        <v>205</v>
      </c>
    </row>
    <row r="14" spans="1:13" s="135" customFormat="1" x14ac:dyDescent="0.3">
      <c r="A14" s="156" t="s">
        <v>214</v>
      </c>
      <c r="B14" s="156" t="s">
        <v>215</v>
      </c>
      <c r="C14" s="156" t="s">
        <v>146</v>
      </c>
      <c r="D14" s="156" t="s">
        <v>216</v>
      </c>
      <c r="E14" s="156" t="s">
        <v>217</v>
      </c>
      <c r="F14" s="157" t="s">
        <v>218</v>
      </c>
      <c r="G14" s="157" t="s">
        <v>219</v>
      </c>
      <c r="H14" s="156" t="s">
        <v>220</v>
      </c>
      <c r="I14" s="156" t="s">
        <v>8</v>
      </c>
      <c r="J14" s="157" t="s">
        <v>221</v>
      </c>
      <c r="K14" s="157" t="s">
        <v>222</v>
      </c>
      <c r="L14" s="157" t="s">
        <v>223</v>
      </c>
      <c r="M14" s="157" t="s">
        <v>278</v>
      </c>
    </row>
    <row r="15" spans="1:13" s="135" customFormat="1" x14ac:dyDescent="0.3">
      <c r="A15" s="158" t="s">
        <v>279</v>
      </c>
      <c r="B15" s="158" t="s">
        <v>224</v>
      </c>
      <c r="C15" s="158" t="s">
        <v>225</v>
      </c>
      <c r="D15" s="158" t="s">
        <v>245</v>
      </c>
      <c r="E15" s="158">
        <v>939004669</v>
      </c>
      <c r="F15" s="152" t="s">
        <v>226</v>
      </c>
      <c r="G15" s="152" t="s">
        <v>227</v>
      </c>
      <c r="H15" s="158">
        <v>5710</v>
      </c>
      <c r="I15" s="158" t="s">
        <v>228</v>
      </c>
      <c r="J15" s="152">
        <v>3511</v>
      </c>
      <c r="K15" s="152" t="s">
        <v>200</v>
      </c>
      <c r="L15" s="152" t="s">
        <v>244</v>
      </c>
      <c r="M15" s="152">
        <v>1</v>
      </c>
    </row>
    <row r="16" spans="1:13" s="135" customFormat="1" x14ac:dyDescent="0.3">
      <c r="L16" s="139"/>
    </row>
    <row r="17" spans="1:17" s="135" customFormat="1" x14ac:dyDescent="0.3">
      <c r="A17" s="156" t="s">
        <v>214</v>
      </c>
      <c r="B17" s="156" t="s">
        <v>215</v>
      </c>
      <c r="C17" s="156" t="s">
        <v>146</v>
      </c>
      <c r="D17" s="156" t="s">
        <v>229</v>
      </c>
      <c r="E17" s="156" t="s">
        <v>217</v>
      </c>
      <c r="F17" s="157" t="s">
        <v>230</v>
      </c>
      <c r="G17" s="157" t="s">
        <v>231</v>
      </c>
      <c r="H17" s="156" t="s">
        <v>232</v>
      </c>
      <c r="I17" s="157" t="s">
        <v>24</v>
      </c>
      <c r="J17" s="157" t="s">
        <v>280</v>
      </c>
      <c r="K17" s="157" t="s">
        <v>233</v>
      </c>
      <c r="L17" s="157" t="s">
        <v>234</v>
      </c>
      <c r="M17" s="157" t="s">
        <v>235</v>
      </c>
    </row>
    <row r="18" spans="1:17" s="135" customFormat="1" x14ac:dyDescent="0.3">
      <c r="A18" s="158" t="s">
        <v>281</v>
      </c>
      <c r="B18" s="158" t="s">
        <v>224</v>
      </c>
      <c r="C18" s="158" t="s">
        <v>225</v>
      </c>
      <c r="D18" s="158" t="s">
        <v>245</v>
      </c>
      <c r="E18" s="159" t="s">
        <v>247</v>
      </c>
      <c r="F18" s="152" t="s">
        <v>236</v>
      </c>
      <c r="G18" s="152" t="s">
        <v>237</v>
      </c>
      <c r="H18" s="158" t="s">
        <v>282</v>
      </c>
      <c r="I18" s="152" t="s">
        <v>238</v>
      </c>
      <c r="J18" s="155"/>
      <c r="K18" s="152" t="s">
        <v>283</v>
      </c>
      <c r="L18" s="152" t="s">
        <v>82</v>
      </c>
      <c r="M18" s="152" t="s">
        <v>279</v>
      </c>
    </row>
    <row r="19" spans="1:17" x14ac:dyDescent="0.3">
      <c r="N19" s="135"/>
      <c r="O19" s="135"/>
      <c r="P19" s="135"/>
      <c r="Q19" s="135"/>
    </row>
    <row r="21" spans="1:17" ht="14.5" x14ac:dyDescent="0.35">
      <c r="A21" s="150" t="s">
        <v>214</v>
      </c>
      <c r="B21" s="150" t="s">
        <v>215</v>
      </c>
      <c r="C21" s="150" t="s">
        <v>146</v>
      </c>
      <c r="D21" s="150" t="s">
        <v>229</v>
      </c>
      <c r="E21" s="150" t="s">
        <v>266</v>
      </c>
      <c r="F21" s="150" t="s">
        <v>267</v>
      </c>
      <c r="G21" s="151" t="s">
        <v>268</v>
      </c>
      <c r="H21" s="151" t="s">
        <v>269</v>
      </c>
      <c r="I21" s="150" t="s">
        <v>270</v>
      </c>
      <c r="J21" s="150" t="s">
        <v>271</v>
      </c>
      <c r="K21" s="150" t="s">
        <v>272</v>
      </c>
      <c r="L21" s="150" t="s">
        <v>273</v>
      </c>
      <c r="M21" s="150" t="s">
        <v>274</v>
      </c>
      <c r="N21" s="150" t="s">
        <v>275</v>
      </c>
    </row>
    <row r="22" spans="1:17" x14ac:dyDescent="0.3">
      <c r="A22" s="152" t="s">
        <v>264</v>
      </c>
      <c r="B22" s="152" t="s">
        <v>224</v>
      </c>
      <c r="C22" s="152" t="s">
        <v>276</v>
      </c>
      <c r="D22" s="152" t="s">
        <v>265</v>
      </c>
      <c r="E22" s="152" t="s">
        <v>194</v>
      </c>
      <c r="F22" s="152" t="s">
        <v>150</v>
      </c>
      <c r="G22" s="153" t="s">
        <v>260</v>
      </c>
      <c r="H22" s="154"/>
      <c r="I22" s="152">
        <v>0</v>
      </c>
      <c r="J22" s="152">
        <v>0</v>
      </c>
      <c r="K22" s="152">
        <v>0</v>
      </c>
      <c r="L22" s="152">
        <v>0</v>
      </c>
      <c r="M22" s="152" t="s">
        <v>277</v>
      </c>
      <c r="N22" s="155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5" bestFit="1" customWidth="1"/>
    <col min="2" max="2" width="13.90625" style="25" bestFit="1" customWidth="1"/>
    <col min="3" max="3" width="11.453125" style="25"/>
    <col min="4" max="4" width="7.453125" style="25" customWidth="1"/>
    <col min="5" max="6" width="5" style="25" customWidth="1"/>
    <col min="7" max="7" width="10.54296875" style="25" bestFit="1" customWidth="1"/>
    <col min="8" max="8" width="5" style="25" customWidth="1"/>
    <col min="9" max="16384" width="11.453125" style="25"/>
  </cols>
  <sheetData>
    <row r="1" spans="1:19" s="24" customFormat="1" ht="234.75" customHeight="1" x14ac:dyDescent="0.3">
      <c r="A1" s="24" t="s">
        <v>40</v>
      </c>
      <c r="B1" s="24" t="s">
        <v>41</v>
      </c>
      <c r="C1" s="24" t="s">
        <v>42</v>
      </c>
      <c r="D1" s="24" t="s">
        <v>43</v>
      </c>
      <c r="E1" s="47" t="s">
        <v>59</v>
      </c>
      <c r="F1" s="47" t="s">
        <v>126</v>
      </c>
      <c r="G1" s="47" t="s">
        <v>127</v>
      </c>
      <c r="H1" s="47" t="s">
        <v>128</v>
      </c>
      <c r="I1" s="47" t="s">
        <v>129</v>
      </c>
      <c r="J1" s="47" t="s">
        <v>130</v>
      </c>
      <c r="K1" s="47" t="s">
        <v>131</v>
      </c>
      <c r="L1" s="47" t="s">
        <v>131</v>
      </c>
      <c r="M1" s="34" t="s">
        <v>132</v>
      </c>
      <c r="N1" s="34" t="s">
        <v>133</v>
      </c>
      <c r="O1" s="34" t="s">
        <v>134</v>
      </c>
      <c r="P1" s="34" t="s">
        <v>135</v>
      </c>
      <c r="Q1" s="34" t="s">
        <v>136</v>
      </c>
      <c r="R1" s="34" t="s">
        <v>137</v>
      </c>
      <c r="S1" s="34" t="s">
        <v>138</v>
      </c>
    </row>
    <row r="2" spans="1:19" x14ac:dyDescent="0.25">
      <c r="A2" s="35"/>
      <c r="B2" s="35"/>
      <c r="C2" s="35"/>
      <c r="D2" s="35" t="s">
        <v>151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36" t="s">
        <v>154</v>
      </c>
      <c r="S2" s="36" t="s">
        <v>154</v>
      </c>
    </row>
    <row r="3" spans="1:19" x14ac:dyDescent="0.25">
      <c r="A3" s="35"/>
      <c r="B3" s="35"/>
      <c r="C3" s="35"/>
      <c r="D3" s="35" t="s">
        <v>151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36" t="s">
        <v>154</v>
      </c>
      <c r="S3" s="36" t="s">
        <v>154</v>
      </c>
    </row>
    <row r="4" spans="1:19" x14ac:dyDescent="0.25">
      <c r="A4" s="35"/>
      <c r="B4" s="35"/>
      <c r="C4" s="35"/>
      <c r="D4" s="35" t="s">
        <v>151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36"/>
      <c r="S4" s="36"/>
    </row>
    <row r="5" spans="1:19" x14ac:dyDescent="0.25">
      <c r="A5" s="37"/>
      <c r="B5" s="37"/>
      <c r="C5" s="37"/>
      <c r="D5" s="35" t="s">
        <v>151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37"/>
      <c r="S5" s="37"/>
    </row>
    <row r="6" spans="1:19" x14ac:dyDescent="0.25">
      <c r="A6" s="37"/>
      <c r="B6" s="37"/>
      <c r="C6" s="37"/>
      <c r="D6" s="35" t="s">
        <v>151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37"/>
      <c r="S6" s="37"/>
    </row>
    <row r="7" spans="1:19" x14ac:dyDescent="0.25">
      <c r="A7" s="37"/>
      <c r="B7" s="37"/>
      <c r="C7" s="37"/>
      <c r="D7" s="35" t="s">
        <v>151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37"/>
      <c r="S7" s="37"/>
    </row>
    <row r="10" spans="1:19" ht="13" x14ac:dyDescent="0.3">
      <c r="G10" s="122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0549</v>
      </c>
    </row>
    <row r="3" spans="1:9" ht="13" x14ac:dyDescent="0.3">
      <c r="B3" s="13"/>
      <c r="C3" s="14" t="s">
        <v>95</v>
      </c>
      <c r="G3" s="15" t="str">
        <f>+sigle</f>
        <v>DK 50</v>
      </c>
    </row>
    <row r="4" spans="1:9" ht="13" x14ac:dyDescent="0.3">
      <c r="B4" s="13"/>
      <c r="C4" s="14" t="s">
        <v>96</v>
      </c>
      <c r="G4" s="31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YS2050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939004669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00015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FR62939004669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6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9"/>
      <c r="E45" s="30"/>
      <c r="F45" s="30"/>
      <c r="G45" s="30"/>
      <c r="H45" s="30"/>
      <c r="I45" s="30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513601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2025-01-22T08:51:40Z</cp:lastPrinted>
  <dcterms:created xsi:type="dcterms:W3CDTF">1999-03-09T10:58:01Z</dcterms:created>
  <dcterms:modified xsi:type="dcterms:W3CDTF">2025-01-22T09:56:18Z</dcterms:modified>
</cp:coreProperties>
</file>