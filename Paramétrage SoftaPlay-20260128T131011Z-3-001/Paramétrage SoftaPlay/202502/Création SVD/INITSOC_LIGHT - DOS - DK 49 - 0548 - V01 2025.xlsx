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49 - 01 2025\"/>
    </mc:Choice>
  </mc:AlternateContent>
  <bookViews>
    <workbookView xWindow="-10" yWindow="110" windowWidth="15340" windowHeight="4200" activeTab="1"/>
  </bookViews>
  <sheets>
    <sheet name="513600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<sst xmlns="http://schemas.openxmlformats.org/spreadsheetml/2006/main" count="349" uniqueCount="284">
  <si>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</si>
  <si>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</si>
  <si>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</si>
  <si>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</si>
  <si>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</si>
  <si>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</si>
  <si>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</si>
  <si>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</si>
  <si>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</si>
  <si>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</si>
  <si>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</si>
  <si>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</si>
  <si>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</si>
  <si>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</si>
  <si>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</si>
  <si>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</si>
  <si>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</si>
  <si>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</si>
  <si>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</si>
  <si>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</si>
  <si>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</si>
  <si>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</si>
  <si>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</si>
  <si>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</si>
  <si>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</si>
  <si>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</si>
  <si>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</si>
  <si>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</si>
  <si>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</si>
  <si>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</si>
  <si>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</si>
  <si>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</si>
  <si>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</si>
  <si>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</si>
  <si>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</si>
  <si>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</si>
  <si>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</si>
  <si>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</si>
  <si>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</si>
  <si>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</si>
  <si>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</si>
  <si>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</si>
  <si>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</si>
  <si>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</si>
  <si>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</si>
  <si>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</si>
  <si>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</si>
  <si>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</si>
  <si>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</si>
  <si>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</si>
  <si>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</si>
  <si>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</si>
  <si>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</si>
  <si>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</si>
  <si>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</si>
  <si>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</si>
  <si>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</si>
  <si>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</si>
  <si>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</si>
  <si>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</si>
  <si>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</si>
  <si>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</si>
  <si>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</si>
  <si>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</si>
  <si>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</si>
  <si>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</si>
  <si>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</si>
  <si>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</si>
  <si>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</si>
  <si>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</si>
  <si>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</si>
  <si>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</si>
  <si>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</si>
  <si>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</si>
  <si>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</si>
  <si>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</si>
  <si>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</si>
  <si>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</si>
  <si>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</si>
  <si>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</si>
  <si>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</si>
  <si>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</si>
  <si>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</si>
  <si>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</si>
  <si>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</si>
  <si>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</si>
  <si>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</si>
  <si>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</si>
  <si>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</si>
  <si>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</si>
  <si>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</si>
  <si>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</si>
  <si>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</si>
  <si>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</si>
  <si>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</si>
  <si>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</si>
  <si>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</si>
  <si>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</si>
  <si>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</si>
  <si>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</si>
  <si>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</si>
  <si>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</si>
  <si>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</si>
  <si>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</si>
  <si>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</si>
  <si>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</si>
  <si>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</si>
  <si>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</si>
  <si>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</si>
  <si>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</si>
  <si>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</si>
  <si>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</si>
  <si>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</si>
  <si>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</si>
  <si>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</si>
  <si>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</si>
  <si>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</si>
  <si>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</si>
  <si>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</si>
  <si>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</si>
  <si>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</si>
  <si>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</si>
  <si>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</si>
  <si>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</si>
  <si>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</si>
  <si>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</si>
  <si>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</si>
  <si>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</si>
  <si>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</si>
  <si>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</si>
  <si>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</si>
  <si>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</si>
  <si>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</si>
  <si>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</si>
  <si>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</si>
  <si>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</si>
  <si>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</si>
  <si>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</si>
  <si>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</si>
  <si>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</si>
  <si>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</si>
  <si>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</si>
  <si>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</si>
  <si>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</si>
  <si>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</si>
  <si>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</si>
  <si>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</si>
  <si>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</si>
  <si>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</si>
  <si>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</si>
  <si>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</si>
  <si>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</si>
  <si>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</si>
  <si>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</si>
  <si>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</si>
  <si>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</si>
  <si>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</si>
  <si>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</si>
  <si>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</si>
  <si>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</si>
  <si>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</si>
  <si>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</si>
  <si>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</si>
  <si>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</si>
  <si>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</si>
  <si>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</si>
  <si>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</si>
  <si>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</si>
  <si>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</si>
  <si>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</si>
  <si>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</si>
  <si>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</si>
  <si>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</si>
  <si>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</si>
  <si>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</si>
  <si>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</si>
  <si>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</si>
  <si>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</si>
  <si>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</si>
  <si>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</si>
  <si>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</si>
  <si>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</si>
  <si>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</si>
  <si>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</si>
  <si>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</si>
  <si>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</si>
  <si>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</si>
  <si>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</si>
  <si>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</si>
  <si>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</si>
  <si>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</si>
  <si>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</si>
  <si>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</si>
  <si>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</si>
  <si>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</si>
  <si>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</si>
  <si>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</si>
  <si>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</si>
  <si>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</si>
  <si>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</si>
  <si>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</si>
  <si>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</si>
  <si>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</si>
  <si>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</si>
  <si>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</si>
  <si>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</si>
  <si>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</si>
  <si>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</si>
  <si>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</si>
  <si>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</si>
  <si>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</si>
  <si>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</si>
  <si>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</si>
  <si>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</si>
  <si>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</si>
  <si>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</si>
  <si>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</si>
  <si>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</si>
  <si>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</si>
  <si>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</si>
  <si>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</si>
  <si>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</si>
  <si>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</si>
  <si>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</si>
  <si>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</si>
  <si>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</si>
  <si>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</si>
  <si>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</si>
  <si>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</si>
  <si>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</si>
  <si>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</si>
  <si>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</si>
  <si>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</si>
  <si>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</si>
  <si>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</si>
  <si>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</si>
  <si>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</si>
  <si>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</si>
  <si>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</si>
  <si>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</si>
  <si>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</si>
  <si>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</si>
  <si>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</si>
  <si>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</si>
  <si>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</si>
  <si>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</si>
  <si>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</si>
  <si>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</si>
  <si>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Patricia BENJEBRIA</t>
  </si>
  <si>
    <t>0548 DK 49</t>
  </si>
  <si>
    <t>30003 03620 00020160634 89</t>
  </si>
  <si>
    <t>FR 76 3000 3036 2000 0201 6063 489</t>
  </si>
  <si>
    <t>Compte local 513600</t>
  </si>
  <si>
    <t>00020160634</t>
  </si>
  <si>
    <t>89</t>
  </si>
  <si>
    <t>0548</t>
  </si>
  <si>
    <t>DK 49</t>
  </si>
  <si>
    <t>YS2349</t>
  </si>
  <si>
    <t>93768842200016</t>
  </si>
  <si>
    <t xml:space="preserve"> FR94937688422</t>
  </si>
  <si>
    <t>Nb Partenaires</t>
  </si>
  <si>
    <t>D00334390M</t>
  </si>
  <si>
    <t>Complement adresse établissement</t>
  </si>
  <si>
    <t>K24023314S</t>
  </si>
  <si>
    <t>L00219248S</t>
  </si>
  <si>
    <t>0586087N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</si>
  <si>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</si>
  <si>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</si>
  <si>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</si>
  <si>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</si>
  <si>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</si>
  <si>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</si>
  <si>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</si>
  <si>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</si>
  <si>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</si>
  <si>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</si>
  <si>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GK1478801F</t>
  </si>
  <si>
    <t>SG</t>
  </si>
  <si>
    <t>TF FPS 0548 DK 49</t>
  </si>
  <si>
    <t>FB0088974G</t>
  </si>
  <si>
    <t>2025-01-20 00:00:00</t>
  </si>
  <si>
    <t>PF FPS 0548 DK 49</t>
  </si>
  <si>
    <t>DOS0548</t>
  </si>
  <si>
    <t>PROJET FINANCE DK 49 UO DOS0548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</si>
</sst>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1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1"/>
      <color rgb="FFFF0000"/>
      <name val="Calibri"/>
      <family val="2"/>
      <scheme val="minor"/>
    </font>
    <font>
      <b/>
      <sz val="8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12.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4" fillId="0" borderId="0" xfId="0" quotePrefix="1" applyFont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25" fillId="13" borderId="5" xfId="0" applyFont="1" applyFill="1" applyBorder="1" applyAlignment="1">
      <alignment horizontal="center"/>
    </xf>
    <xf numFmtId="0" fontId="25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applyFont="1" applyBorder="1"/>
    <xf numFmtId="0" fontId="26" fillId="0" borderId="5" xfId="0" quotePrefix="1" applyFont="1" applyBorder="1" applyAlignment="1">
      <alignment horizontal="center"/>
    </xf>
    <xf numFmtId="0" fontId="0" fillId="0" borderId="5" xfId="0" applyFont="1" applyBorder="1"/>
    <xf numFmtId="0" fontId="27" fillId="13" borderId="5" xfId="0" applyFont="1" applyFill="1" applyBorder="1"/>
    <xf numFmtId="0" fontId="27" fillId="13" borderId="5" xfId="0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49" fontId="30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10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2"/>
      <c r="F4" s="162"/>
      <c r="G4" s="162"/>
    </row>
    <row r="8" spans="1:7" ht="14.5" x14ac:dyDescent="0.35">
      <c r="A8" s="82" t="s">
        <v>158</v>
      </c>
      <c r="C8" s="83">
        <v>45660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248</v>
      </c>
      <c r="F11" s="10"/>
      <c r="G11" s="91"/>
    </row>
    <row r="12" spans="1:7" ht="15" customHeight="1" x14ac:dyDescent="0.3">
      <c r="D12" s="89" t="s">
        <v>162</v>
      </c>
      <c r="E12" s="159" t="s">
        <v>242</v>
      </c>
      <c r="F12" s="160"/>
      <c r="G12" s="161"/>
    </row>
    <row r="13" spans="1:7" ht="13.75" customHeight="1" x14ac:dyDescent="0.3">
      <c r="D13" s="92"/>
      <c r="E13" s="163" t="s">
        <v>243</v>
      </c>
      <c r="F13" s="163"/>
      <c r="G13" s="164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5" t="s">
        <v>249</v>
      </c>
      <c r="F16" s="165"/>
      <c r="G16" s="166"/>
    </row>
    <row r="17" spans="1:7" ht="14" x14ac:dyDescent="0.3">
      <c r="A17" s="81"/>
      <c r="D17" s="94" t="s">
        <v>164</v>
      </c>
      <c r="E17" s="126" t="s">
        <v>244</v>
      </c>
      <c r="F17" s="126"/>
      <c r="G17" s="126"/>
    </row>
    <row r="18" spans="1:7" ht="15" customHeight="1" x14ac:dyDescent="0.3">
      <c r="A18" s="81"/>
      <c r="D18" s="94"/>
      <c r="E18" s="126" t="s">
        <v>245</v>
      </c>
      <c r="F18" s="126"/>
      <c r="G18" s="126"/>
    </row>
    <row r="19" spans="1:7" ht="14" x14ac:dyDescent="0.3">
      <c r="A19" s="81"/>
      <c r="D19" s="94"/>
      <c r="E19" s="167" t="s">
        <v>213</v>
      </c>
      <c r="F19" s="167"/>
      <c r="G19" s="168"/>
    </row>
    <row r="20" spans="1:7" ht="14" x14ac:dyDescent="0.3">
      <c r="D20" s="95" t="s">
        <v>246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214</v>
      </c>
      <c r="F22" s="87"/>
      <c r="G22" s="88"/>
    </row>
    <row r="23" spans="1:7" ht="14" customHeight="1" x14ac:dyDescent="0.3">
      <c r="D23" s="89" t="s">
        <v>166</v>
      </c>
      <c r="E23" s="157" t="s">
        <v>247</v>
      </c>
      <c r="F23" s="157"/>
      <c r="G23" s="158"/>
    </row>
    <row r="24" spans="1:7" ht="14" x14ac:dyDescent="0.3">
      <c r="D24" s="100" t="s">
        <v>167</v>
      </c>
      <c r="E24" s="157" t="s">
        <v>215</v>
      </c>
      <c r="F24" s="157"/>
      <c r="G24" s="158"/>
    </row>
    <row r="25" spans="1:7" ht="14" x14ac:dyDescent="0.3">
      <c r="D25" s="89" t="s">
        <v>168</v>
      </c>
      <c r="E25" s="90" t="s">
        <v>250</v>
      </c>
      <c r="F25" s="10"/>
      <c r="G25" s="91"/>
    </row>
    <row r="26" spans="1:7" ht="14" x14ac:dyDescent="0.3">
      <c r="D26" s="89" t="s">
        <v>169</v>
      </c>
      <c r="E26" s="90" t="s">
        <v>251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513600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K62"/>
  <sheetViews>
    <sheetView tabSelected="1" topLeftCell="D10" workbookViewId="0">
      <selection activeCell="H28" sqref="H2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0" bestFit="1" customWidth="1"/>
  </cols>
  <sheetData>
    <row r="1" spans="1:9" ht="15" customHeight="1" x14ac:dyDescent="0.35">
      <c r="A1" s="169" t="s">
        <v>0</v>
      </c>
      <c r="B1" s="169"/>
      <c r="C1" s="169"/>
      <c r="D1" s="169"/>
      <c r="E1" s="169"/>
      <c r="F1" s="169"/>
      <c r="G1" s="169"/>
      <c r="H1" s="169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71" t="s">
        <v>73</v>
      </c>
      <c r="C3" s="171"/>
      <c r="D3" s="171"/>
      <c r="E3" s="171"/>
      <c r="F3" s="171"/>
      <c r="G3" s="171"/>
      <c r="H3" s="67"/>
      <c r="I3" s="17"/>
    </row>
    <row r="4" spans="1:9" s="26" customFormat="1" ht="15" customHeight="1" x14ac:dyDescent="0.35">
      <c r="A4" s="25"/>
      <c r="B4" s="170" t="s">
        <v>67</v>
      </c>
      <c r="C4" s="170"/>
      <c r="D4" s="170"/>
      <c r="E4" s="170"/>
      <c r="F4" s="170"/>
      <c r="G4" s="170"/>
      <c r="H4" s="170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256</v>
      </c>
      <c r="I6" s="128" t="str">
        <f>raison</f>
        <v>DK 49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49</v>
      </c>
      <c r="I7" s="17"/>
    </row>
    <row r="8" spans="1:9" ht="15" customHeight="1" thickBot="1" x14ac:dyDescent="0.4">
      <c r="B8" t="s">
        <v>2</v>
      </c>
      <c r="D8" s="1"/>
      <c r="E8" s="1"/>
      <c r="F8" s="57"/>
      <c r="G8" s="57"/>
      <c r="H8" s="38" t="s">
        <v>209</v>
      </c>
      <c r="I8" s="144"/>
    </row>
    <row r="9" spans="1:9" ht="15" customHeight="1" thickBot="1" x14ac:dyDescent="0.4">
      <c r="B9" t="s">
        <v>29</v>
      </c>
      <c r="D9" s="1"/>
      <c r="E9" s="1"/>
      <c r="G9" s="1"/>
      <c r="H9" s="51" t="s">
        <v>206</v>
      </c>
      <c r="I9" s="144"/>
    </row>
    <row r="10" spans="1:9" ht="15" customHeight="1" thickBot="1" x14ac:dyDescent="0.4">
      <c r="B10" t="s">
        <v>24</v>
      </c>
      <c r="D10" s="1"/>
      <c r="E10" s="1"/>
      <c r="G10" s="1"/>
      <c r="H10" s="38" t="s">
        <v>207</v>
      </c>
      <c r="I10" s="144"/>
    </row>
    <row r="11" spans="1:9" ht="15" customHeight="1" thickBot="1" x14ac:dyDescent="0.4">
      <c r="B11" t="s">
        <v>8</v>
      </c>
      <c r="D11" s="1"/>
      <c r="E11" s="1"/>
      <c r="F11" s="1"/>
      <c r="G11" s="1"/>
      <c r="H11" s="52" t="s">
        <v>121</v>
      </c>
      <c r="I11" s="144"/>
    </row>
    <row r="12" spans="1:9" ht="15" customHeight="1" thickBot="1" x14ac:dyDescent="0.4">
      <c r="B12" t="s">
        <v>28</v>
      </c>
      <c r="D12" s="1"/>
      <c r="E12" s="1"/>
      <c r="F12" s="1"/>
      <c r="G12" s="1"/>
      <c r="H12" s="38" t="s">
        <v>208</v>
      </c>
      <c r="I12" s="144"/>
    </row>
    <row r="13" spans="1:9" ht="15" customHeight="1" thickBot="1" x14ac:dyDescent="0.4">
      <c r="B13" t="s">
        <v>7</v>
      </c>
      <c r="D13" s="1"/>
      <c r="E13" s="1"/>
      <c r="F13" s="1"/>
      <c r="G13" s="1"/>
      <c r="H13" s="53">
        <v>37000</v>
      </c>
      <c r="I13" s="144"/>
    </row>
    <row r="14" spans="1:9" ht="15" customHeight="1" thickBot="1" x14ac:dyDescent="0.4">
      <c r="B14" t="s">
        <v>69</v>
      </c>
      <c r="D14" s="1"/>
      <c r="E14" s="1"/>
      <c r="F14" s="1"/>
      <c r="G14" s="1"/>
      <c r="H14" s="142" t="s">
        <v>258</v>
      </c>
      <c r="I14" s="144"/>
    </row>
    <row r="15" spans="1:9" ht="15" customHeight="1" thickBot="1" x14ac:dyDescent="0.4">
      <c r="B15" t="s">
        <v>70</v>
      </c>
      <c r="D15" s="1"/>
      <c r="E15" s="1"/>
      <c r="F15" s="1"/>
      <c r="G15" s="1"/>
      <c r="H15" s="143" t="s">
        <v>259</v>
      </c>
      <c r="I15" s="144"/>
    </row>
    <row r="16" spans="1:9" ht="15" customHeight="1" thickBot="1" x14ac:dyDescent="0.4">
      <c r="B16" s="1" t="s">
        <v>77</v>
      </c>
      <c r="D16" s="1"/>
      <c r="E16" s="1"/>
      <c r="F16" s="1"/>
      <c r="G16" s="1"/>
      <c r="H16" s="54"/>
      <c r="I16" s="144"/>
    </row>
    <row r="17" spans="1:10" ht="15" customHeight="1" thickBot="1" x14ac:dyDescent="0.4">
      <c r="B17" t="s">
        <v>80</v>
      </c>
      <c r="D17" s="1"/>
      <c r="E17" s="1"/>
      <c r="F17" s="1"/>
      <c r="G17" s="1"/>
      <c r="H17" s="47" t="s">
        <v>199</v>
      </c>
      <c r="I17" s="144"/>
    </row>
    <row r="18" spans="1:10" ht="15" customHeight="1" thickBot="1" x14ac:dyDescent="0.4">
      <c r="B18" t="s">
        <v>79</v>
      </c>
      <c r="D18" s="1"/>
      <c r="E18" s="1"/>
      <c r="F18" s="1"/>
      <c r="G18" s="1"/>
      <c r="H18" s="54" t="s">
        <v>200</v>
      </c>
      <c r="I18" s="144"/>
    </row>
    <row r="19" spans="1:10" ht="15" customHeight="1" thickBot="1" x14ac:dyDescent="0.4">
      <c r="B19" t="s">
        <v>78</v>
      </c>
      <c r="D19" s="1"/>
      <c r="E19" s="1"/>
      <c r="F19" s="1"/>
      <c r="G19" s="1"/>
      <c r="H19" s="54" t="s">
        <v>210</v>
      </c>
      <c r="I19" s="144"/>
    </row>
    <row r="20" spans="1:10" ht="15" customHeight="1" thickBot="1" x14ac:dyDescent="0.4">
      <c r="B20" t="s">
        <v>81</v>
      </c>
      <c r="D20" s="1"/>
      <c r="E20" s="1"/>
      <c r="F20" s="1"/>
      <c r="G20" s="1"/>
      <c r="H20" s="55">
        <v>92400</v>
      </c>
      <c r="I20" s="144"/>
    </row>
    <row r="21" spans="1:10" ht="24" customHeight="1" thickBot="1" x14ac:dyDescent="0.4">
      <c r="B21" s="1" t="s">
        <v>6</v>
      </c>
      <c r="D21" s="1"/>
      <c r="E21" s="68"/>
      <c r="F21" s="37"/>
      <c r="G21" s="1"/>
      <c r="H21" s="123" t="s">
        <v>255</v>
      </c>
      <c r="I21" s="144"/>
    </row>
    <row r="22" spans="1:10" s="3" customFormat="1" ht="28.5" customHeight="1" thickBot="1" x14ac:dyDescent="0.4">
      <c r="B22" s="2" t="s">
        <v>198</v>
      </c>
      <c r="E22" s="11"/>
      <c r="F22" s="67"/>
      <c r="H22" s="39" t="s">
        <v>257</v>
      </c>
      <c r="I22" s="144"/>
      <c r="J22"/>
    </row>
    <row r="23" spans="1:10" s="3" customFormat="1" ht="28.5" customHeight="1" thickBot="1" x14ac:dyDescent="0.4">
      <c r="E23" s="2" t="s">
        <v>20</v>
      </c>
      <c r="F23" s="67"/>
      <c r="H23" s="69"/>
      <c r="I23" s="144"/>
      <c r="J23"/>
    </row>
    <row r="24" spans="1:10" s="3" customFormat="1" ht="15" customHeight="1" thickBot="1" x14ac:dyDescent="0.4">
      <c r="B24" s="2" t="s">
        <v>37</v>
      </c>
      <c r="E24" s="11"/>
      <c r="F24" s="67"/>
      <c r="H24" s="56" t="s">
        <v>82</v>
      </c>
      <c r="I24" s="144"/>
      <c r="J24"/>
    </row>
    <row r="25" spans="1:10" s="3" customFormat="1" ht="15" customHeight="1" x14ac:dyDescent="0.35">
      <c r="B25" s="2"/>
      <c r="E25" s="11"/>
      <c r="F25" s="67"/>
      <c r="H25" s="70"/>
      <c r="I25" s="144"/>
      <c r="J25"/>
    </row>
    <row r="26" spans="1:10" s="4" customFormat="1" ht="28.5" customHeight="1" thickBot="1" x14ac:dyDescent="0.4">
      <c r="A26" s="174" t="s">
        <v>53</v>
      </c>
      <c r="B26" s="174"/>
      <c r="C26" s="174"/>
      <c r="D26" s="174"/>
      <c r="E26" s="174"/>
      <c r="F26" s="174"/>
      <c r="G26" s="174"/>
      <c r="H26" s="174"/>
      <c r="I26" s="144"/>
      <c r="J26"/>
    </row>
    <row r="27" spans="1:10" s="4" customFormat="1" ht="15" customHeight="1" thickBot="1" x14ac:dyDescent="0.4">
      <c r="A27" s="5"/>
      <c r="B27" t="s">
        <v>18</v>
      </c>
      <c r="H27" s="71">
        <v>45658</v>
      </c>
      <c r="I27" s="144"/>
      <c r="J27"/>
    </row>
    <row r="28" spans="1:10" ht="15" customHeight="1" thickBot="1" x14ac:dyDescent="0.4">
      <c r="A28" s="175" t="s">
        <v>54</v>
      </c>
      <c r="B28" t="s">
        <v>55</v>
      </c>
      <c r="H28" s="72"/>
      <c r="I28" s="144"/>
    </row>
    <row r="29" spans="1:10" ht="15" customHeight="1" thickBot="1" x14ac:dyDescent="0.35">
      <c r="A29" s="175"/>
      <c r="B29" t="s">
        <v>56</v>
      </c>
      <c r="H29" s="72">
        <v>46022</v>
      </c>
    </row>
    <row r="30" spans="1:10" ht="29.25" customHeight="1" thickBot="1" x14ac:dyDescent="0.35">
      <c r="B30" s="2" t="s">
        <v>10</v>
      </c>
      <c r="H30" s="57"/>
    </row>
    <row r="31" spans="1:10" ht="15" customHeight="1" thickBot="1" x14ac:dyDescent="0.35">
      <c r="B31" t="s">
        <v>38</v>
      </c>
      <c r="F31" s="10"/>
      <c r="H31" s="38" t="s">
        <v>151</v>
      </c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>GK1478801F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6" t="s">
        <v>75</v>
      </c>
      <c r="C46" s="176"/>
      <c r="D46" s="176"/>
      <c r="E46" s="176"/>
      <c r="F46" s="176"/>
      <c r="G46" s="177"/>
      <c r="H46" s="38" t="s">
        <v>122</v>
      </c>
    </row>
    <row r="47" spans="2:9" ht="32.25" customHeight="1" thickBot="1" x14ac:dyDescent="0.35">
      <c r="B47" s="172" t="s">
        <v>119</v>
      </c>
      <c r="C47" s="172"/>
      <c r="D47" s="172"/>
      <c r="E47" s="172"/>
      <c r="F47" s="172"/>
      <c r="G47" s="173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11" ht="15" customHeight="1" thickBot="1" x14ac:dyDescent="0.35">
      <c r="B49" t="s">
        <v>32</v>
      </c>
      <c r="H49" s="38" t="s">
        <v>252</v>
      </c>
    </row>
    <row r="50" spans="1:11" ht="15" customHeight="1" thickBot="1" x14ac:dyDescent="0.35">
      <c r="B50" t="s">
        <v>68</v>
      </c>
      <c r="F50" t="s">
        <v>33</v>
      </c>
      <c r="H50" s="59">
        <v>30003</v>
      </c>
    </row>
    <row r="51" spans="1:11" ht="15" customHeight="1" thickBot="1" x14ac:dyDescent="0.35">
      <c r="F51" t="s">
        <v>34</v>
      </c>
      <c r="H51" s="40" t="s">
        <v>216</v>
      </c>
    </row>
    <row r="52" spans="1:11" ht="15" customHeight="1" thickBot="1" x14ac:dyDescent="0.35">
      <c r="F52" t="s">
        <v>35</v>
      </c>
      <c r="H52" s="41" t="s">
        <v>253</v>
      </c>
    </row>
    <row r="53" spans="1:11" ht="15" customHeight="1" thickBot="1" x14ac:dyDescent="0.35">
      <c r="F53" t="s">
        <v>36</v>
      </c>
      <c r="H53" s="141" t="s">
        <v>254</v>
      </c>
      <c r="I53" s="31"/>
    </row>
    <row r="54" spans="1:11" ht="15" customHeight="1" thickBot="1" x14ac:dyDescent="0.35">
      <c r="B54" t="s">
        <v>44</v>
      </c>
      <c r="H54" s="38" t="s">
        <v>122</v>
      </c>
      <c r="I54" s="44"/>
    </row>
    <row r="55" spans="1:11" ht="15" customHeight="1" thickBot="1" x14ac:dyDescent="0.35">
      <c r="B55" t="s">
        <v>45</v>
      </c>
      <c r="H55" s="42" t="s">
        <v>122</v>
      </c>
      <c r="I55" s="44"/>
    </row>
    <row r="56" spans="1:11" ht="15" customHeight="1" x14ac:dyDescent="0.3">
      <c r="H56" s="67"/>
    </row>
    <row r="57" spans="1:11" s="3" customFormat="1" ht="14.25" customHeight="1" x14ac:dyDescent="0.3">
      <c r="A57" s="3" t="s">
        <v>30</v>
      </c>
      <c r="D57" s="30">
        <v>45679</v>
      </c>
      <c r="E57" s="21"/>
      <c r="H57" s="37"/>
      <c r="I57" s="19"/>
    </row>
    <row r="58" spans="1:11" ht="15" customHeight="1" x14ac:dyDescent="0.3">
      <c r="A58" t="s">
        <v>31</v>
      </c>
      <c r="H58" s="145" t="s">
        <v>215</v>
      </c>
      <c r="I58" s="19"/>
      <c r="J58" s="3"/>
      <c r="K58" s="3"/>
    </row>
    <row r="59" spans="1:11" ht="15" customHeight="1" x14ac:dyDescent="0.3">
      <c r="D59" s="31" t="s">
        <v>125</v>
      </c>
      <c r="H59" s="127" t="s">
        <v>250</v>
      </c>
      <c r="I59" s="19"/>
      <c r="J59" s="3"/>
      <c r="K59" s="3"/>
    </row>
    <row r="60" spans="1:11" ht="15" customHeight="1" x14ac:dyDescent="0.3">
      <c r="D60" s="31"/>
      <c r="H60" s="127" t="s">
        <v>251</v>
      </c>
      <c r="I60" s="19"/>
      <c r="J60" s="3"/>
      <c r="K60" s="3"/>
    </row>
    <row r="61" spans="1:11" ht="15" customHeight="1" x14ac:dyDescent="0.3">
      <c r="H61" s="37"/>
      <c r="I61" s="19"/>
      <c r="J61" s="3"/>
      <c r="K61" s="3"/>
    </row>
    <row r="62" spans="1:11" ht="15" customHeight="1" x14ac:dyDescent="0.3">
      <c r="H62" s="37"/>
      <c r="I62" s="19"/>
      <c r="J62" s="3"/>
      <c r="K62" s="3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2"/>
  <sheetViews>
    <sheetView workbookViewId="0">
      <selection activeCell="O1" sqref="O1:O1048576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256</v>
      </c>
      <c r="B3" s="132" t="s">
        <v>255</v>
      </c>
      <c r="C3" s="64"/>
      <c r="D3" s="65" t="s">
        <v>150</v>
      </c>
      <c r="E3" s="156" t="s">
        <v>279</v>
      </c>
      <c r="F3" s="65" t="s">
        <v>281</v>
      </c>
      <c r="G3" s="65" t="s">
        <v>193</v>
      </c>
      <c r="H3" s="63" t="s">
        <v>151</v>
      </c>
      <c r="I3" s="63" t="s">
        <v>282</v>
      </c>
      <c r="J3" s="63" t="s">
        <v>283</v>
      </c>
      <c r="K3" s="121" t="s">
        <v>276</v>
      </c>
      <c r="L3" s="66" t="s">
        <v>278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49</v>
      </c>
      <c r="B12" s="135" t="str">
        <f>B3</f>
        <v>0548</v>
      </c>
      <c r="C12" s="124" t="str">
        <f>A18</f>
        <v>K24023314S</v>
      </c>
      <c r="D12" s="124" t="str">
        <f>A15</f>
        <v>D00334390M</v>
      </c>
      <c r="E12" s="124" t="s">
        <v>205</v>
      </c>
    </row>
    <row r="14" spans="1:13" s="133" customFormat="1" x14ac:dyDescent="0.3">
      <c r="A14" s="146" t="s">
        <v>217</v>
      </c>
      <c r="B14" s="146" t="s">
        <v>218</v>
      </c>
      <c r="C14" s="146" t="s">
        <v>146</v>
      </c>
      <c r="D14" s="146" t="s">
        <v>219</v>
      </c>
      <c r="E14" s="146" t="s">
        <v>220</v>
      </c>
      <c r="F14" s="147" t="s">
        <v>221</v>
      </c>
      <c r="G14" s="147" t="s">
        <v>222</v>
      </c>
      <c r="H14" s="146" t="s">
        <v>223</v>
      </c>
      <c r="I14" s="146" t="s">
        <v>8</v>
      </c>
      <c r="J14" s="147" t="s">
        <v>224</v>
      </c>
      <c r="K14" s="147" t="s">
        <v>225</v>
      </c>
      <c r="L14" s="147" t="s">
        <v>226</v>
      </c>
      <c r="M14" s="147" t="s">
        <v>260</v>
      </c>
    </row>
    <row r="15" spans="1:13" s="133" customFormat="1" x14ac:dyDescent="0.3">
      <c r="A15" s="148" t="s">
        <v>261</v>
      </c>
      <c r="B15" s="148" t="s">
        <v>227</v>
      </c>
      <c r="C15" s="148" t="s">
        <v>228</v>
      </c>
      <c r="D15" s="148" t="s">
        <v>256</v>
      </c>
      <c r="E15" s="148">
        <v>937688422</v>
      </c>
      <c r="F15" s="149" t="s">
        <v>229</v>
      </c>
      <c r="G15" s="149" t="s">
        <v>230</v>
      </c>
      <c r="H15" s="148">
        <v>5710</v>
      </c>
      <c r="I15" s="148" t="s">
        <v>231</v>
      </c>
      <c r="J15" s="149">
        <v>3511</v>
      </c>
      <c r="K15" s="149" t="s">
        <v>200</v>
      </c>
      <c r="L15" s="149" t="s">
        <v>255</v>
      </c>
      <c r="M15" s="149">
        <v>1</v>
      </c>
    </row>
    <row r="16" spans="1:13" s="133" customFormat="1" x14ac:dyDescent="0.3">
      <c r="L16" s="137"/>
    </row>
    <row r="17" spans="1:17" s="133" customFormat="1" x14ac:dyDescent="0.3">
      <c r="A17" s="146" t="s">
        <v>217</v>
      </c>
      <c r="B17" s="146" t="s">
        <v>218</v>
      </c>
      <c r="C17" s="146" t="s">
        <v>146</v>
      </c>
      <c r="D17" s="146" t="s">
        <v>232</v>
      </c>
      <c r="E17" s="146" t="s">
        <v>220</v>
      </c>
      <c r="F17" s="147" t="s">
        <v>233</v>
      </c>
      <c r="G17" s="147" t="s">
        <v>234</v>
      </c>
      <c r="H17" s="146" t="s">
        <v>235</v>
      </c>
      <c r="I17" s="147" t="s">
        <v>24</v>
      </c>
      <c r="J17" s="147" t="s">
        <v>262</v>
      </c>
      <c r="K17" s="147" t="s">
        <v>236</v>
      </c>
      <c r="L17" s="147" t="s">
        <v>237</v>
      </c>
      <c r="M17" s="147" t="s">
        <v>238</v>
      </c>
    </row>
    <row r="18" spans="1:17" s="133" customFormat="1" x14ac:dyDescent="0.3">
      <c r="A18" s="148" t="s">
        <v>263</v>
      </c>
      <c r="B18" s="148" t="s">
        <v>227</v>
      </c>
      <c r="C18" s="148" t="s">
        <v>228</v>
      </c>
      <c r="D18" s="148" t="s">
        <v>256</v>
      </c>
      <c r="E18" s="150" t="s">
        <v>258</v>
      </c>
      <c r="F18" s="149" t="s">
        <v>239</v>
      </c>
      <c r="G18" s="149" t="s">
        <v>240</v>
      </c>
      <c r="H18" s="148" t="s">
        <v>264</v>
      </c>
      <c r="I18" s="149" t="s">
        <v>241</v>
      </c>
      <c r="J18" s="151"/>
      <c r="K18" s="149" t="s">
        <v>265</v>
      </c>
      <c r="L18" s="149" t="s">
        <v>82</v>
      </c>
      <c r="M18" s="149" t="s">
        <v>261</v>
      </c>
    </row>
    <row r="19" spans="1:17" x14ac:dyDescent="0.3">
      <c r="N19" s="133"/>
      <c r="O19" s="133"/>
      <c r="P19" s="133"/>
      <c r="Q19" s="133"/>
    </row>
    <row r="21" spans="1:17" ht="14.5" x14ac:dyDescent="0.35">
      <c r="A21" s="152" t="s">
        <v>217</v>
      </c>
      <c r="B21" s="152" t="s">
        <v>218</v>
      </c>
      <c r="C21" s="152" t="s">
        <v>146</v>
      </c>
      <c r="D21" s="152" t="s">
        <v>232</v>
      </c>
      <c r="E21" s="152" t="s">
        <v>266</v>
      </c>
      <c r="F21" s="152" t="s">
        <v>267</v>
      </c>
      <c r="G21" s="153" t="s">
        <v>268</v>
      </c>
      <c r="H21" s="153" t="s">
        <v>269</v>
      </c>
      <c r="I21" s="152" t="s">
        <v>270</v>
      </c>
      <c r="J21" s="152" t="s">
        <v>271</v>
      </c>
      <c r="K21" s="152" t="s">
        <v>272</v>
      </c>
      <c r="L21" s="152" t="s">
        <v>273</v>
      </c>
      <c r="M21" s="152" t="s">
        <v>274</v>
      </c>
      <c r="N21" s="152" t="s">
        <v>275</v>
      </c>
    </row>
    <row r="22" spans="1:17" x14ac:dyDescent="0.3">
      <c r="A22" s="149" t="s">
        <v>276</v>
      </c>
      <c r="B22" s="149" t="s">
        <v>227</v>
      </c>
      <c r="C22" s="149" t="s">
        <v>277</v>
      </c>
      <c r="D22" s="149" t="s">
        <v>278</v>
      </c>
      <c r="E22" s="149" t="s">
        <v>194</v>
      </c>
      <c r="F22" s="149" t="s">
        <v>150</v>
      </c>
      <c r="G22" s="154" t="s">
        <v>279</v>
      </c>
      <c r="H22" s="155"/>
      <c r="I22" s="149">
        <v>0</v>
      </c>
      <c r="J22" s="149">
        <v>0</v>
      </c>
      <c r="K22" s="149">
        <v>0</v>
      </c>
      <c r="L22" s="149">
        <v>0</v>
      </c>
      <c r="M22" s="149" t="s">
        <v>280</v>
      </c>
      <c r="N22" s="151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0548</v>
      </c>
    </row>
    <row r="3" spans="1:9" ht="13" x14ac:dyDescent="0.3">
      <c r="B3" s="13"/>
      <c r="C3" s="14" t="s">
        <v>95</v>
      </c>
      <c r="G3" s="15" t="str">
        <f>+sigle</f>
        <v>DK 49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YS2349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937688422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00016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FR94937688422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513600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2025-01-22T08:50:17Z</cp:lastPrinted>
  <dcterms:created xsi:type="dcterms:W3CDTF">1999-03-09T10:58:01Z</dcterms:created>
  <dcterms:modified xsi:type="dcterms:W3CDTF">2025-01-22T08:50:23Z</dcterms:modified>
</cp:coreProperties>
</file>