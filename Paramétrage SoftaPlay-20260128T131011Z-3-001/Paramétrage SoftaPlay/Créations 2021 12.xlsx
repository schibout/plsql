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Reunion 1011\fichier PROD\FULL\15122021\"/>
    </mc:Choice>
  </mc:AlternateContent>
  <bookViews>
    <workbookView xWindow="285" yWindow="45" windowWidth="15870" windowHeight="5835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V3" i="9"/>
  <c r="W3" i="9"/>
  <c r="Y3" i="9"/>
  <c r="Z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G5" i="9"/>
  <c r="H5" i="9"/>
  <c r="I5" i="9"/>
  <c r="J5" i="9"/>
  <c r="K5" i="9"/>
  <c r="L5" i="9" s="1"/>
  <c r="M5" i="9"/>
  <c r="O5" i="9"/>
  <c r="Q5" i="9"/>
  <c r="R5" i="9"/>
  <c r="S5" i="9"/>
  <c r="U5" i="9"/>
  <c r="V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G7" i="9"/>
  <c r="H7" i="9"/>
  <c r="I7" i="9"/>
  <c r="J7" i="9"/>
  <c r="K7" i="9"/>
  <c r="L7" i="9" s="1"/>
  <c r="M7" i="9"/>
  <c r="O7" i="9"/>
  <c r="Q7" i="9"/>
  <c r="R7" i="9"/>
  <c r="S7" i="9"/>
  <c r="U7" i="9"/>
  <c r="V7" i="9"/>
  <c r="W7" i="9"/>
  <c r="Y7" i="9"/>
  <c r="Z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G12" i="9"/>
  <c r="H12" i="9"/>
  <c r="I12" i="9"/>
  <c r="J12" i="9"/>
  <c r="K12" i="9"/>
  <c r="L12" i="9" s="1"/>
  <c r="M12" i="9"/>
  <c r="O12" i="9"/>
  <c r="P12" i="9"/>
  <c r="Q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G13" i="9"/>
  <c r="H13" i="9"/>
  <c r="I13" i="9"/>
  <c r="J13" i="9"/>
  <c r="K13" i="9"/>
  <c r="N13" i="9" s="1"/>
  <c r="M13" i="9"/>
  <c r="O13" i="9"/>
  <c r="P13" i="9"/>
  <c r="Q13" i="9"/>
  <c r="S13" i="9"/>
  <c r="T13" i="9"/>
  <c r="U13" i="9"/>
  <c r="W13" i="9"/>
  <c r="X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Z14" i="9" l="1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<sst xmlns="http://schemas.openxmlformats.org/spreadsheetml/2006/main" count="649" uniqueCount="174">
  <si>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</si>
  <si>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</si>
  <si>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</si>
  <si>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</si>
  <si>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</si>
  <si>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</si>
  <si>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</si>
  <si>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</si>
  <si>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</si>
  <si>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</si>
  <si>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</si>
  <si>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</si>
  <si>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</si>
  <si>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</si>
  <si>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</si>
  <si>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</si>
  <si>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</si>
  <si>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</si>
  <si>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</si>
  <si>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</si>
  <si>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</si>
  <si>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</si>
  <si>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</si>
  <si>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</si>
  <si>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</si>
  <si>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</si>
  <si>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</si>
  <si>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</si>
  <si>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</si>
  <si>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</si>
  <si>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</si>
  <si>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</si>
  <si>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</si>
  <si>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</si>
  <si>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</si>
  <si>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</si>
  <si>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</si>
  <si>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</si>
  <si>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</si>
  <si>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</si>
  <si>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</si>
  <si>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</si>
  <si>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</si>
  <si>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</si>
  <si>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</si>
  <si>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</si>
  <si>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</si>
  <si>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</si>
  <si>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</si>
  <si>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</si>
  <si>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</si>
  <si>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</si>
  <si>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</si>
  <si>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</si>
  <si>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</si>
  <si>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</si>
  <si>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</si>
  <si>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</si>
  <si>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</si>
  <si>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</si>
  <si>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</si>
  <si>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</si>
  <si>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</si>
  <si>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</si>
  <si>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</si>
  <si>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</si>
  <si>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</si>
  <si>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</si>
  <si>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</si>
  <si>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</si>
  <si>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</si>
  <si>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</si>
  <si>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</si>
  <si>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</si>
  <si>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</si>
  <si>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</si>
  <si>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</si>
  <si>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</si>
  <si>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</si>
  <si>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</si>
  <si>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</si>
  <si>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</si>
  <si>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</si>
  <si>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</si>
  <si>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</si>
  <si>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</si>
  <si>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</si>
  <si>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</si>
  <si>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</si>
  <si>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</si>
  <si>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</si>
  <si>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</si>
  <si>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</si>
  <si>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</si>
  <si>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0443</t>
  </si>
  <si>
    <t>SOCIETE VALMY DEFENSE 114</t>
  </si>
  <si>
    <t>YS2014</t>
  </si>
  <si>
    <t>SVD 114</t>
  </si>
  <si>
    <t>33, Place des Corolles - TOUR EUROPE - TSA 12345</t>
  </si>
  <si>
    <t>PARIS LA DEFENSE CEDEX</t>
  </si>
  <si>
    <t>BNP PARIBAS</t>
  </si>
  <si>
    <t>FB0075778L</t>
  </si>
  <si>
    <t>0444</t>
  </si>
  <si>
    <t>0446</t>
  </si>
  <si>
    <t>0449</t>
  </si>
  <si>
    <t>0450</t>
  </si>
  <si>
    <t>SOCIETE VALMY DEFENSE 115</t>
  </si>
  <si>
    <t>SOCIETE VALMY DEFENSE 116</t>
  </si>
  <si>
    <t>SOCIETE VALMY DEFENSE 117</t>
  </si>
  <si>
    <t>SOCIETE VALMY DEFENSE 118</t>
  </si>
  <si>
    <t>SOCIETE VALMY DEFENSE 120</t>
  </si>
  <si>
    <t>SOCIETE VALMY DEFENSE 121</t>
  </si>
  <si>
    <t>SOCIETE VALMY DEFENSE 122</t>
  </si>
  <si>
    <t>SVD 115</t>
  </si>
  <si>
    <t>SVD 116</t>
  </si>
  <si>
    <t>SVD 117</t>
  </si>
  <si>
    <t>SVD 118</t>
  </si>
  <si>
    <t>SVD 120</t>
  </si>
  <si>
    <t>SVD 121</t>
  </si>
  <si>
    <t>SVD 122</t>
  </si>
  <si>
    <t>FB0075779M</t>
  </si>
  <si>
    <t>YS2015</t>
  </si>
  <si>
    <t>FB0075780N</t>
  </si>
  <si>
    <t>YS2016</t>
  </si>
  <si>
    <t>YS2017</t>
  </si>
  <si>
    <t>YS2018</t>
  </si>
  <si>
    <t>YS2020</t>
  </si>
  <si>
    <t>YS2021</t>
  </si>
  <si>
    <t>YS2022</t>
  </si>
  <si>
    <t>FB0075781P</t>
  </si>
  <si>
    <t>FB0075782R</t>
  </si>
  <si>
    <t>FB0075784T</t>
  </si>
  <si>
    <t>0454</t>
  </si>
  <si>
    <t>FB0075785V</t>
  </si>
  <si>
    <t>0455</t>
  </si>
  <si>
    <t>FB0075786W</t>
  </si>
  <si>
    <t>0456</t>
  </si>
  <si>
    <t>0453</t>
  </si>
  <si>
    <t>SOCIETE VALMY DEFENSE 119</t>
  </si>
  <si>
    <t>S2019</t>
  </si>
  <si>
    <t>SVD 119</t>
  </si>
  <si>
    <t>FB0075845M</t>
  </si>
  <si>
    <t>0457</t>
  </si>
  <si>
    <t>DALKIA MIDDLE EAST</t>
  </si>
  <si>
    <t>FB0075787X</t>
  </si>
  <si>
    <t>S2023</t>
  </si>
  <si>
    <t>TSA 65508</t>
  </si>
  <si>
    <t>59784 LILLE CEDEX 9</t>
  </si>
  <si>
    <t>XXXXX</t>
  </si>
  <si>
    <t>TSA 85501</t>
  </si>
  <si>
    <t>0473</t>
  </si>
  <si>
    <t>CITELUM IG</t>
  </si>
  <si>
    <t>SD031IGD</t>
  </si>
  <si>
    <t>11-13 TOUR PACIFIC - 11, Cours Valmy</t>
  </si>
  <si>
    <t>PUTEAUX</t>
  </si>
  <si>
    <t>FB0076084J</t>
  </si>
  <si>
    <t>0474</t>
  </si>
  <si>
    <t>AIR FORMING</t>
  </si>
  <si>
    <t>13C, Chemin du Levant - Immeuble L'Avant Centre</t>
  </si>
  <si>
    <t>01630</t>
  </si>
  <si>
    <t>SAINT-GENIS-POUILLY</t>
  </si>
  <si>
    <t>TSA 35505</t>
  </si>
  <si>
    <t xml:space="preserve">CAISSE D'EPARGNE RHONE ALPES </t>
  </si>
  <si>
    <t>SD442</t>
  </si>
  <si>
    <t>FB0076091S</t>
  </si>
  <si>
    <t>Tab 4</t>
  </si>
  <si>
    <t>*ML(603,115)</t>
  </si>
  <si>
    <t>0470</t>
  </si>
  <si>
    <t>SA DESCHAMPS LATHUS</t>
  </si>
  <si>
    <t>S0150</t>
  </si>
  <si>
    <t>DESCHAMPS LATHUS</t>
  </si>
  <si>
    <t>RN10 - CAP INDUSTRIE - 8,allée des Cytises - BP63</t>
  </si>
  <si>
    <t>CHASSENEUIL DU POITOU CEDEX</t>
  </si>
  <si>
    <t>FB0075975K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</si>
</sst>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1"/>
      <color theme="1"/>
      <name val="Calibri"/>
      <family val="2"/>
      <scheme val="minor"/>
    </font>
    <font>
      <b/>
      <sz val="8"/>
      <color rgb="FF000000"/>
      <name val="Docs-Open Sans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3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34" borderId="0" applyNumberFormat="0" applyBorder="0" applyAlignment="0" applyProtection="0"/>
    <xf numFmtId="0" fontId="21" fillId="0" borderId="0"/>
    <xf numFmtId="0" fontId="22" fillId="0" borderId="0"/>
    <xf numFmtId="0" fontId="23" fillId="0" borderId="0"/>
    <xf numFmtId="0" fontId="2" fillId="0" borderId="0"/>
    <xf numFmtId="0" fontId="29" fillId="0" borderId="0"/>
  </cellStyleXfs>
  <cellXfs count="31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  <xf numFmtId="0" fontId="20" fillId="0" borderId="0" xfId="0" applyFont="1" applyAlignment="1">
      <alignment vertical="top" wrapText="1"/>
    </xf>
    <xf numFmtId="0" fontId="2" fillId="0" borderId="0" xfId="42" applyNumberFormat="1" applyFont="1"/>
    <xf numFmtId="0" fontId="0" fillId="2" borderId="0" xfId="0" applyFill="1" applyAlignment="1">
      <alignment vertical="top" wrapText="1"/>
    </xf>
    <xf numFmtId="49" fontId="24" fillId="0" borderId="0" xfId="0" applyNumberFormat="1" applyFont="1" applyBorder="1" applyAlignment="1">
      <alignment horizontal="center"/>
    </xf>
    <xf numFmtId="0" fontId="2" fillId="0" borderId="0" xfId="45"/>
    <xf numFmtId="0" fontId="20" fillId="0" borderId="0" xfId="45" applyFont="1"/>
    <xf numFmtId="49" fontId="2" fillId="0" borderId="0" xfId="45" applyNumberFormat="1" applyFont="1"/>
    <xf numFmtId="49" fontId="2" fillId="0" borderId="0" xfId="45" applyNumberFormat="1"/>
    <xf numFmtId="0" fontId="25" fillId="0" borderId="0" xfId="0" applyFont="1"/>
    <xf numFmtId="0" fontId="26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left"/>
    </xf>
    <xf numFmtId="0" fontId="26" fillId="0" borderId="11" xfId="0" quotePrefix="1" applyFont="1" applyBorder="1" applyAlignment="1">
      <alignment horizontal="center"/>
    </xf>
    <xf numFmtId="0" fontId="27" fillId="35" borderId="12" xfId="0" applyFont="1" applyFill="1" applyBorder="1" applyAlignment="1">
      <alignment horizontal="center"/>
    </xf>
    <xf numFmtId="49" fontId="28" fillId="2" borderId="13" xfId="0" applyNumberFormat="1" applyFont="1" applyFill="1" applyBorder="1" applyAlignment="1">
      <alignment horizontal="center"/>
    </xf>
    <xf numFmtId="49" fontId="30" fillId="2" borderId="13" xfId="46" applyNumberFormat="1" applyFont="1" applyFill="1" applyBorder="1" applyAlignment="1">
      <alignment horizontal="center"/>
    </xf>
    <xf numFmtId="49" fontId="30" fillId="2" borderId="13" xfId="0" applyNumberFormat="1" applyFont="1" applyFill="1" applyBorder="1" applyAlignment="1">
      <alignment horizontal="center"/>
    </xf>
    <xf numFmtId="49" fontId="28" fillId="2" borderId="13" xfId="46" applyNumberFormat="1" applyFont="1" applyFill="1" applyBorder="1" applyAlignment="1">
      <alignment horizontal="center"/>
    </xf>
    <xf numFmtId="49" fontId="30" fillId="2" borderId="13" xfId="46" applyNumberFormat="1" applyFont="1" applyFill="1" applyBorder="1" applyAlignment="1">
      <alignment horizontal="center"/>
    </xf>
    <xf numFmtId="49" fontId="30" fillId="2" borderId="13" xfId="46" applyNumberFormat="1" applyFont="1" applyFill="1" applyBorder="1" applyAlignment="1">
      <alignment horizontal="center"/>
    </xf>
    <xf numFmtId="49" fontId="2" fillId="0" borderId="0" xfId="0" applyNumberFormat="1" applyFont="1"/>
    <xf numFmtId="49" fontId="33" fillId="2" borderId="13" xfId="0" applyNumberFormat="1" applyFont="1" applyFill="1" applyBorder="1" applyAlignment="1">
      <alignment horizontal="center"/>
    </xf>
    <xf numFmtId="49" fontId="24" fillId="0" borderId="13" xfId="0" applyNumberFormat="1" applyFont="1" applyBorder="1" applyAlignment="1">
      <alignment horizontal="center"/>
    </xf>
    <xf numFmtId="0" fontId="0" fillId="0" borderId="0" xfId="0" applyFill="1" applyBorder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80" zoomScaleNormal="8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L12" sqref="L12"/>
    </sheetView>
  </sheetViews>
  <sheetFormatPr baseColWidth="10" defaultRowHeight="15" x14ac:dyDescent="0.25"/>
  <cols>
    <col min="1" max="1" width="7" bestFit="1" customWidth="1"/>
    <col min="2" max="2" width="6.85546875" bestFit="1" customWidth="1"/>
    <col min="3" max="3" width="26" bestFit="1" customWidth="1"/>
    <col min="4" max="4" width="4.42578125" bestFit="1" customWidth="1"/>
    <col min="5" max="5" width="4.42578125" customWidth="1"/>
    <col min="6" max="6" width="10.85546875" customWidth="1"/>
    <col min="7" max="7" width="9.5703125" customWidth="1"/>
    <col min="8" max="8" width="8.85546875" customWidth="1"/>
    <col min="9" max="9" width="20.7109375" bestFit="1" customWidth="1"/>
    <col min="10" max="10" width="49.140625" customWidth="1"/>
    <col min="11" max="11" width="7.85546875" bestFit="1" customWidth="1"/>
    <col min="12" max="12" width="37.140625" customWidth="1"/>
    <col min="13" max="13" width="10.42578125" customWidth="1"/>
    <col min="14" max="14" width="9.42578125" bestFit="1" customWidth="1"/>
    <col min="15" max="15" width="20.28515625" bestFit="1" customWidth="1"/>
    <col min="16" max="16" width="9" customWidth="1"/>
    <col min="17" max="17" width="31" customWidth="1"/>
    <col min="18" max="18" width="14.42578125" bestFit="1" customWidth="1"/>
  </cols>
  <sheetData>
    <row r="1" spans="1:19" s="5" customFormat="1" ht="30" customHeight="1" thickBot="1" x14ac:dyDescent="0.3">
      <c r="A1" s="5" t="s">
        <v>1</v>
      </c>
      <c r="B1" s="10" t="s">
        <v>2</v>
      </c>
      <c r="C1" s="10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10" t="s">
        <v>37</v>
      </c>
      <c r="I1" s="10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ht="16.5" thickBot="1" x14ac:dyDescent="0.3">
      <c r="A2" s="1" t="s">
        <v>94</v>
      </c>
      <c r="B2" s="7" t="s">
        <v>3</v>
      </c>
      <c r="C2" s="16" t="s">
        <v>95</v>
      </c>
      <c r="D2" s="7" t="s">
        <v>34</v>
      </c>
      <c r="E2" s="7" t="s">
        <v>34</v>
      </c>
      <c r="F2" s="7" t="s">
        <v>74</v>
      </c>
      <c r="G2" s="7" t="s">
        <v>96</v>
      </c>
      <c r="H2" s="7" t="s">
        <v>3</v>
      </c>
      <c r="I2" s="18" t="s">
        <v>97</v>
      </c>
      <c r="J2" s="7" t="s">
        <v>98</v>
      </c>
      <c r="K2" s="19">
        <v>92099</v>
      </c>
      <c r="L2" s="17" t="s">
        <v>99</v>
      </c>
      <c r="M2" s="7"/>
      <c r="N2" s="7"/>
      <c r="O2" s="11"/>
      <c r="P2" s="20">
        <v>513516</v>
      </c>
      <c r="Q2" s="7" t="s">
        <v>100</v>
      </c>
      <c r="R2" s="21" t="s">
        <v>101</v>
      </c>
    </row>
    <row r="3" spans="1:19" ht="16.5" thickBot="1" x14ac:dyDescent="0.3">
      <c r="A3" s="1" t="s">
        <v>102</v>
      </c>
      <c r="B3" s="7" t="s">
        <v>3</v>
      </c>
      <c r="C3" s="16" t="s">
        <v>106</v>
      </c>
      <c r="D3" s="7" t="s">
        <v>34</v>
      </c>
      <c r="E3" s="7" t="s">
        <v>34</v>
      </c>
      <c r="F3" s="7" t="s">
        <v>74</v>
      </c>
      <c r="G3" s="7" t="s">
        <v>121</v>
      </c>
      <c r="H3" s="7" t="s">
        <v>3</v>
      </c>
      <c r="I3" s="18" t="s">
        <v>113</v>
      </c>
      <c r="J3" s="7" t="s">
        <v>98</v>
      </c>
      <c r="K3" s="19">
        <v>92099</v>
      </c>
      <c r="L3" s="17" t="s">
        <v>99</v>
      </c>
      <c r="M3" s="7"/>
      <c r="N3" s="7"/>
      <c r="O3" s="11"/>
      <c r="P3" s="20">
        <v>513517</v>
      </c>
      <c r="Q3" s="7" t="s">
        <v>100</v>
      </c>
      <c r="R3" s="22" t="s">
        <v>120</v>
      </c>
      <c r="S3" s="7"/>
    </row>
    <row r="4" spans="1:19" ht="16.5" thickBot="1" x14ac:dyDescent="0.3">
      <c r="A4" s="1" t="s">
        <v>103</v>
      </c>
      <c r="B4" s="7" t="s">
        <v>3</v>
      </c>
      <c r="C4" s="16" t="s">
        <v>107</v>
      </c>
      <c r="D4" s="7" t="s">
        <v>34</v>
      </c>
      <c r="E4" s="7" t="s">
        <v>34</v>
      </c>
      <c r="F4" s="7" t="s">
        <v>74</v>
      </c>
      <c r="G4" s="7" t="s">
        <v>123</v>
      </c>
      <c r="H4" s="7" t="s">
        <v>3</v>
      </c>
      <c r="I4" s="18" t="s">
        <v>114</v>
      </c>
      <c r="J4" s="7" t="s">
        <v>98</v>
      </c>
      <c r="K4" s="19">
        <v>92099</v>
      </c>
      <c r="L4" s="17" t="s">
        <v>99</v>
      </c>
      <c r="O4" s="11"/>
      <c r="P4" s="20">
        <v>513518</v>
      </c>
      <c r="Q4" s="7" t="s">
        <v>100</v>
      </c>
      <c r="R4" s="23" t="s">
        <v>122</v>
      </c>
      <c r="S4" s="7"/>
    </row>
    <row r="5" spans="1:19" ht="16.5" thickBot="1" x14ac:dyDescent="0.3">
      <c r="A5" s="1" t="s">
        <v>104</v>
      </c>
      <c r="B5" s="7" t="s">
        <v>3</v>
      </c>
      <c r="C5" s="16" t="s">
        <v>108</v>
      </c>
      <c r="D5" s="7" t="s">
        <v>34</v>
      </c>
      <c r="E5" s="7" t="s">
        <v>34</v>
      </c>
      <c r="F5" s="7" t="s">
        <v>74</v>
      </c>
      <c r="G5" s="7" t="s">
        <v>124</v>
      </c>
      <c r="H5" s="7" t="s">
        <v>3</v>
      </c>
      <c r="I5" s="18" t="s">
        <v>115</v>
      </c>
      <c r="J5" s="7" t="s">
        <v>98</v>
      </c>
      <c r="K5" s="19">
        <v>92099</v>
      </c>
      <c r="L5" s="17" t="s">
        <v>99</v>
      </c>
      <c r="O5" s="11"/>
      <c r="P5" s="20">
        <v>513519</v>
      </c>
      <c r="Q5" s="7" t="s">
        <v>100</v>
      </c>
      <c r="R5" s="21" t="s">
        <v>129</v>
      </c>
      <c r="S5" s="7"/>
    </row>
    <row r="6" spans="1:19" ht="16.5" thickBot="1" x14ac:dyDescent="0.3">
      <c r="A6" s="1" t="s">
        <v>105</v>
      </c>
      <c r="B6" s="7" t="s">
        <v>3</v>
      </c>
      <c r="C6" s="16" t="s">
        <v>109</v>
      </c>
      <c r="D6" s="7" t="s">
        <v>34</v>
      </c>
      <c r="E6" s="7" t="s">
        <v>34</v>
      </c>
      <c r="F6" s="7" t="s">
        <v>74</v>
      </c>
      <c r="G6" s="7" t="s">
        <v>125</v>
      </c>
      <c r="H6" s="7" t="s">
        <v>3</v>
      </c>
      <c r="I6" s="18" t="s">
        <v>116</v>
      </c>
      <c r="J6" s="7" t="s">
        <v>98</v>
      </c>
      <c r="K6" s="19">
        <v>92099</v>
      </c>
      <c r="L6" s="17" t="s">
        <v>99</v>
      </c>
      <c r="O6" s="11"/>
      <c r="P6" s="20">
        <v>513520</v>
      </c>
      <c r="Q6" s="7" t="s">
        <v>100</v>
      </c>
      <c r="R6" s="24" t="s">
        <v>130</v>
      </c>
      <c r="S6" s="7"/>
    </row>
    <row r="7" spans="1:19" ht="16.5" thickBot="1" x14ac:dyDescent="0.3">
      <c r="A7" s="1" t="s">
        <v>132</v>
      </c>
      <c r="B7" s="7" t="s">
        <v>3</v>
      </c>
      <c r="C7" s="16" t="s">
        <v>110</v>
      </c>
      <c r="D7" s="7" t="s">
        <v>34</v>
      </c>
      <c r="E7" s="7" t="s">
        <v>34</v>
      </c>
      <c r="F7" s="7" t="s">
        <v>74</v>
      </c>
      <c r="G7" s="7" t="s">
        <v>126</v>
      </c>
      <c r="H7" s="7" t="s">
        <v>3</v>
      </c>
      <c r="I7" s="18" t="s">
        <v>117</v>
      </c>
      <c r="J7" s="7" t="s">
        <v>98</v>
      </c>
      <c r="K7" s="19">
        <v>92099</v>
      </c>
      <c r="L7" s="17" t="s">
        <v>99</v>
      </c>
      <c r="O7" s="11"/>
      <c r="P7" s="20">
        <v>513521</v>
      </c>
      <c r="Q7" s="7" t="s">
        <v>100</v>
      </c>
      <c r="R7" s="21" t="s">
        <v>131</v>
      </c>
      <c r="S7" s="7"/>
    </row>
    <row r="8" spans="1:19" ht="16.5" thickBot="1" x14ac:dyDescent="0.3">
      <c r="A8" s="1" t="s">
        <v>134</v>
      </c>
      <c r="B8" s="7" t="s">
        <v>3</v>
      </c>
      <c r="C8" s="16" t="s">
        <v>111</v>
      </c>
      <c r="D8" s="7" t="s">
        <v>34</v>
      </c>
      <c r="E8" s="7" t="s">
        <v>34</v>
      </c>
      <c r="F8" s="7" t="s">
        <v>74</v>
      </c>
      <c r="G8" s="7" t="s">
        <v>127</v>
      </c>
      <c r="H8" s="7" t="s">
        <v>3</v>
      </c>
      <c r="I8" s="18" t="s">
        <v>118</v>
      </c>
      <c r="J8" s="7" t="s">
        <v>98</v>
      </c>
      <c r="K8" s="19">
        <v>92099</v>
      </c>
      <c r="L8" s="17" t="s">
        <v>99</v>
      </c>
      <c r="O8" s="11"/>
      <c r="P8" s="20">
        <v>513522</v>
      </c>
      <c r="Q8" s="7" t="s">
        <v>100</v>
      </c>
      <c r="R8" s="25" t="s">
        <v>133</v>
      </c>
      <c r="S8" s="7"/>
    </row>
    <row r="9" spans="1:19" ht="16.5" thickBot="1" x14ac:dyDescent="0.3">
      <c r="A9" s="1" t="s">
        <v>136</v>
      </c>
      <c r="B9" s="7" t="s">
        <v>3</v>
      </c>
      <c r="C9" s="16" t="s">
        <v>112</v>
      </c>
      <c r="D9" s="7" t="s">
        <v>34</v>
      </c>
      <c r="E9" s="7" t="s">
        <v>34</v>
      </c>
      <c r="F9" s="7" t="s">
        <v>74</v>
      </c>
      <c r="G9" s="7" t="s">
        <v>128</v>
      </c>
      <c r="H9" s="7" t="s">
        <v>3</v>
      </c>
      <c r="I9" s="18" t="s">
        <v>119</v>
      </c>
      <c r="J9" s="7" t="s">
        <v>98</v>
      </c>
      <c r="K9" s="19">
        <v>92099</v>
      </c>
      <c r="L9" s="17" t="s">
        <v>99</v>
      </c>
      <c r="O9" s="11"/>
      <c r="P9" s="20">
        <v>513523</v>
      </c>
      <c r="Q9" s="7" t="s">
        <v>100</v>
      </c>
      <c r="R9" s="26" t="s">
        <v>135</v>
      </c>
      <c r="S9" s="7"/>
    </row>
    <row r="10" spans="1:19" ht="16.5" thickBot="1" x14ac:dyDescent="0.3">
      <c r="A10" s="27" t="s">
        <v>137</v>
      </c>
      <c r="B10" s="7" t="s">
        <v>41</v>
      </c>
      <c r="C10" s="16" t="s">
        <v>138</v>
      </c>
      <c r="D10" s="7" t="s">
        <v>34</v>
      </c>
      <c r="E10" s="7" t="s">
        <v>34</v>
      </c>
      <c r="F10" s="7" t="s">
        <v>34</v>
      </c>
      <c r="G10" s="7" t="s">
        <v>139</v>
      </c>
      <c r="H10" s="7" t="s">
        <v>41</v>
      </c>
      <c r="I10" s="18" t="s">
        <v>140</v>
      </c>
      <c r="J10" s="7" t="s">
        <v>98</v>
      </c>
      <c r="K10" s="19">
        <v>92099</v>
      </c>
      <c r="L10" s="17" t="s">
        <v>99</v>
      </c>
      <c r="M10" s="7" t="s">
        <v>148</v>
      </c>
      <c r="N10" s="29" t="s">
        <v>149</v>
      </c>
      <c r="O10" s="29" t="s">
        <v>147</v>
      </c>
      <c r="P10" s="20">
        <v>513514</v>
      </c>
      <c r="Q10" s="7" t="s">
        <v>100</v>
      </c>
      <c r="R10" s="28" t="s">
        <v>141</v>
      </c>
      <c r="S10" s="7"/>
    </row>
    <row r="11" spans="1:19" ht="16.5" thickBot="1" x14ac:dyDescent="0.3">
      <c r="A11" s="1" t="s">
        <v>142</v>
      </c>
      <c r="B11" s="7" t="s">
        <v>3</v>
      </c>
      <c r="C11" s="7" t="s">
        <v>143</v>
      </c>
      <c r="D11" s="7" t="s">
        <v>34</v>
      </c>
      <c r="E11" s="7" t="s">
        <v>34</v>
      </c>
      <c r="F11" s="7" t="s">
        <v>34</v>
      </c>
      <c r="G11" s="7" t="s">
        <v>145</v>
      </c>
      <c r="H11" s="7" t="s">
        <v>3</v>
      </c>
      <c r="I11" s="6" t="s">
        <v>143</v>
      </c>
      <c r="J11" s="7" t="s">
        <v>98</v>
      </c>
      <c r="K11" s="19">
        <v>92099</v>
      </c>
      <c r="L11" s="17" t="s">
        <v>99</v>
      </c>
      <c r="M11" t="s">
        <v>148</v>
      </c>
      <c r="N11" s="29" t="s">
        <v>146</v>
      </c>
      <c r="O11" s="29" t="s">
        <v>147</v>
      </c>
      <c r="P11" s="20">
        <v>513515</v>
      </c>
      <c r="Q11" s="7" t="s">
        <v>100</v>
      </c>
      <c r="R11" s="23" t="s">
        <v>144</v>
      </c>
      <c r="S11" s="7"/>
    </row>
    <row r="12" spans="1:19" ht="16.5" thickBot="1" x14ac:dyDescent="0.3">
      <c r="A12" s="1" t="s">
        <v>150</v>
      </c>
      <c r="B12" s="7" t="s">
        <v>3</v>
      </c>
      <c r="C12" t="s">
        <v>151</v>
      </c>
      <c r="D12" s="7" t="s">
        <v>34</v>
      </c>
      <c r="E12" s="7" t="s">
        <v>34</v>
      </c>
      <c r="F12" s="7" t="s">
        <v>34</v>
      </c>
      <c r="G12" t="s">
        <v>152</v>
      </c>
      <c r="H12" s="7" t="s">
        <v>3</v>
      </c>
      <c r="I12" s="7" t="s">
        <v>151</v>
      </c>
      <c r="J12" t="s">
        <v>153</v>
      </c>
      <c r="K12" s="19">
        <v>92800</v>
      </c>
      <c r="L12" s="17" t="s">
        <v>154</v>
      </c>
      <c r="M12" s="7" t="s">
        <v>148</v>
      </c>
      <c r="N12" s="29" t="s">
        <v>146</v>
      </c>
      <c r="O12" s="29" t="s">
        <v>147</v>
      </c>
      <c r="P12" s="20">
        <v>513524</v>
      </c>
      <c r="Q12" s="7" t="s">
        <v>100</v>
      </c>
      <c r="R12" s="28" t="s">
        <v>155</v>
      </c>
      <c r="S12" s="7"/>
    </row>
    <row r="13" spans="1:19" ht="16.5" thickBot="1" x14ac:dyDescent="0.3">
      <c r="A13" s="1" t="s">
        <v>156</v>
      </c>
      <c r="B13" t="s">
        <v>40</v>
      </c>
      <c r="C13" t="s">
        <v>157</v>
      </c>
      <c r="D13" s="7" t="s">
        <v>34</v>
      </c>
      <c r="E13" s="7" t="s">
        <v>34</v>
      </c>
      <c r="F13" s="7" t="s">
        <v>34</v>
      </c>
      <c r="G13" t="s">
        <v>163</v>
      </c>
      <c r="H13" s="30" t="s">
        <v>40</v>
      </c>
      <c r="I13" s="7" t="s">
        <v>157</v>
      </c>
      <c r="J13" t="s">
        <v>158</v>
      </c>
      <c r="K13" s="19" t="s">
        <v>159</v>
      </c>
      <c r="L13" s="17" t="s">
        <v>160</v>
      </c>
      <c r="M13" s="7" t="s">
        <v>148</v>
      </c>
      <c r="N13" s="29" t="s">
        <v>161</v>
      </c>
      <c r="O13" s="29" t="s">
        <v>147</v>
      </c>
      <c r="P13" s="20">
        <v>513525</v>
      </c>
      <c r="Q13" t="s">
        <v>162</v>
      </c>
      <c r="R13" s="28" t="s">
        <v>164</v>
      </c>
      <c r="S13" s="7"/>
    </row>
    <row r="14" spans="1:19" ht="16.5" thickBot="1" x14ac:dyDescent="0.3">
      <c r="A14" s="1" t="s">
        <v>167</v>
      </c>
      <c r="B14" t="s">
        <v>44</v>
      </c>
      <c r="C14" t="s">
        <v>168</v>
      </c>
      <c r="D14" s="7" t="s">
        <v>34</v>
      </c>
      <c r="E14" s="7" t="s">
        <v>34</v>
      </c>
      <c r="F14" s="7" t="s">
        <v>74</v>
      </c>
      <c r="G14" t="s">
        <v>169</v>
      </c>
      <c r="H14" s="30" t="s">
        <v>44</v>
      </c>
      <c r="I14" s="30" t="s">
        <v>170</v>
      </c>
      <c r="J14" s="30" t="s">
        <v>171</v>
      </c>
      <c r="K14" s="19">
        <v>86361</v>
      </c>
      <c r="L14" s="17" t="s">
        <v>172</v>
      </c>
      <c r="R14" s="28" t="s">
        <v>173</v>
      </c>
      <c r="S14" s="7"/>
    </row>
    <row r="15" spans="1:19" x14ac:dyDescent="0.25">
      <c r="A15" s="1"/>
      <c r="S15" s="7"/>
    </row>
    <row r="16" spans="1:19" x14ac:dyDescent="0.25">
      <c r="A16" s="1"/>
      <c r="S16" s="7"/>
    </row>
    <row r="17" spans="1:19" x14ac:dyDescent="0.25">
      <c r="A17" s="1"/>
      <c r="S17" s="7"/>
    </row>
    <row r="18" spans="1:19" x14ac:dyDescent="0.25">
      <c r="A18" s="1"/>
      <c r="S18" s="7"/>
    </row>
    <row r="19" spans="1:19" x14ac:dyDescent="0.25">
      <c r="A19" s="1"/>
      <c r="S19" s="7"/>
    </row>
    <row r="20" spans="1:19" x14ac:dyDescent="0.25">
      <c r="A20" s="1"/>
      <c r="S20" s="7"/>
    </row>
    <row r="21" spans="1:19" x14ac:dyDescent="0.25">
      <c r="A21" s="1"/>
      <c r="S21" s="7"/>
    </row>
    <row r="22" spans="1:19" x14ac:dyDescent="0.25">
      <c r="A22" s="1"/>
      <c r="S22" s="7"/>
    </row>
    <row r="23" spans="1:19" x14ac:dyDescent="0.25">
      <c r="A23" s="1"/>
      <c r="S23" s="7"/>
    </row>
    <row r="24" spans="1:19" x14ac:dyDescent="0.25">
      <c r="A24" s="1"/>
      <c r="S24" s="7"/>
    </row>
    <row r="25" spans="1:19" x14ac:dyDescent="0.25">
      <c r="A25" s="1"/>
      <c r="D25" s="7"/>
    </row>
    <row r="26" spans="1:19" x14ac:dyDescent="0.25">
      <c r="A26" s="1"/>
      <c r="D26" s="7"/>
    </row>
    <row r="27" spans="1:19" x14ac:dyDescent="0.25">
      <c r="A27" s="1"/>
      <c r="D27" s="7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F14" sqref="F14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>*FN</v>
      </c>
      <c r="B2" t="str">
        <f>IF(OR('A créer'!D2="Oui",LEN('A créer'!D2)=0),"",CONCATENATE("A",'A créer'!A2))</f>
        <v>A0443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A0443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0443</v>
      </c>
      <c r="G2" s="2" t="str">
        <f>IF(OR('A créer'!D2="Oui",LEN('A créer'!D2)=0),"","*SAVE")</f>
        <v>*SAVE</v>
      </c>
    </row>
    <row r="3" spans="1:7" x14ac:dyDescent="0.25">
      <c r="A3" s="2" t="str">
        <f>IF(OR('A créer'!D3="Oui",LEN('A créer'!D3)=0),"","*FN")</f>
        <v>*FN</v>
      </c>
      <c r="B3" s="7" t="str">
        <f>IF(OR('A créer'!D3="Oui",LEN('A créer'!D3)=0),"",CONCATENATE("A",'A créer'!A3))</f>
        <v>A0444</v>
      </c>
      <c r="C3" s="2" t="str">
        <f>IF(OR('A créer'!D3="Oui",LEN('A créer'!D3)=0),"","Tab")</f>
        <v>Tab</v>
      </c>
      <c r="D3" s="7" t="str">
        <f>IF(OR('A créer'!D3="Oui",LEN('A créer'!D3)=0),"",CONCATENATE("A",'A créer'!A3))</f>
        <v>A0444</v>
      </c>
      <c r="E3" s="2" t="str">
        <f>IF(OR('A créer'!D3="Oui",LEN('A créer'!D3)=0),"","Tab")</f>
        <v>Tab</v>
      </c>
      <c r="F3" s="7" t="str">
        <f>IF(OR('A créer'!D3="Oui",LEN('A créer'!D3)=0),"",CONCATENATE("STE ",'A créer'!A3))</f>
        <v>STE 0444</v>
      </c>
      <c r="G3" s="2" t="str">
        <f>IF(OR('A créer'!D3="Oui",LEN('A créer'!D3)=0),"","*SAVE")</f>
        <v>*SAVE</v>
      </c>
    </row>
    <row r="4" spans="1:7" x14ac:dyDescent="0.25">
      <c r="A4" s="2" t="str">
        <f>IF(OR('A créer'!D4="Oui",LEN('A créer'!D4)=0),"","*FN")</f>
        <v>*FN</v>
      </c>
      <c r="B4" s="7" t="str">
        <f>IF(OR('A créer'!D4="Oui",LEN('A créer'!D4)=0),"",CONCATENATE("A",'A créer'!A4))</f>
        <v>A0446</v>
      </c>
      <c r="C4" s="2" t="str">
        <f>IF(OR('A créer'!D4="Oui",LEN('A créer'!D4)=0),"","Tab")</f>
        <v>Tab</v>
      </c>
      <c r="D4" s="7" t="str">
        <f>IF(OR('A créer'!D4="Oui",LEN('A créer'!D4)=0),"",CONCATENATE("A",'A créer'!A4))</f>
        <v>A0446</v>
      </c>
      <c r="E4" s="2" t="str">
        <f>IF(OR('A créer'!D4="Oui",LEN('A créer'!D4)=0),"","Tab")</f>
        <v>Tab</v>
      </c>
      <c r="F4" s="7" t="str">
        <f>IF(OR('A créer'!D4="Oui",LEN('A créer'!D4)=0),"",CONCATENATE("STE ",'A créer'!A4))</f>
        <v>STE 0446</v>
      </c>
      <c r="G4" s="2" t="str">
        <f>IF(OR('A créer'!D4="Oui",LEN('A créer'!D4)=0),"","*SAVE")</f>
        <v>*SAVE</v>
      </c>
    </row>
    <row r="5" spans="1:7" x14ac:dyDescent="0.25">
      <c r="A5" s="2" t="str">
        <f>IF(OR('A créer'!D5="Oui",LEN('A créer'!D5)=0),"","*FN")</f>
        <v>*FN</v>
      </c>
      <c r="B5" s="7" t="str">
        <f>IF(OR('A créer'!D5="Oui",LEN('A créer'!D5)=0),"",CONCATENATE("A",'A créer'!A5))</f>
        <v>A0449</v>
      </c>
      <c r="C5" s="2" t="str">
        <f>IF(OR('A créer'!D5="Oui",LEN('A créer'!D5)=0),"","Tab")</f>
        <v>Tab</v>
      </c>
      <c r="D5" s="7" t="str">
        <f>IF(OR('A créer'!D5="Oui",LEN('A créer'!D5)=0),"",CONCATENATE("A",'A créer'!A5))</f>
        <v>A0449</v>
      </c>
      <c r="E5" s="2" t="str">
        <f>IF(OR('A créer'!D5="Oui",LEN('A créer'!D5)=0),"","Tab")</f>
        <v>Tab</v>
      </c>
      <c r="F5" s="7" t="str">
        <f>IF(OR('A créer'!D5="Oui",LEN('A créer'!D5)=0),"",CONCATENATE("STE ",'A créer'!A5))</f>
        <v>STE 0449</v>
      </c>
      <c r="G5" s="2" t="str">
        <f>IF(OR('A créer'!D5="Oui",LEN('A créer'!D5)=0),"","*SAVE")</f>
        <v>*SAVE</v>
      </c>
    </row>
    <row r="6" spans="1:7" x14ac:dyDescent="0.25">
      <c r="A6" s="2" t="str">
        <f>IF(OR('A créer'!D6="Oui",LEN('A créer'!D6)=0),"","*FN")</f>
        <v>*FN</v>
      </c>
      <c r="B6" s="7" t="str">
        <f>IF(OR('A créer'!D6="Oui",LEN('A créer'!D6)=0),"",CONCATENATE("A",'A créer'!A6))</f>
        <v>A0450</v>
      </c>
      <c r="C6" s="2" t="str">
        <f>IF(OR('A créer'!D6="Oui",LEN('A créer'!D6)=0),"","Tab")</f>
        <v>Tab</v>
      </c>
      <c r="D6" s="7" t="str">
        <f>IF(OR('A créer'!D6="Oui",LEN('A créer'!D6)=0),"",CONCATENATE("A",'A créer'!A6))</f>
        <v>A0450</v>
      </c>
      <c r="E6" s="2" t="str">
        <f>IF(OR('A créer'!D6="Oui",LEN('A créer'!D6)=0),"","Tab")</f>
        <v>Tab</v>
      </c>
      <c r="F6" s="7" t="str">
        <f>IF(OR('A créer'!D6="Oui",LEN('A créer'!D6)=0),"",CONCATENATE("STE ",'A créer'!A6))</f>
        <v>STE 0450</v>
      </c>
      <c r="G6" s="2" t="str">
        <f>IF(OR('A créer'!D6="Oui",LEN('A créer'!D6)=0),"","*SAVE")</f>
        <v>*SAVE</v>
      </c>
    </row>
    <row r="7" spans="1:7" x14ac:dyDescent="0.25">
      <c r="A7" s="2" t="str">
        <f>IF(OR('A créer'!D7="Oui",LEN('A créer'!D7)=0),"","*FN")</f>
        <v>*FN</v>
      </c>
      <c r="B7" s="7" t="str">
        <f>IF(OR('A créer'!D7="Oui",LEN('A créer'!D7)=0),"",CONCATENATE("A",'A créer'!A7))</f>
        <v>A0454</v>
      </c>
      <c r="C7" s="2" t="str">
        <f>IF(OR('A créer'!D7="Oui",LEN('A créer'!D7)=0),"","Tab")</f>
        <v>Tab</v>
      </c>
      <c r="D7" s="7" t="str">
        <f>IF(OR('A créer'!D7="Oui",LEN('A créer'!D7)=0),"",CONCATENATE("A",'A créer'!A7))</f>
        <v>A0454</v>
      </c>
      <c r="E7" s="2" t="str">
        <f>IF(OR('A créer'!D7="Oui",LEN('A créer'!D7)=0),"","Tab")</f>
        <v>Tab</v>
      </c>
      <c r="F7" s="7" t="str">
        <f>IF(OR('A créer'!D7="Oui",LEN('A créer'!D7)=0),"",CONCATENATE("STE ",'A créer'!A7))</f>
        <v>STE 0454</v>
      </c>
      <c r="G7" s="2" t="str">
        <f>IF(OR('A créer'!D7="Oui",LEN('A créer'!D7)=0),"","*SAVE")</f>
        <v>*SAVE</v>
      </c>
    </row>
    <row r="8" spans="1:7" x14ac:dyDescent="0.25">
      <c r="A8" s="2" t="str">
        <f>IF(OR('A créer'!D8="Oui",LEN('A créer'!D8)=0),"","*FN")</f>
        <v>*FN</v>
      </c>
      <c r="B8" s="7" t="str">
        <f>IF(OR('A créer'!D8="Oui",LEN('A créer'!D8)=0),"",CONCATENATE("A",'A créer'!A8))</f>
        <v>A0455</v>
      </c>
      <c r="C8" s="2" t="str">
        <f>IF(OR('A créer'!D8="Oui",LEN('A créer'!D8)=0),"","Tab")</f>
        <v>Tab</v>
      </c>
      <c r="D8" s="7" t="str">
        <f>IF(OR('A créer'!D8="Oui",LEN('A créer'!D8)=0),"",CONCATENATE("A",'A créer'!A8))</f>
        <v>A0455</v>
      </c>
      <c r="E8" s="2" t="str">
        <f>IF(OR('A créer'!D8="Oui",LEN('A créer'!D8)=0),"","Tab")</f>
        <v>Tab</v>
      </c>
      <c r="F8" s="7" t="str">
        <f>IF(OR('A créer'!D8="Oui",LEN('A créer'!D8)=0),"",CONCATENATE("STE ",'A créer'!A8))</f>
        <v>STE 0455</v>
      </c>
      <c r="G8" s="2" t="str">
        <f>IF(OR('A créer'!D8="Oui",LEN('A créer'!D8)=0),"","*SAVE")</f>
        <v>*SAVE</v>
      </c>
    </row>
    <row r="9" spans="1:7" x14ac:dyDescent="0.25">
      <c r="A9" s="2" t="str">
        <f>IF(OR('A créer'!D9="Oui",LEN('A créer'!D9)=0),"","*FN")</f>
        <v>*FN</v>
      </c>
      <c r="B9" s="7" t="str">
        <f>IF(OR('A créer'!D9="Oui",LEN('A créer'!D9)=0),"",CONCATENATE("A",'A créer'!A9))</f>
        <v>A0456</v>
      </c>
      <c r="C9" s="2" t="str">
        <f>IF(OR('A créer'!D9="Oui",LEN('A créer'!D9)=0),"","Tab")</f>
        <v>Tab</v>
      </c>
      <c r="D9" s="7" t="str">
        <f>IF(OR('A créer'!D9="Oui",LEN('A créer'!D9)=0),"",CONCATENATE("A",'A créer'!A9))</f>
        <v>A0456</v>
      </c>
      <c r="E9" s="2" t="str">
        <f>IF(OR('A créer'!D9="Oui",LEN('A créer'!D9)=0),"","Tab")</f>
        <v>Tab</v>
      </c>
      <c r="F9" s="7" t="str">
        <f>IF(OR('A créer'!D9="Oui",LEN('A créer'!D9)=0),"",CONCATENATE("STE ",'A créer'!A9))</f>
        <v>STE 0456</v>
      </c>
      <c r="G9" s="2" t="str">
        <f>IF(OR('A créer'!D9="Oui",LEN('A créer'!D9)=0),"","*SAVE")</f>
        <v>*SAVE</v>
      </c>
    </row>
    <row r="10" spans="1:7" x14ac:dyDescent="0.25">
      <c r="A10" s="2" t="str">
        <f>IF(OR('A créer'!D10="Oui",LEN('A créer'!D10)=0),"","*FN")</f>
        <v>*FN</v>
      </c>
      <c r="B10" s="7" t="str">
        <f>IF(OR('A créer'!D10="Oui",LEN('A créer'!D10)=0),"",CONCATENATE("A",'A créer'!A10))</f>
        <v>A0453</v>
      </c>
      <c r="C10" s="2" t="str">
        <f>IF(OR('A créer'!D10="Oui",LEN('A créer'!D10)=0),"","Tab")</f>
        <v>Tab</v>
      </c>
      <c r="D10" s="7" t="str">
        <f>IF(OR('A créer'!D10="Oui",LEN('A créer'!D10)=0),"",CONCATENATE("A",'A créer'!A10))</f>
        <v>A0453</v>
      </c>
      <c r="E10" s="2" t="str">
        <f>IF(OR('A créer'!D10="Oui",LEN('A créer'!D10)=0),"","Tab")</f>
        <v>Tab</v>
      </c>
      <c r="F10" s="7" t="str">
        <f>IF(OR('A créer'!D10="Oui",LEN('A créer'!D10)=0),"",CONCATENATE("STE ",'A créer'!A10))</f>
        <v>STE 0453</v>
      </c>
      <c r="G10" s="2" t="str">
        <f>IF(OR('A créer'!D10="Oui",LEN('A créer'!D10)=0),"","*SAVE")</f>
        <v>*SAVE</v>
      </c>
    </row>
    <row r="11" spans="1:7" x14ac:dyDescent="0.25">
      <c r="A11" s="2" t="str">
        <f>IF(OR('A créer'!D11="Oui",LEN('A créer'!D11)=0),"","*FN")</f>
        <v>*FN</v>
      </c>
      <c r="B11" s="7" t="str">
        <f>IF(OR('A créer'!D11="Oui",LEN('A créer'!D11)=0),"",CONCATENATE("A",'A créer'!A11))</f>
        <v>A0457</v>
      </c>
      <c r="C11" s="2" t="str">
        <f>IF(OR('A créer'!D11="Oui",LEN('A créer'!D11)=0),"","Tab")</f>
        <v>Tab</v>
      </c>
      <c r="D11" s="7" t="str">
        <f>IF(OR('A créer'!D11="Oui",LEN('A créer'!D11)=0),"",CONCATENATE("A",'A créer'!A11))</f>
        <v>A0457</v>
      </c>
      <c r="E11" s="2" t="str">
        <f>IF(OR('A créer'!D11="Oui",LEN('A créer'!D11)=0),"","Tab")</f>
        <v>Tab</v>
      </c>
      <c r="F11" s="7" t="str">
        <f>IF(OR('A créer'!D11="Oui",LEN('A créer'!D11)=0),"",CONCATENATE("STE ",'A créer'!A11))</f>
        <v>STE 0457</v>
      </c>
      <c r="G11" s="2" t="str">
        <f>IF(OR('A créer'!D11="Oui",LEN('A créer'!D11)=0),"","*SAVE")</f>
        <v>*SAVE</v>
      </c>
    </row>
    <row r="12" spans="1:7" x14ac:dyDescent="0.25">
      <c r="A12" s="2" t="str">
        <f>IF(OR('A créer'!D12="Oui",LEN('A créer'!D12)=0),"","*FN")</f>
        <v>*FN</v>
      </c>
      <c r="B12" s="7" t="str">
        <f>IF(OR('A créer'!D12="Oui",LEN('A créer'!D12)=0),"",CONCATENATE("A",'A créer'!A12))</f>
        <v>A0473</v>
      </c>
      <c r="C12" s="2" t="str">
        <f>IF(OR('A créer'!D12="Oui",LEN('A créer'!D12)=0),"","Tab")</f>
        <v>Tab</v>
      </c>
      <c r="D12" s="7" t="str">
        <f>IF(OR('A créer'!D12="Oui",LEN('A créer'!D12)=0),"",CONCATENATE("A",'A créer'!A12))</f>
        <v>A0473</v>
      </c>
      <c r="E12" s="2" t="str">
        <f>IF(OR('A créer'!D12="Oui",LEN('A créer'!D12)=0),"","Tab")</f>
        <v>Tab</v>
      </c>
      <c r="F12" s="7" t="str">
        <f>IF(OR('A créer'!D12="Oui",LEN('A créer'!D12)=0),"",CONCATENATE("STE ",'A créer'!A12))</f>
        <v>STE 0473</v>
      </c>
      <c r="G12" s="2" t="str">
        <f>IF(OR('A créer'!D12="Oui",LEN('A créer'!D12)=0),"","*SAVE")</f>
        <v>*SAVE</v>
      </c>
    </row>
    <row r="13" spans="1:7" x14ac:dyDescent="0.25">
      <c r="A13" s="2" t="str">
        <f>IF(OR('A créer'!D13="Oui",LEN('A créer'!D13)=0),"","*FN")</f>
        <v>*FN</v>
      </c>
      <c r="B13" s="7" t="str">
        <f>IF(OR('A créer'!D13="Oui",LEN('A créer'!D13)=0),"",CONCATENATE("A",'A créer'!A13))</f>
        <v>A0474</v>
      </c>
      <c r="C13" s="2" t="str">
        <f>IF(OR('A créer'!D13="Oui",LEN('A créer'!D13)=0),"","Tab")</f>
        <v>Tab</v>
      </c>
      <c r="D13" s="7" t="str">
        <f>IF(OR('A créer'!D13="Oui",LEN('A créer'!D13)=0),"",CONCATENATE("A",'A créer'!A13))</f>
        <v>A0474</v>
      </c>
      <c r="E13" s="2" t="str">
        <f>IF(OR('A créer'!D13="Oui",LEN('A créer'!D13)=0),"","Tab")</f>
        <v>Tab</v>
      </c>
      <c r="F13" s="7" t="str">
        <f>IF(OR('A créer'!D13="Oui",LEN('A créer'!D13)=0),"",CONCATENATE("STE ",'A créer'!A13))</f>
        <v>STE 0474</v>
      </c>
      <c r="G13" s="2" t="str">
        <f>IF(OR('A créer'!D13="Oui",LEN('A créer'!D13)=0),"","*SAVE")</f>
        <v>*SAVE</v>
      </c>
    </row>
    <row r="14" spans="1:7" x14ac:dyDescent="0.25">
      <c r="A14" s="2" t="str">
        <f>IF(OR('A créer'!D14="Oui",LEN('A créer'!D14)=0),"","*FN")</f>
        <v>*FN</v>
      </c>
      <c r="B14" s="7" t="str">
        <f>IF(OR('A créer'!D14="Oui",LEN('A créer'!D14)=0),"",CONCATENATE("A",'A créer'!A14))</f>
        <v>A0470</v>
      </c>
      <c r="C14" s="2" t="str">
        <f>IF(OR('A créer'!D14="Oui",LEN('A créer'!D14)=0),"","Tab")</f>
        <v>Tab</v>
      </c>
      <c r="D14" s="7" t="str">
        <f>IF(OR('A créer'!D14="Oui",LEN('A créer'!D14)=0),"",CONCATENATE("A",'A créer'!A14))</f>
        <v>A0470</v>
      </c>
      <c r="E14" s="2" t="str">
        <f>IF(OR('A créer'!D14="Oui",LEN('A créer'!D14)=0),"","Tab")</f>
        <v>Tab</v>
      </c>
      <c r="F14" s="7" t="str">
        <f>IF(OR('A créer'!D14="Oui",LEN('A créer'!D14)=0),"",CONCATENATE("STE ",'A créer'!A14))</f>
        <v>STE 0470</v>
      </c>
      <c r="G14" s="2" t="str">
        <f>IF(OR('A créer'!D14="Oui",LEN('A créer'!D14)=0),"","*SAVE")</f>
        <v>*SAVE</v>
      </c>
    </row>
    <row r="15" spans="1:7" x14ac:dyDescent="0.25">
      <c r="A15" s="2" t="str">
        <f>IF(OR('A créer'!D15="Oui",LEN('A créer'!D15)=0),"","*FN")</f>
        <v/>
      </c>
      <c r="B15" s="7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7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7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7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7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7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7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7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7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7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7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7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7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7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7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7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7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7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7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7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7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7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7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7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7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7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7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7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7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7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7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7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7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7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7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7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7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7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7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7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7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7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7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7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7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7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7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7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="80" zoomScaleNormal="80" workbookViewId="0">
      <pane ySplit="1" topLeftCell="A2" activePane="bottomLeft" state="frozenSplit"/>
      <selection pane="bottomLeft" activeCell="B14" sqref="B14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5.8554687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YS2014</v>
      </c>
      <c r="C2" s="2" t="str">
        <f>IF(LEN('A créer'!G2)=0,"","Tab")</f>
        <v>Tab</v>
      </c>
      <c r="D2" s="7" t="str">
        <f>IF(LEN('A créer'!G2)=0,IF(LEN('A créer'!G2)&gt;0,CONCATENATE('A créer'!C2," ",'A créer'!B2),""),'A créer'!C2)</f>
        <v>SOCIETE VALMY DEFENSE 114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>*FN</v>
      </c>
      <c r="B3" s="7" t="str">
        <f>IF(LEN('A créer'!G3)=0,"",'A créer'!G3)</f>
        <v>YS2015</v>
      </c>
      <c r="C3" s="2" t="str">
        <f>IF(LEN('A créer'!G3)=0,"","Tab")</f>
        <v>Tab</v>
      </c>
      <c r="D3" s="7" t="str">
        <f>IF(LEN('A créer'!G3)=0,IF(LEN('A créer'!G3)&gt;0,CONCATENATE('A créer'!C3," ",'A créer'!B3),""),'A créer'!C3)</f>
        <v>SOCIETE VALMY DEFENSE 115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25">
      <c r="A4" s="2" t="str">
        <f>IF(LEN('A créer'!G4)=0,"","*FN")</f>
        <v>*FN</v>
      </c>
      <c r="B4" s="7" t="str">
        <f>IF(LEN('A créer'!G4)=0,"",'A créer'!G4)</f>
        <v>YS2016</v>
      </c>
      <c r="C4" s="2" t="str">
        <f>IF(LEN('A créer'!G4)=0,"","Tab")</f>
        <v>Tab</v>
      </c>
      <c r="D4" s="7" t="str">
        <f>IF(LEN('A créer'!G4)=0,IF(LEN('A créer'!G4)&gt;0,CONCATENATE('A créer'!C4," ",'A créer'!B4),""),'A créer'!C4)</f>
        <v>SOCIETE VALMY DEFENSE 116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25">
      <c r="A5" s="2" t="str">
        <f>IF(LEN('A créer'!G5)=0,"","*FN")</f>
        <v>*FN</v>
      </c>
      <c r="B5" s="7" t="str">
        <f>IF(LEN('A créer'!G5)=0,"",'A créer'!G5)</f>
        <v>YS2017</v>
      </c>
      <c r="C5" s="2" t="str">
        <f>IF(LEN('A créer'!G5)=0,"","Tab")</f>
        <v>Tab</v>
      </c>
      <c r="D5" s="7" t="str">
        <f>IF(LEN('A créer'!G5)=0,IF(LEN('A créer'!G5)&gt;0,CONCATENATE('A créer'!C5," ",'A créer'!B5),""),'A créer'!C5)</f>
        <v>SOCIETE VALMY DEFENSE 117</v>
      </c>
      <c r="E5" s="2" t="str">
        <f>IF(LEN('A créer'!G5)=0,"","Tab")</f>
        <v>Tab</v>
      </c>
      <c r="F5" s="2" t="str">
        <f>IF(LEN('A créer'!G5)=0,"","*SAVE")</f>
        <v>*SAVE</v>
      </c>
    </row>
    <row r="6" spans="1:6" x14ac:dyDescent="0.25">
      <c r="A6" s="2" t="str">
        <f>IF(LEN('A créer'!G6)=0,"","*FN")</f>
        <v>*FN</v>
      </c>
      <c r="B6" s="7" t="str">
        <f>IF(LEN('A créer'!G6)=0,"",'A créer'!G6)</f>
        <v>YS2018</v>
      </c>
      <c r="C6" s="2" t="str">
        <f>IF(LEN('A créer'!G6)=0,"","Tab")</f>
        <v>Tab</v>
      </c>
      <c r="D6" s="7" t="str">
        <f>IF(LEN('A créer'!G6)=0,IF(LEN('A créer'!G6)&gt;0,CONCATENATE('A créer'!C6," ",'A créer'!B6),""),'A créer'!C6)</f>
        <v>SOCIETE VALMY DEFENSE 118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25">
      <c r="A7" s="2" t="str">
        <f>IF(LEN('A créer'!G7)=0,"","*FN")</f>
        <v>*FN</v>
      </c>
      <c r="B7" s="7" t="str">
        <f>IF(LEN('A créer'!G7)=0,"",'A créer'!G7)</f>
        <v>YS2020</v>
      </c>
      <c r="C7" s="2" t="str">
        <f>IF(LEN('A créer'!G7)=0,"","Tab")</f>
        <v>Tab</v>
      </c>
      <c r="D7" s="7" t="str">
        <f>IF(LEN('A créer'!G7)=0,IF(LEN('A créer'!G7)&gt;0,CONCATENATE('A créer'!C7," ",'A créer'!B7),""),'A créer'!C7)</f>
        <v>SOCIETE VALMY DEFENSE 120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25">
      <c r="A8" s="2" t="str">
        <f>IF(LEN('A créer'!G8)=0,"","*FN")</f>
        <v>*FN</v>
      </c>
      <c r="B8" s="7" t="str">
        <f>IF(LEN('A créer'!G8)=0,"",'A créer'!G8)</f>
        <v>YS2021</v>
      </c>
      <c r="C8" s="2" t="str">
        <f>IF(LEN('A créer'!G8)=0,"","Tab")</f>
        <v>Tab</v>
      </c>
      <c r="D8" s="7" t="str">
        <f>IF(LEN('A créer'!G8)=0,IF(LEN('A créer'!G8)&gt;0,CONCATENATE('A créer'!C8," ",'A créer'!B8),""),'A créer'!C8)</f>
        <v>SOCIETE VALMY DEFENSE 121</v>
      </c>
      <c r="E8" s="2" t="str">
        <f>IF(LEN('A créer'!G8)=0,"","Tab")</f>
        <v>Tab</v>
      </c>
      <c r="F8" s="2" t="str">
        <f>IF(LEN('A créer'!G8)=0,"","*SAVE")</f>
        <v>*SAVE</v>
      </c>
    </row>
    <row r="9" spans="1:6" x14ac:dyDescent="0.25">
      <c r="A9" s="2" t="str">
        <f>IF(LEN('A créer'!G9)=0,"","*FN")</f>
        <v>*FN</v>
      </c>
      <c r="B9" s="7" t="str">
        <f>IF(LEN('A créer'!G9)=0,"",'A créer'!G9)</f>
        <v>YS2022</v>
      </c>
      <c r="C9" s="2" t="str">
        <f>IF(LEN('A créer'!G9)=0,"","Tab")</f>
        <v>Tab</v>
      </c>
      <c r="D9" s="7" t="str">
        <f>IF(LEN('A créer'!G9)=0,IF(LEN('A créer'!G9)&gt;0,CONCATENATE('A créer'!C9," ",'A créer'!B9),""),'A créer'!C9)</f>
        <v>SOCIETE VALMY DEFENSE 122</v>
      </c>
      <c r="E9" s="2" t="str">
        <f>IF(LEN('A créer'!G9)=0,"","Tab")</f>
        <v>Tab</v>
      </c>
      <c r="F9" s="2" t="str">
        <f>IF(LEN('A créer'!G9)=0,"","*SAVE")</f>
        <v>*SAVE</v>
      </c>
    </row>
    <row r="10" spans="1:6" x14ac:dyDescent="0.25">
      <c r="A10" s="2" t="str">
        <f>IF(LEN('A créer'!G10)=0,"","*FN")</f>
        <v>*FN</v>
      </c>
      <c r="B10" s="7" t="str">
        <f>IF(LEN('A créer'!G10)=0,"",'A créer'!G10)</f>
        <v>S2019</v>
      </c>
      <c r="C10" s="2" t="str">
        <f>IF(LEN('A créer'!G10)=0,"","Tab")</f>
        <v>Tab</v>
      </c>
      <c r="D10" s="7" t="str">
        <f>IF(LEN('A créer'!G10)=0,IF(LEN('A créer'!G10)&gt;0,CONCATENATE('A créer'!C10," ",'A créer'!B10),""),'A créer'!C10)</f>
        <v>SOCIETE VALMY DEFENSE 119</v>
      </c>
      <c r="E10" s="2" t="str">
        <f>IF(LEN('A créer'!G10)=0,"","Tab")</f>
        <v>Tab</v>
      </c>
      <c r="F10" s="2" t="str">
        <f>IF(LEN('A créer'!G10)=0,"","*SAVE")</f>
        <v>*SAVE</v>
      </c>
    </row>
    <row r="11" spans="1:6" x14ac:dyDescent="0.25">
      <c r="A11" s="2" t="str">
        <f>IF(LEN('A créer'!G11)=0,"","*FN")</f>
        <v>*FN</v>
      </c>
      <c r="B11" s="7" t="str">
        <f>IF(LEN('A créer'!G11)=0,"",'A créer'!G11)</f>
        <v>S2023</v>
      </c>
      <c r="C11" s="2" t="str">
        <f>IF(LEN('A créer'!G11)=0,"","Tab")</f>
        <v>Tab</v>
      </c>
      <c r="D11" s="7" t="str">
        <f>IF(LEN('A créer'!G11)=0,IF(LEN('A créer'!G11)&gt;0,CONCATENATE('A créer'!C11," ",'A créer'!B11),""),'A créer'!C11)</f>
        <v>DALKIA MIDDLE EAST</v>
      </c>
      <c r="E11" s="2" t="str">
        <f>IF(LEN('A créer'!G11)=0,"","Tab")</f>
        <v>Tab</v>
      </c>
      <c r="F11" s="2" t="str">
        <f>IF(LEN('A créer'!G11)=0,"","*SAVE")</f>
        <v>*SAVE</v>
      </c>
    </row>
    <row r="12" spans="1:6" x14ac:dyDescent="0.25">
      <c r="A12" s="2" t="str">
        <f>IF(LEN('A créer'!G12)=0,"","*FN")</f>
        <v>*FN</v>
      </c>
      <c r="B12" s="7" t="str">
        <f>IF(LEN('A créer'!G12)=0,"",'A créer'!G12)</f>
        <v>SD031IGD</v>
      </c>
      <c r="C12" s="2" t="str">
        <f>IF(LEN('A créer'!G12)=0,"","Tab")</f>
        <v>Tab</v>
      </c>
      <c r="D12" s="7" t="str">
        <f>IF(LEN('A créer'!G12)=0,IF(LEN('A créer'!G12)&gt;0,CONCATENATE('A créer'!C12," ",'A créer'!B12),""),'A créer'!C12)</f>
        <v>CITELUM IG</v>
      </c>
      <c r="E12" s="2" t="str">
        <f>IF(LEN('A créer'!G12)=0,"","Tab")</f>
        <v>Tab</v>
      </c>
      <c r="F12" s="2" t="str">
        <f>IF(LEN('A créer'!G12)=0,"","*SAVE")</f>
        <v>*SAVE</v>
      </c>
    </row>
    <row r="13" spans="1:6" x14ac:dyDescent="0.25">
      <c r="A13" s="2" t="str">
        <f>IF(LEN('A créer'!G13)=0,"","*FN")</f>
        <v>*FN</v>
      </c>
      <c r="B13" s="7" t="str">
        <f>IF(LEN('A créer'!G13)=0,"",'A créer'!G13)</f>
        <v>SD442</v>
      </c>
      <c r="C13" s="2" t="str">
        <f>IF(LEN('A créer'!G13)=0,"","Tab")</f>
        <v>Tab</v>
      </c>
      <c r="D13" s="7" t="str">
        <f>IF(LEN('A créer'!G13)=0,IF(LEN('A créer'!G13)&gt;0,CONCATENATE('A créer'!C13," ",'A créer'!B13),""),'A créer'!C13)</f>
        <v>AIR FORMING</v>
      </c>
      <c r="E13" s="2" t="str">
        <f>IF(LEN('A créer'!G13)=0,"","Tab")</f>
        <v>Tab</v>
      </c>
      <c r="F13" s="2" t="str">
        <f>IF(LEN('A créer'!G13)=0,"","*SAVE")</f>
        <v>*SAVE</v>
      </c>
    </row>
    <row r="14" spans="1:6" x14ac:dyDescent="0.25">
      <c r="A14" s="2" t="str">
        <f>IF(LEN('A créer'!G14)=0,"","*FN")</f>
        <v>*FN</v>
      </c>
      <c r="B14" s="7" t="str">
        <f>IF(LEN('A créer'!G14)=0,"",'A créer'!G14)</f>
        <v>S0150</v>
      </c>
      <c r="C14" s="2" t="str">
        <f>IF(LEN('A créer'!G14)=0,"","Tab")</f>
        <v>Tab</v>
      </c>
      <c r="D14" s="7" t="str">
        <f>IF(LEN('A créer'!G14)=0,IF(LEN('A créer'!G14)&gt;0,CONCATENATE('A créer'!C14," ",'A créer'!B14),""),'A créer'!C14)</f>
        <v>SA DESCHAMPS LATHUS</v>
      </c>
      <c r="E14" s="2" t="str">
        <f>IF(LEN('A créer'!G14)=0,"","Tab")</f>
        <v>Tab</v>
      </c>
      <c r="F14" s="2" t="str">
        <f>IF(LEN('A créer'!G14)=0,"","*SAVE")</f>
        <v>*SAVE</v>
      </c>
    </row>
    <row r="15" spans="1:6" x14ac:dyDescent="0.25">
      <c r="A15" s="2" t="str">
        <f>IF(LEN('A créer'!G15)=0,"","*FN")</f>
        <v/>
      </c>
      <c r="B15" s="7" t="str">
        <f>IF(LEN('A créer'!G15)=0,"",'A créer'!G15)</f>
        <v/>
      </c>
      <c r="C15" s="2" t="str">
        <f>IF(LEN('A créer'!G15)=0,"","Tab")</f>
        <v/>
      </c>
      <c r="D15" s="7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7" t="str">
        <f>IF(LEN('A créer'!G16)=0,"",'A créer'!G16)</f>
        <v/>
      </c>
      <c r="C16" s="2" t="str">
        <f>IF(LEN('A créer'!G16)=0,"","Tab")</f>
        <v/>
      </c>
      <c r="D16" s="7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7" t="str">
        <f>IF(LEN('A créer'!G17)=0,"",'A créer'!G17)</f>
        <v/>
      </c>
      <c r="C17" s="2" t="str">
        <f>IF(LEN('A créer'!G17)=0,"","Tab")</f>
        <v/>
      </c>
      <c r="D17" s="7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7" t="str">
        <f>IF(LEN('A créer'!G18)=0,"",'A créer'!G18)</f>
        <v/>
      </c>
      <c r="C18" s="2" t="str">
        <f>IF(LEN('A créer'!G18)=0,"","Tab")</f>
        <v/>
      </c>
      <c r="D18" s="7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7" t="str">
        <f>IF(LEN('A créer'!G19)=0,"",'A créer'!G19)</f>
        <v/>
      </c>
      <c r="C19" s="2" t="str">
        <f>IF(LEN('A créer'!G19)=0,"","Tab")</f>
        <v/>
      </c>
      <c r="D19" s="7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7" t="str">
        <f>IF(LEN('A créer'!G20)=0,"",'A créer'!G20)</f>
        <v/>
      </c>
      <c r="C20" s="2" t="str">
        <f>IF(LEN('A créer'!G20)=0,"","Tab")</f>
        <v/>
      </c>
      <c r="D20" s="7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7" t="str">
        <f>IF(LEN('A créer'!G21)=0,"",'A créer'!G21)</f>
        <v/>
      </c>
      <c r="C21" s="2" t="str">
        <f>IF(LEN('A créer'!G21)=0,"","Tab")</f>
        <v/>
      </c>
      <c r="D21" s="7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7" t="str">
        <f>IF(LEN('A créer'!G22)=0,"",'A créer'!G22)</f>
        <v/>
      </c>
      <c r="C22" s="2" t="str">
        <f>IF(LEN('A créer'!G22)=0,"","Tab")</f>
        <v/>
      </c>
      <c r="D22" s="7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7" t="str">
        <f>IF(LEN('A créer'!G23)=0,"",'A créer'!G23)</f>
        <v/>
      </c>
      <c r="C23" s="2" t="str">
        <f>IF(LEN('A créer'!G23)=0,"","Tab")</f>
        <v/>
      </c>
      <c r="D23" s="7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7" t="str">
        <f>IF(LEN('A créer'!G24)=0,"",'A créer'!G24)</f>
        <v/>
      </c>
      <c r="C24" s="2" t="str">
        <f>IF(LEN('A créer'!G24)=0,"","Tab")</f>
        <v/>
      </c>
      <c r="D24" s="7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7" t="str">
        <f>IF(LEN('A créer'!G25)=0,"",'A créer'!G25)</f>
        <v/>
      </c>
      <c r="C25" s="2" t="str">
        <f>IF(LEN('A créer'!G25)=0,"","Tab")</f>
        <v/>
      </c>
      <c r="D25" s="7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7" t="str">
        <f>IF(LEN('A créer'!G26)=0,"",'A créer'!G26)</f>
        <v/>
      </c>
      <c r="C26" s="2" t="str">
        <f>IF(LEN('A créer'!G26)=0,"","Tab")</f>
        <v/>
      </c>
      <c r="D26" s="7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7" t="str">
        <f>IF(LEN('A créer'!G27)=0,"",'A créer'!G27)</f>
        <v/>
      </c>
      <c r="C27" s="2" t="str">
        <f>IF(LEN('A créer'!G27)=0,"","Tab")</f>
        <v/>
      </c>
      <c r="D27" s="7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7" t="str">
        <f>IF(LEN('A créer'!G28)=0,"",'A créer'!G28)</f>
        <v/>
      </c>
      <c r="C28" s="2" t="str">
        <f>IF(LEN('A créer'!G28)=0,"","Tab")</f>
        <v/>
      </c>
      <c r="D28" s="7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7" t="str">
        <f>IF(LEN('A créer'!G29)=0,"",'A créer'!G29)</f>
        <v/>
      </c>
      <c r="C29" s="2" t="str">
        <f>IF(LEN('A créer'!G29)=0,"","Tab")</f>
        <v/>
      </c>
      <c r="D29" s="7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7" t="str">
        <f>IF(LEN('A créer'!G30)=0,"",'A créer'!G30)</f>
        <v/>
      </c>
      <c r="C30" s="2" t="str">
        <f>IF(LEN('A créer'!G30)=0,"","Tab")</f>
        <v/>
      </c>
      <c r="D30" s="7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14" sqref="A14:BB14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4" bestFit="1" customWidth="1"/>
    <col min="14" max="14" width="6.42578125" customWidth="1"/>
    <col min="15" max="15" width="4" bestFit="1" customWidth="1"/>
    <col min="16" max="16" width="7.140625" customWidth="1"/>
    <col min="17" max="17" width="4" bestFit="1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6.28515625" bestFit="1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5.28515625" bestFit="1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165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>*FN</v>
      </c>
      <c r="B2" t="str">
        <f>IF(OR('A créer'!D2="Oui",LEN('A créer'!D2)=0),"",'A créer'!A2)</f>
        <v>0443</v>
      </c>
      <c r="C2" s="2" t="str">
        <f>IF(OR('A créer'!D2="Oui",LEN('A créer'!D2)=0),"","Tab")</f>
        <v>Tab</v>
      </c>
      <c r="D2" t="str">
        <f>IF(OR('A créer'!D2="Oui",LEN('A créer'!D2)=0),"",'A créer'!C2)</f>
        <v>SOCIETE VALMY DEFENSE 114</v>
      </c>
      <c r="E2" s="2" t="s">
        <v>165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DOS</v>
      </c>
      <c r="L2" t="str">
        <f>IF(OR('A créer'!D2="Oui",LEN('A créer'!D2)=0),"",IF($K2="DCW",'A créer'!G2,""))</f>
        <v/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>YS2014</v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A443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0443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A0443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0443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créer'!D2)=0),"","*ML(751,97)")</f>
        <v>*ML(751,97)</v>
      </c>
    </row>
    <row r="3" spans="1:55" x14ac:dyDescent="0.25">
      <c r="A3" s="2" t="str">
        <f>IF(OR('A créer'!D3="Oui",LEN('A créer'!D3)=0),"","*FN")</f>
        <v>*FN</v>
      </c>
      <c r="B3" s="7" t="str">
        <f>IF(OR('A créer'!D3="Oui",LEN('A créer'!D3)=0),"",'A créer'!A3)</f>
        <v>0444</v>
      </c>
      <c r="C3" s="2" t="str">
        <f>IF(OR('A créer'!D3="Oui",LEN('A créer'!D3)=0),"","Tab")</f>
        <v>Tab</v>
      </c>
      <c r="D3" s="7" t="str">
        <f>IF(OR('A créer'!D3="Oui",LEN('A créer'!D3)=0),"",'A créer'!C3)</f>
        <v>SOCIETE VALMY DEFENSE 115</v>
      </c>
      <c r="E3" s="2" t="s">
        <v>165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créer'!D3)=0),"","ENT")</f>
        <v>ENT</v>
      </c>
      <c r="I3" s="7" t="str">
        <f>IF(OR('A créer'!D3="Oui",LEN('A créer'!D3)=0),"","Oui")</f>
        <v>Oui</v>
      </c>
      <c r="J3" s="2" t="str">
        <f>IF(OR('A créer'!D3="Oui",LEN('A créer'!D3)=0),"","Tab")</f>
        <v>Tab</v>
      </c>
      <c r="K3" s="7" t="str">
        <f>IF(OR('A créer'!D3="Oui",LEN('A créer'!D3)=0),"",'A créer'!H3)</f>
        <v>DOS</v>
      </c>
      <c r="L3" s="7" t="str">
        <f>IF(OR('A créer'!D3="Oui",LEN('A créer'!D3)=0),"",IF($K3="DCW",'A créer'!G3,""))</f>
        <v/>
      </c>
      <c r="M3" s="2" t="str">
        <f>IF(OR('A créer'!D3="Oui",LEN('A créer'!D3)=0),"","Tab")</f>
        <v>Tab</v>
      </c>
      <c r="N3" s="7" t="str">
        <f>IF(OR('A créer'!D3="Oui",LEN('A créer'!D3)=0),"",IF($K3="DLS",'A créer'!G3,""))</f>
        <v/>
      </c>
      <c r="O3" s="2" t="str">
        <f>IF(OR('A créer'!D3="Oui",LEN('A créer'!D3)=0),"","Tab")</f>
        <v>Tab</v>
      </c>
      <c r="P3" s="7" t="str">
        <f>IF(OR('A créer'!D3="Oui",LEN('A créer'!D3)=0),"",IF($K3="DMS",'A créer'!G3,""))</f>
        <v/>
      </c>
      <c r="Q3" s="2" t="str">
        <f>IF(OR('A créer'!D3="Oui",LEN('A créer'!D3)=0),"","Tab")</f>
        <v>Tab</v>
      </c>
      <c r="R3" s="7" t="str">
        <f>IF(OR('A créer'!D3="Oui",LEN('A créer'!D3)=0),"",IF($K3="DRW",'A créer'!G3,""))</f>
        <v/>
      </c>
      <c r="S3" s="2" t="str">
        <f>IF(OR('A créer'!D3="Oui",LEN('A créer'!D3)=0),"","Tab")</f>
        <v>Tab</v>
      </c>
      <c r="T3" s="7" t="str">
        <f>IF(OR('A créer'!D3="Oui",LEN('A créer'!D3)=0),"",IF($K3="DSW",'A créer'!G3,""))</f>
        <v/>
      </c>
      <c r="U3" s="2" t="str">
        <f>IF(OR('A créer'!D3="Oui",LEN('A créer'!D3)=0),"","Tab")</f>
        <v>Tab</v>
      </c>
      <c r="V3" s="7" t="str">
        <f>IF(OR('A créer'!D3="Oui",LEN('A créer'!D3)=0),"",IF($K3="DEW",'A créer'!G3,""))</f>
        <v/>
      </c>
      <c r="W3" s="2" t="str">
        <f>IF(OR('A créer'!D3="Oui",LEN('A créer'!D3)=0),"","Tab")</f>
        <v>Tab</v>
      </c>
      <c r="X3" s="7" t="str">
        <f>IF(OR('A créer'!D3="Oui",LEN('A créer'!D3)=0),"",IF($K3="DNA",'A créer'!G3,""))</f>
        <v/>
      </c>
      <c r="Y3" s="2" t="str">
        <f>IF(OR('A créer'!D3="Oui",LEN('A créer'!D3)=0),"","Tab")</f>
        <v>Tab</v>
      </c>
      <c r="Z3" s="7" t="str">
        <f>IF(OR('A créer'!D3="Oui",LEN('A créer'!D3)=0),"",IF($K3="DOS",'A créer'!G3,""))</f>
        <v>YS2015</v>
      </c>
      <c r="AA3" s="2" t="str">
        <f>IF(OR('A créer'!D3="Oui",LEN('A créer'!D3)=0),"","Tab")</f>
        <v>Tab</v>
      </c>
      <c r="AB3" s="2" t="str">
        <f>IF(OR('A créer'!D3="Oui",LEN('A créer'!D3)=0),"","Tab")</f>
        <v>Tab</v>
      </c>
      <c r="AC3" s="7" t="str">
        <f>IF(OR('A créer'!D3="Oui",LEN('A créer'!D3)=0),"","OUI")</f>
        <v>OUI</v>
      </c>
      <c r="AD3" s="2" t="str">
        <f>IF(OR('A créer'!D3="Oui",LEN('A créer'!D3)=0),"","Tab")</f>
        <v>Tab</v>
      </c>
      <c r="AE3" s="2" t="str">
        <f>IF(OR('A créer'!D3="Oui",LEN('A créer'!D3)=0),"","ENT")</f>
        <v>ENT</v>
      </c>
      <c r="AF3" s="2" t="str">
        <f>IF(OR('A créer'!D3="Oui",LEN('A créer'!D3)=0),"","*SAVE")</f>
        <v>*SAVE</v>
      </c>
      <c r="AG3" s="2" t="str">
        <f>IF(OR('A créer'!D3="Oui",LEN('A créer'!D3)=0),"","*FN")</f>
        <v>*FN</v>
      </c>
      <c r="AH3" s="7" t="str">
        <f>IF(OR('A créer'!D3="Oui",LEN('A créer'!D3)=0),"",CONCATENATE("A",RIGHT('A créer'!A3,3)))</f>
        <v>A444</v>
      </c>
      <c r="AI3" s="2" t="str">
        <f>IF(OR('A créer'!D3="Oui",LEN('A créer'!D3)=0),"","Tab")</f>
        <v>Tab</v>
      </c>
      <c r="AJ3" s="7" t="str">
        <f>IF(OR('A créer'!D3="Oui",LEN('A créer'!D3)=0),"",CONCATENATE('A créer'!A3," Regroupement"))</f>
        <v>0444 Regroupement</v>
      </c>
      <c r="AK3" s="2" t="str">
        <f>IF(OR('A créer'!D3="Oui",LEN('A créer'!D3)=0),"","Tab 4")</f>
        <v>Tab 4</v>
      </c>
      <c r="AL3" s="2" t="str">
        <f>IF(OR('A créer'!D3="Oui",LEN('A créer'!D3)=0),"","*SB")</f>
        <v>*SB</v>
      </c>
      <c r="AM3" s="2" t="str">
        <f>IF(OR('A créer'!D3="Oui",LEN('A créer'!D3)=0),"","Tab")</f>
        <v>Tab</v>
      </c>
      <c r="AN3" s="7" t="str">
        <f>IF(OR('A créer'!D3="Oui",LEN('A créer'!D3)=0),"",CONCATENATE("A",'A créer'!A3))</f>
        <v>A0444</v>
      </c>
      <c r="AO3" s="2" t="str">
        <f>IF(OR('A créer'!D3="Oui",LEN('A créer'!D3)=0),"","Tab")</f>
        <v>Tab</v>
      </c>
      <c r="AP3" s="2" t="str">
        <f>IF(OR('A créer'!D3="Oui",LEN('A créer'!D3)=0),"","Tab")</f>
        <v>Tab</v>
      </c>
      <c r="AQ3" s="2" t="str">
        <f>IF(OR('A créer'!D3="Oui",LEN('A créer'!D3)=0),"","ENT")</f>
        <v>ENT</v>
      </c>
      <c r="AR3" s="7" t="str">
        <f>IF(OR('A créer'!D3="Oui",LEN('A créer'!D3)=0),"","Non")</f>
        <v>Non</v>
      </c>
      <c r="AS3" s="2" t="str">
        <f>IF(OR('A créer'!D3="Oui",LEN('A créer'!D3)=0),"","Tab")</f>
        <v>Tab</v>
      </c>
      <c r="AT3" s="7" t="str">
        <f>IF(OR('A créer'!D3="Oui",LEN('A créer'!D3)=0),"","T")</f>
        <v>T</v>
      </c>
      <c r="AU3" s="2" t="str">
        <f>IF(OR('A créer'!D3="Oui",LEN('A créer'!D3)=0),"","Tab")</f>
        <v>Tab</v>
      </c>
      <c r="AV3" s="2" t="str">
        <f>IF(OR('A créer'!D3="Oui",LEN('A créer'!D3)=0),"","ENT")</f>
        <v>ENT</v>
      </c>
      <c r="AW3" s="2" t="str">
        <f>IF(OR('A créer'!D3="Oui",LEN('A créer'!D3)=0),"","*SAVE")</f>
        <v>*SAVE</v>
      </c>
      <c r="AX3" s="2" t="str">
        <f>IF(OR('A créer'!D3="Oui",LEN('A créer'!D3)=0),"","*UP")</f>
        <v>*UP</v>
      </c>
      <c r="AY3" s="2" t="str">
        <f>IF(OR('A créer'!D3="Oui",LEN('A créer'!D3)=0),"","*Aé")</f>
        <v>*Aé</v>
      </c>
      <c r="AZ3" s="7" t="str">
        <f>IF(OR('A créer'!D3="Oui",LEN('A créer'!D3)=0),"",'A créer'!A3)</f>
        <v>0444</v>
      </c>
      <c r="BA3" s="2" t="str">
        <f>IF(OR('A créer'!D3="Oui",LEN('A créer'!D3)=0),"","Tab")</f>
        <v>Tab</v>
      </c>
      <c r="BB3" s="2" t="str">
        <f>IF(OR('A créer'!D3="Oui",LEN('A créer'!D3)=0),"","*SAVE")</f>
        <v>*SAVE</v>
      </c>
      <c r="BC3" s="2" t="str">
        <f>IF(OR('A créer'!D3="Oui",LEN('A créer'!D3)=0),"","*ML(751,97)")</f>
        <v>*ML(751,97)</v>
      </c>
    </row>
    <row r="4" spans="1:55" x14ac:dyDescent="0.25">
      <c r="A4" s="2" t="str">
        <f>IF(OR('A créer'!D4="Oui",LEN('A créer'!D4)=0),"","*FN")</f>
        <v>*FN</v>
      </c>
      <c r="B4" s="7" t="str">
        <f>IF(OR('A créer'!D4="Oui",LEN('A créer'!D4)=0),"",'A créer'!A4)</f>
        <v>0446</v>
      </c>
      <c r="C4" s="2" t="str">
        <f>IF(OR('A créer'!D4="Oui",LEN('A créer'!D4)=0),"","Tab")</f>
        <v>Tab</v>
      </c>
      <c r="D4" s="7" t="str">
        <f>IF(OR('A créer'!D4="Oui",LEN('A créer'!D4)=0),"",'A créer'!C4)</f>
        <v>SOCIETE VALMY DEFENSE 116</v>
      </c>
      <c r="E4" s="2" t="s">
        <v>165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créer'!D4)=0),"","ENT")</f>
        <v>ENT</v>
      </c>
      <c r="I4" s="7" t="str">
        <f>IF(OR('A créer'!D4="Oui",LEN('A créer'!D4)=0),"","Oui")</f>
        <v>Oui</v>
      </c>
      <c r="J4" s="2" t="str">
        <f>IF(OR('A créer'!D4="Oui",LEN('A créer'!D4)=0),"","Tab")</f>
        <v>Tab</v>
      </c>
      <c r="K4" s="7" t="str">
        <f>IF(OR('A créer'!D4="Oui",LEN('A créer'!D4)=0),"",'A créer'!H4)</f>
        <v>DOS</v>
      </c>
      <c r="L4" s="7" t="str">
        <f>IF(OR('A créer'!D4="Oui",LEN('A créer'!D4)=0),"",IF($K4="DCW",'A créer'!G4,""))</f>
        <v/>
      </c>
      <c r="M4" s="2" t="str">
        <f>IF(OR('A créer'!D4="Oui",LEN('A créer'!D4)=0),"","Tab")</f>
        <v>Tab</v>
      </c>
      <c r="N4" s="7" t="str">
        <f>IF(OR('A créer'!D4="Oui",LEN('A créer'!D4)=0),"",IF($K4="DLS",'A créer'!G4,""))</f>
        <v/>
      </c>
      <c r="O4" s="2" t="str">
        <f>IF(OR('A créer'!D4="Oui",LEN('A créer'!D4)=0),"","Tab")</f>
        <v>Tab</v>
      </c>
      <c r="P4" s="7" t="str">
        <f>IF(OR('A créer'!D4="Oui",LEN('A créer'!D4)=0),"",IF($K4="DMS",'A créer'!G4,""))</f>
        <v/>
      </c>
      <c r="Q4" s="2" t="str">
        <f>IF(OR('A créer'!D4="Oui",LEN('A créer'!D4)=0),"","Tab")</f>
        <v>Tab</v>
      </c>
      <c r="R4" s="7" t="str">
        <f>IF(OR('A créer'!D4="Oui",LEN('A créer'!D4)=0),"",IF($K4="DRW",'A créer'!G4,""))</f>
        <v/>
      </c>
      <c r="S4" s="2" t="str">
        <f>IF(OR('A créer'!D4="Oui",LEN('A créer'!D4)=0),"","Tab")</f>
        <v>Tab</v>
      </c>
      <c r="T4" s="7" t="str">
        <f>IF(OR('A créer'!D4="Oui",LEN('A créer'!D4)=0),"",IF($K4="DSW",'A créer'!G4,""))</f>
        <v/>
      </c>
      <c r="U4" s="2" t="str">
        <f>IF(OR('A créer'!D4="Oui",LEN('A créer'!D4)=0),"","Tab")</f>
        <v>Tab</v>
      </c>
      <c r="V4" s="7" t="str">
        <f>IF(OR('A créer'!D4="Oui",LEN('A créer'!D4)=0),"",IF($K4="DEW",'A créer'!G4,""))</f>
        <v/>
      </c>
      <c r="W4" s="2" t="str">
        <f>IF(OR('A créer'!D4="Oui",LEN('A créer'!D4)=0),"","Tab")</f>
        <v>Tab</v>
      </c>
      <c r="X4" s="7" t="str">
        <f>IF(OR('A créer'!D4="Oui",LEN('A créer'!D4)=0),"",IF($K4="DNA",'A créer'!G4,""))</f>
        <v/>
      </c>
      <c r="Y4" s="2" t="str">
        <f>IF(OR('A créer'!D4="Oui",LEN('A créer'!D4)=0),"","Tab")</f>
        <v>Tab</v>
      </c>
      <c r="Z4" s="7" t="str">
        <f>IF(OR('A créer'!D4="Oui",LEN('A créer'!D4)=0),"",IF($K4="DOS",'A créer'!G4,""))</f>
        <v>YS2016</v>
      </c>
      <c r="AA4" s="2" t="str">
        <f>IF(OR('A créer'!D4="Oui",LEN('A créer'!D4)=0),"","Tab")</f>
        <v>Tab</v>
      </c>
      <c r="AB4" s="2" t="str">
        <f>IF(OR('A créer'!D4="Oui",LEN('A créer'!D4)=0),"","Tab")</f>
        <v>Tab</v>
      </c>
      <c r="AC4" s="7" t="str">
        <f>IF(OR('A créer'!D4="Oui",LEN('A créer'!D4)=0),"","OUI")</f>
        <v>OUI</v>
      </c>
      <c r="AD4" s="2" t="str">
        <f>IF(OR('A créer'!D4="Oui",LEN('A créer'!D4)=0),"","Tab")</f>
        <v>Tab</v>
      </c>
      <c r="AE4" s="2" t="str">
        <f>IF(OR('A créer'!D4="Oui",LEN('A créer'!D4)=0),"","ENT")</f>
        <v>ENT</v>
      </c>
      <c r="AF4" s="2" t="str">
        <f>IF(OR('A créer'!D4="Oui",LEN('A créer'!D4)=0),"","*SAVE")</f>
        <v>*SAVE</v>
      </c>
      <c r="AG4" s="2" t="str">
        <f>IF(OR('A créer'!D4="Oui",LEN('A créer'!D4)=0),"","*FN")</f>
        <v>*FN</v>
      </c>
      <c r="AH4" s="7" t="str">
        <f>IF(OR('A créer'!D4="Oui",LEN('A créer'!D4)=0),"",CONCATENATE("A",RIGHT('A créer'!A4,3)))</f>
        <v>A446</v>
      </c>
      <c r="AI4" s="2" t="str">
        <f>IF(OR('A créer'!D4="Oui",LEN('A créer'!D4)=0),"","Tab")</f>
        <v>Tab</v>
      </c>
      <c r="AJ4" s="7" t="str">
        <f>IF(OR('A créer'!D4="Oui",LEN('A créer'!D4)=0),"",CONCATENATE('A créer'!A4," Regroupement"))</f>
        <v>0446 Regroupement</v>
      </c>
      <c r="AK4" s="2" t="str">
        <f>IF(OR('A créer'!D4="Oui",LEN('A créer'!D4)=0),"","Tab 4")</f>
        <v>Tab 4</v>
      </c>
      <c r="AL4" s="2" t="str">
        <f>IF(OR('A créer'!D4="Oui",LEN('A créer'!D4)=0),"","*SB")</f>
        <v>*SB</v>
      </c>
      <c r="AM4" s="2" t="str">
        <f>IF(OR('A créer'!D4="Oui",LEN('A créer'!D4)=0),"","Tab")</f>
        <v>Tab</v>
      </c>
      <c r="AN4" s="7" t="str">
        <f>IF(OR('A créer'!D4="Oui",LEN('A créer'!D4)=0),"",CONCATENATE("A",'A créer'!A4))</f>
        <v>A0446</v>
      </c>
      <c r="AO4" s="2" t="str">
        <f>IF(OR('A créer'!D4="Oui",LEN('A créer'!D4)=0),"","Tab")</f>
        <v>Tab</v>
      </c>
      <c r="AP4" s="2" t="str">
        <f>IF(OR('A créer'!D4="Oui",LEN('A créer'!D4)=0),"","Tab")</f>
        <v>Tab</v>
      </c>
      <c r="AQ4" s="2" t="str">
        <f>IF(OR('A créer'!D4="Oui",LEN('A créer'!D4)=0),"","ENT")</f>
        <v>ENT</v>
      </c>
      <c r="AR4" s="7" t="str">
        <f>IF(OR('A créer'!D4="Oui",LEN('A créer'!D4)=0),"","Non")</f>
        <v>Non</v>
      </c>
      <c r="AS4" s="2" t="str">
        <f>IF(OR('A créer'!D4="Oui",LEN('A créer'!D4)=0),"","Tab")</f>
        <v>Tab</v>
      </c>
      <c r="AT4" s="7" t="str">
        <f>IF(OR('A créer'!D4="Oui",LEN('A créer'!D4)=0),"","T")</f>
        <v>T</v>
      </c>
      <c r="AU4" s="2" t="str">
        <f>IF(OR('A créer'!D4="Oui",LEN('A créer'!D4)=0),"","Tab")</f>
        <v>Tab</v>
      </c>
      <c r="AV4" s="2" t="str">
        <f>IF(OR('A créer'!D4="Oui",LEN('A créer'!D4)=0),"","ENT")</f>
        <v>ENT</v>
      </c>
      <c r="AW4" s="2" t="str">
        <f>IF(OR('A créer'!D4="Oui",LEN('A créer'!D4)=0),"","*SAVE")</f>
        <v>*SAVE</v>
      </c>
      <c r="AX4" s="2" t="str">
        <f>IF(OR('A créer'!D4="Oui",LEN('A créer'!D4)=0),"","*UP")</f>
        <v>*UP</v>
      </c>
      <c r="AY4" s="2" t="str">
        <f>IF(OR('A créer'!D4="Oui",LEN('A créer'!D4)=0),"","*Aé")</f>
        <v>*Aé</v>
      </c>
      <c r="AZ4" s="7" t="str">
        <f>IF(OR('A créer'!D4="Oui",LEN('A créer'!D4)=0),"",'A créer'!A4)</f>
        <v>0446</v>
      </c>
      <c r="BA4" s="2" t="str">
        <f>IF(OR('A créer'!D4="Oui",LEN('A créer'!D4)=0),"","Tab")</f>
        <v>Tab</v>
      </c>
      <c r="BB4" s="2" t="str">
        <f>IF(OR('A créer'!D4="Oui",LEN('A créer'!D4)=0),"","*SAVE")</f>
        <v>*SAVE</v>
      </c>
      <c r="BC4" s="2" t="str">
        <f>IF(OR('A créer'!D4="Oui",LEN('A créer'!D4)=0),"","*ML(751,97)")</f>
        <v>*ML(751,97)</v>
      </c>
    </row>
    <row r="5" spans="1:55" x14ac:dyDescent="0.25">
      <c r="A5" s="2" t="str">
        <f>IF(OR('A créer'!D5="Oui",LEN('A créer'!D5)=0),"","*FN")</f>
        <v>*FN</v>
      </c>
      <c r="B5" s="7" t="str">
        <f>IF(OR('A créer'!D5="Oui",LEN('A créer'!D5)=0),"",'A créer'!A5)</f>
        <v>0449</v>
      </c>
      <c r="C5" s="2" t="str">
        <f>IF(OR('A créer'!D5="Oui",LEN('A créer'!D5)=0),"","Tab")</f>
        <v>Tab</v>
      </c>
      <c r="D5" s="7" t="str">
        <f>IF(OR('A créer'!D5="Oui",LEN('A créer'!D5)=0),"",'A créer'!C5)</f>
        <v>SOCIETE VALMY DEFENSE 117</v>
      </c>
      <c r="E5" s="2" t="s">
        <v>165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créer'!D5)=0),"","ENT")</f>
        <v>ENT</v>
      </c>
      <c r="I5" s="7" t="str">
        <f>IF(OR('A créer'!D5="Oui",LEN('A créer'!D5)=0),"","Oui")</f>
        <v>Oui</v>
      </c>
      <c r="J5" s="2" t="str">
        <f>IF(OR('A créer'!D5="Oui",LEN('A créer'!D5)=0),"","Tab")</f>
        <v>Tab</v>
      </c>
      <c r="K5" s="7" t="str">
        <f>IF(OR('A créer'!D5="Oui",LEN('A créer'!D5)=0),"",'A créer'!H5)</f>
        <v>DOS</v>
      </c>
      <c r="L5" s="7" t="str">
        <f>IF(OR('A créer'!D5="Oui",LEN('A créer'!D5)=0),"",IF($K5="DCW",'A créer'!G5,""))</f>
        <v/>
      </c>
      <c r="M5" s="2" t="str">
        <f>IF(OR('A créer'!D5="Oui",LEN('A créer'!D5)=0),"","Tab")</f>
        <v>Tab</v>
      </c>
      <c r="N5" s="7" t="str">
        <f>IF(OR('A créer'!D5="Oui",LEN('A créer'!D5)=0),"",IF($K5="DLS",'A créer'!G5,""))</f>
        <v/>
      </c>
      <c r="O5" s="2" t="str">
        <f>IF(OR('A créer'!D5="Oui",LEN('A créer'!D5)=0),"","Tab")</f>
        <v>Tab</v>
      </c>
      <c r="P5" s="7" t="str">
        <f>IF(OR('A créer'!D5="Oui",LEN('A créer'!D5)=0),"",IF($K5="DMS",'A créer'!G5,""))</f>
        <v/>
      </c>
      <c r="Q5" s="2" t="str">
        <f>IF(OR('A créer'!D5="Oui",LEN('A créer'!D5)=0),"","Tab")</f>
        <v>Tab</v>
      </c>
      <c r="R5" s="7" t="str">
        <f>IF(OR('A créer'!D5="Oui",LEN('A créer'!D5)=0),"",IF($K5="DRW",'A créer'!G5,""))</f>
        <v/>
      </c>
      <c r="S5" s="2" t="str">
        <f>IF(OR('A créer'!D5="Oui",LEN('A créer'!D5)=0),"","Tab")</f>
        <v>Tab</v>
      </c>
      <c r="T5" s="7" t="str">
        <f>IF(OR('A créer'!D5="Oui",LEN('A créer'!D5)=0),"",IF($K5="DSW",'A créer'!G5,""))</f>
        <v/>
      </c>
      <c r="U5" s="2" t="str">
        <f>IF(OR('A créer'!D5="Oui",LEN('A créer'!D5)=0),"","Tab")</f>
        <v>Tab</v>
      </c>
      <c r="V5" s="7" t="str">
        <f>IF(OR('A créer'!D5="Oui",LEN('A créer'!D5)=0),"",IF($K5="DEW",'A créer'!G5,""))</f>
        <v/>
      </c>
      <c r="W5" s="2" t="str">
        <f>IF(OR('A créer'!D5="Oui",LEN('A créer'!D5)=0),"","Tab")</f>
        <v>Tab</v>
      </c>
      <c r="X5" s="7" t="str">
        <f>IF(OR('A créer'!D5="Oui",LEN('A créer'!D5)=0),"",IF($K5="DNA",'A créer'!G5,""))</f>
        <v/>
      </c>
      <c r="Y5" s="2" t="str">
        <f>IF(OR('A créer'!D5="Oui",LEN('A créer'!D5)=0),"","Tab")</f>
        <v>Tab</v>
      </c>
      <c r="Z5" s="7" t="str">
        <f>IF(OR('A créer'!D5="Oui",LEN('A créer'!D5)=0),"",IF($K5="DOS",'A créer'!G5,""))</f>
        <v>YS2017</v>
      </c>
      <c r="AA5" s="2" t="str">
        <f>IF(OR('A créer'!D5="Oui",LEN('A créer'!D5)=0),"","Tab")</f>
        <v>Tab</v>
      </c>
      <c r="AB5" s="2" t="str">
        <f>IF(OR('A créer'!D5="Oui",LEN('A créer'!D5)=0),"","Tab")</f>
        <v>Tab</v>
      </c>
      <c r="AC5" s="7" t="str">
        <f>IF(OR('A créer'!D5="Oui",LEN('A créer'!D5)=0),"","OUI")</f>
        <v>OUI</v>
      </c>
      <c r="AD5" s="2" t="str">
        <f>IF(OR('A créer'!D5="Oui",LEN('A créer'!D5)=0),"","Tab")</f>
        <v>Tab</v>
      </c>
      <c r="AE5" s="2" t="str">
        <f>IF(OR('A créer'!D5="Oui",LEN('A créer'!D5)=0),"","ENT")</f>
        <v>ENT</v>
      </c>
      <c r="AF5" s="2" t="str">
        <f>IF(OR('A créer'!D5="Oui",LEN('A créer'!D5)=0),"","*SAVE")</f>
        <v>*SAVE</v>
      </c>
      <c r="AG5" s="2" t="str">
        <f>IF(OR('A créer'!D5="Oui",LEN('A créer'!D5)=0),"","*FN")</f>
        <v>*FN</v>
      </c>
      <c r="AH5" s="7" t="str">
        <f>IF(OR('A créer'!D5="Oui",LEN('A créer'!D5)=0),"",CONCATENATE("A",RIGHT('A créer'!A5,3)))</f>
        <v>A449</v>
      </c>
      <c r="AI5" s="2" t="str">
        <f>IF(OR('A créer'!D5="Oui",LEN('A créer'!D5)=0),"","Tab")</f>
        <v>Tab</v>
      </c>
      <c r="AJ5" s="7" t="str">
        <f>IF(OR('A créer'!D5="Oui",LEN('A créer'!D5)=0),"",CONCATENATE('A créer'!A5," Regroupement"))</f>
        <v>0449 Regroupement</v>
      </c>
      <c r="AK5" s="2" t="str">
        <f>IF(OR('A créer'!D5="Oui",LEN('A créer'!D5)=0),"","Tab 4")</f>
        <v>Tab 4</v>
      </c>
      <c r="AL5" s="2" t="str">
        <f>IF(OR('A créer'!D5="Oui",LEN('A créer'!D5)=0),"","*SB")</f>
        <v>*SB</v>
      </c>
      <c r="AM5" s="2" t="str">
        <f>IF(OR('A créer'!D5="Oui",LEN('A créer'!D5)=0),"","Tab")</f>
        <v>Tab</v>
      </c>
      <c r="AN5" s="7" t="str">
        <f>IF(OR('A créer'!D5="Oui",LEN('A créer'!D5)=0),"",CONCATENATE("A",'A créer'!A5))</f>
        <v>A0449</v>
      </c>
      <c r="AO5" s="2" t="str">
        <f>IF(OR('A créer'!D5="Oui",LEN('A créer'!D5)=0),"","Tab")</f>
        <v>Tab</v>
      </c>
      <c r="AP5" s="2" t="str">
        <f>IF(OR('A créer'!D5="Oui",LEN('A créer'!D5)=0),"","Tab")</f>
        <v>Tab</v>
      </c>
      <c r="AQ5" s="2" t="str">
        <f>IF(OR('A créer'!D5="Oui",LEN('A créer'!D5)=0),"","ENT")</f>
        <v>ENT</v>
      </c>
      <c r="AR5" s="7" t="str">
        <f>IF(OR('A créer'!D5="Oui",LEN('A créer'!D5)=0),"","Non")</f>
        <v>Non</v>
      </c>
      <c r="AS5" s="2" t="str">
        <f>IF(OR('A créer'!D5="Oui",LEN('A créer'!D5)=0),"","Tab")</f>
        <v>Tab</v>
      </c>
      <c r="AT5" s="7" t="str">
        <f>IF(OR('A créer'!D5="Oui",LEN('A créer'!D5)=0),"","T")</f>
        <v>T</v>
      </c>
      <c r="AU5" s="2" t="str">
        <f>IF(OR('A créer'!D5="Oui",LEN('A créer'!D5)=0),"","Tab")</f>
        <v>Tab</v>
      </c>
      <c r="AV5" s="2" t="str">
        <f>IF(OR('A créer'!D5="Oui",LEN('A créer'!D5)=0),"","ENT")</f>
        <v>ENT</v>
      </c>
      <c r="AW5" s="2" t="str">
        <f>IF(OR('A créer'!D5="Oui",LEN('A créer'!D5)=0),"","*SAVE")</f>
        <v>*SAVE</v>
      </c>
      <c r="AX5" s="2" t="str">
        <f>IF(OR('A créer'!D5="Oui",LEN('A créer'!D5)=0),"","*UP")</f>
        <v>*UP</v>
      </c>
      <c r="AY5" s="2" t="str">
        <f>IF(OR('A créer'!D5="Oui",LEN('A créer'!D5)=0),"","*Aé")</f>
        <v>*Aé</v>
      </c>
      <c r="AZ5" s="7" t="str">
        <f>IF(OR('A créer'!D5="Oui",LEN('A créer'!D5)=0),"",'A créer'!A5)</f>
        <v>0449</v>
      </c>
      <c r="BA5" s="2" t="str">
        <f>IF(OR('A créer'!D5="Oui",LEN('A créer'!D5)=0),"","Tab")</f>
        <v>Tab</v>
      </c>
      <c r="BB5" s="2" t="str">
        <f>IF(OR('A créer'!D5="Oui",LEN('A créer'!D5)=0),"","*SAVE")</f>
        <v>*SAVE</v>
      </c>
      <c r="BC5" s="2" t="str">
        <f>IF(OR('A créer'!D5="Oui",LEN('A créer'!D5)=0),"","*ML(751,97)")</f>
        <v>*ML(751,97)</v>
      </c>
    </row>
    <row r="6" spans="1:55" x14ac:dyDescent="0.25">
      <c r="A6" s="2" t="str">
        <f>IF(OR('A créer'!D6="Oui",LEN('A créer'!D6)=0),"","*FN")</f>
        <v>*FN</v>
      </c>
      <c r="B6" s="7" t="str">
        <f>IF(OR('A créer'!D6="Oui",LEN('A créer'!D6)=0),"",'A créer'!A6)</f>
        <v>0450</v>
      </c>
      <c r="C6" s="2" t="str">
        <f>IF(OR('A créer'!D6="Oui",LEN('A créer'!D6)=0),"","Tab")</f>
        <v>Tab</v>
      </c>
      <c r="D6" s="7" t="str">
        <f>IF(OR('A créer'!D6="Oui",LEN('A créer'!D6)=0),"",'A créer'!C6)</f>
        <v>SOCIETE VALMY DEFENSE 118</v>
      </c>
      <c r="E6" s="2" t="s">
        <v>165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créer'!D6)=0),"","ENT")</f>
        <v>ENT</v>
      </c>
      <c r="I6" s="7" t="str">
        <f>IF(OR('A créer'!D6="Oui",LEN('A créer'!D6)=0),"","Oui")</f>
        <v>Oui</v>
      </c>
      <c r="J6" s="2" t="str">
        <f>IF(OR('A créer'!D6="Oui",LEN('A créer'!D6)=0),"","Tab")</f>
        <v>Tab</v>
      </c>
      <c r="K6" s="7" t="str">
        <f>IF(OR('A créer'!D6="Oui",LEN('A créer'!D6)=0),"",'A créer'!H6)</f>
        <v>DOS</v>
      </c>
      <c r="L6" s="7" t="str">
        <f>IF(OR('A créer'!D6="Oui",LEN('A créer'!D6)=0),"",IF($K6="DCW",'A créer'!G6,""))</f>
        <v/>
      </c>
      <c r="M6" s="2" t="str">
        <f>IF(OR('A créer'!D6="Oui",LEN('A créer'!D6)=0),"","Tab")</f>
        <v>Tab</v>
      </c>
      <c r="N6" s="7" t="str">
        <f>IF(OR('A créer'!D6="Oui",LEN('A créer'!D6)=0),"",IF($K6="DLS",'A créer'!G6,""))</f>
        <v/>
      </c>
      <c r="O6" s="2" t="str">
        <f>IF(OR('A créer'!D6="Oui",LEN('A créer'!D6)=0),"","Tab")</f>
        <v>Tab</v>
      </c>
      <c r="P6" s="7" t="str">
        <f>IF(OR('A créer'!D6="Oui",LEN('A créer'!D6)=0),"",IF($K6="DMS",'A créer'!G6,""))</f>
        <v/>
      </c>
      <c r="Q6" s="2" t="str">
        <f>IF(OR('A créer'!D6="Oui",LEN('A créer'!D6)=0),"","Tab")</f>
        <v>Tab</v>
      </c>
      <c r="R6" s="7" t="str">
        <f>IF(OR('A créer'!D6="Oui",LEN('A créer'!D6)=0),"",IF($K6="DRW",'A créer'!G6,""))</f>
        <v/>
      </c>
      <c r="S6" s="2" t="str">
        <f>IF(OR('A créer'!D6="Oui",LEN('A créer'!D6)=0),"","Tab")</f>
        <v>Tab</v>
      </c>
      <c r="T6" s="7" t="str">
        <f>IF(OR('A créer'!D6="Oui",LEN('A créer'!D6)=0),"",IF($K6="DSW",'A créer'!G6,""))</f>
        <v/>
      </c>
      <c r="U6" s="2" t="str">
        <f>IF(OR('A créer'!D6="Oui",LEN('A créer'!D6)=0),"","Tab")</f>
        <v>Tab</v>
      </c>
      <c r="V6" s="7" t="str">
        <f>IF(OR('A créer'!D6="Oui",LEN('A créer'!D6)=0),"",IF($K6="DEW",'A créer'!G6,""))</f>
        <v/>
      </c>
      <c r="W6" s="2" t="str">
        <f>IF(OR('A créer'!D6="Oui",LEN('A créer'!D6)=0),"","Tab")</f>
        <v>Tab</v>
      </c>
      <c r="X6" s="7" t="str">
        <f>IF(OR('A créer'!D6="Oui",LEN('A créer'!D6)=0),"",IF($K6="DNA",'A créer'!G6,""))</f>
        <v/>
      </c>
      <c r="Y6" s="2" t="str">
        <f>IF(OR('A créer'!D6="Oui",LEN('A créer'!D6)=0),"","Tab")</f>
        <v>Tab</v>
      </c>
      <c r="Z6" s="7" t="str">
        <f>IF(OR('A créer'!D6="Oui",LEN('A créer'!D6)=0),"",IF($K6="DOS",'A créer'!G6,""))</f>
        <v>YS2018</v>
      </c>
      <c r="AA6" s="2" t="str">
        <f>IF(OR('A créer'!D6="Oui",LEN('A créer'!D6)=0),"","Tab")</f>
        <v>Tab</v>
      </c>
      <c r="AB6" s="2" t="str">
        <f>IF(OR('A créer'!D6="Oui",LEN('A créer'!D6)=0),"","Tab")</f>
        <v>Tab</v>
      </c>
      <c r="AC6" s="7" t="str">
        <f>IF(OR('A créer'!D6="Oui",LEN('A créer'!D6)=0),"","OUI")</f>
        <v>OUI</v>
      </c>
      <c r="AD6" s="2" t="str">
        <f>IF(OR('A créer'!D6="Oui",LEN('A créer'!D6)=0),"","Tab")</f>
        <v>Tab</v>
      </c>
      <c r="AE6" s="2" t="str">
        <f>IF(OR('A créer'!D6="Oui",LEN('A créer'!D6)=0),"","ENT")</f>
        <v>ENT</v>
      </c>
      <c r="AF6" s="2" t="str">
        <f>IF(OR('A créer'!D6="Oui",LEN('A créer'!D6)=0),"","*SAVE")</f>
        <v>*SAVE</v>
      </c>
      <c r="AG6" s="2" t="str">
        <f>IF(OR('A créer'!D6="Oui",LEN('A créer'!D6)=0),"","*FN")</f>
        <v>*FN</v>
      </c>
      <c r="AH6" s="7" t="str">
        <f>IF(OR('A créer'!D6="Oui",LEN('A créer'!D6)=0),"",CONCATENATE("A",RIGHT('A créer'!A6,3)))</f>
        <v>A450</v>
      </c>
      <c r="AI6" s="2" t="str">
        <f>IF(OR('A créer'!D6="Oui",LEN('A créer'!D6)=0),"","Tab")</f>
        <v>Tab</v>
      </c>
      <c r="AJ6" s="7" t="str">
        <f>IF(OR('A créer'!D6="Oui",LEN('A créer'!D6)=0),"",CONCATENATE('A créer'!A6," Regroupement"))</f>
        <v>0450 Regroupement</v>
      </c>
      <c r="AK6" s="2" t="str">
        <f>IF(OR('A créer'!D6="Oui",LEN('A créer'!D6)=0),"","Tab 4")</f>
        <v>Tab 4</v>
      </c>
      <c r="AL6" s="2" t="str">
        <f>IF(OR('A créer'!D6="Oui",LEN('A créer'!D6)=0),"","*SB")</f>
        <v>*SB</v>
      </c>
      <c r="AM6" s="2" t="str">
        <f>IF(OR('A créer'!D6="Oui",LEN('A créer'!D6)=0),"","Tab")</f>
        <v>Tab</v>
      </c>
      <c r="AN6" s="7" t="str">
        <f>IF(OR('A créer'!D6="Oui",LEN('A créer'!D6)=0),"",CONCATENATE("A",'A créer'!A6))</f>
        <v>A0450</v>
      </c>
      <c r="AO6" s="2" t="str">
        <f>IF(OR('A créer'!D6="Oui",LEN('A créer'!D6)=0),"","Tab")</f>
        <v>Tab</v>
      </c>
      <c r="AP6" s="2" t="str">
        <f>IF(OR('A créer'!D6="Oui",LEN('A créer'!D6)=0),"","Tab")</f>
        <v>Tab</v>
      </c>
      <c r="AQ6" s="2" t="str">
        <f>IF(OR('A créer'!D6="Oui",LEN('A créer'!D6)=0),"","ENT")</f>
        <v>ENT</v>
      </c>
      <c r="AR6" s="7" t="str">
        <f>IF(OR('A créer'!D6="Oui",LEN('A créer'!D6)=0),"","Non")</f>
        <v>Non</v>
      </c>
      <c r="AS6" s="2" t="str">
        <f>IF(OR('A créer'!D6="Oui",LEN('A créer'!D6)=0),"","Tab")</f>
        <v>Tab</v>
      </c>
      <c r="AT6" s="7" t="str">
        <f>IF(OR('A créer'!D6="Oui",LEN('A créer'!D6)=0),"","T")</f>
        <v>T</v>
      </c>
      <c r="AU6" s="2" t="str">
        <f>IF(OR('A créer'!D6="Oui",LEN('A créer'!D6)=0),"","Tab")</f>
        <v>Tab</v>
      </c>
      <c r="AV6" s="2" t="str">
        <f>IF(OR('A créer'!D6="Oui",LEN('A créer'!D6)=0),"","ENT")</f>
        <v>ENT</v>
      </c>
      <c r="AW6" s="2" t="str">
        <f>IF(OR('A créer'!D6="Oui",LEN('A créer'!D6)=0),"","*SAVE")</f>
        <v>*SAVE</v>
      </c>
      <c r="AX6" s="2" t="str">
        <f>IF(OR('A créer'!D6="Oui",LEN('A créer'!D6)=0),"","*UP")</f>
        <v>*UP</v>
      </c>
      <c r="AY6" s="2" t="str">
        <f>IF(OR('A créer'!D6="Oui",LEN('A créer'!D6)=0),"","*Aé")</f>
        <v>*Aé</v>
      </c>
      <c r="AZ6" s="7" t="str">
        <f>IF(OR('A créer'!D6="Oui",LEN('A créer'!D6)=0),"",'A créer'!A6)</f>
        <v>0450</v>
      </c>
      <c r="BA6" s="2" t="str">
        <f>IF(OR('A créer'!D6="Oui",LEN('A créer'!D6)=0),"","Tab")</f>
        <v>Tab</v>
      </c>
      <c r="BB6" s="2" t="str">
        <f>IF(OR('A créer'!D6="Oui",LEN('A créer'!D6)=0),"","*SAVE")</f>
        <v>*SAVE</v>
      </c>
      <c r="BC6" s="2" t="str">
        <f>IF(OR('A créer'!D6="Oui",LEN('A créer'!D6)=0),"","*ML(751,97)")</f>
        <v>*ML(751,97)</v>
      </c>
    </row>
    <row r="7" spans="1:55" x14ac:dyDescent="0.25">
      <c r="A7" s="2" t="str">
        <f>IF(OR('A créer'!D7="Oui",LEN('A créer'!D7)=0),"","*FN")</f>
        <v>*FN</v>
      </c>
      <c r="B7" s="7" t="str">
        <f>IF(OR('A créer'!D7="Oui",LEN('A créer'!D7)=0),"",'A créer'!A7)</f>
        <v>0454</v>
      </c>
      <c r="C7" s="2" t="str">
        <f>IF(OR('A créer'!D7="Oui",LEN('A créer'!D7)=0),"","Tab")</f>
        <v>Tab</v>
      </c>
      <c r="D7" s="7" t="str">
        <f>IF(OR('A créer'!D7="Oui",LEN('A créer'!D7)=0),"",'A créer'!C7)</f>
        <v>SOCIETE VALMY DEFENSE 120</v>
      </c>
      <c r="E7" s="2" t="s">
        <v>165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créer'!D7)=0),"","ENT")</f>
        <v>ENT</v>
      </c>
      <c r="I7" s="7" t="str">
        <f>IF(OR('A créer'!D7="Oui",LEN('A créer'!D7)=0),"","Oui")</f>
        <v>Oui</v>
      </c>
      <c r="J7" s="2" t="str">
        <f>IF(OR('A créer'!D7="Oui",LEN('A créer'!D7)=0),"","Tab")</f>
        <v>Tab</v>
      </c>
      <c r="K7" s="7" t="str">
        <f>IF(OR('A créer'!D7="Oui",LEN('A créer'!D7)=0),"",'A créer'!H7)</f>
        <v>DOS</v>
      </c>
      <c r="L7" s="7" t="str">
        <f>IF(OR('A créer'!D7="Oui",LEN('A créer'!D7)=0),"",IF($K7="DCW",'A créer'!G7,""))</f>
        <v/>
      </c>
      <c r="M7" s="2" t="str">
        <f>IF(OR('A créer'!D7="Oui",LEN('A créer'!D7)=0),"","Tab")</f>
        <v>Tab</v>
      </c>
      <c r="N7" s="7" t="str">
        <f>IF(OR('A créer'!D7="Oui",LEN('A créer'!D7)=0),"",IF($K7="DLS",'A créer'!G7,""))</f>
        <v/>
      </c>
      <c r="O7" s="2" t="str">
        <f>IF(OR('A créer'!D7="Oui",LEN('A créer'!D7)=0),"","Tab")</f>
        <v>Tab</v>
      </c>
      <c r="P7" s="7" t="str">
        <f>IF(OR('A créer'!D7="Oui",LEN('A créer'!D7)=0),"",IF($K7="DMS",'A créer'!G7,""))</f>
        <v/>
      </c>
      <c r="Q7" s="2" t="str">
        <f>IF(OR('A créer'!D7="Oui",LEN('A créer'!D7)=0),"","Tab")</f>
        <v>Tab</v>
      </c>
      <c r="R7" s="7" t="str">
        <f>IF(OR('A créer'!D7="Oui",LEN('A créer'!D7)=0),"",IF($K7="DRW",'A créer'!G7,""))</f>
        <v/>
      </c>
      <c r="S7" s="2" t="str">
        <f>IF(OR('A créer'!D7="Oui",LEN('A créer'!D7)=0),"","Tab")</f>
        <v>Tab</v>
      </c>
      <c r="T7" s="7" t="str">
        <f>IF(OR('A créer'!D7="Oui",LEN('A créer'!D7)=0),"",IF($K7="DSW",'A créer'!G7,""))</f>
        <v/>
      </c>
      <c r="U7" s="2" t="str">
        <f>IF(OR('A créer'!D7="Oui",LEN('A créer'!D7)=0),"","Tab")</f>
        <v>Tab</v>
      </c>
      <c r="V7" s="7" t="str">
        <f>IF(OR('A créer'!D7="Oui",LEN('A créer'!D7)=0),"",IF($K7="DEW",'A créer'!G7,""))</f>
        <v/>
      </c>
      <c r="W7" s="2" t="str">
        <f>IF(OR('A créer'!D7="Oui",LEN('A créer'!D7)=0),"","Tab")</f>
        <v>Tab</v>
      </c>
      <c r="X7" s="7" t="str">
        <f>IF(OR('A créer'!D7="Oui",LEN('A créer'!D7)=0),"",IF($K7="DNA",'A créer'!G7,""))</f>
        <v/>
      </c>
      <c r="Y7" s="2" t="str">
        <f>IF(OR('A créer'!D7="Oui",LEN('A créer'!D7)=0),"","Tab")</f>
        <v>Tab</v>
      </c>
      <c r="Z7" s="7" t="str">
        <f>IF(OR('A créer'!D7="Oui",LEN('A créer'!D7)=0),"",IF($K7="DOS",'A créer'!G7,""))</f>
        <v>YS2020</v>
      </c>
      <c r="AA7" s="2" t="str">
        <f>IF(OR('A créer'!D7="Oui",LEN('A créer'!D7)=0),"","Tab")</f>
        <v>Tab</v>
      </c>
      <c r="AB7" s="2" t="str">
        <f>IF(OR('A créer'!D7="Oui",LEN('A créer'!D7)=0),"","Tab")</f>
        <v>Tab</v>
      </c>
      <c r="AC7" s="7" t="str">
        <f>IF(OR('A créer'!D7="Oui",LEN('A créer'!D7)=0),"","OUI")</f>
        <v>OUI</v>
      </c>
      <c r="AD7" s="2" t="str">
        <f>IF(OR('A créer'!D7="Oui",LEN('A créer'!D7)=0),"","Tab")</f>
        <v>Tab</v>
      </c>
      <c r="AE7" s="2" t="str">
        <f>IF(OR('A créer'!D7="Oui",LEN('A créer'!D7)=0),"","ENT")</f>
        <v>ENT</v>
      </c>
      <c r="AF7" s="2" t="str">
        <f>IF(OR('A créer'!D7="Oui",LEN('A créer'!D7)=0),"","*SAVE")</f>
        <v>*SAVE</v>
      </c>
      <c r="AG7" s="2" t="str">
        <f>IF(OR('A créer'!D7="Oui",LEN('A créer'!D7)=0),"","*FN")</f>
        <v>*FN</v>
      </c>
      <c r="AH7" s="7" t="str">
        <f>IF(OR('A créer'!D7="Oui",LEN('A créer'!D7)=0),"",CONCATENATE("A",RIGHT('A créer'!A7,3)))</f>
        <v>A454</v>
      </c>
      <c r="AI7" s="2" t="str">
        <f>IF(OR('A créer'!D7="Oui",LEN('A créer'!D7)=0),"","Tab")</f>
        <v>Tab</v>
      </c>
      <c r="AJ7" s="7" t="str">
        <f>IF(OR('A créer'!D7="Oui",LEN('A créer'!D7)=0),"",CONCATENATE('A créer'!A7," Regroupement"))</f>
        <v>0454 Regroupement</v>
      </c>
      <c r="AK7" s="2" t="str">
        <f>IF(OR('A créer'!D7="Oui",LEN('A créer'!D7)=0),"","Tab 4")</f>
        <v>Tab 4</v>
      </c>
      <c r="AL7" s="2" t="str">
        <f>IF(OR('A créer'!D7="Oui",LEN('A créer'!D7)=0),"","*SB")</f>
        <v>*SB</v>
      </c>
      <c r="AM7" s="2" t="str">
        <f>IF(OR('A créer'!D7="Oui",LEN('A créer'!D7)=0),"","Tab")</f>
        <v>Tab</v>
      </c>
      <c r="AN7" s="7" t="str">
        <f>IF(OR('A créer'!D7="Oui",LEN('A créer'!D7)=0),"",CONCATENATE("A",'A créer'!A7))</f>
        <v>A0454</v>
      </c>
      <c r="AO7" s="2" t="str">
        <f>IF(OR('A créer'!D7="Oui",LEN('A créer'!D7)=0),"","Tab")</f>
        <v>Tab</v>
      </c>
      <c r="AP7" s="2" t="str">
        <f>IF(OR('A créer'!D7="Oui",LEN('A créer'!D7)=0),"","Tab")</f>
        <v>Tab</v>
      </c>
      <c r="AQ7" s="2" t="str">
        <f>IF(OR('A créer'!D7="Oui",LEN('A créer'!D7)=0),"","ENT")</f>
        <v>ENT</v>
      </c>
      <c r="AR7" s="7" t="str">
        <f>IF(OR('A créer'!D7="Oui",LEN('A créer'!D7)=0),"","Non")</f>
        <v>Non</v>
      </c>
      <c r="AS7" s="2" t="str">
        <f>IF(OR('A créer'!D7="Oui",LEN('A créer'!D7)=0),"","Tab")</f>
        <v>Tab</v>
      </c>
      <c r="AT7" s="7" t="str">
        <f>IF(OR('A créer'!D7="Oui",LEN('A créer'!D7)=0),"","T")</f>
        <v>T</v>
      </c>
      <c r="AU7" s="2" t="str">
        <f>IF(OR('A créer'!D7="Oui",LEN('A créer'!D7)=0),"","Tab")</f>
        <v>Tab</v>
      </c>
      <c r="AV7" s="2" t="str">
        <f>IF(OR('A créer'!D7="Oui",LEN('A créer'!D7)=0),"","ENT")</f>
        <v>ENT</v>
      </c>
      <c r="AW7" s="2" t="str">
        <f>IF(OR('A créer'!D7="Oui",LEN('A créer'!D7)=0),"","*SAVE")</f>
        <v>*SAVE</v>
      </c>
      <c r="AX7" s="2" t="str">
        <f>IF(OR('A créer'!D7="Oui",LEN('A créer'!D7)=0),"","*UP")</f>
        <v>*UP</v>
      </c>
      <c r="AY7" s="2" t="str">
        <f>IF(OR('A créer'!D7="Oui",LEN('A créer'!D7)=0),"","*Aé")</f>
        <v>*Aé</v>
      </c>
      <c r="AZ7" s="7" t="str">
        <f>IF(OR('A créer'!D7="Oui",LEN('A créer'!D7)=0),"",'A créer'!A7)</f>
        <v>0454</v>
      </c>
      <c r="BA7" s="2" t="str">
        <f>IF(OR('A créer'!D7="Oui",LEN('A créer'!D7)=0),"","Tab")</f>
        <v>Tab</v>
      </c>
      <c r="BB7" s="2" t="str">
        <f>IF(OR('A créer'!D7="Oui",LEN('A créer'!D7)=0),"","*SAVE")</f>
        <v>*SAVE</v>
      </c>
      <c r="BC7" s="2" t="str">
        <f>IF(OR('A créer'!D7="Oui",LEN('A créer'!D7)=0),"","*ML(751,97)")</f>
        <v>*ML(751,97)</v>
      </c>
    </row>
    <row r="8" spans="1:55" x14ac:dyDescent="0.25">
      <c r="A8" s="2" t="str">
        <f>IF(OR('A créer'!D8="Oui",LEN('A créer'!D8)=0),"","*FN")</f>
        <v>*FN</v>
      </c>
      <c r="B8" s="7" t="str">
        <f>IF(OR('A créer'!D8="Oui",LEN('A créer'!D8)=0),"",'A créer'!A8)</f>
        <v>0455</v>
      </c>
      <c r="C8" s="2" t="str">
        <f>IF(OR('A créer'!D8="Oui",LEN('A créer'!D8)=0),"","Tab")</f>
        <v>Tab</v>
      </c>
      <c r="D8" s="7" t="str">
        <f>IF(OR('A créer'!D8="Oui",LEN('A créer'!D8)=0),"",'A créer'!C8)</f>
        <v>SOCIETE VALMY DEFENSE 121</v>
      </c>
      <c r="E8" s="2" t="s">
        <v>165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créer'!D8)=0),"","ENT")</f>
        <v>ENT</v>
      </c>
      <c r="I8" s="7" t="str">
        <f>IF(OR('A créer'!D8="Oui",LEN('A créer'!D8)=0),"","Oui")</f>
        <v>Oui</v>
      </c>
      <c r="J8" s="2" t="str">
        <f>IF(OR('A créer'!D8="Oui",LEN('A créer'!D8)=0),"","Tab")</f>
        <v>Tab</v>
      </c>
      <c r="K8" s="7" t="str">
        <f>IF(OR('A créer'!D8="Oui",LEN('A créer'!D8)=0),"",'A créer'!H8)</f>
        <v>DOS</v>
      </c>
      <c r="L8" s="7" t="str">
        <f>IF(OR('A créer'!D8="Oui",LEN('A créer'!D8)=0),"",IF($K8="DCW",'A créer'!G8,""))</f>
        <v/>
      </c>
      <c r="M8" s="2" t="str">
        <f>IF(OR('A créer'!D8="Oui",LEN('A créer'!D8)=0),"","Tab")</f>
        <v>Tab</v>
      </c>
      <c r="N8" s="7" t="str">
        <f>IF(OR('A créer'!D8="Oui",LEN('A créer'!D8)=0),"",IF($K8="DLS",'A créer'!G8,""))</f>
        <v/>
      </c>
      <c r="O8" s="2" t="str">
        <f>IF(OR('A créer'!D8="Oui",LEN('A créer'!D8)=0),"","Tab")</f>
        <v>Tab</v>
      </c>
      <c r="P8" s="7" t="str">
        <f>IF(OR('A créer'!D8="Oui",LEN('A créer'!D8)=0),"",IF($K8="DMS",'A créer'!G8,""))</f>
        <v/>
      </c>
      <c r="Q8" s="2" t="str">
        <f>IF(OR('A créer'!D8="Oui",LEN('A créer'!D8)=0),"","Tab")</f>
        <v>Tab</v>
      </c>
      <c r="R8" s="7" t="str">
        <f>IF(OR('A créer'!D8="Oui",LEN('A créer'!D8)=0),"",IF($K8="DRW",'A créer'!G8,""))</f>
        <v/>
      </c>
      <c r="S8" s="2" t="str">
        <f>IF(OR('A créer'!D8="Oui",LEN('A créer'!D8)=0),"","Tab")</f>
        <v>Tab</v>
      </c>
      <c r="T8" s="7" t="str">
        <f>IF(OR('A créer'!D8="Oui",LEN('A créer'!D8)=0),"",IF($K8="DSW",'A créer'!G8,""))</f>
        <v/>
      </c>
      <c r="U8" s="2" t="str">
        <f>IF(OR('A créer'!D8="Oui",LEN('A créer'!D8)=0),"","Tab")</f>
        <v>Tab</v>
      </c>
      <c r="V8" s="7" t="str">
        <f>IF(OR('A créer'!D8="Oui",LEN('A créer'!D8)=0),"",IF($K8="DEW",'A créer'!G8,""))</f>
        <v/>
      </c>
      <c r="W8" s="2" t="str">
        <f>IF(OR('A créer'!D8="Oui",LEN('A créer'!D8)=0),"","Tab")</f>
        <v>Tab</v>
      </c>
      <c r="X8" s="7" t="str">
        <f>IF(OR('A créer'!D8="Oui",LEN('A créer'!D8)=0),"",IF($K8="DNA",'A créer'!G8,""))</f>
        <v/>
      </c>
      <c r="Y8" s="2" t="str">
        <f>IF(OR('A créer'!D8="Oui",LEN('A créer'!D8)=0),"","Tab")</f>
        <v>Tab</v>
      </c>
      <c r="Z8" s="7" t="str">
        <f>IF(OR('A créer'!D8="Oui",LEN('A créer'!D8)=0),"",IF($K8="DOS",'A créer'!G8,""))</f>
        <v>YS2021</v>
      </c>
      <c r="AA8" s="2" t="str">
        <f>IF(OR('A créer'!D8="Oui",LEN('A créer'!D8)=0),"","Tab")</f>
        <v>Tab</v>
      </c>
      <c r="AB8" s="2" t="str">
        <f>IF(OR('A créer'!D8="Oui",LEN('A créer'!D8)=0),"","Tab")</f>
        <v>Tab</v>
      </c>
      <c r="AC8" s="7" t="str">
        <f>IF(OR('A créer'!D8="Oui",LEN('A créer'!D8)=0),"","OUI")</f>
        <v>OUI</v>
      </c>
      <c r="AD8" s="2" t="str">
        <f>IF(OR('A créer'!D8="Oui",LEN('A créer'!D8)=0),"","Tab")</f>
        <v>Tab</v>
      </c>
      <c r="AE8" s="2" t="str">
        <f>IF(OR('A créer'!D8="Oui",LEN('A créer'!D8)=0),"","ENT")</f>
        <v>ENT</v>
      </c>
      <c r="AF8" s="2" t="str">
        <f>IF(OR('A créer'!D8="Oui",LEN('A créer'!D8)=0),"","*SAVE")</f>
        <v>*SAVE</v>
      </c>
      <c r="AG8" s="2" t="str">
        <f>IF(OR('A créer'!D8="Oui",LEN('A créer'!D8)=0),"","*FN")</f>
        <v>*FN</v>
      </c>
      <c r="AH8" s="7" t="str">
        <f>IF(OR('A créer'!D8="Oui",LEN('A créer'!D8)=0),"",CONCATENATE("A",RIGHT('A créer'!A8,3)))</f>
        <v>A455</v>
      </c>
      <c r="AI8" s="2" t="str">
        <f>IF(OR('A créer'!D8="Oui",LEN('A créer'!D8)=0),"","Tab")</f>
        <v>Tab</v>
      </c>
      <c r="AJ8" s="7" t="str">
        <f>IF(OR('A créer'!D8="Oui",LEN('A créer'!D8)=0),"",CONCATENATE('A créer'!A8," Regroupement"))</f>
        <v>0455 Regroupement</v>
      </c>
      <c r="AK8" s="2" t="str">
        <f>IF(OR('A créer'!D8="Oui",LEN('A créer'!D8)=0),"","Tab 4")</f>
        <v>Tab 4</v>
      </c>
      <c r="AL8" s="2" t="str">
        <f>IF(OR('A créer'!D8="Oui",LEN('A créer'!D8)=0),"","*SB")</f>
        <v>*SB</v>
      </c>
      <c r="AM8" s="2" t="str">
        <f>IF(OR('A créer'!D8="Oui",LEN('A créer'!D8)=0),"","Tab")</f>
        <v>Tab</v>
      </c>
      <c r="AN8" s="7" t="str">
        <f>IF(OR('A créer'!D8="Oui",LEN('A créer'!D8)=0),"",CONCATENATE("A",'A créer'!A8))</f>
        <v>A0455</v>
      </c>
      <c r="AO8" s="2" t="str">
        <f>IF(OR('A créer'!D8="Oui",LEN('A créer'!D8)=0),"","Tab")</f>
        <v>Tab</v>
      </c>
      <c r="AP8" s="2" t="str">
        <f>IF(OR('A créer'!D8="Oui",LEN('A créer'!D8)=0),"","Tab")</f>
        <v>Tab</v>
      </c>
      <c r="AQ8" s="2" t="str">
        <f>IF(OR('A créer'!D8="Oui",LEN('A créer'!D8)=0),"","ENT")</f>
        <v>ENT</v>
      </c>
      <c r="AR8" s="7" t="str">
        <f>IF(OR('A créer'!D8="Oui",LEN('A créer'!D8)=0),"","Non")</f>
        <v>Non</v>
      </c>
      <c r="AS8" s="2" t="str">
        <f>IF(OR('A créer'!D8="Oui",LEN('A créer'!D8)=0),"","Tab")</f>
        <v>Tab</v>
      </c>
      <c r="AT8" s="7" t="str">
        <f>IF(OR('A créer'!D8="Oui",LEN('A créer'!D8)=0),"","T")</f>
        <v>T</v>
      </c>
      <c r="AU8" s="2" t="str">
        <f>IF(OR('A créer'!D8="Oui",LEN('A créer'!D8)=0),"","Tab")</f>
        <v>Tab</v>
      </c>
      <c r="AV8" s="2" t="str">
        <f>IF(OR('A créer'!D8="Oui",LEN('A créer'!D8)=0),"","ENT")</f>
        <v>ENT</v>
      </c>
      <c r="AW8" s="2" t="str">
        <f>IF(OR('A créer'!D8="Oui",LEN('A créer'!D8)=0),"","*SAVE")</f>
        <v>*SAVE</v>
      </c>
      <c r="AX8" s="2" t="str">
        <f>IF(OR('A créer'!D8="Oui",LEN('A créer'!D8)=0),"","*UP")</f>
        <v>*UP</v>
      </c>
      <c r="AY8" s="2" t="str">
        <f>IF(OR('A créer'!D8="Oui",LEN('A créer'!D8)=0),"","*Aé")</f>
        <v>*Aé</v>
      </c>
      <c r="AZ8" s="7" t="str">
        <f>IF(OR('A créer'!D8="Oui",LEN('A créer'!D8)=0),"",'A créer'!A8)</f>
        <v>0455</v>
      </c>
      <c r="BA8" s="2" t="str">
        <f>IF(OR('A créer'!D8="Oui",LEN('A créer'!D8)=0),"","Tab")</f>
        <v>Tab</v>
      </c>
      <c r="BB8" s="2" t="str">
        <f>IF(OR('A créer'!D8="Oui",LEN('A créer'!D8)=0),"","*SAVE")</f>
        <v>*SAVE</v>
      </c>
      <c r="BC8" s="2" t="str">
        <f>IF(OR('A créer'!D8="Oui",LEN('A créer'!D8)=0),"","*ML(751,97)")</f>
        <v>*ML(751,97)</v>
      </c>
    </row>
    <row r="9" spans="1:55" x14ac:dyDescent="0.25">
      <c r="A9" s="2" t="str">
        <f>IF(OR('A créer'!D9="Oui",LEN('A créer'!D9)=0),"","*FN")</f>
        <v>*FN</v>
      </c>
      <c r="B9" s="7" t="str">
        <f>IF(OR('A créer'!D9="Oui",LEN('A créer'!D9)=0),"",'A créer'!A9)</f>
        <v>0456</v>
      </c>
      <c r="C9" s="2" t="str">
        <f>IF(OR('A créer'!D9="Oui",LEN('A créer'!D9)=0),"","Tab")</f>
        <v>Tab</v>
      </c>
      <c r="D9" s="7" t="str">
        <f>IF(OR('A créer'!D9="Oui",LEN('A créer'!D9)=0),"",'A créer'!C9)</f>
        <v>SOCIETE VALMY DEFENSE 122</v>
      </c>
      <c r="E9" s="2" t="s">
        <v>165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créer'!D9)=0),"","ENT")</f>
        <v>ENT</v>
      </c>
      <c r="I9" s="7" t="str">
        <f>IF(OR('A créer'!D9="Oui",LEN('A créer'!D9)=0),"","Oui")</f>
        <v>Oui</v>
      </c>
      <c r="J9" s="2" t="str">
        <f>IF(OR('A créer'!D9="Oui",LEN('A créer'!D9)=0),"","Tab")</f>
        <v>Tab</v>
      </c>
      <c r="K9" s="7" t="str">
        <f>IF(OR('A créer'!D9="Oui",LEN('A créer'!D9)=0),"",'A créer'!H9)</f>
        <v>DOS</v>
      </c>
      <c r="L9" s="7" t="str">
        <f>IF(OR('A créer'!D9="Oui",LEN('A créer'!D9)=0),"",IF($K9="DCW",'A créer'!G9,""))</f>
        <v/>
      </c>
      <c r="M9" s="2" t="str">
        <f>IF(OR('A créer'!D9="Oui",LEN('A créer'!D9)=0),"","Tab")</f>
        <v>Tab</v>
      </c>
      <c r="N9" s="7" t="str">
        <f>IF(OR('A créer'!D9="Oui",LEN('A créer'!D9)=0),"",IF($K9="DLS",'A créer'!G9,""))</f>
        <v/>
      </c>
      <c r="O9" s="2" t="str">
        <f>IF(OR('A créer'!D9="Oui",LEN('A créer'!D9)=0),"","Tab")</f>
        <v>Tab</v>
      </c>
      <c r="P9" s="7" t="str">
        <f>IF(OR('A créer'!D9="Oui",LEN('A créer'!D9)=0),"",IF($K9="DMS",'A créer'!G9,""))</f>
        <v/>
      </c>
      <c r="Q9" s="2" t="str">
        <f>IF(OR('A créer'!D9="Oui",LEN('A créer'!D9)=0),"","Tab")</f>
        <v>Tab</v>
      </c>
      <c r="R9" s="7" t="str">
        <f>IF(OR('A créer'!D9="Oui",LEN('A créer'!D9)=0),"",IF($K9="DRW",'A créer'!G9,""))</f>
        <v/>
      </c>
      <c r="S9" s="2" t="str">
        <f>IF(OR('A créer'!D9="Oui",LEN('A créer'!D9)=0),"","Tab")</f>
        <v>Tab</v>
      </c>
      <c r="T9" s="7" t="str">
        <f>IF(OR('A créer'!D9="Oui",LEN('A créer'!D9)=0),"",IF($K9="DSW",'A créer'!G9,""))</f>
        <v/>
      </c>
      <c r="U9" s="2" t="str">
        <f>IF(OR('A créer'!D9="Oui",LEN('A créer'!D9)=0),"","Tab")</f>
        <v>Tab</v>
      </c>
      <c r="V9" s="7" t="str">
        <f>IF(OR('A créer'!D9="Oui",LEN('A créer'!D9)=0),"",IF($K9="DEW",'A créer'!G9,""))</f>
        <v/>
      </c>
      <c r="W9" s="2" t="str">
        <f>IF(OR('A créer'!D9="Oui",LEN('A créer'!D9)=0),"","Tab")</f>
        <v>Tab</v>
      </c>
      <c r="X9" s="7" t="str">
        <f>IF(OR('A créer'!D9="Oui",LEN('A créer'!D9)=0),"",IF($K9="DNA",'A créer'!G9,""))</f>
        <v/>
      </c>
      <c r="Y9" s="2" t="str">
        <f>IF(OR('A créer'!D9="Oui",LEN('A créer'!D9)=0),"","Tab")</f>
        <v>Tab</v>
      </c>
      <c r="Z9" s="7" t="str">
        <f>IF(OR('A créer'!D9="Oui",LEN('A créer'!D9)=0),"",IF($K9="DOS",'A créer'!G9,""))</f>
        <v>YS2022</v>
      </c>
      <c r="AA9" s="2" t="str">
        <f>IF(OR('A créer'!D9="Oui",LEN('A créer'!D9)=0),"","Tab")</f>
        <v>Tab</v>
      </c>
      <c r="AB9" s="2" t="str">
        <f>IF(OR('A créer'!D9="Oui",LEN('A créer'!D9)=0),"","Tab")</f>
        <v>Tab</v>
      </c>
      <c r="AC9" s="7" t="str">
        <f>IF(OR('A créer'!D9="Oui",LEN('A créer'!D9)=0),"","OUI")</f>
        <v>OUI</v>
      </c>
      <c r="AD9" s="2" t="str">
        <f>IF(OR('A créer'!D9="Oui",LEN('A créer'!D9)=0),"","Tab")</f>
        <v>Tab</v>
      </c>
      <c r="AE9" s="2" t="str">
        <f>IF(OR('A créer'!D9="Oui",LEN('A créer'!D9)=0),"","ENT")</f>
        <v>ENT</v>
      </c>
      <c r="AF9" s="2" t="str">
        <f>IF(OR('A créer'!D9="Oui",LEN('A créer'!D9)=0),"","*SAVE")</f>
        <v>*SAVE</v>
      </c>
      <c r="AG9" s="2" t="str">
        <f>IF(OR('A créer'!D9="Oui",LEN('A créer'!D9)=0),"","*FN")</f>
        <v>*FN</v>
      </c>
      <c r="AH9" s="7" t="str">
        <f>IF(OR('A créer'!D9="Oui",LEN('A créer'!D9)=0),"",CONCATENATE("A",RIGHT('A créer'!A9,3)))</f>
        <v>A456</v>
      </c>
      <c r="AI9" s="2" t="str">
        <f>IF(OR('A créer'!D9="Oui",LEN('A créer'!D9)=0),"","Tab")</f>
        <v>Tab</v>
      </c>
      <c r="AJ9" s="7" t="str">
        <f>IF(OR('A créer'!D9="Oui",LEN('A créer'!D9)=0),"",CONCATENATE('A créer'!A9," Regroupement"))</f>
        <v>0456 Regroupement</v>
      </c>
      <c r="AK9" s="2" t="str">
        <f>IF(OR('A créer'!D9="Oui",LEN('A créer'!D9)=0),"","Tab 4")</f>
        <v>Tab 4</v>
      </c>
      <c r="AL9" s="2" t="str">
        <f>IF(OR('A créer'!D9="Oui",LEN('A créer'!D9)=0),"","*SB")</f>
        <v>*SB</v>
      </c>
      <c r="AM9" s="2" t="str">
        <f>IF(OR('A créer'!D9="Oui",LEN('A créer'!D9)=0),"","Tab")</f>
        <v>Tab</v>
      </c>
      <c r="AN9" s="7" t="str">
        <f>IF(OR('A créer'!D9="Oui",LEN('A créer'!D9)=0),"",CONCATENATE("A",'A créer'!A9))</f>
        <v>A0456</v>
      </c>
      <c r="AO9" s="2" t="str">
        <f>IF(OR('A créer'!D9="Oui",LEN('A créer'!D9)=0),"","Tab")</f>
        <v>Tab</v>
      </c>
      <c r="AP9" s="2" t="str">
        <f>IF(OR('A créer'!D9="Oui",LEN('A créer'!D9)=0),"","Tab")</f>
        <v>Tab</v>
      </c>
      <c r="AQ9" s="2" t="str">
        <f>IF(OR('A créer'!D9="Oui",LEN('A créer'!D9)=0),"","ENT")</f>
        <v>ENT</v>
      </c>
      <c r="AR9" s="7" t="str">
        <f>IF(OR('A créer'!D9="Oui",LEN('A créer'!D9)=0),"","Non")</f>
        <v>Non</v>
      </c>
      <c r="AS9" s="2" t="str">
        <f>IF(OR('A créer'!D9="Oui",LEN('A créer'!D9)=0),"","Tab")</f>
        <v>Tab</v>
      </c>
      <c r="AT9" s="7" t="str">
        <f>IF(OR('A créer'!D9="Oui",LEN('A créer'!D9)=0),"","T")</f>
        <v>T</v>
      </c>
      <c r="AU9" s="2" t="str">
        <f>IF(OR('A créer'!D9="Oui",LEN('A créer'!D9)=0),"","Tab")</f>
        <v>Tab</v>
      </c>
      <c r="AV9" s="2" t="str">
        <f>IF(OR('A créer'!D9="Oui",LEN('A créer'!D9)=0),"","ENT")</f>
        <v>ENT</v>
      </c>
      <c r="AW9" s="2" t="str">
        <f>IF(OR('A créer'!D9="Oui",LEN('A créer'!D9)=0),"","*SAVE")</f>
        <v>*SAVE</v>
      </c>
      <c r="AX9" s="2" t="str">
        <f>IF(OR('A créer'!D9="Oui",LEN('A créer'!D9)=0),"","*UP")</f>
        <v>*UP</v>
      </c>
      <c r="AY9" s="2" t="str">
        <f>IF(OR('A créer'!D9="Oui",LEN('A créer'!D9)=0),"","*Aé")</f>
        <v>*Aé</v>
      </c>
      <c r="AZ9" s="7" t="str">
        <f>IF(OR('A créer'!D9="Oui",LEN('A créer'!D9)=0),"",'A créer'!A9)</f>
        <v>0456</v>
      </c>
      <c r="BA9" s="2" t="str">
        <f>IF(OR('A créer'!D9="Oui",LEN('A créer'!D9)=0),"","Tab")</f>
        <v>Tab</v>
      </c>
      <c r="BB9" s="2" t="str">
        <f>IF(OR('A créer'!D9="Oui",LEN('A créer'!D9)=0),"","*SAVE")</f>
        <v>*SAVE</v>
      </c>
      <c r="BC9" s="2" t="str">
        <f>IF(OR('A créer'!D9="Oui",LEN('A créer'!D9)=0),"","*ML(751,97)")</f>
        <v>*ML(751,97)</v>
      </c>
    </row>
    <row r="10" spans="1:55" x14ac:dyDescent="0.25">
      <c r="A10" s="2" t="str">
        <f>IF(OR('A créer'!D10="Oui",LEN('A créer'!D10)=0),"","*FN")</f>
        <v>*FN</v>
      </c>
      <c r="B10" s="7" t="str">
        <f>IF(OR('A créer'!D10="Oui",LEN('A créer'!D10)=0),"",'A créer'!A10)</f>
        <v>0453</v>
      </c>
      <c r="C10" s="2" t="str">
        <f>IF(OR('A créer'!D10="Oui",LEN('A créer'!D10)=0),"","Tab")</f>
        <v>Tab</v>
      </c>
      <c r="D10" s="7" t="str">
        <f>IF(OR('A créer'!D10="Oui",LEN('A créer'!D10)=0),"",'A créer'!C10)</f>
        <v>SOCIETE VALMY DEFENSE 119</v>
      </c>
      <c r="E10" s="2" t="s">
        <v>165</v>
      </c>
      <c r="F10" s="2" t="str">
        <f>IF(OR('A créer'!D10="Oui",LEN('A créer'!D10)=0),"","Tab")</f>
        <v>Tab</v>
      </c>
      <c r="G10" s="2" t="str">
        <f>IF(OR('A créer'!D10="Oui",LEN('A créer'!D10)=0),"","Tab")</f>
        <v>Tab</v>
      </c>
      <c r="H10" s="2" t="str">
        <f>IF(OR('A créer'!D10="Oui",LEN('A créer'!D10)=0),"","ENT")</f>
        <v>ENT</v>
      </c>
      <c r="I10" s="7" t="str">
        <f>IF(OR('A créer'!D10="Oui",LEN('A créer'!D10)=0),"","Oui")</f>
        <v>Oui</v>
      </c>
      <c r="J10" s="2" t="str">
        <f>IF(OR('A créer'!D10="Oui",LEN('A créer'!D10)=0),"","Tab")</f>
        <v>Tab</v>
      </c>
      <c r="K10" s="7" t="str">
        <f>IF(OR('A créer'!D10="Oui",LEN('A créer'!D10)=0),"",'A créer'!H10)</f>
        <v>DRW</v>
      </c>
      <c r="L10" s="7" t="str">
        <f>IF(OR('A créer'!D10="Oui",LEN('A créer'!D10)=0),"",IF($K10="DCW",'A créer'!G10,""))</f>
        <v/>
      </c>
      <c r="M10" s="2" t="str">
        <f>IF(OR('A créer'!D10="Oui",LEN('A créer'!D10)=0),"","Tab")</f>
        <v>Tab</v>
      </c>
      <c r="N10" s="7" t="str">
        <f>IF(OR('A créer'!D10="Oui",LEN('A créer'!D10)=0),"",IF($K10="DLS",'A créer'!G10,""))</f>
        <v/>
      </c>
      <c r="O10" s="2" t="str">
        <f>IF(OR('A créer'!D10="Oui",LEN('A créer'!D10)=0),"","Tab")</f>
        <v>Tab</v>
      </c>
      <c r="P10" s="7" t="str">
        <f>IF(OR('A créer'!D10="Oui",LEN('A créer'!D10)=0),"",IF($K10="DMS",'A créer'!G10,""))</f>
        <v/>
      </c>
      <c r="Q10" s="2" t="str">
        <f>IF(OR('A créer'!D10="Oui",LEN('A créer'!D10)=0),"","Tab")</f>
        <v>Tab</v>
      </c>
      <c r="R10" s="7" t="str">
        <f>IF(OR('A créer'!D10="Oui",LEN('A créer'!D10)=0),"",IF($K10="DRW",'A créer'!G10,""))</f>
        <v>S2019</v>
      </c>
      <c r="S10" s="2" t="str">
        <f>IF(OR('A créer'!D10="Oui",LEN('A créer'!D10)=0),"","Tab")</f>
        <v>Tab</v>
      </c>
      <c r="T10" s="7" t="str">
        <f>IF(OR('A créer'!D10="Oui",LEN('A créer'!D10)=0),"",IF($K10="DSW",'A créer'!G10,""))</f>
        <v/>
      </c>
      <c r="U10" s="2" t="str">
        <f>IF(OR('A créer'!D10="Oui",LEN('A créer'!D10)=0),"","Tab")</f>
        <v>Tab</v>
      </c>
      <c r="V10" s="7" t="str">
        <f>IF(OR('A créer'!D10="Oui",LEN('A créer'!D10)=0),"",IF($K10="DEW",'A créer'!G10,""))</f>
        <v/>
      </c>
      <c r="W10" s="2" t="str">
        <f>IF(OR('A créer'!D10="Oui",LEN('A créer'!D10)=0),"","Tab")</f>
        <v>Tab</v>
      </c>
      <c r="X10" s="7" t="str">
        <f>IF(OR('A créer'!D10="Oui",LEN('A créer'!D10)=0),"",IF($K10="DNA",'A créer'!G10,""))</f>
        <v/>
      </c>
      <c r="Y10" s="2" t="str">
        <f>IF(OR('A créer'!D10="Oui",LEN('A créer'!D10)=0),"","Tab")</f>
        <v>Tab</v>
      </c>
      <c r="Z10" s="7" t="str">
        <f>IF(OR('A créer'!D10="Oui",LEN('A créer'!D10)=0),"",IF($K10="DOS",'A créer'!G10,""))</f>
        <v/>
      </c>
      <c r="AA10" s="2" t="str">
        <f>IF(OR('A créer'!D10="Oui",LEN('A créer'!D10)=0),"","Tab")</f>
        <v>Tab</v>
      </c>
      <c r="AB10" s="2" t="str">
        <f>IF(OR('A créer'!D10="Oui",LEN('A créer'!D10)=0),"","Tab")</f>
        <v>Tab</v>
      </c>
      <c r="AC10" s="7" t="str">
        <f>IF(OR('A créer'!D10="Oui",LEN('A créer'!D10)=0),"","OUI")</f>
        <v>OUI</v>
      </c>
      <c r="AD10" s="2" t="str">
        <f>IF(OR('A créer'!D10="Oui",LEN('A créer'!D10)=0),"","Tab")</f>
        <v>Tab</v>
      </c>
      <c r="AE10" s="2" t="str">
        <f>IF(OR('A créer'!D10="Oui",LEN('A créer'!D10)=0),"","ENT")</f>
        <v>ENT</v>
      </c>
      <c r="AF10" s="2" t="str">
        <f>IF(OR('A créer'!D10="Oui",LEN('A créer'!D10)=0),"","*SAVE")</f>
        <v>*SAVE</v>
      </c>
      <c r="AG10" s="2" t="str">
        <f>IF(OR('A créer'!D10="Oui",LEN('A créer'!D10)=0),"","*FN")</f>
        <v>*FN</v>
      </c>
      <c r="AH10" s="7" t="str">
        <f>IF(OR('A créer'!D10="Oui",LEN('A créer'!D10)=0),"",CONCATENATE("A",RIGHT('A créer'!A10,3)))</f>
        <v>A453</v>
      </c>
      <c r="AI10" s="2" t="str">
        <f>IF(OR('A créer'!D10="Oui",LEN('A créer'!D10)=0),"","Tab")</f>
        <v>Tab</v>
      </c>
      <c r="AJ10" s="7" t="str">
        <f>IF(OR('A créer'!D10="Oui",LEN('A créer'!D10)=0),"",CONCATENATE('A créer'!A10," Regroupement"))</f>
        <v>0453 Regroupement</v>
      </c>
      <c r="AK10" s="2" t="str">
        <f>IF(OR('A créer'!D10="Oui",LEN('A créer'!D10)=0),"","Tab 4")</f>
        <v>Tab 4</v>
      </c>
      <c r="AL10" s="2" t="str">
        <f>IF(OR('A créer'!D10="Oui",LEN('A créer'!D10)=0),"","*SB")</f>
        <v>*SB</v>
      </c>
      <c r="AM10" s="2" t="str">
        <f>IF(OR('A créer'!D10="Oui",LEN('A créer'!D10)=0),"","Tab")</f>
        <v>Tab</v>
      </c>
      <c r="AN10" s="7" t="str">
        <f>IF(OR('A créer'!D10="Oui",LEN('A créer'!D10)=0),"",CONCATENATE("A",'A créer'!A10))</f>
        <v>A0453</v>
      </c>
      <c r="AO10" s="2" t="str">
        <f>IF(OR('A créer'!D10="Oui",LEN('A créer'!D10)=0),"","Tab")</f>
        <v>Tab</v>
      </c>
      <c r="AP10" s="2" t="str">
        <f>IF(OR('A créer'!D10="Oui",LEN('A créer'!D10)=0),"","Tab")</f>
        <v>Tab</v>
      </c>
      <c r="AQ10" s="2" t="str">
        <f>IF(OR('A créer'!D10="Oui",LEN('A créer'!D10)=0),"","ENT")</f>
        <v>ENT</v>
      </c>
      <c r="AR10" s="7" t="str">
        <f>IF(OR('A créer'!D10="Oui",LEN('A créer'!D10)=0),"","Non")</f>
        <v>Non</v>
      </c>
      <c r="AS10" s="2" t="str">
        <f>IF(OR('A créer'!D10="Oui",LEN('A créer'!D10)=0),"","Tab")</f>
        <v>Tab</v>
      </c>
      <c r="AT10" s="7" t="str">
        <f>IF(OR('A créer'!D10="Oui",LEN('A créer'!D10)=0),"","T")</f>
        <v>T</v>
      </c>
      <c r="AU10" s="2" t="str">
        <f>IF(OR('A créer'!D10="Oui",LEN('A créer'!D10)=0),"","Tab")</f>
        <v>Tab</v>
      </c>
      <c r="AV10" s="2" t="str">
        <f>IF(OR('A créer'!D10="Oui",LEN('A créer'!D10)=0),"","ENT")</f>
        <v>ENT</v>
      </c>
      <c r="AW10" s="2" t="str">
        <f>IF(OR('A créer'!D10="Oui",LEN('A créer'!D10)=0),"","*SAVE")</f>
        <v>*SAVE</v>
      </c>
      <c r="AX10" s="2" t="str">
        <f>IF(OR('A créer'!D10="Oui",LEN('A créer'!D10)=0),"","*UP")</f>
        <v>*UP</v>
      </c>
      <c r="AY10" s="2" t="str">
        <f>IF(OR('A créer'!D10="Oui",LEN('A créer'!D10)=0),"","*Aé")</f>
        <v>*Aé</v>
      </c>
      <c r="AZ10" s="7" t="str">
        <f>IF(OR('A créer'!D10="Oui",LEN('A créer'!D10)=0),"",'A créer'!A10)</f>
        <v>0453</v>
      </c>
      <c r="BA10" s="2" t="str">
        <f>IF(OR('A créer'!D10="Oui",LEN('A créer'!D10)=0),"","Tab")</f>
        <v>Tab</v>
      </c>
      <c r="BB10" s="2" t="str">
        <f>IF(OR('A créer'!D10="Oui",LEN('A créer'!D10)=0),"","*SAVE")</f>
        <v>*SAVE</v>
      </c>
      <c r="BC10" s="2" t="str">
        <f>IF(OR('A créer'!D10="Oui",LEN('A créer'!D10)=0),"","*ML(751,97)")</f>
        <v>*ML(751,97)</v>
      </c>
    </row>
    <row r="11" spans="1:55" x14ac:dyDescent="0.25">
      <c r="A11" s="2" t="str">
        <f>IF(OR('A créer'!D11="Oui",LEN('A créer'!D11)=0),"","*FN")</f>
        <v>*FN</v>
      </c>
      <c r="B11" s="7" t="str">
        <f>IF(OR('A créer'!D11="Oui",LEN('A créer'!D11)=0),"",'A créer'!A11)</f>
        <v>0457</v>
      </c>
      <c r="C11" s="2" t="str">
        <f>IF(OR('A créer'!D11="Oui",LEN('A créer'!D11)=0),"","Tab")</f>
        <v>Tab</v>
      </c>
      <c r="D11" s="7" t="str">
        <f>IF(OR('A créer'!D11="Oui",LEN('A créer'!D11)=0),"",'A créer'!C11)</f>
        <v>DALKIA MIDDLE EAST</v>
      </c>
      <c r="E11" s="2" t="s">
        <v>165</v>
      </c>
      <c r="F11" s="2" t="str">
        <f>IF(OR('A créer'!D11="Oui",LEN('A créer'!D11)=0),"","Tab")</f>
        <v>Tab</v>
      </c>
      <c r="G11" s="2" t="str">
        <f>IF(OR('A créer'!D11="Oui",LEN('A créer'!D11)=0),"","Tab")</f>
        <v>Tab</v>
      </c>
      <c r="H11" s="2" t="str">
        <f>IF(OR('A créer'!D11="Oui",LEN('A créer'!D11)=0),"","ENT")</f>
        <v>ENT</v>
      </c>
      <c r="I11" s="7" t="str">
        <f>IF(OR('A créer'!D11="Oui",LEN('A créer'!D11)=0),"","Oui")</f>
        <v>Oui</v>
      </c>
      <c r="J11" s="2" t="str">
        <f>IF(OR('A créer'!D11="Oui",LEN('A créer'!D11)=0),"","Tab")</f>
        <v>Tab</v>
      </c>
      <c r="K11" s="7" t="str">
        <f>IF(OR('A créer'!D11="Oui",LEN('A créer'!D11)=0),"",'A créer'!H11)</f>
        <v>DOS</v>
      </c>
      <c r="L11" s="7" t="str">
        <f>IF(OR('A créer'!D11="Oui",LEN('A créer'!D11)=0),"",IF($K11="DCW",'A créer'!G11,""))</f>
        <v/>
      </c>
      <c r="M11" s="2" t="str">
        <f>IF(OR('A créer'!D11="Oui",LEN('A créer'!D11)=0),"","Tab")</f>
        <v>Tab</v>
      </c>
      <c r="N11" s="7" t="str">
        <f>IF(OR('A créer'!D11="Oui",LEN('A créer'!D11)=0),"",IF($K11="DLS",'A créer'!G11,""))</f>
        <v/>
      </c>
      <c r="O11" s="2" t="str">
        <f>IF(OR('A créer'!D11="Oui",LEN('A créer'!D11)=0),"","Tab")</f>
        <v>Tab</v>
      </c>
      <c r="P11" s="7" t="str">
        <f>IF(OR('A créer'!D11="Oui",LEN('A créer'!D11)=0),"",IF($K11="DMS",'A créer'!G11,""))</f>
        <v/>
      </c>
      <c r="Q11" s="2" t="str">
        <f>IF(OR('A créer'!D11="Oui",LEN('A créer'!D11)=0),"","Tab")</f>
        <v>Tab</v>
      </c>
      <c r="R11" s="7" t="str">
        <f>IF(OR('A créer'!D11="Oui",LEN('A créer'!D11)=0),"",IF($K11="DRW",'A créer'!G11,""))</f>
        <v/>
      </c>
      <c r="S11" s="2" t="str">
        <f>IF(OR('A créer'!D11="Oui",LEN('A créer'!D11)=0),"","Tab")</f>
        <v>Tab</v>
      </c>
      <c r="T11" s="7" t="str">
        <f>IF(OR('A créer'!D11="Oui",LEN('A créer'!D11)=0),"",IF($K11="DSW",'A créer'!G11,""))</f>
        <v/>
      </c>
      <c r="U11" s="2" t="str">
        <f>IF(OR('A créer'!D11="Oui",LEN('A créer'!D11)=0),"","Tab")</f>
        <v>Tab</v>
      </c>
      <c r="V11" s="7" t="str">
        <f>IF(OR('A créer'!D11="Oui",LEN('A créer'!D11)=0),"",IF($K11="DEW",'A créer'!G11,""))</f>
        <v/>
      </c>
      <c r="W11" s="2" t="str">
        <f>IF(OR('A créer'!D11="Oui",LEN('A créer'!D11)=0),"","Tab")</f>
        <v>Tab</v>
      </c>
      <c r="X11" s="7" t="str">
        <f>IF(OR('A créer'!D11="Oui",LEN('A créer'!D11)=0),"",IF($K11="DNA",'A créer'!G11,""))</f>
        <v/>
      </c>
      <c r="Y11" s="2" t="str">
        <f>IF(OR('A créer'!D11="Oui",LEN('A créer'!D11)=0),"","Tab")</f>
        <v>Tab</v>
      </c>
      <c r="Z11" s="7" t="str">
        <f>IF(OR('A créer'!D11="Oui",LEN('A créer'!D11)=0),"",IF($K11="DOS",'A créer'!G11,""))</f>
        <v>S2023</v>
      </c>
      <c r="AA11" s="2" t="str">
        <f>IF(OR('A créer'!D11="Oui",LEN('A créer'!D11)=0),"","Tab")</f>
        <v>Tab</v>
      </c>
      <c r="AB11" s="2" t="str">
        <f>IF(OR('A créer'!D11="Oui",LEN('A créer'!D11)=0),"","Tab")</f>
        <v>Tab</v>
      </c>
      <c r="AC11" s="7" t="str">
        <f>IF(OR('A créer'!D11="Oui",LEN('A créer'!D11)=0),"","OUI")</f>
        <v>OUI</v>
      </c>
      <c r="AD11" s="2" t="str">
        <f>IF(OR('A créer'!D11="Oui",LEN('A créer'!D11)=0),"","Tab")</f>
        <v>Tab</v>
      </c>
      <c r="AE11" s="2" t="str">
        <f>IF(OR('A créer'!D11="Oui",LEN('A créer'!D11)=0),"","ENT")</f>
        <v>ENT</v>
      </c>
      <c r="AF11" s="2" t="str">
        <f>IF(OR('A créer'!D11="Oui",LEN('A créer'!D11)=0),"","*SAVE")</f>
        <v>*SAVE</v>
      </c>
      <c r="AG11" s="2" t="str">
        <f>IF(OR('A créer'!D11="Oui",LEN('A créer'!D11)=0),"","*FN")</f>
        <v>*FN</v>
      </c>
      <c r="AH11" s="7" t="str">
        <f>IF(OR('A créer'!D11="Oui",LEN('A créer'!D11)=0),"",CONCATENATE("A",RIGHT('A créer'!A11,3)))</f>
        <v>A457</v>
      </c>
      <c r="AI11" s="2" t="str">
        <f>IF(OR('A créer'!D11="Oui",LEN('A créer'!D11)=0),"","Tab")</f>
        <v>Tab</v>
      </c>
      <c r="AJ11" s="7" t="str">
        <f>IF(OR('A créer'!D11="Oui",LEN('A créer'!D11)=0),"",CONCATENATE('A créer'!A11," Regroupement"))</f>
        <v>0457 Regroupement</v>
      </c>
      <c r="AK11" s="2" t="str">
        <f>IF(OR('A créer'!D11="Oui",LEN('A créer'!D11)=0),"","Tab 4")</f>
        <v>Tab 4</v>
      </c>
      <c r="AL11" s="2" t="str">
        <f>IF(OR('A créer'!D11="Oui",LEN('A créer'!D11)=0),"","*SB")</f>
        <v>*SB</v>
      </c>
      <c r="AM11" s="2" t="str">
        <f>IF(OR('A créer'!D11="Oui",LEN('A créer'!D11)=0),"","Tab")</f>
        <v>Tab</v>
      </c>
      <c r="AN11" s="7" t="str">
        <f>IF(OR('A créer'!D11="Oui",LEN('A créer'!D11)=0),"",CONCATENATE("A",'A créer'!A11))</f>
        <v>A0457</v>
      </c>
      <c r="AO11" s="2" t="str">
        <f>IF(OR('A créer'!D11="Oui",LEN('A créer'!D11)=0),"","Tab")</f>
        <v>Tab</v>
      </c>
      <c r="AP11" s="2" t="str">
        <f>IF(OR('A créer'!D11="Oui",LEN('A créer'!D11)=0),"","Tab")</f>
        <v>Tab</v>
      </c>
      <c r="AQ11" s="2" t="str">
        <f>IF(OR('A créer'!D11="Oui",LEN('A créer'!D11)=0),"","ENT")</f>
        <v>ENT</v>
      </c>
      <c r="AR11" s="7" t="str">
        <f>IF(OR('A créer'!D11="Oui",LEN('A créer'!D11)=0),"","Non")</f>
        <v>Non</v>
      </c>
      <c r="AS11" s="2" t="str">
        <f>IF(OR('A créer'!D11="Oui",LEN('A créer'!D11)=0),"","Tab")</f>
        <v>Tab</v>
      </c>
      <c r="AT11" s="7" t="str">
        <f>IF(OR('A créer'!D11="Oui",LEN('A créer'!D11)=0),"","T")</f>
        <v>T</v>
      </c>
      <c r="AU11" s="2" t="str">
        <f>IF(OR('A créer'!D11="Oui",LEN('A créer'!D11)=0),"","Tab")</f>
        <v>Tab</v>
      </c>
      <c r="AV11" s="2" t="str">
        <f>IF(OR('A créer'!D11="Oui",LEN('A créer'!D11)=0),"","ENT")</f>
        <v>ENT</v>
      </c>
      <c r="AW11" s="2" t="str">
        <f>IF(OR('A créer'!D11="Oui",LEN('A créer'!D11)=0),"","*SAVE")</f>
        <v>*SAVE</v>
      </c>
      <c r="AX11" s="2" t="str">
        <f>IF(OR('A créer'!D11="Oui",LEN('A créer'!D11)=0),"","*UP")</f>
        <v>*UP</v>
      </c>
      <c r="AY11" s="2" t="str">
        <f>IF(OR('A créer'!D11="Oui",LEN('A créer'!D11)=0),"","*Aé")</f>
        <v>*Aé</v>
      </c>
      <c r="AZ11" s="7" t="str">
        <f>IF(OR('A créer'!D11="Oui",LEN('A créer'!D11)=0),"",'A créer'!A11)</f>
        <v>0457</v>
      </c>
      <c r="BA11" s="2" t="str">
        <f>IF(OR('A créer'!D11="Oui",LEN('A créer'!D11)=0),"","Tab")</f>
        <v>Tab</v>
      </c>
      <c r="BB11" s="2" t="str">
        <f>IF(OR('A créer'!D11="Oui",LEN('A créer'!D11)=0),"","*SAVE")</f>
        <v>*SAVE</v>
      </c>
      <c r="BC11" s="2" t="str">
        <f>IF(OR('A créer'!D11="Oui",LEN('A créer'!D11)=0),"","*ML(751,97)")</f>
        <v>*ML(751,97)</v>
      </c>
    </row>
    <row r="12" spans="1:55" x14ac:dyDescent="0.25">
      <c r="A12" s="2" t="str">
        <f>IF(OR('A créer'!D12="Oui",LEN('A créer'!D12)=0),"","*FN")</f>
        <v>*FN</v>
      </c>
      <c r="B12" s="7" t="str">
        <f>IF(OR('A créer'!D12="Oui",LEN('A créer'!D12)=0),"",'A créer'!A12)</f>
        <v>0473</v>
      </c>
      <c r="C12" s="2" t="str">
        <f>IF(OR('A créer'!D12="Oui",LEN('A créer'!D12)=0),"","Tab")</f>
        <v>Tab</v>
      </c>
      <c r="D12" s="7" t="str">
        <f>IF(OR('A créer'!D12="Oui",LEN('A créer'!D12)=0),"",'A créer'!C12)</f>
        <v>CITELUM IG</v>
      </c>
      <c r="E12" s="2" t="s">
        <v>165</v>
      </c>
      <c r="F12" s="2" t="str">
        <f>IF(OR('A créer'!D12="Oui",LEN('A créer'!D12)=0),"","Tab")</f>
        <v>Tab</v>
      </c>
      <c r="G12" s="2" t="str">
        <f>IF(OR('A créer'!D12="Oui",LEN('A créer'!D12)=0),"","Tab")</f>
        <v>Tab</v>
      </c>
      <c r="H12" s="2" t="str">
        <f>IF(OR('A créer'!D12="Oui",LEN('A créer'!D12)=0),"","ENT")</f>
        <v>ENT</v>
      </c>
      <c r="I12" s="7" t="str">
        <f>IF(OR('A créer'!D12="Oui",LEN('A créer'!D12)=0),"","Oui")</f>
        <v>Oui</v>
      </c>
      <c r="J12" s="2" t="str">
        <f>IF(OR('A créer'!D12="Oui",LEN('A créer'!D12)=0),"","Tab")</f>
        <v>Tab</v>
      </c>
      <c r="K12" s="7" t="str">
        <f>IF(OR('A créer'!D12="Oui",LEN('A créer'!D12)=0),"",'A créer'!H12)</f>
        <v>DOS</v>
      </c>
      <c r="L12" s="7" t="str">
        <f>IF(OR('A créer'!D12="Oui",LEN('A créer'!D12)=0),"",IF($K12="DCW",'A créer'!G12,""))</f>
        <v/>
      </c>
      <c r="M12" s="2" t="str">
        <f>IF(OR('A créer'!D12="Oui",LEN('A créer'!D12)=0),"","Tab")</f>
        <v>Tab</v>
      </c>
      <c r="N12" s="7" t="str">
        <f>IF(OR('A créer'!D12="Oui",LEN('A créer'!D12)=0),"",IF($K12="DLS",'A créer'!G12,""))</f>
        <v/>
      </c>
      <c r="O12" s="2" t="str">
        <f>IF(OR('A créer'!D12="Oui",LEN('A créer'!D12)=0),"","Tab")</f>
        <v>Tab</v>
      </c>
      <c r="P12" s="7" t="str">
        <f>IF(OR('A créer'!D12="Oui",LEN('A créer'!D12)=0),"",IF($K12="DMS",'A créer'!G12,""))</f>
        <v/>
      </c>
      <c r="Q12" s="2" t="str">
        <f>IF(OR('A créer'!D12="Oui",LEN('A créer'!D12)=0),"","Tab")</f>
        <v>Tab</v>
      </c>
      <c r="R12" s="7" t="str">
        <f>IF(OR('A créer'!D12="Oui",LEN('A créer'!D12)=0),"",IF($K12="DRW",'A créer'!G12,""))</f>
        <v/>
      </c>
      <c r="S12" s="2" t="str">
        <f>IF(OR('A créer'!D12="Oui",LEN('A créer'!D12)=0),"","Tab")</f>
        <v>Tab</v>
      </c>
      <c r="T12" s="7" t="str">
        <f>IF(OR('A créer'!D12="Oui",LEN('A créer'!D12)=0),"",IF($K12="DSW",'A créer'!G12,""))</f>
        <v/>
      </c>
      <c r="U12" s="2" t="str">
        <f>IF(OR('A créer'!D12="Oui",LEN('A créer'!D12)=0),"","Tab")</f>
        <v>Tab</v>
      </c>
      <c r="V12" s="7" t="str">
        <f>IF(OR('A créer'!D12="Oui",LEN('A créer'!D12)=0),"",IF($K12="DEW",'A créer'!G12,""))</f>
        <v/>
      </c>
      <c r="W12" s="2" t="str">
        <f>IF(OR('A créer'!D12="Oui",LEN('A créer'!D12)=0),"","Tab")</f>
        <v>Tab</v>
      </c>
      <c r="X12" s="7" t="str">
        <f>IF(OR('A créer'!D12="Oui",LEN('A créer'!D12)=0),"",IF($K12="DNA",'A créer'!G12,""))</f>
        <v/>
      </c>
      <c r="Y12" s="2" t="str">
        <f>IF(OR('A créer'!D12="Oui",LEN('A créer'!D12)=0),"","Tab")</f>
        <v>Tab</v>
      </c>
      <c r="Z12" s="7" t="str">
        <f>IF(OR('A créer'!D12="Oui",LEN('A créer'!D12)=0),"",IF($K12="DOS",'A créer'!G12,""))</f>
        <v>SD031IGD</v>
      </c>
      <c r="AA12" s="2" t="str">
        <f>IF(OR('A créer'!D12="Oui",LEN('A créer'!D12)=0),"","Tab")</f>
        <v>Tab</v>
      </c>
      <c r="AB12" s="2" t="str">
        <f>IF(OR('A créer'!D12="Oui",LEN('A créer'!D12)=0),"","Tab")</f>
        <v>Tab</v>
      </c>
      <c r="AC12" s="7" t="str">
        <f>IF(OR('A créer'!D12="Oui",LEN('A créer'!D12)=0),"","OUI")</f>
        <v>OUI</v>
      </c>
      <c r="AD12" s="2" t="str">
        <f>IF(OR('A créer'!D12="Oui",LEN('A créer'!D12)=0),"","Tab")</f>
        <v>Tab</v>
      </c>
      <c r="AE12" s="2" t="str">
        <f>IF(OR('A créer'!D12="Oui",LEN('A créer'!D12)=0),"","ENT")</f>
        <v>ENT</v>
      </c>
      <c r="AF12" s="2" t="str">
        <f>IF(OR('A créer'!D12="Oui",LEN('A créer'!D12)=0),"","*SAVE")</f>
        <v>*SAVE</v>
      </c>
      <c r="AG12" s="2" t="str">
        <f>IF(OR('A créer'!D12="Oui",LEN('A créer'!D12)=0),"","*FN")</f>
        <v>*FN</v>
      </c>
      <c r="AH12" s="7" t="str">
        <f>IF(OR('A créer'!D12="Oui",LEN('A créer'!D12)=0),"",CONCATENATE("A",RIGHT('A créer'!A12,3)))</f>
        <v>A473</v>
      </c>
      <c r="AI12" s="2" t="str">
        <f>IF(OR('A créer'!D12="Oui",LEN('A créer'!D12)=0),"","Tab")</f>
        <v>Tab</v>
      </c>
      <c r="AJ12" s="7" t="str">
        <f>IF(OR('A créer'!D12="Oui",LEN('A créer'!D12)=0),"",CONCATENATE('A créer'!A12," Regroupement"))</f>
        <v>0473 Regroupement</v>
      </c>
      <c r="AK12" s="2" t="str">
        <f>IF(OR('A créer'!D12="Oui",LEN('A créer'!D12)=0),"","Tab 4")</f>
        <v>Tab 4</v>
      </c>
      <c r="AL12" s="2" t="str">
        <f>IF(OR('A créer'!D12="Oui",LEN('A créer'!D12)=0),"","*SB")</f>
        <v>*SB</v>
      </c>
      <c r="AM12" s="2" t="str">
        <f>IF(OR('A créer'!D12="Oui",LEN('A créer'!D12)=0),"","Tab")</f>
        <v>Tab</v>
      </c>
      <c r="AN12" s="7" t="str">
        <f>IF(OR('A créer'!D12="Oui",LEN('A créer'!D12)=0),"",CONCATENATE("A",'A créer'!A12))</f>
        <v>A0473</v>
      </c>
      <c r="AO12" s="2" t="str">
        <f>IF(OR('A créer'!D12="Oui",LEN('A créer'!D12)=0),"","Tab")</f>
        <v>Tab</v>
      </c>
      <c r="AP12" s="2" t="str">
        <f>IF(OR('A créer'!D12="Oui",LEN('A créer'!D12)=0),"","Tab")</f>
        <v>Tab</v>
      </c>
      <c r="AQ12" s="2" t="str">
        <f>IF(OR('A créer'!D12="Oui",LEN('A créer'!D12)=0),"","ENT")</f>
        <v>ENT</v>
      </c>
      <c r="AR12" s="7" t="str">
        <f>IF(OR('A créer'!D12="Oui",LEN('A créer'!D12)=0),"","Non")</f>
        <v>Non</v>
      </c>
      <c r="AS12" s="2" t="str">
        <f>IF(OR('A créer'!D12="Oui",LEN('A créer'!D12)=0),"","Tab")</f>
        <v>Tab</v>
      </c>
      <c r="AT12" s="7" t="str">
        <f>IF(OR('A créer'!D12="Oui",LEN('A créer'!D12)=0),"","T")</f>
        <v>T</v>
      </c>
      <c r="AU12" s="2" t="str">
        <f>IF(OR('A créer'!D12="Oui",LEN('A créer'!D12)=0),"","Tab")</f>
        <v>Tab</v>
      </c>
      <c r="AV12" s="2" t="str">
        <f>IF(OR('A créer'!D12="Oui",LEN('A créer'!D12)=0),"","ENT")</f>
        <v>ENT</v>
      </c>
      <c r="AW12" s="2" t="str">
        <f>IF(OR('A créer'!D12="Oui",LEN('A créer'!D12)=0),"","*SAVE")</f>
        <v>*SAVE</v>
      </c>
      <c r="AX12" s="2" t="str">
        <f>IF(OR('A créer'!D12="Oui",LEN('A créer'!D12)=0),"","*UP")</f>
        <v>*UP</v>
      </c>
      <c r="AY12" s="2" t="str">
        <f>IF(OR('A créer'!D12="Oui",LEN('A créer'!D12)=0),"","*Aé")</f>
        <v>*Aé</v>
      </c>
      <c r="AZ12" s="7" t="str">
        <f>IF(OR('A créer'!D12="Oui",LEN('A créer'!D12)=0),"",'A créer'!A12)</f>
        <v>0473</v>
      </c>
      <c r="BA12" s="2" t="str">
        <f>IF(OR('A créer'!D12="Oui",LEN('A créer'!D12)=0),"","Tab")</f>
        <v>Tab</v>
      </c>
      <c r="BB12" s="2" t="str">
        <f>IF(OR('A créer'!D12="Oui",LEN('A créer'!D12)=0),"","*SAVE")</f>
        <v>*SAVE</v>
      </c>
      <c r="BC12" s="2" t="str">
        <f>IF(OR('A créer'!D12="Oui",LEN('A créer'!D12)=0),"","*ML(751,97)")</f>
        <v>*ML(751,97)</v>
      </c>
    </row>
    <row r="13" spans="1:55" x14ac:dyDescent="0.25">
      <c r="A13" s="2" t="str">
        <f>IF(OR('A créer'!D13="Oui",LEN('A créer'!D13)=0),"","*FN")</f>
        <v>*FN</v>
      </c>
      <c r="B13" s="7" t="str">
        <f>IF(OR('A créer'!D13="Oui",LEN('A créer'!D13)=0),"",'A créer'!A13)</f>
        <v>0474</v>
      </c>
      <c r="C13" s="2" t="str">
        <f>IF(OR('A créer'!D13="Oui",LEN('A créer'!D13)=0),"","Tab")</f>
        <v>Tab</v>
      </c>
      <c r="D13" s="7" t="str">
        <f>IF(OR('A créer'!D13="Oui",LEN('A créer'!D13)=0),"",'A créer'!C13)</f>
        <v>AIR FORMING</v>
      </c>
      <c r="E13" s="2" t="s">
        <v>165</v>
      </c>
      <c r="F13" s="2" t="str">
        <f>IF(OR('A créer'!D13="Oui",LEN('A créer'!D13)=0),"","Tab")</f>
        <v>Tab</v>
      </c>
      <c r="G13" s="2" t="str">
        <f>IF(OR('A créer'!D13="Oui",LEN('A créer'!D13)=0),"","Tab")</f>
        <v>Tab</v>
      </c>
      <c r="H13" s="2" t="str">
        <f>IF(OR('A créer'!D13="Oui",LEN('A créer'!D13)=0),"","ENT")</f>
        <v>ENT</v>
      </c>
      <c r="I13" s="7" t="str">
        <f>IF(OR('A créer'!D13="Oui",LEN('A créer'!D13)=0),"","Oui")</f>
        <v>Oui</v>
      </c>
      <c r="J13" s="2" t="str">
        <f>IF(OR('A créer'!D13="Oui",LEN('A créer'!D13)=0),"","Tab")</f>
        <v>Tab</v>
      </c>
      <c r="K13" s="7" t="str">
        <f>IF(OR('A créer'!D13="Oui",LEN('A créer'!D13)=0),"",'A créer'!H13)</f>
        <v>DMS</v>
      </c>
      <c r="L13" s="7" t="str">
        <f>IF(OR('A créer'!D13="Oui",LEN('A créer'!D13)=0),"",IF($K13="DCW",'A créer'!G13,""))</f>
        <v/>
      </c>
      <c r="M13" s="2" t="str">
        <f>IF(OR('A créer'!D13="Oui",LEN('A créer'!D13)=0),"","Tab")</f>
        <v>Tab</v>
      </c>
      <c r="N13" s="7" t="str">
        <f>IF(OR('A créer'!D13="Oui",LEN('A créer'!D13)=0),"",IF($K13="DLS",'A créer'!G13,""))</f>
        <v/>
      </c>
      <c r="O13" s="2" t="str">
        <f>IF(OR('A créer'!D13="Oui",LEN('A créer'!D13)=0),"","Tab")</f>
        <v>Tab</v>
      </c>
      <c r="P13" s="7" t="str">
        <f>IF(OR('A créer'!D13="Oui",LEN('A créer'!D13)=0),"",IF($K13="DMS",'A créer'!G13,""))</f>
        <v>SD442</v>
      </c>
      <c r="Q13" s="2" t="str">
        <f>IF(OR('A créer'!D13="Oui",LEN('A créer'!D13)=0),"","Tab")</f>
        <v>Tab</v>
      </c>
      <c r="R13" s="7" t="str">
        <f>IF(OR('A créer'!D13="Oui",LEN('A créer'!D13)=0),"",IF($K13="DRW",'A créer'!G13,""))</f>
        <v/>
      </c>
      <c r="S13" s="2" t="str">
        <f>IF(OR('A créer'!D13="Oui",LEN('A créer'!D13)=0),"","Tab")</f>
        <v>Tab</v>
      </c>
      <c r="T13" s="7" t="str">
        <f>IF(OR('A créer'!D13="Oui",LEN('A créer'!D13)=0),"",IF($K13="DSW",'A créer'!G13,""))</f>
        <v/>
      </c>
      <c r="U13" s="2" t="str">
        <f>IF(OR('A créer'!D13="Oui",LEN('A créer'!D13)=0),"","Tab")</f>
        <v>Tab</v>
      </c>
      <c r="V13" s="7" t="str">
        <f>IF(OR('A créer'!D13="Oui",LEN('A créer'!D13)=0),"",IF($K13="DEW",'A créer'!G13,""))</f>
        <v/>
      </c>
      <c r="W13" s="2" t="str">
        <f>IF(OR('A créer'!D13="Oui",LEN('A créer'!D13)=0),"","Tab")</f>
        <v>Tab</v>
      </c>
      <c r="X13" s="7" t="str">
        <f>IF(OR('A créer'!D13="Oui",LEN('A créer'!D13)=0),"",IF($K13="DNA",'A créer'!G13,""))</f>
        <v/>
      </c>
      <c r="Y13" s="2" t="str">
        <f>IF(OR('A créer'!D13="Oui",LEN('A créer'!D13)=0),"","Tab")</f>
        <v>Tab</v>
      </c>
      <c r="Z13" s="7" t="str">
        <f>IF(OR('A créer'!D13="Oui",LEN('A créer'!D13)=0),"",IF($K13="DOS",'A créer'!G13,""))</f>
        <v/>
      </c>
      <c r="AA13" s="2" t="str">
        <f>IF(OR('A créer'!D13="Oui",LEN('A créer'!D13)=0),"","Tab")</f>
        <v>Tab</v>
      </c>
      <c r="AB13" s="2" t="str">
        <f>IF(OR('A créer'!D13="Oui",LEN('A créer'!D13)=0),"","Tab")</f>
        <v>Tab</v>
      </c>
      <c r="AC13" s="7" t="str">
        <f>IF(OR('A créer'!D13="Oui",LEN('A créer'!D13)=0),"","OUI")</f>
        <v>OUI</v>
      </c>
      <c r="AD13" s="2" t="str">
        <f>IF(OR('A créer'!D13="Oui",LEN('A créer'!D13)=0),"","Tab")</f>
        <v>Tab</v>
      </c>
      <c r="AE13" s="2" t="str">
        <f>IF(OR('A créer'!D13="Oui",LEN('A créer'!D13)=0),"","ENT")</f>
        <v>ENT</v>
      </c>
      <c r="AF13" s="2" t="str">
        <f>IF(OR('A créer'!D13="Oui",LEN('A créer'!D13)=0),"","*SAVE")</f>
        <v>*SAVE</v>
      </c>
      <c r="AG13" s="2" t="str">
        <f>IF(OR('A créer'!D13="Oui",LEN('A créer'!D13)=0),"","*FN")</f>
        <v>*FN</v>
      </c>
      <c r="AH13" s="7" t="str">
        <f>IF(OR('A créer'!D13="Oui",LEN('A créer'!D13)=0),"",CONCATENATE("A",RIGHT('A créer'!A13,3)))</f>
        <v>A474</v>
      </c>
      <c r="AI13" s="2" t="str">
        <f>IF(OR('A créer'!D13="Oui",LEN('A créer'!D13)=0),"","Tab")</f>
        <v>Tab</v>
      </c>
      <c r="AJ13" s="7" t="str">
        <f>IF(OR('A créer'!D13="Oui",LEN('A créer'!D13)=0),"",CONCATENATE('A créer'!A13," Regroupement"))</f>
        <v>0474 Regroupement</v>
      </c>
      <c r="AK13" s="2" t="str">
        <f>IF(OR('A créer'!D13="Oui",LEN('A créer'!D13)=0),"","Tab 4")</f>
        <v>Tab 4</v>
      </c>
      <c r="AL13" s="2" t="str">
        <f>IF(OR('A créer'!D13="Oui",LEN('A créer'!D13)=0),"","*SB")</f>
        <v>*SB</v>
      </c>
      <c r="AM13" s="2" t="str">
        <f>IF(OR('A créer'!D13="Oui",LEN('A créer'!D13)=0),"","Tab")</f>
        <v>Tab</v>
      </c>
      <c r="AN13" s="7" t="str">
        <f>IF(OR('A créer'!D13="Oui",LEN('A créer'!D13)=0),"",CONCATENATE("A",'A créer'!A13))</f>
        <v>A0474</v>
      </c>
      <c r="AO13" s="2" t="str">
        <f>IF(OR('A créer'!D13="Oui",LEN('A créer'!D13)=0),"","Tab")</f>
        <v>Tab</v>
      </c>
      <c r="AP13" s="2" t="str">
        <f>IF(OR('A créer'!D13="Oui",LEN('A créer'!D13)=0),"","Tab")</f>
        <v>Tab</v>
      </c>
      <c r="AQ13" s="2" t="str">
        <f>IF(OR('A créer'!D13="Oui",LEN('A créer'!D13)=0),"","ENT")</f>
        <v>ENT</v>
      </c>
      <c r="AR13" s="7" t="str">
        <f>IF(OR('A créer'!D13="Oui",LEN('A créer'!D13)=0),"","Non")</f>
        <v>Non</v>
      </c>
      <c r="AS13" s="2" t="str">
        <f>IF(OR('A créer'!D13="Oui",LEN('A créer'!D13)=0),"","Tab")</f>
        <v>Tab</v>
      </c>
      <c r="AT13" s="7" t="str">
        <f>IF(OR('A créer'!D13="Oui",LEN('A créer'!D13)=0),"","T")</f>
        <v>T</v>
      </c>
      <c r="AU13" s="2" t="str">
        <f>IF(OR('A créer'!D13="Oui",LEN('A créer'!D13)=0),"","Tab")</f>
        <v>Tab</v>
      </c>
      <c r="AV13" s="2" t="str">
        <f>IF(OR('A créer'!D13="Oui",LEN('A créer'!D13)=0),"","ENT")</f>
        <v>ENT</v>
      </c>
      <c r="AW13" s="2" t="str">
        <f>IF(OR('A créer'!D13="Oui",LEN('A créer'!D13)=0),"","*SAVE")</f>
        <v>*SAVE</v>
      </c>
      <c r="AX13" s="2" t="str">
        <f>IF(OR('A créer'!D13="Oui",LEN('A créer'!D13)=0),"","*UP")</f>
        <v>*UP</v>
      </c>
      <c r="AY13" s="2" t="str">
        <f>IF(OR('A créer'!D13="Oui",LEN('A créer'!D13)=0),"","*Aé")</f>
        <v>*Aé</v>
      </c>
      <c r="AZ13" s="7" t="str">
        <f>IF(OR('A créer'!D13="Oui",LEN('A créer'!D13)=0),"",'A créer'!A13)</f>
        <v>0474</v>
      </c>
      <c r="BA13" s="2" t="str">
        <f>IF(OR('A créer'!D13="Oui",LEN('A créer'!D13)=0),"","Tab")</f>
        <v>Tab</v>
      </c>
      <c r="BB13" s="2" t="str">
        <f>IF(OR('A créer'!D13="Oui",LEN('A créer'!D13)=0),"","*SAVE")</f>
        <v>*SAVE</v>
      </c>
      <c r="BC13" s="2" t="str">
        <f>IF(OR('A créer'!D13="Oui",LEN('A créer'!D13)=0),"","*ML(751,97)")</f>
        <v>*ML(751,97)</v>
      </c>
    </row>
    <row r="14" spans="1:55" x14ac:dyDescent="0.25">
      <c r="A14" s="2" t="str">
        <f>IF(OR('A créer'!D14="Oui",LEN('A créer'!D14)=0),"","*FN")</f>
        <v>*FN</v>
      </c>
      <c r="B14" s="7" t="str">
        <f>IF(OR('A créer'!D14="Oui",LEN('A créer'!D14)=0),"",'A créer'!A14)</f>
        <v>0470</v>
      </c>
      <c r="C14" s="2" t="str">
        <f>IF(OR('A créer'!D14="Oui",LEN('A créer'!D14)=0),"","Tab")</f>
        <v>Tab</v>
      </c>
      <c r="D14" s="7" t="str">
        <f>IF(OR('A créer'!D14="Oui",LEN('A créer'!D14)=0),"",'A créer'!C14)</f>
        <v>SA DESCHAMPS LATHUS</v>
      </c>
      <c r="E14" s="2" t="str">
        <f>IF(OR('A créer'!D14="Oui",LEN('A créer'!D14)=0),"","Tab4")</f>
        <v>Tab4</v>
      </c>
      <c r="F14" s="2" t="str">
        <f>IF(OR('A créer'!D14="Oui",LEN('A créer'!D14)=0),"","Tab")</f>
        <v>Tab</v>
      </c>
      <c r="G14" s="2" t="str">
        <f>IF(OR('A créer'!D14="Oui",LEN('A créer'!D14)=0),"","Tab")</f>
        <v>Tab</v>
      </c>
      <c r="H14" s="2" t="str">
        <f>IF(OR('A créer'!D14="Oui",LEN('A créer'!D14)=0),"","ENT")</f>
        <v>ENT</v>
      </c>
      <c r="I14" s="7" t="str">
        <f>IF(OR('A créer'!D14="Oui",LEN('A créer'!D14)=0),"","Oui")</f>
        <v>Oui</v>
      </c>
      <c r="J14" s="2" t="str">
        <f>IF(OR('A créer'!D14="Oui",LEN('A créer'!D14)=0),"","Tab")</f>
        <v>Tab</v>
      </c>
      <c r="K14" s="7" t="str">
        <f>IF(OR('A créer'!D14="Oui",LEN('A créer'!D14)=0),"",'A créer'!H14)</f>
        <v>DNA</v>
      </c>
      <c r="L14" s="7" t="str">
        <f>IF(OR('A créer'!D14="Oui",LEN('A créer'!D14)=0),"",IF($K14="DCW",'A créer'!G14,""))</f>
        <v/>
      </c>
      <c r="M14" s="2" t="str">
        <f>IF(OR('A créer'!D14="Oui",LEN('A créer'!D14)=0),"","Tab")</f>
        <v>Tab</v>
      </c>
      <c r="N14" s="7" t="str">
        <f>IF(OR('A créer'!D14="Oui",LEN('A créer'!D14)=0),"",IF($K14="DLS",'A créer'!G14,""))</f>
        <v/>
      </c>
      <c r="O14" s="2" t="str">
        <f>IF(OR('A créer'!D14="Oui",LEN('A créer'!D14)=0),"","Tab")</f>
        <v>Tab</v>
      </c>
      <c r="P14" s="7" t="str">
        <f>IF(OR('A créer'!D14="Oui",LEN('A créer'!D14)=0),"",IF($K14="DMS",'A créer'!G14,""))</f>
        <v/>
      </c>
      <c r="Q14" s="2" t="str">
        <f>IF(OR('A créer'!D14="Oui",LEN('A créer'!D14)=0),"","Tab")</f>
        <v>Tab</v>
      </c>
      <c r="R14" s="7" t="str">
        <f>IF(OR('A créer'!D14="Oui",LEN('A créer'!D14)=0),"",IF($K14="DRW",'A créer'!G14,""))</f>
        <v/>
      </c>
      <c r="S14" s="2" t="str">
        <f>IF(OR('A créer'!D14="Oui",LEN('A créer'!D14)=0),"","Tab")</f>
        <v>Tab</v>
      </c>
      <c r="T14" s="7" t="str">
        <f>IF(OR('A créer'!D14="Oui",LEN('A créer'!D14)=0),"",IF($K14="DSW",'A créer'!G14,""))</f>
        <v/>
      </c>
      <c r="U14" s="2" t="str">
        <f>IF(OR('A créer'!D14="Oui",LEN('A créer'!D14)=0),"","Tab")</f>
        <v>Tab</v>
      </c>
      <c r="V14" s="7" t="str">
        <f>IF(OR('A créer'!D14="Oui",LEN('A créer'!D14)=0),"",IF($K14="DEW",'A créer'!G14,""))</f>
        <v/>
      </c>
      <c r="W14" s="2" t="str">
        <f>IF(OR('A créer'!D14="Oui",LEN('A créer'!D14)=0),"","Tab")</f>
        <v>Tab</v>
      </c>
      <c r="X14" s="7" t="str">
        <f>IF(OR('A créer'!D14="Oui",LEN('A créer'!D14)=0),"",IF($K14="DNA",'A créer'!G14,""))</f>
        <v>S0150</v>
      </c>
      <c r="Y14" s="2" t="str">
        <f>IF(OR('A créer'!D14="Oui",LEN('A créer'!D14)=0),"","Tab")</f>
        <v>Tab</v>
      </c>
      <c r="Z14" s="7" t="str">
        <f>IF(OR('A créer'!D14="Oui",LEN('A créer'!D14)=0),"",IF($K14="DOS",'A créer'!G14,""))</f>
        <v/>
      </c>
      <c r="AA14" s="2" t="str">
        <f>IF(OR('A créer'!D14="Oui",LEN('A créer'!D14)=0),"","Tab")</f>
        <v>Tab</v>
      </c>
      <c r="AB14" s="2" t="str">
        <f>IF(OR('A créer'!D14="Oui",LEN('A créer'!D14)=0),"","Tab")</f>
        <v>Tab</v>
      </c>
      <c r="AC14" s="7" t="str">
        <f>IF(OR('A créer'!D14="Oui",LEN('A créer'!D14)=0),"","OUI")</f>
        <v>OUI</v>
      </c>
      <c r="AD14" s="2" t="str">
        <f>IF(OR('A créer'!D14="Oui",LEN('A créer'!D14)=0),"","Tab")</f>
        <v>Tab</v>
      </c>
      <c r="AE14" s="2" t="str">
        <f>IF(OR('A créer'!D14="Oui",LEN('A créer'!D14)=0),"","ENT")</f>
        <v>ENT</v>
      </c>
      <c r="AF14" s="2" t="str">
        <f>IF(OR('A créer'!D14="Oui",LEN('A créer'!D14)=0),"","*SAVE")</f>
        <v>*SAVE</v>
      </c>
      <c r="AG14" s="2" t="str">
        <f>IF(OR('A créer'!D14="Oui",LEN('A créer'!D14)=0),"","*FN")</f>
        <v>*FN</v>
      </c>
      <c r="AH14" s="7" t="str">
        <f>IF(OR('A créer'!D14="Oui",LEN('A créer'!D14)=0),"",CONCATENATE("A",RIGHT('A créer'!A14,3)))</f>
        <v>A470</v>
      </c>
      <c r="AI14" s="2" t="str">
        <f>IF(OR('A créer'!D14="Oui",LEN('A créer'!D14)=0),"","Tab")</f>
        <v>Tab</v>
      </c>
      <c r="AJ14" s="7" t="str">
        <f>IF(OR('A créer'!D14="Oui",LEN('A créer'!D14)=0),"",CONCATENATE('A créer'!A14," Regroupement"))</f>
        <v>0470 Regroupement</v>
      </c>
      <c r="AK14" s="2" t="str">
        <f>IF(OR('A créer'!D14="Oui",LEN('A créer'!D14)=0),"","Tab4")</f>
        <v>Tab4</v>
      </c>
      <c r="AL14" s="2" t="str">
        <f>IF(OR('A créer'!D14="Oui",LEN('A créer'!D14)=0),"","*SB")</f>
        <v>*SB</v>
      </c>
      <c r="AM14" s="2" t="str">
        <f>IF(OR('A créer'!D14="Oui",LEN('A créer'!D14)=0),"","Tab")</f>
        <v>Tab</v>
      </c>
      <c r="AN14" s="7" t="str">
        <f>IF(OR('A créer'!D14="Oui",LEN('A créer'!D14)=0),"",CONCATENATE("A",'A créer'!A14))</f>
        <v>A0470</v>
      </c>
      <c r="AO14" s="2" t="str">
        <f>IF(OR('A créer'!D14="Oui",LEN('A créer'!D14)=0),"","Tab")</f>
        <v>Tab</v>
      </c>
      <c r="AP14" s="2" t="str">
        <f>IF(OR('A créer'!D14="Oui",LEN('A créer'!D14)=0),"","Tab")</f>
        <v>Tab</v>
      </c>
      <c r="AQ14" s="2" t="str">
        <f>IF(OR('A créer'!D14="Oui",LEN('A créer'!D14)=0),"","ENT")</f>
        <v>ENT</v>
      </c>
      <c r="AR14" s="7" t="str">
        <f>IF(OR('A créer'!D14="Oui",LEN('A créer'!D14)=0),"","Non")</f>
        <v>Non</v>
      </c>
      <c r="AS14" s="2" t="str">
        <f>IF(OR('A créer'!D14="Oui",LEN('A créer'!D14)=0),"","Tab")</f>
        <v>Tab</v>
      </c>
      <c r="AT14" s="7" t="str">
        <f>IF(OR('A créer'!D14="Oui",LEN('A créer'!D14)=0),"","T")</f>
        <v>T</v>
      </c>
      <c r="AU14" s="2" t="str">
        <f>IF(OR('A créer'!D14="Oui",LEN('A créer'!D14)=0),"","Tab")</f>
        <v>Tab</v>
      </c>
      <c r="AV14" s="2" t="str">
        <f>IF(OR('A créer'!D14="Oui",LEN('A créer'!D14)=0),"","ENT")</f>
        <v>ENT</v>
      </c>
      <c r="AW14" s="2" t="str">
        <f>IF(OR('A créer'!D14="Oui",LEN('A créer'!D14)=0),"","*SAVE")</f>
        <v>*SAVE</v>
      </c>
      <c r="AX14" s="2" t="str">
        <f>IF(OR('A créer'!D14="Oui",LEN('A créer'!D14)=0),"","*UP")</f>
        <v>*UP</v>
      </c>
      <c r="AY14" s="2" t="str">
        <f>IF(OR('A créer'!D14="Oui",LEN('A créer'!D14)=0),"","*Aé")</f>
        <v>*Aé</v>
      </c>
      <c r="AZ14" s="7" t="str">
        <f>IF(OR('A créer'!D14="Oui",LEN('A créer'!D14)=0),"",'A créer'!A14)</f>
        <v>0470</v>
      </c>
      <c r="BA14" s="2" t="str">
        <f>IF(OR('A créer'!D14="Oui",LEN('A créer'!D14)=0),"","Tab")</f>
        <v>Tab</v>
      </c>
      <c r="BB14" s="2" t="str">
        <f>IF(OR('A créer'!D14="Oui",LEN('A créer'!D14)=0),"","*SAVE")</f>
        <v>*SAVE</v>
      </c>
      <c r="BC14" s="2" t="str">
        <f>IF(OR('A créer'!D14="Oui",LEN('A créer'!D14)=0),"","*ML(751,97)")</f>
        <v>*ML(751,97)</v>
      </c>
    </row>
    <row r="15" spans="1:55" x14ac:dyDescent="0.25">
      <c r="A15" s="2" t="str">
        <f>IF(OR('A créer'!D15="Oui",LEN('A créer'!D15)=0),"","*FN")</f>
        <v/>
      </c>
      <c r="B15" s="7" t="str">
        <f>IF(OR('A créer'!D15="Oui",LEN('A créer'!D15)=0),"",'A créer'!A15)</f>
        <v/>
      </c>
      <c r="C15" s="2" t="str">
        <f>IF(OR('A créer'!D15="Oui",LEN('A créer'!D15)=0),"","Tab")</f>
        <v/>
      </c>
      <c r="D15" s="7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7" t="str">
        <f>IF(OR('A créer'!D15="Oui",LEN('A créer'!D15)=0),"","Oui")</f>
        <v/>
      </c>
      <c r="J15" s="2" t="str">
        <f>IF(OR('A créer'!D15="Oui",LEN('A créer'!D15)=0),"","Tab")</f>
        <v/>
      </c>
      <c r="K15" s="7" t="str">
        <f>IF(OR('A créer'!D15="Oui",LEN('A créer'!D15)=0),"",'A créer'!H15)</f>
        <v/>
      </c>
      <c r="L15" s="7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7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7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7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7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7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7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7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7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7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7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7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7" t="str">
        <f>IF(OR('A créer'!D15="Oui",LEN('A créer'!D15)=0),"","Non")</f>
        <v/>
      </c>
      <c r="AS15" s="2" t="str">
        <f>IF(OR('A créer'!D15="Oui",LEN('A créer'!D15)=0),"","Tab")</f>
        <v/>
      </c>
      <c r="AT15" s="7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7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7" t="str">
        <f>IF(OR('A créer'!D16="Oui",LEN('A créer'!D16)=0),"",'A créer'!A16)</f>
        <v/>
      </c>
      <c r="C16" s="2" t="str">
        <f>IF(OR('A créer'!D16="Oui",LEN('A créer'!D16)=0),"","Tab")</f>
        <v/>
      </c>
      <c r="D16" s="7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7" t="str">
        <f>IF(OR('A créer'!D16="Oui",LEN('A créer'!D16)=0),"","Oui")</f>
        <v/>
      </c>
      <c r="J16" s="2" t="str">
        <f>IF(OR('A créer'!D16="Oui",LEN('A créer'!D16)=0),"","Tab")</f>
        <v/>
      </c>
      <c r="K16" s="7" t="str">
        <f>IF(OR('A créer'!D16="Oui",LEN('A créer'!D16)=0),"",'A créer'!H16)</f>
        <v/>
      </c>
      <c r="L16" s="7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7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7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7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7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7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7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7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7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7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7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7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7" t="str">
        <f>IF(OR('A créer'!D16="Oui",LEN('A créer'!D16)=0),"","Non")</f>
        <v/>
      </c>
      <c r="AS16" s="2" t="str">
        <f>IF(OR('A créer'!D16="Oui",LEN('A créer'!D16)=0),"","Tab")</f>
        <v/>
      </c>
      <c r="AT16" s="7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7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7" t="str">
        <f>IF(OR('A créer'!D17="Oui",LEN('A créer'!D17)=0),"",'A créer'!A17)</f>
        <v/>
      </c>
      <c r="C17" s="2" t="str">
        <f>IF(OR('A créer'!D17="Oui",LEN('A créer'!D17)=0),"","Tab")</f>
        <v/>
      </c>
      <c r="D17" s="7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7" t="str">
        <f>IF(OR('A créer'!D17="Oui",LEN('A créer'!D17)=0),"","Oui")</f>
        <v/>
      </c>
      <c r="J17" s="2" t="str">
        <f>IF(OR('A créer'!D17="Oui",LEN('A créer'!D17)=0),"","Tab")</f>
        <v/>
      </c>
      <c r="K17" s="7" t="str">
        <f>IF(OR('A créer'!D17="Oui",LEN('A créer'!D17)=0),"",'A créer'!H17)</f>
        <v/>
      </c>
      <c r="L17" s="7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7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7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7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7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7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7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7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7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7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7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7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7" t="str">
        <f>IF(OR('A créer'!D17="Oui",LEN('A créer'!D17)=0),"","Non")</f>
        <v/>
      </c>
      <c r="AS17" s="2" t="str">
        <f>IF(OR('A créer'!D17="Oui",LEN('A créer'!D17)=0),"","Tab")</f>
        <v/>
      </c>
      <c r="AT17" s="7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7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7" t="str">
        <f>IF(OR('A créer'!D18="Oui",LEN('A créer'!D18)=0),"",'A créer'!A18)</f>
        <v/>
      </c>
      <c r="C18" s="2" t="str">
        <f>IF(OR('A créer'!D18="Oui",LEN('A créer'!D18)=0),"","Tab")</f>
        <v/>
      </c>
      <c r="D18" s="7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7" t="str">
        <f>IF(OR('A créer'!D18="Oui",LEN('A créer'!D18)=0),"","Oui")</f>
        <v/>
      </c>
      <c r="J18" s="2" t="str">
        <f>IF(OR('A créer'!D18="Oui",LEN('A créer'!D18)=0),"","Tab")</f>
        <v/>
      </c>
      <c r="K18" s="7" t="str">
        <f>IF(OR('A créer'!D18="Oui",LEN('A créer'!D18)=0),"",'A créer'!H18)</f>
        <v/>
      </c>
      <c r="L18" s="7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7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7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7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7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7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7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7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7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7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7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7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7" t="str">
        <f>IF(OR('A créer'!D18="Oui",LEN('A créer'!D18)=0),"","Non")</f>
        <v/>
      </c>
      <c r="AS18" s="2" t="str">
        <f>IF(OR('A créer'!D18="Oui",LEN('A créer'!D18)=0),"","Tab")</f>
        <v/>
      </c>
      <c r="AT18" s="7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7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7" t="str">
        <f>IF(OR('A créer'!D19="Oui",LEN('A créer'!D19)=0),"",'A créer'!A19)</f>
        <v/>
      </c>
      <c r="C19" s="2" t="str">
        <f>IF(OR('A créer'!D19="Oui",LEN('A créer'!D19)=0),"","Tab")</f>
        <v/>
      </c>
      <c r="D19" s="7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7" t="str">
        <f>IF(OR('A créer'!D19="Oui",LEN('A créer'!D19)=0),"","Oui")</f>
        <v/>
      </c>
      <c r="J19" s="2" t="str">
        <f>IF(OR('A créer'!D19="Oui",LEN('A créer'!D19)=0),"","Tab")</f>
        <v/>
      </c>
      <c r="K19" s="7" t="str">
        <f>IF(OR('A créer'!D19="Oui",LEN('A créer'!D19)=0),"",'A créer'!H19)</f>
        <v/>
      </c>
      <c r="L19" s="7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7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7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7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7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7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7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7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7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7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7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7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7" t="str">
        <f>IF(OR('A créer'!D19="Oui",LEN('A créer'!D19)=0),"","Non")</f>
        <v/>
      </c>
      <c r="AS19" s="2" t="str">
        <f>IF(OR('A créer'!D19="Oui",LEN('A créer'!D19)=0),"","Tab")</f>
        <v/>
      </c>
      <c r="AT19" s="7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7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7" t="str">
        <f>IF(OR('A créer'!D20="Oui",LEN('A créer'!D20)=0),"",'A créer'!A20)</f>
        <v/>
      </c>
      <c r="C20" s="2" t="str">
        <f>IF(OR('A créer'!D20="Oui",LEN('A créer'!D20)=0),"","Tab")</f>
        <v/>
      </c>
      <c r="D20" s="7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7" t="str">
        <f>IF(OR('A créer'!D20="Oui",LEN('A créer'!D20)=0),"","Oui")</f>
        <v/>
      </c>
      <c r="J20" s="2" t="str">
        <f>IF(OR('A créer'!D20="Oui",LEN('A créer'!D20)=0),"","Tab")</f>
        <v/>
      </c>
      <c r="K20" s="7" t="str">
        <f>IF(OR('A créer'!D20="Oui",LEN('A créer'!D20)=0),"",'A créer'!H20)</f>
        <v/>
      </c>
      <c r="L20" s="7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7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7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7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7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7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7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7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7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7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7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7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7" t="str">
        <f>IF(OR('A créer'!D20="Oui",LEN('A créer'!D20)=0),"","Non")</f>
        <v/>
      </c>
      <c r="AS20" s="2" t="str">
        <f>IF(OR('A créer'!D20="Oui",LEN('A créer'!D20)=0),"","Tab")</f>
        <v/>
      </c>
      <c r="AT20" s="7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7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7" t="str">
        <f>IF(OR('A créer'!D21="Oui",LEN('A créer'!D21)=0),"",'A créer'!A21)</f>
        <v/>
      </c>
      <c r="C21" s="2" t="str">
        <f>IF(OR('A créer'!D21="Oui",LEN('A créer'!D21)=0),"","Tab")</f>
        <v/>
      </c>
      <c r="D21" s="7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7" t="str">
        <f>IF(OR('A créer'!D21="Oui",LEN('A créer'!D21)=0),"","Oui")</f>
        <v/>
      </c>
      <c r="J21" s="2" t="str">
        <f>IF(OR('A créer'!D21="Oui",LEN('A créer'!D21)=0),"","Tab")</f>
        <v/>
      </c>
      <c r="K21" s="7" t="str">
        <f>IF(OR('A créer'!D21="Oui",LEN('A créer'!D21)=0),"",'A créer'!H21)</f>
        <v/>
      </c>
      <c r="L21" s="7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7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7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7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7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7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7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7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7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7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7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7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7" t="str">
        <f>IF(OR('A créer'!D21="Oui",LEN('A créer'!D21)=0),"","Non")</f>
        <v/>
      </c>
      <c r="AS21" s="2" t="str">
        <f>IF(OR('A créer'!D21="Oui",LEN('A créer'!D21)=0),"","Tab")</f>
        <v/>
      </c>
      <c r="AT21" s="7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7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7" t="str">
        <f>IF(OR('A créer'!D22="Oui",LEN('A créer'!D22)=0),"",'A créer'!A22)</f>
        <v/>
      </c>
      <c r="C22" s="2" t="str">
        <f>IF(OR('A créer'!D22="Oui",LEN('A créer'!D22)=0),"","Tab")</f>
        <v/>
      </c>
      <c r="D22" s="7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7" t="str">
        <f>IF(OR('A créer'!D22="Oui",LEN('A créer'!D22)=0),"","Oui")</f>
        <v/>
      </c>
      <c r="J22" s="2" t="str">
        <f>IF(OR('A créer'!D22="Oui",LEN('A créer'!D22)=0),"","Tab")</f>
        <v/>
      </c>
      <c r="K22" s="7" t="str">
        <f>IF(OR('A créer'!D22="Oui",LEN('A créer'!D22)=0),"",'A créer'!H22)</f>
        <v/>
      </c>
      <c r="L22" s="7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7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7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7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7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7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7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7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7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7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7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7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7" t="str">
        <f>IF(OR('A créer'!D22="Oui",LEN('A créer'!D22)=0),"","Non")</f>
        <v/>
      </c>
      <c r="AS22" s="2" t="str">
        <f>IF(OR('A créer'!D22="Oui",LEN('A créer'!D22)=0),"","Tab")</f>
        <v/>
      </c>
      <c r="AT22" s="7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7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7" t="str">
        <f>IF(OR('A créer'!D23="Oui",LEN('A créer'!D23)=0),"",'A créer'!A23)</f>
        <v/>
      </c>
      <c r="C23" s="2" t="str">
        <f>IF(OR('A créer'!D23="Oui",LEN('A créer'!D23)=0),"","Tab")</f>
        <v/>
      </c>
      <c r="D23" s="7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7" t="str">
        <f>IF(OR('A créer'!D23="Oui",LEN('A créer'!D23)=0),"","Oui")</f>
        <v/>
      </c>
      <c r="J23" s="2" t="str">
        <f>IF(OR('A créer'!D23="Oui",LEN('A créer'!D23)=0),"","Tab")</f>
        <v/>
      </c>
      <c r="K23" s="7" t="str">
        <f>IF(OR('A créer'!D23="Oui",LEN('A créer'!D23)=0),"",'A créer'!H23)</f>
        <v/>
      </c>
      <c r="L23" s="7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7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7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7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7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7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7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7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7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7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7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7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7" t="str">
        <f>IF(OR('A créer'!D23="Oui",LEN('A créer'!D23)=0),"","Non")</f>
        <v/>
      </c>
      <c r="AS23" s="2" t="str">
        <f>IF(OR('A créer'!D23="Oui",LEN('A créer'!D23)=0),"","Tab")</f>
        <v/>
      </c>
      <c r="AT23" s="7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7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7" t="str">
        <f>IF(OR('A créer'!D24="Oui",LEN('A créer'!D24)=0),"",'A créer'!A24)</f>
        <v/>
      </c>
      <c r="C24" s="2" t="str">
        <f>IF(OR('A créer'!D24="Oui",LEN('A créer'!D24)=0),"","Tab")</f>
        <v/>
      </c>
      <c r="D24" s="7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7" t="str">
        <f>IF(OR('A créer'!D24="Oui",LEN('A créer'!D24)=0),"","Oui")</f>
        <v/>
      </c>
      <c r="J24" s="2" t="str">
        <f>IF(OR('A créer'!D24="Oui",LEN('A créer'!D24)=0),"","Tab")</f>
        <v/>
      </c>
      <c r="K24" s="7" t="str">
        <f>IF(OR('A créer'!D24="Oui",LEN('A créer'!D24)=0),"",'A créer'!H24)</f>
        <v/>
      </c>
      <c r="L24" s="7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7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7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7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7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7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7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7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7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7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7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7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7" t="str">
        <f>IF(OR('A créer'!D24="Oui",LEN('A créer'!D24)=0),"","Non")</f>
        <v/>
      </c>
      <c r="AS24" s="2" t="str">
        <f>IF(OR('A créer'!D24="Oui",LEN('A créer'!D24)=0),"","Tab")</f>
        <v/>
      </c>
      <c r="AT24" s="7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7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7" t="str">
        <f>IF(OR('A créer'!D25="Oui",LEN('A créer'!D25)=0),"",'A créer'!A25)</f>
        <v/>
      </c>
      <c r="C25" s="2" t="str">
        <f>IF(OR('A créer'!D25="Oui",LEN('A créer'!D25)=0),"","Tab")</f>
        <v/>
      </c>
      <c r="D25" s="7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7" t="str">
        <f>IF(OR('A créer'!D25="Oui",LEN('A créer'!D25)=0),"","Oui")</f>
        <v/>
      </c>
      <c r="J25" s="2" t="str">
        <f>IF(OR('A créer'!D25="Oui",LEN('A créer'!D25)=0),"","Tab")</f>
        <v/>
      </c>
      <c r="K25" s="7" t="str">
        <f>IF(OR('A créer'!D25="Oui",LEN('A créer'!D25)=0),"",'A créer'!H25)</f>
        <v/>
      </c>
      <c r="L25" s="7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7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7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7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7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7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7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7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7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7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7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7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7" t="str">
        <f>IF(OR('A créer'!D25="Oui",LEN('A créer'!D25)=0),"","Non")</f>
        <v/>
      </c>
      <c r="AS25" s="2" t="str">
        <f>IF(OR('A créer'!D25="Oui",LEN('A créer'!D25)=0),"","Tab")</f>
        <v/>
      </c>
      <c r="AT25" s="7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7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7" t="str">
        <f>IF(OR('A créer'!D26="Oui",LEN('A créer'!D26)=0),"",'A créer'!A26)</f>
        <v/>
      </c>
      <c r="C26" s="2" t="str">
        <f>IF(OR('A créer'!D26="Oui",LEN('A créer'!D26)=0),"","Tab")</f>
        <v/>
      </c>
      <c r="D26" s="7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7" t="str">
        <f>IF(OR('A créer'!D26="Oui",LEN('A créer'!D26)=0),"","Oui")</f>
        <v/>
      </c>
      <c r="J26" s="2" t="str">
        <f>IF(OR('A créer'!D26="Oui",LEN('A créer'!D26)=0),"","Tab")</f>
        <v/>
      </c>
      <c r="K26" s="7" t="str">
        <f>IF(OR('A créer'!D26="Oui",LEN('A créer'!D26)=0),"",'A créer'!H26)</f>
        <v/>
      </c>
      <c r="L26" s="7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7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7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7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7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7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7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7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7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7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7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7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7" t="str">
        <f>IF(OR('A créer'!D26="Oui",LEN('A créer'!D26)=0),"","Non")</f>
        <v/>
      </c>
      <c r="AS26" s="2" t="str">
        <f>IF(OR('A créer'!D26="Oui",LEN('A créer'!D26)=0),"","Tab")</f>
        <v/>
      </c>
      <c r="AT26" s="7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7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7" t="str">
        <f>IF(OR('A créer'!D27="Oui",LEN('A créer'!D27)=0),"",'A créer'!A27)</f>
        <v/>
      </c>
      <c r="C27" s="2" t="str">
        <f>IF(OR('A créer'!D27="Oui",LEN('A créer'!D27)=0),"","Tab")</f>
        <v/>
      </c>
      <c r="D27" s="7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7" t="str">
        <f>IF(OR('A créer'!D27="Oui",LEN('A créer'!D27)=0),"","Oui")</f>
        <v/>
      </c>
      <c r="J27" s="2" t="str">
        <f>IF(OR('A créer'!D27="Oui",LEN('A créer'!D27)=0),"","Tab")</f>
        <v/>
      </c>
      <c r="K27" s="7" t="str">
        <f>IF(OR('A créer'!D27="Oui",LEN('A créer'!D27)=0),"",'A créer'!H27)</f>
        <v/>
      </c>
      <c r="L27" s="7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7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7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7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7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7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7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7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7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7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7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7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7" t="str">
        <f>IF(OR('A créer'!D27="Oui",LEN('A créer'!D27)=0),"","Non")</f>
        <v/>
      </c>
      <c r="AS27" s="2" t="str">
        <f>IF(OR('A créer'!D27="Oui",LEN('A créer'!D27)=0),"","Tab")</f>
        <v/>
      </c>
      <c r="AT27" s="7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7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7" t="str">
        <f>IF(OR('A créer'!D28="Oui",LEN('A créer'!D28)=0),"",'A créer'!A28)</f>
        <v/>
      </c>
      <c r="C28" s="2" t="str">
        <f>IF(OR('A créer'!D28="Oui",LEN('A créer'!D28)=0),"","Tab")</f>
        <v/>
      </c>
      <c r="D28" s="7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7" t="str">
        <f>IF(OR('A créer'!D28="Oui",LEN('A créer'!D28)=0),"","Oui")</f>
        <v/>
      </c>
      <c r="J28" s="2" t="str">
        <f>IF(OR('A créer'!D28="Oui",LEN('A créer'!D28)=0),"","Tab")</f>
        <v/>
      </c>
      <c r="K28" s="7" t="str">
        <f>IF(OR('A créer'!D28="Oui",LEN('A créer'!D28)=0),"",'A créer'!H28)</f>
        <v/>
      </c>
      <c r="L28" s="7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7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7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7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7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7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7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7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7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7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7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7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7" t="str">
        <f>IF(OR('A créer'!D28="Oui",LEN('A créer'!D28)=0),"","Non")</f>
        <v/>
      </c>
      <c r="AS28" s="2" t="str">
        <f>IF(OR('A créer'!D28="Oui",LEN('A créer'!D28)=0),"","Tab")</f>
        <v/>
      </c>
      <c r="AT28" s="7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7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7" t="str">
        <f>IF(OR('A créer'!D29="Oui",LEN('A créer'!D29)=0),"",'A créer'!A29)</f>
        <v/>
      </c>
      <c r="C29" s="2" t="str">
        <f>IF(OR('A créer'!D29="Oui",LEN('A créer'!D29)=0),"","Tab")</f>
        <v/>
      </c>
      <c r="D29" s="7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7" t="str">
        <f>IF(OR('A créer'!D29="Oui",LEN('A créer'!D29)=0),"","Oui")</f>
        <v/>
      </c>
      <c r="J29" s="2" t="str">
        <f>IF(OR('A créer'!D29="Oui",LEN('A créer'!D29)=0),"","Tab")</f>
        <v/>
      </c>
      <c r="K29" s="7" t="str">
        <f>IF(OR('A créer'!D29="Oui",LEN('A créer'!D29)=0),"",'A créer'!H29)</f>
        <v/>
      </c>
      <c r="L29" s="7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7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7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7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7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7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7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7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7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7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7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7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7" t="str">
        <f>IF(OR('A créer'!D29="Oui",LEN('A créer'!D29)=0),"","Non")</f>
        <v/>
      </c>
      <c r="AS29" s="2" t="str">
        <f>IF(OR('A créer'!D29="Oui",LEN('A créer'!D29)=0),"","Tab")</f>
        <v/>
      </c>
      <c r="AT29" s="7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7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7" t="str">
        <f>IF(OR('A créer'!D30="Oui",LEN('A créer'!D30)=0),"",'A créer'!A30)</f>
        <v/>
      </c>
      <c r="C30" s="2" t="str">
        <f>IF(OR('A créer'!D30="Oui",LEN('A créer'!D30)=0),"","Tab")</f>
        <v/>
      </c>
      <c r="D30" s="7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7" t="str">
        <f>IF(OR('A créer'!D30="Oui",LEN('A créer'!D30)=0),"","Oui")</f>
        <v/>
      </c>
      <c r="J30" s="2" t="str">
        <f>IF(OR('A créer'!D30="Oui",LEN('A créer'!D30)=0),"","Tab")</f>
        <v/>
      </c>
      <c r="K30" s="7" t="str">
        <f>IF(OR('A créer'!D30="Oui",LEN('A créer'!D30)=0),"",'A créer'!H30)</f>
        <v/>
      </c>
      <c r="L30" s="7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7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7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7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7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7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7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7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7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7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7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7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7" t="str">
        <f>IF(OR('A créer'!D30="Oui",LEN('A créer'!D30)=0),"","Non")</f>
        <v/>
      </c>
      <c r="AS30" s="2" t="str">
        <f>IF(OR('A créer'!D30="Oui",LEN('A créer'!D30)=0),"","Tab")</f>
        <v/>
      </c>
      <c r="AT30" s="7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7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"/>
  <sheetViews>
    <sheetView zoomScale="80" zoomScaleNormal="80" workbookViewId="0">
      <pane xSplit="1" ySplit="1" topLeftCell="G2" activePane="bottomRight" state="frozenSplit"/>
      <selection pane="topRight"/>
      <selection pane="bottomLeft" activeCell="A2" sqref="A2"/>
      <selection pane="bottomRight" activeCell="AF14" sqref="AF14"/>
    </sheetView>
  </sheetViews>
  <sheetFormatPr baseColWidth="10" defaultRowHeight="15" x14ac:dyDescent="0.25"/>
  <cols>
    <col min="1" max="1" width="5.140625" bestFit="1" customWidth="1"/>
    <col min="2" max="2" width="9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6.7109375" bestFit="1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8.425781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165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165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165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DOS0443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DOS0443-SOCIETE VALMY DEFENSE 114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YS2014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XXX0443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XXX-SOCIETE VALMY DEFENSE 114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YS2014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0443</v>
      </c>
      <c r="AG2" s="2" t="str">
        <f>IF(OR('A créer'!D2="Oui",LEN('A créer'!D2)=0),"","Tab")</f>
        <v>Tab</v>
      </c>
      <c r="AH2" t="str">
        <f>IF(OR('A créer'!D2="Oui",LEN('A créer'!D2)=0),"",'A créer'!C2)</f>
        <v>SOCIETE VALMY DEFENSE 114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DOS0443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XXX0443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">
        <v>166</v>
      </c>
    </row>
    <row r="3" spans="1:52" x14ac:dyDescent="0.25">
      <c r="A3" s="2" t="str">
        <f>IF(OR('A créer'!D3="Oui",LEN('A créer'!D3)=0),IF(AND(LEN('A créer'!B3)&gt;0,'A créer'!B3&lt;&gt;'A créer'!H3)=TRUE,"*FN",""),"*FN")</f>
        <v>*FN</v>
      </c>
      <c r="B3" s="7" t="str">
        <f>IF(OR('A créer'!D3="Oui",LEN('A créer'!D3)=0),IF(LEN('A créer'!B3)&gt;0,IF('A créer'!B3='A créer'!H3,"",CONCATENATE('A créer'!B3,'A créer'!A3)),""),CONCATENATE('A créer'!B3,'A créer'!A3))</f>
        <v>DOS0444</v>
      </c>
      <c r="C3" s="2" t="str">
        <f>IF(OR('A créer'!D3="Oui",LEN('A créer'!D3)=0),IF(AND(LEN('A créer'!B3)&gt;0,'A créer'!B3&lt;&gt;'A créer'!H3)=TRUE,"Tab",""),"Tab")</f>
        <v>Tab</v>
      </c>
      <c r="D3" s="7" t="str">
        <f>IF(OR('A créer'!D3="Oui",LEN('A créer'!D3)=0),IF(AND(LEN('A créer'!B3)&gt;0,'A créer'!B3&lt;&gt;'A créer'!H3)=TRUE,CONCATENATE('A créer'!B3,'A créer'!A3,"-",'A créer'!C3),""),CONCATENATE('A créer'!B3,'A créer'!A3,"-",'A créer'!C3))</f>
        <v>DOS0444-SOCIETE VALMY DEFENSE 115</v>
      </c>
      <c r="E3" s="2" t="str">
        <f>IF(OR('A créer'!D3="Oui",LEN('A créer'!D3)=0),IF(AND(LEN('A créer'!B3)&gt;0,'A créer'!B3&lt;&gt;'A créer'!H3)=TRUE,"Tab 4",""),"Tab 4")</f>
        <v>Tab 4</v>
      </c>
      <c r="F3" s="2" t="str">
        <f>IF(OR('A créer'!D3="Oui",LEN('A créer'!D3)=0),IF(AND(LEN('A créer'!B3)&gt;0,'A créer'!B3&lt;&gt;'A créer'!H3)=TRUE,"Tab",""),"Tab")</f>
        <v>Tab</v>
      </c>
      <c r="G3" s="2" t="str">
        <f>IF(OR('A créer'!D3="Oui",LEN('A créer'!D3)=0),IF(AND(LEN('A créer'!B3)&gt;0,'A créer'!B3&lt;&gt;'A créer'!H3)=TRUE,"Tab",""),"Tab")</f>
        <v>Tab</v>
      </c>
      <c r="H3" s="2" t="str">
        <f>IF(OR('A créer'!D3="Oui",LEN('A créer'!D3)=0),IF(AND(LEN('A créer'!B3)&gt;0,'A créer'!B3&lt;&gt;'A créer'!H3)=TRUE,"ENT",""),"ENT")</f>
        <v>ENT</v>
      </c>
      <c r="I3" s="7" t="str">
        <f>IF('A créer'!D3="Oui",IF(AND(LEN('A créer'!B3)&gt;0,'A créer'!B3&lt;&gt;'A créer'!H3)=TRUE,'A créer'!G3,""),'A créer'!G3)</f>
        <v>YS2015</v>
      </c>
      <c r="J3" s="2" t="str">
        <f>IF(OR('A créer'!D3="Oui",LEN('A créer'!D3)=0),IF(AND(LEN('A créer'!B3)&gt;0,'A créer'!B3&lt;&gt;'A créer'!H3)=TRUE,"Tab",""),"Tab")</f>
        <v>Tab</v>
      </c>
      <c r="K3" s="7" t="str">
        <f>IF(OR('A créer'!D3="Oui",LEN('A créer'!D3)=0),IF(AND(LEN('A créer'!B3)&gt;0,'A créer'!B3&lt;&gt;'A créer'!H3)=TRUE,"Oui",""),"Oui")</f>
        <v>Oui</v>
      </c>
      <c r="L3" s="2" t="str">
        <f>IF(OR('A créer'!D3="Oui",LEN('A créer'!D3)=0),IF(AND(LEN('A créer'!B3)&gt;0,'A créer'!B3&lt;&gt;'A créer'!H3)=TRUE,"Tab",""),"Tab")</f>
        <v>Tab</v>
      </c>
      <c r="M3" s="7" t="str">
        <f>IF(OR('A créer'!D3="Oui",LEN('A créer'!D3)=0),IF(AND(LEN('A créer'!B3)&gt;0,'A créer'!B3&lt;&gt;'A créer'!H3)=TRUE,'A créer'!E3,""),'A créer'!E3)</f>
        <v>Non</v>
      </c>
      <c r="N3" s="2" t="str">
        <f>IF(OR('A créer'!D3="Oui",LEN('A créer'!D3)=0),IF(AND(LEN('A créer'!B3)&gt;0,'A créer'!B3&lt;&gt;'A créer'!H3)=TRUE,"ENT",""),"ENT")</f>
        <v>ENT</v>
      </c>
      <c r="O3" s="2" t="str">
        <f>IF(OR('A créer'!D3="Oui",LEN('A créer'!D3)=0),IF(AND(LEN('A créer'!B3)&gt;0,'A créer'!B3&lt;&gt;'A créer'!H3)=TRUE,"*SAVE",""),"*SAVE")</f>
        <v>*SAVE</v>
      </c>
      <c r="P3" s="2" t="str">
        <f>IF(OR('A créer'!D3="Oui",LEN('A créer'!D3)=0),"","*FN")</f>
        <v>*FN</v>
      </c>
      <c r="Q3" s="7" t="str">
        <f>IF(OR('A créer'!D3="Oui",LEN('A créer'!D3)=0),"",CONCATENATE("XXX",'A créer'!A3))</f>
        <v>XXX0444</v>
      </c>
      <c r="R3" s="2" t="str">
        <f>IF(OR('A créer'!D3="Oui",LEN('A créer'!D3)=0),"","Tab")</f>
        <v>Tab</v>
      </c>
      <c r="S3" s="7" t="str">
        <f>IF(OR('A créer'!D3="Oui",LEN('A créer'!D3)=0),"",CONCATENATE("XXX-",'A créer'!C3))</f>
        <v>XXX-SOCIETE VALMY DEFENSE 115</v>
      </c>
      <c r="T3" s="2" t="str">
        <f>IF(OR('A créer'!D3="Oui",LEN('A créer'!D3)=0),"","Tab 4")</f>
        <v>Tab 4</v>
      </c>
      <c r="U3" s="2" t="str">
        <f>IF(OR('A créer'!D3="Oui",LEN('A créer'!D3)=0),"","Tab")</f>
        <v>Tab</v>
      </c>
      <c r="V3" s="2" t="str">
        <f>IF(OR('A créer'!D3="Oui",LEN('A créer'!D3)=0),"","Tab")</f>
        <v>Tab</v>
      </c>
      <c r="W3" s="2" t="str">
        <f>IF(OR('A créer'!D3="Oui",LEN('A créer'!D3)=0),"","ENT")</f>
        <v>ENT</v>
      </c>
      <c r="X3" s="7" t="str">
        <f>IF(OR('A créer'!D3="Oui",LEN('A créer'!D3)=0),"",'A créer'!G3)</f>
        <v>YS2015</v>
      </c>
      <c r="Y3" s="2" t="str">
        <f>IF(OR('A créer'!D3="Oui",LEN('A créer'!D3)=0),"","Tab")</f>
        <v>Tab</v>
      </c>
      <c r="Z3" s="7" t="str">
        <f>IF(OR('A créer'!D3="Oui",LEN('A créer'!D3)=0),"","Oui")</f>
        <v>Oui</v>
      </c>
      <c r="AA3" s="2" t="str">
        <f>IF(OR('A créer'!D3="Oui",LEN('A créer'!D3)=0),"","Tab")</f>
        <v>Tab</v>
      </c>
      <c r="AB3" s="7" t="str">
        <f>IF(OR('A créer'!D3="Oui",LEN('A créer'!D3)=0),"","NON")</f>
        <v>NON</v>
      </c>
      <c r="AC3" s="2" t="str">
        <f>IF(OR('A créer'!D3="Oui",LEN('A créer'!D3)=0),"","ENT")</f>
        <v>ENT</v>
      </c>
      <c r="AD3" s="2" t="str">
        <f>IF(OR('A créer'!D3="Oui",LEN('A créer'!D3)=0),"","*SAVE")</f>
        <v>*SAVE</v>
      </c>
      <c r="AE3" s="2" t="str">
        <f>IF(OR('A créer'!D3="Oui",LEN('A créer'!D3)=0),"","*FN")</f>
        <v>*FN</v>
      </c>
      <c r="AF3" s="7" t="str">
        <f>IF(OR('A créer'!D3="Oui",LEN('A créer'!D3)=0),"",'A créer'!A3)</f>
        <v>0444</v>
      </c>
      <c r="AG3" s="2" t="str">
        <f>IF(OR('A créer'!D3="Oui",LEN('A créer'!D3)=0),"","Tab")</f>
        <v>Tab</v>
      </c>
      <c r="AH3" s="7" t="str">
        <f>IF(OR('A créer'!D3="Oui",LEN('A créer'!D3)=0),"",'A créer'!C3)</f>
        <v>SOCIETE VALMY DEFENSE 115</v>
      </c>
      <c r="AI3" s="2" t="str">
        <f>IF(OR('A créer'!D3="Oui",LEN('A créer'!D3)=0),"","Tab 4")</f>
        <v>Tab 4</v>
      </c>
      <c r="AJ3" s="2" t="str">
        <f>IF(OR('A créer'!D3="Oui",LEN('A créer'!D3)=0),"","*SB")</f>
        <v>*SB</v>
      </c>
      <c r="AK3" s="2" t="str">
        <f>IF(OR('A créer'!D3="Oui",LEN('A créer'!D3)=0),"","Tab")</f>
        <v>Tab</v>
      </c>
      <c r="AL3" s="7" t="str">
        <f>IF(OR('A créer'!D3="Oui",LEN('A créer'!D3)=0),"","InterCoSte")</f>
        <v>InterCoSte</v>
      </c>
      <c r="AM3" s="2" t="str">
        <f>IF(OR('A créer'!D3="Oui",LEN('A créer'!D3)=0),"","Tab")</f>
        <v>Tab</v>
      </c>
      <c r="AN3" s="2" t="str">
        <f>IF(OR('A créer'!D3="Oui",LEN('A créer'!D3)=0),"","Tab")</f>
        <v>Tab</v>
      </c>
      <c r="AO3" s="2" t="str">
        <f>IF(OR('A créer'!D3="Oui",LEN('A créer'!D3)=0),"","ENT")</f>
        <v>ENT</v>
      </c>
      <c r="AP3" s="2" t="str">
        <f>IF(OR('A créer'!D3="Oui",LEN('A créer'!D3)=0),"","ENT")</f>
        <v>ENT</v>
      </c>
      <c r="AQ3" s="2" t="str">
        <f>IF(OR('A créer'!D3="Oui",LEN('A créer'!D3)=0),"","*SAVE")</f>
        <v>*SAVE</v>
      </c>
      <c r="AR3" s="2" t="str">
        <f>IF(OR('A créer'!D3="Oui",LEN('A créer'!D3)=0),"","*UP")</f>
        <v>*UP</v>
      </c>
      <c r="AS3" s="2" t="str">
        <f>IF(OR('A créer'!D3="Oui",LEN('A créer'!D3)=0),"","*Aé")</f>
        <v>*Aé</v>
      </c>
      <c r="AT3" s="7" t="str">
        <f>IF(OR('A créer'!D3="Oui",LEN('A créer'!D3)=0),"",CONCATENATE('A créer'!B3,'A créer'!A3))</f>
        <v>DOS0444</v>
      </c>
      <c r="AU3" s="2" t="str">
        <f>IF(OR('A créer'!D3="Oui",LEN('A créer'!D3)=0),"","Tab")</f>
        <v>Tab</v>
      </c>
      <c r="AV3" s="2" t="str">
        <f>IF(OR('A créer'!D3="Oui",LEN('A créer'!D3)=0),"","*DN")</f>
        <v>*DN</v>
      </c>
      <c r="AW3" s="7" t="str">
        <f>IF(OR('A créer'!D3="Oui",LEN('A créer'!D3)=0),"",CONCATENATE("XXX",'A créer'!A3))</f>
        <v>XXX0444</v>
      </c>
      <c r="AX3" s="2" t="str">
        <f>IF(OR('A créer'!D3="Oui",LEN('A créer'!D3)=0),"","Tab")</f>
        <v>Tab</v>
      </c>
      <c r="AY3" s="2" t="str">
        <f>IF(OR('A créer'!D3="Oui",LEN('A créer'!D3)=0),"","*SAVE")</f>
        <v>*SAVE</v>
      </c>
      <c r="AZ3" s="2" t="s">
        <v>166</v>
      </c>
    </row>
    <row r="4" spans="1:52" x14ac:dyDescent="0.25">
      <c r="A4" s="2" t="str">
        <f>IF(OR('A créer'!D4="Oui",LEN('A créer'!D4)=0),IF(AND(LEN('A créer'!B4)&gt;0,'A créer'!B4&lt;&gt;'A créer'!H4)=TRUE,"*FN",""),"*FN")</f>
        <v>*FN</v>
      </c>
      <c r="B4" s="7" t="str">
        <f>IF(OR('A créer'!D4="Oui",LEN('A créer'!D4)=0),IF(LEN('A créer'!B4)&gt;0,IF('A créer'!B4='A créer'!H4,"",CONCATENATE('A créer'!B4,'A créer'!A4)),""),CONCATENATE('A créer'!B4,'A créer'!A4))</f>
        <v>DOS0446</v>
      </c>
      <c r="C4" s="2" t="str">
        <f>IF(OR('A créer'!D4="Oui",LEN('A créer'!D4)=0),IF(AND(LEN('A créer'!B4)&gt;0,'A créer'!B4&lt;&gt;'A créer'!H4)=TRUE,"Tab",""),"Tab")</f>
        <v>Tab</v>
      </c>
      <c r="D4" s="7" t="str">
        <f>IF(OR('A créer'!D4="Oui",LEN('A créer'!D4)=0),IF(AND(LEN('A créer'!B4)&gt;0,'A créer'!B4&lt;&gt;'A créer'!H4)=TRUE,CONCATENATE('A créer'!B4,'A créer'!A4,"-",'A créer'!C4),""),CONCATENATE('A créer'!B4,'A créer'!A4,"-",'A créer'!C4))</f>
        <v>DOS0446-SOCIETE VALMY DEFENSE 116</v>
      </c>
      <c r="E4" s="2" t="str">
        <f>IF(OR('A créer'!D4="Oui",LEN('A créer'!D4)=0),IF(AND(LEN('A créer'!B4)&gt;0,'A créer'!B4&lt;&gt;'A créer'!H4)=TRUE,"Tab 4",""),"Tab 4")</f>
        <v>Tab 4</v>
      </c>
      <c r="F4" s="2" t="str">
        <f>IF(OR('A créer'!D4="Oui",LEN('A créer'!D4)=0),IF(AND(LEN('A créer'!B4)&gt;0,'A créer'!B4&lt;&gt;'A créer'!H4)=TRUE,"Tab",""),"Tab")</f>
        <v>Tab</v>
      </c>
      <c r="G4" s="2" t="str">
        <f>IF(OR('A créer'!D4="Oui",LEN('A créer'!D4)=0),IF(AND(LEN('A créer'!B4)&gt;0,'A créer'!B4&lt;&gt;'A créer'!H4)=TRUE,"Tab",""),"Tab")</f>
        <v>Tab</v>
      </c>
      <c r="H4" s="2" t="str">
        <f>IF(OR('A créer'!D4="Oui",LEN('A créer'!D4)=0),IF(AND(LEN('A créer'!B4)&gt;0,'A créer'!B4&lt;&gt;'A créer'!H4)=TRUE,"ENT",""),"ENT")</f>
        <v>ENT</v>
      </c>
      <c r="I4" s="7" t="str">
        <f>IF('A créer'!D4="Oui",IF(AND(LEN('A créer'!B4)&gt;0,'A créer'!B4&lt;&gt;'A créer'!H4)=TRUE,'A créer'!G4,""),'A créer'!G4)</f>
        <v>YS2016</v>
      </c>
      <c r="J4" s="2" t="str">
        <f>IF(OR('A créer'!D4="Oui",LEN('A créer'!D4)=0),IF(AND(LEN('A créer'!B4)&gt;0,'A créer'!B4&lt;&gt;'A créer'!H4)=TRUE,"Tab",""),"Tab")</f>
        <v>Tab</v>
      </c>
      <c r="K4" s="7" t="str">
        <f>IF(OR('A créer'!D4="Oui",LEN('A créer'!D4)=0),IF(AND(LEN('A créer'!B4)&gt;0,'A créer'!B4&lt;&gt;'A créer'!H4)=TRUE,"Oui",""),"Oui")</f>
        <v>Oui</v>
      </c>
      <c r="L4" s="2" t="str">
        <f>IF(OR('A créer'!D4="Oui",LEN('A créer'!D4)=0),IF(AND(LEN('A créer'!B4)&gt;0,'A créer'!B4&lt;&gt;'A créer'!H4)=TRUE,"Tab",""),"Tab")</f>
        <v>Tab</v>
      </c>
      <c r="M4" s="7" t="str">
        <f>IF(OR('A créer'!D4="Oui",LEN('A créer'!D4)=0),IF(AND(LEN('A créer'!B4)&gt;0,'A créer'!B4&lt;&gt;'A créer'!H4)=TRUE,'A créer'!E4,""),'A créer'!E4)</f>
        <v>Non</v>
      </c>
      <c r="N4" s="2" t="str">
        <f>IF(OR('A créer'!D4="Oui",LEN('A créer'!D4)=0),IF(AND(LEN('A créer'!B4)&gt;0,'A créer'!B4&lt;&gt;'A créer'!H4)=TRUE,"ENT",""),"ENT")</f>
        <v>ENT</v>
      </c>
      <c r="O4" s="2" t="str">
        <f>IF(OR('A créer'!D4="Oui",LEN('A créer'!D4)=0),IF(AND(LEN('A créer'!B4)&gt;0,'A créer'!B4&lt;&gt;'A créer'!H4)=TRUE,"*SAVE",""),"*SAVE")</f>
        <v>*SAVE</v>
      </c>
      <c r="P4" s="2" t="str">
        <f>IF(OR('A créer'!D4="Oui",LEN('A créer'!D4)=0),"","*FN")</f>
        <v>*FN</v>
      </c>
      <c r="Q4" s="7" t="str">
        <f>IF(OR('A créer'!D4="Oui",LEN('A créer'!D4)=0),"",CONCATENATE("XXX",'A créer'!A4))</f>
        <v>XXX0446</v>
      </c>
      <c r="R4" s="2" t="str">
        <f>IF(OR('A créer'!D4="Oui",LEN('A créer'!D4)=0),"","Tab")</f>
        <v>Tab</v>
      </c>
      <c r="S4" s="7" t="str">
        <f>IF(OR('A créer'!D4="Oui",LEN('A créer'!D4)=0),"",CONCATENATE("XXX-",'A créer'!C4))</f>
        <v>XXX-SOCIETE VALMY DEFENSE 116</v>
      </c>
      <c r="T4" s="2" t="str">
        <f>IF(OR('A créer'!D4="Oui",LEN('A créer'!D4)=0),"","Tab 4")</f>
        <v>Tab 4</v>
      </c>
      <c r="U4" s="2" t="str">
        <f>IF(OR('A créer'!D4="Oui",LEN('A créer'!D4)=0),"","Tab")</f>
        <v>Tab</v>
      </c>
      <c r="V4" s="2" t="str">
        <f>IF(OR('A créer'!D4="Oui",LEN('A créer'!D4)=0),"","Tab")</f>
        <v>Tab</v>
      </c>
      <c r="W4" s="2" t="str">
        <f>IF(OR('A créer'!D4="Oui",LEN('A créer'!D4)=0),"","ENT")</f>
        <v>ENT</v>
      </c>
      <c r="X4" s="7" t="str">
        <f>IF(OR('A créer'!D4="Oui",LEN('A créer'!D4)=0),"",'A créer'!G4)</f>
        <v>YS2016</v>
      </c>
      <c r="Y4" s="2" t="str">
        <f>IF(OR('A créer'!D4="Oui",LEN('A créer'!D4)=0),"","Tab")</f>
        <v>Tab</v>
      </c>
      <c r="Z4" s="7" t="str">
        <f>IF(OR('A créer'!D4="Oui",LEN('A créer'!D4)=0),"","Oui")</f>
        <v>Oui</v>
      </c>
      <c r="AA4" s="2" t="str">
        <f>IF(OR('A créer'!D4="Oui",LEN('A créer'!D4)=0),"","Tab")</f>
        <v>Tab</v>
      </c>
      <c r="AB4" s="7" t="str">
        <f>IF(OR('A créer'!D4="Oui",LEN('A créer'!D4)=0),"","NON")</f>
        <v>NON</v>
      </c>
      <c r="AC4" s="2" t="str">
        <f>IF(OR('A créer'!D4="Oui",LEN('A créer'!D4)=0),"","ENT")</f>
        <v>ENT</v>
      </c>
      <c r="AD4" s="2" t="str">
        <f>IF(OR('A créer'!D4="Oui",LEN('A créer'!D4)=0),"","*SAVE")</f>
        <v>*SAVE</v>
      </c>
      <c r="AE4" s="2" t="str">
        <f>IF(OR('A créer'!D4="Oui",LEN('A créer'!D4)=0),"","*FN")</f>
        <v>*FN</v>
      </c>
      <c r="AF4" s="7" t="str">
        <f>IF(OR('A créer'!D4="Oui",LEN('A créer'!D4)=0),"",'A créer'!A4)</f>
        <v>0446</v>
      </c>
      <c r="AG4" s="2" t="str">
        <f>IF(OR('A créer'!D4="Oui",LEN('A créer'!D4)=0),"","Tab")</f>
        <v>Tab</v>
      </c>
      <c r="AH4" s="7" t="str">
        <f>IF(OR('A créer'!D4="Oui",LEN('A créer'!D4)=0),"",'A créer'!C4)</f>
        <v>SOCIETE VALMY DEFENSE 116</v>
      </c>
      <c r="AI4" s="2" t="str">
        <f>IF(OR('A créer'!D4="Oui",LEN('A créer'!D4)=0),"","Tab 4")</f>
        <v>Tab 4</v>
      </c>
      <c r="AJ4" s="2" t="str">
        <f>IF(OR('A créer'!D4="Oui",LEN('A créer'!D4)=0),"","*SB")</f>
        <v>*SB</v>
      </c>
      <c r="AK4" s="2" t="str">
        <f>IF(OR('A créer'!D4="Oui",LEN('A créer'!D4)=0),"","Tab")</f>
        <v>Tab</v>
      </c>
      <c r="AL4" s="7" t="str">
        <f>IF(OR('A créer'!D4="Oui",LEN('A créer'!D4)=0),"","InterCoSte")</f>
        <v>InterCoSte</v>
      </c>
      <c r="AM4" s="2" t="str">
        <f>IF(OR('A créer'!D4="Oui",LEN('A créer'!D4)=0),"","Tab")</f>
        <v>Tab</v>
      </c>
      <c r="AN4" s="2" t="str">
        <f>IF(OR('A créer'!D4="Oui",LEN('A créer'!D4)=0),"","Tab")</f>
        <v>Tab</v>
      </c>
      <c r="AO4" s="2" t="str">
        <f>IF(OR('A créer'!D4="Oui",LEN('A créer'!D4)=0),"","ENT")</f>
        <v>ENT</v>
      </c>
      <c r="AP4" s="2" t="str">
        <f>IF(OR('A créer'!D4="Oui",LEN('A créer'!D4)=0),"","ENT")</f>
        <v>ENT</v>
      </c>
      <c r="AQ4" s="2" t="str">
        <f>IF(OR('A créer'!D4="Oui",LEN('A créer'!D4)=0),"","*SAVE")</f>
        <v>*SAVE</v>
      </c>
      <c r="AR4" s="2" t="str">
        <f>IF(OR('A créer'!D4="Oui",LEN('A créer'!D4)=0),"","*UP")</f>
        <v>*UP</v>
      </c>
      <c r="AS4" s="2" t="str">
        <f>IF(OR('A créer'!D4="Oui",LEN('A créer'!D4)=0),"","*Aé")</f>
        <v>*Aé</v>
      </c>
      <c r="AT4" s="7" t="str">
        <f>IF(OR('A créer'!D4="Oui",LEN('A créer'!D4)=0),"",CONCATENATE('A créer'!B4,'A créer'!A4))</f>
        <v>DOS0446</v>
      </c>
      <c r="AU4" s="2" t="str">
        <f>IF(OR('A créer'!D4="Oui",LEN('A créer'!D4)=0),"","Tab")</f>
        <v>Tab</v>
      </c>
      <c r="AV4" s="2" t="str">
        <f>IF(OR('A créer'!D4="Oui",LEN('A créer'!D4)=0),"","*DN")</f>
        <v>*DN</v>
      </c>
      <c r="AW4" s="7" t="str">
        <f>IF(OR('A créer'!D4="Oui",LEN('A créer'!D4)=0),"",CONCATENATE("XXX",'A créer'!A4))</f>
        <v>XXX0446</v>
      </c>
      <c r="AX4" s="2" t="str">
        <f>IF(OR('A créer'!D4="Oui",LEN('A créer'!D4)=0),"","Tab")</f>
        <v>Tab</v>
      </c>
      <c r="AY4" s="2" t="str">
        <f>IF(OR('A créer'!D4="Oui",LEN('A créer'!D4)=0),"","*SAVE")</f>
        <v>*SAVE</v>
      </c>
      <c r="AZ4" s="2" t="s">
        <v>166</v>
      </c>
    </row>
    <row r="5" spans="1:52" x14ac:dyDescent="0.25">
      <c r="A5" s="2" t="str">
        <f>IF(OR('A créer'!D5="Oui",LEN('A créer'!D5)=0),IF(AND(LEN('A créer'!B5)&gt;0,'A créer'!B5&lt;&gt;'A créer'!H5)=TRUE,"*FN",""),"*FN")</f>
        <v>*FN</v>
      </c>
      <c r="B5" s="7" t="str">
        <f>IF(OR('A créer'!D5="Oui",LEN('A créer'!D5)=0),IF(LEN('A créer'!B5)&gt;0,IF('A créer'!B5='A créer'!H5,"",CONCATENATE('A créer'!B5,'A créer'!A5)),""),CONCATENATE('A créer'!B5,'A créer'!A5))</f>
        <v>DOS0449</v>
      </c>
      <c r="C5" s="2" t="str">
        <f>IF(OR('A créer'!D5="Oui",LEN('A créer'!D5)=0),IF(AND(LEN('A créer'!B5)&gt;0,'A créer'!B5&lt;&gt;'A créer'!H5)=TRUE,"Tab",""),"Tab")</f>
        <v>Tab</v>
      </c>
      <c r="D5" s="7" t="str">
        <f>IF(OR('A créer'!D5="Oui",LEN('A créer'!D5)=0),IF(AND(LEN('A créer'!B5)&gt;0,'A créer'!B5&lt;&gt;'A créer'!H5)=TRUE,CONCATENATE('A créer'!B5,'A créer'!A5,"-",'A créer'!C5),""),CONCATENATE('A créer'!B5,'A créer'!A5,"-",'A créer'!C5))</f>
        <v>DOS0449-SOCIETE VALMY DEFENSE 117</v>
      </c>
      <c r="E5" s="2" t="str">
        <f>IF(OR('A créer'!D5="Oui",LEN('A créer'!D5)=0),IF(AND(LEN('A créer'!B5)&gt;0,'A créer'!B5&lt;&gt;'A créer'!H5)=TRUE,"Tab 4",""),"Tab 4")</f>
        <v>Tab 4</v>
      </c>
      <c r="F5" s="2" t="str">
        <f>IF(OR('A créer'!D5="Oui",LEN('A créer'!D5)=0),IF(AND(LEN('A créer'!B5)&gt;0,'A créer'!B5&lt;&gt;'A créer'!H5)=TRUE,"Tab",""),"Tab")</f>
        <v>Tab</v>
      </c>
      <c r="G5" s="2" t="str">
        <f>IF(OR('A créer'!D5="Oui",LEN('A créer'!D5)=0),IF(AND(LEN('A créer'!B5)&gt;0,'A créer'!B5&lt;&gt;'A créer'!H5)=TRUE,"Tab",""),"Tab")</f>
        <v>Tab</v>
      </c>
      <c r="H5" s="2" t="str">
        <f>IF(OR('A créer'!D5="Oui",LEN('A créer'!D5)=0),IF(AND(LEN('A créer'!B5)&gt;0,'A créer'!B5&lt;&gt;'A créer'!H5)=TRUE,"ENT",""),"ENT")</f>
        <v>ENT</v>
      </c>
      <c r="I5" s="7" t="str">
        <f>IF('A créer'!D5="Oui",IF(AND(LEN('A créer'!B5)&gt;0,'A créer'!B5&lt;&gt;'A créer'!H5)=TRUE,'A créer'!G5,""),'A créer'!G5)</f>
        <v>YS2017</v>
      </c>
      <c r="J5" s="2" t="str">
        <f>IF(OR('A créer'!D5="Oui",LEN('A créer'!D5)=0),IF(AND(LEN('A créer'!B5)&gt;0,'A créer'!B5&lt;&gt;'A créer'!H5)=TRUE,"Tab",""),"Tab")</f>
        <v>Tab</v>
      </c>
      <c r="K5" s="7" t="str">
        <f>IF(OR('A créer'!D5="Oui",LEN('A créer'!D5)=0),IF(AND(LEN('A créer'!B5)&gt;0,'A créer'!B5&lt;&gt;'A créer'!H5)=TRUE,"Oui",""),"Oui")</f>
        <v>Oui</v>
      </c>
      <c r="L5" s="2" t="str">
        <f>IF(OR('A créer'!D5="Oui",LEN('A créer'!D5)=0),IF(AND(LEN('A créer'!B5)&gt;0,'A créer'!B5&lt;&gt;'A créer'!H5)=TRUE,"Tab",""),"Tab")</f>
        <v>Tab</v>
      </c>
      <c r="M5" s="7" t="str">
        <f>IF(OR('A créer'!D5="Oui",LEN('A créer'!D5)=0),IF(AND(LEN('A créer'!B5)&gt;0,'A créer'!B5&lt;&gt;'A créer'!H5)=TRUE,'A créer'!E5,""),'A créer'!E5)</f>
        <v>Non</v>
      </c>
      <c r="N5" s="2" t="str">
        <f>IF(OR('A créer'!D5="Oui",LEN('A créer'!D5)=0),IF(AND(LEN('A créer'!B5)&gt;0,'A créer'!B5&lt;&gt;'A créer'!H5)=TRUE,"ENT",""),"ENT")</f>
        <v>ENT</v>
      </c>
      <c r="O5" s="2" t="str">
        <f>IF(OR('A créer'!D5="Oui",LEN('A créer'!D5)=0),IF(AND(LEN('A créer'!B5)&gt;0,'A créer'!B5&lt;&gt;'A créer'!H5)=TRUE,"*SAVE",""),"*SAVE")</f>
        <v>*SAVE</v>
      </c>
      <c r="P5" s="2" t="str">
        <f>IF(OR('A créer'!D5="Oui",LEN('A créer'!D5)=0),"","*FN")</f>
        <v>*FN</v>
      </c>
      <c r="Q5" s="7" t="str">
        <f>IF(OR('A créer'!D5="Oui",LEN('A créer'!D5)=0),"",CONCATENATE("XXX",'A créer'!A5))</f>
        <v>XXX0449</v>
      </c>
      <c r="R5" s="2" t="str">
        <f>IF(OR('A créer'!D5="Oui",LEN('A créer'!D5)=0),"","Tab")</f>
        <v>Tab</v>
      </c>
      <c r="S5" s="7" t="str">
        <f>IF(OR('A créer'!D5="Oui",LEN('A créer'!D5)=0),"",CONCATENATE("XXX-",'A créer'!C5))</f>
        <v>XXX-SOCIETE VALMY DEFENSE 117</v>
      </c>
      <c r="T5" s="2" t="str">
        <f>IF(OR('A créer'!D5="Oui",LEN('A créer'!D5)=0),"","Tab 4")</f>
        <v>Tab 4</v>
      </c>
      <c r="U5" s="2" t="str">
        <f>IF(OR('A créer'!D5="Oui",LEN('A créer'!D5)=0),"","Tab")</f>
        <v>Tab</v>
      </c>
      <c r="V5" s="2" t="str">
        <f>IF(OR('A créer'!D5="Oui",LEN('A créer'!D5)=0),"","Tab")</f>
        <v>Tab</v>
      </c>
      <c r="W5" s="2" t="str">
        <f>IF(OR('A créer'!D5="Oui",LEN('A créer'!D5)=0),"","ENT")</f>
        <v>ENT</v>
      </c>
      <c r="X5" s="7" t="str">
        <f>IF(OR('A créer'!D5="Oui",LEN('A créer'!D5)=0),"",'A créer'!G5)</f>
        <v>YS2017</v>
      </c>
      <c r="Y5" s="2" t="str">
        <f>IF(OR('A créer'!D5="Oui",LEN('A créer'!D5)=0),"","Tab")</f>
        <v>Tab</v>
      </c>
      <c r="Z5" s="7" t="str">
        <f>IF(OR('A créer'!D5="Oui",LEN('A créer'!D5)=0),"","Oui")</f>
        <v>Oui</v>
      </c>
      <c r="AA5" s="2" t="str">
        <f>IF(OR('A créer'!D5="Oui",LEN('A créer'!D5)=0),"","Tab")</f>
        <v>Tab</v>
      </c>
      <c r="AB5" s="7" t="str">
        <f>IF(OR('A créer'!D5="Oui",LEN('A créer'!D5)=0),"","NON")</f>
        <v>NON</v>
      </c>
      <c r="AC5" s="2" t="str">
        <f>IF(OR('A créer'!D5="Oui",LEN('A créer'!D5)=0),"","ENT")</f>
        <v>ENT</v>
      </c>
      <c r="AD5" s="2" t="str">
        <f>IF(OR('A créer'!D5="Oui",LEN('A créer'!D5)=0),"","*SAVE")</f>
        <v>*SAVE</v>
      </c>
      <c r="AE5" s="2" t="str">
        <f>IF(OR('A créer'!D5="Oui",LEN('A créer'!D5)=0),"","*FN")</f>
        <v>*FN</v>
      </c>
      <c r="AF5" s="7" t="str">
        <f>IF(OR('A créer'!D5="Oui",LEN('A créer'!D5)=0),"",'A créer'!A5)</f>
        <v>0449</v>
      </c>
      <c r="AG5" s="2" t="str">
        <f>IF(OR('A créer'!D5="Oui",LEN('A créer'!D5)=0),"","Tab")</f>
        <v>Tab</v>
      </c>
      <c r="AH5" s="7" t="str">
        <f>IF(OR('A créer'!D5="Oui",LEN('A créer'!D5)=0),"",'A créer'!C5)</f>
        <v>SOCIETE VALMY DEFENSE 117</v>
      </c>
      <c r="AI5" s="2" t="str">
        <f>IF(OR('A créer'!D5="Oui",LEN('A créer'!D5)=0),"","Tab 4")</f>
        <v>Tab 4</v>
      </c>
      <c r="AJ5" s="2" t="str">
        <f>IF(OR('A créer'!D5="Oui",LEN('A créer'!D5)=0),"","*SB")</f>
        <v>*SB</v>
      </c>
      <c r="AK5" s="2" t="str">
        <f>IF(OR('A créer'!D5="Oui",LEN('A créer'!D5)=0),"","Tab")</f>
        <v>Tab</v>
      </c>
      <c r="AL5" s="7" t="str">
        <f>IF(OR('A créer'!D5="Oui",LEN('A créer'!D5)=0),"","InterCoSte")</f>
        <v>InterCoSte</v>
      </c>
      <c r="AM5" s="2" t="str">
        <f>IF(OR('A créer'!D5="Oui",LEN('A créer'!D5)=0),"","Tab")</f>
        <v>Tab</v>
      </c>
      <c r="AN5" s="2" t="str">
        <f>IF(OR('A créer'!D5="Oui",LEN('A créer'!D5)=0),"","Tab")</f>
        <v>Tab</v>
      </c>
      <c r="AO5" s="2" t="str">
        <f>IF(OR('A créer'!D5="Oui",LEN('A créer'!D5)=0),"","ENT")</f>
        <v>ENT</v>
      </c>
      <c r="AP5" s="2" t="str">
        <f>IF(OR('A créer'!D5="Oui",LEN('A créer'!D5)=0),"","ENT")</f>
        <v>ENT</v>
      </c>
      <c r="AQ5" s="2" t="str">
        <f>IF(OR('A créer'!D5="Oui",LEN('A créer'!D5)=0),"","*SAVE")</f>
        <v>*SAVE</v>
      </c>
      <c r="AR5" s="2" t="str">
        <f>IF(OR('A créer'!D5="Oui",LEN('A créer'!D5)=0),"","*UP")</f>
        <v>*UP</v>
      </c>
      <c r="AS5" s="2" t="str">
        <f>IF(OR('A créer'!D5="Oui",LEN('A créer'!D5)=0),"","*Aé")</f>
        <v>*Aé</v>
      </c>
      <c r="AT5" s="7" t="str">
        <f>IF(OR('A créer'!D5="Oui",LEN('A créer'!D5)=0),"",CONCATENATE('A créer'!B5,'A créer'!A5))</f>
        <v>DOS0449</v>
      </c>
      <c r="AU5" s="2" t="str">
        <f>IF(OR('A créer'!D5="Oui",LEN('A créer'!D5)=0),"","Tab")</f>
        <v>Tab</v>
      </c>
      <c r="AV5" s="2" t="str">
        <f>IF(OR('A créer'!D5="Oui",LEN('A créer'!D5)=0),"","*DN")</f>
        <v>*DN</v>
      </c>
      <c r="AW5" s="7" t="str">
        <f>IF(OR('A créer'!D5="Oui",LEN('A créer'!D5)=0),"",CONCATENATE("XXX",'A créer'!A5))</f>
        <v>XXX0449</v>
      </c>
      <c r="AX5" s="2" t="str">
        <f>IF(OR('A créer'!D5="Oui",LEN('A créer'!D5)=0),"","Tab")</f>
        <v>Tab</v>
      </c>
      <c r="AY5" s="2" t="str">
        <f>IF(OR('A créer'!D5="Oui",LEN('A créer'!D5)=0),"","*SAVE")</f>
        <v>*SAVE</v>
      </c>
      <c r="AZ5" s="2" t="s">
        <v>166</v>
      </c>
    </row>
    <row r="6" spans="1:52" x14ac:dyDescent="0.25">
      <c r="A6" s="2" t="str">
        <f>IF(OR('A créer'!D6="Oui",LEN('A créer'!D6)=0),IF(AND(LEN('A créer'!B6)&gt;0,'A créer'!B6&lt;&gt;'A créer'!H6)=TRUE,"*FN",""),"*FN")</f>
        <v>*FN</v>
      </c>
      <c r="B6" s="7" t="str">
        <f>IF(OR('A créer'!D6="Oui",LEN('A créer'!D6)=0),IF(LEN('A créer'!B6)&gt;0,IF('A créer'!B6='A créer'!H6,"",CONCATENATE('A créer'!B6,'A créer'!A6)),""),CONCATENATE('A créer'!B6,'A créer'!A6))</f>
        <v>DOS0450</v>
      </c>
      <c r="C6" s="2" t="str">
        <f>IF(OR('A créer'!D6="Oui",LEN('A créer'!D6)=0),IF(AND(LEN('A créer'!B6)&gt;0,'A créer'!B6&lt;&gt;'A créer'!H6)=TRUE,"Tab",""),"Tab")</f>
        <v>Tab</v>
      </c>
      <c r="D6" s="7" t="str">
        <f>IF(OR('A créer'!D6="Oui",LEN('A créer'!D6)=0),IF(AND(LEN('A créer'!B6)&gt;0,'A créer'!B6&lt;&gt;'A créer'!H6)=TRUE,CONCATENATE('A créer'!B6,'A créer'!A6,"-",'A créer'!C6),""),CONCATENATE('A créer'!B6,'A créer'!A6,"-",'A créer'!C6))</f>
        <v>DOS0450-SOCIETE VALMY DEFENSE 118</v>
      </c>
      <c r="E6" s="2" t="str">
        <f>IF(OR('A créer'!D6="Oui",LEN('A créer'!D6)=0),IF(AND(LEN('A créer'!B6)&gt;0,'A créer'!B6&lt;&gt;'A créer'!H6)=TRUE,"Tab 4",""),"Tab 4")</f>
        <v>Tab 4</v>
      </c>
      <c r="F6" s="2" t="str">
        <f>IF(OR('A créer'!D6="Oui",LEN('A créer'!D6)=0),IF(AND(LEN('A créer'!B6)&gt;0,'A créer'!B6&lt;&gt;'A créer'!H6)=TRUE,"Tab",""),"Tab")</f>
        <v>Tab</v>
      </c>
      <c r="G6" s="2" t="str">
        <f>IF(OR('A créer'!D6="Oui",LEN('A créer'!D6)=0),IF(AND(LEN('A créer'!B6)&gt;0,'A créer'!B6&lt;&gt;'A créer'!H6)=TRUE,"Tab",""),"Tab")</f>
        <v>Tab</v>
      </c>
      <c r="H6" s="2" t="str">
        <f>IF(OR('A créer'!D6="Oui",LEN('A créer'!D6)=0),IF(AND(LEN('A créer'!B6)&gt;0,'A créer'!B6&lt;&gt;'A créer'!H6)=TRUE,"ENT",""),"ENT")</f>
        <v>ENT</v>
      </c>
      <c r="I6" s="7" t="str">
        <f>IF('A créer'!D6="Oui",IF(AND(LEN('A créer'!B6)&gt;0,'A créer'!B6&lt;&gt;'A créer'!H6)=TRUE,'A créer'!G6,""),'A créer'!G6)</f>
        <v>YS2018</v>
      </c>
      <c r="J6" s="2" t="str">
        <f>IF(OR('A créer'!D6="Oui",LEN('A créer'!D6)=0),IF(AND(LEN('A créer'!B6)&gt;0,'A créer'!B6&lt;&gt;'A créer'!H6)=TRUE,"Tab",""),"Tab")</f>
        <v>Tab</v>
      </c>
      <c r="K6" s="7" t="str">
        <f>IF(OR('A créer'!D6="Oui",LEN('A créer'!D6)=0),IF(AND(LEN('A créer'!B6)&gt;0,'A créer'!B6&lt;&gt;'A créer'!H6)=TRUE,"Oui",""),"Oui")</f>
        <v>Oui</v>
      </c>
      <c r="L6" s="2" t="str">
        <f>IF(OR('A créer'!D6="Oui",LEN('A créer'!D6)=0),IF(AND(LEN('A créer'!B6)&gt;0,'A créer'!B6&lt;&gt;'A créer'!H6)=TRUE,"Tab",""),"Tab")</f>
        <v>Tab</v>
      </c>
      <c r="M6" s="7" t="str">
        <f>IF(OR('A créer'!D6="Oui",LEN('A créer'!D6)=0),IF(AND(LEN('A créer'!B6)&gt;0,'A créer'!B6&lt;&gt;'A créer'!H6)=TRUE,'A créer'!E6,""),'A créer'!E6)</f>
        <v>Non</v>
      </c>
      <c r="N6" s="2" t="str">
        <f>IF(OR('A créer'!D6="Oui",LEN('A créer'!D6)=0),IF(AND(LEN('A créer'!B6)&gt;0,'A créer'!B6&lt;&gt;'A créer'!H6)=TRUE,"ENT",""),"ENT")</f>
        <v>ENT</v>
      </c>
      <c r="O6" s="2" t="str">
        <f>IF(OR('A créer'!D6="Oui",LEN('A créer'!D6)=0),IF(AND(LEN('A créer'!B6)&gt;0,'A créer'!B6&lt;&gt;'A créer'!H6)=TRUE,"*SAVE",""),"*SAVE")</f>
        <v>*SAVE</v>
      </c>
      <c r="P6" s="2" t="str">
        <f>IF(OR('A créer'!D6="Oui",LEN('A créer'!D6)=0),"","*FN")</f>
        <v>*FN</v>
      </c>
      <c r="Q6" s="7" t="str">
        <f>IF(OR('A créer'!D6="Oui",LEN('A créer'!D6)=0),"",CONCATENATE("XXX",'A créer'!A6))</f>
        <v>XXX0450</v>
      </c>
      <c r="R6" s="2" t="str">
        <f>IF(OR('A créer'!D6="Oui",LEN('A créer'!D6)=0),"","Tab")</f>
        <v>Tab</v>
      </c>
      <c r="S6" s="7" t="str">
        <f>IF(OR('A créer'!D6="Oui",LEN('A créer'!D6)=0),"",CONCATENATE("XXX-",'A créer'!C6))</f>
        <v>XXX-SOCIETE VALMY DEFENSE 118</v>
      </c>
      <c r="T6" s="2" t="str">
        <f>IF(OR('A créer'!D6="Oui",LEN('A créer'!D6)=0),"","Tab 4")</f>
        <v>Tab 4</v>
      </c>
      <c r="U6" s="2" t="str">
        <f>IF(OR('A créer'!D6="Oui",LEN('A créer'!D6)=0),"","Tab")</f>
        <v>Tab</v>
      </c>
      <c r="V6" s="2" t="str">
        <f>IF(OR('A créer'!D6="Oui",LEN('A créer'!D6)=0),"","Tab")</f>
        <v>Tab</v>
      </c>
      <c r="W6" s="2" t="str">
        <f>IF(OR('A créer'!D6="Oui",LEN('A créer'!D6)=0),"","ENT")</f>
        <v>ENT</v>
      </c>
      <c r="X6" s="7" t="str">
        <f>IF(OR('A créer'!D6="Oui",LEN('A créer'!D6)=0),"",'A créer'!G6)</f>
        <v>YS2018</v>
      </c>
      <c r="Y6" s="2" t="str">
        <f>IF(OR('A créer'!D6="Oui",LEN('A créer'!D6)=0),"","Tab")</f>
        <v>Tab</v>
      </c>
      <c r="Z6" s="7" t="str">
        <f>IF(OR('A créer'!D6="Oui",LEN('A créer'!D6)=0),"","Oui")</f>
        <v>Oui</v>
      </c>
      <c r="AA6" s="2" t="str">
        <f>IF(OR('A créer'!D6="Oui",LEN('A créer'!D6)=0),"","Tab")</f>
        <v>Tab</v>
      </c>
      <c r="AB6" s="7" t="str">
        <f>IF(OR('A créer'!D6="Oui",LEN('A créer'!D6)=0),"","NON")</f>
        <v>NON</v>
      </c>
      <c r="AC6" s="2" t="str">
        <f>IF(OR('A créer'!D6="Oui",LEN('A créer'!D6)=0),"","ENT")</f>
        <v>ENT</v>
      </c>
      <c r="AD6" s="2" t="str">
        <f>IF(OR('A créer'!D6="Oui",LEN('A créer'!D6)=0),"","*SAVE")</f>
        <v>*SAVE</v>
      </c>
      <c r="AE6" s="2" t="str">
        <f>IF(OR('A créer'!D6="Oui",LEN('A créer'!D6)=0),"","*FN")</f>
        <v>*FN</v>
      </c>
      <c r="AF6" s="7" t="str">
        <f>IF(OR('A créer'!D6="Oui",LEN('A créer'!D6)=0),"",'A créer'!A6)</f>
        <v>0450</v>
      </c>
      <c r="AG6" s="2" t="str">
        <f>IF(OR('A créer'!D6="Oui",LEN('A créer'!D6)=0),"","Tab")</f>
        <v>Tab</v>
      </c>
      <c r="AH6" s="7" t="str">
        <f>IF(OR('A créer'!D6="Oui",LEN('A créer'!D6)=0),"",'A créer'!C6)</f>
        <v>SOCIETE VALMY DEFENSE 118</v>
      </c>
      <c r="AI6" s="2" t="str">
        <f>IF(OR('A créer'!D6="Oui",LEN('A créer'!D6)=0),"","Tab 4")</f>
        <v>Tab 4</v>
      </c>
      <c r="AJ6" s="2" t="str">
        <f>IF(OR('A créer'!D6="Oui",LEN('A créer'!D6)=0),"","*SB")</f>
        <v>*SB</v>
      </c>
      <c r="AK6" s="2" t="str">
        <f>IF(OR('A créer'!D6="Oui",LEN('A créer'!D6)=0),"","Tab")</f>
        <v>Tab</v>
      </c>
      <c r="AL6" s="7" t="str">
        <f>IF(OR('A créer'!D6="Oui",LEN('A créer'!D6)=0),"","InterCoSte")</f>
        <v>InterCoSte</v>
      </c>
      <c r="AM6" s="2" t="str">
        <f>IF(OR('A créer'!D6="Oui",LEN('A créer'!D6)=0),"","Tab")</f>
        <v>Tab</v>
      </c>
      <c r="AN6" s="2" t="str">
        <f>IF(OR('A créer'!D6="Oui",LEN('A créer'!D6)=0),"","Tab")</f>
        <v>Tab</v>
      </c>
      <c r="AO6" s="2" t="str">
        <f>IF(OR('A créer'!D6="Oui",LEN('A créer'!D6)=0),"","ENT")</f>
        <v>ENT</v>
      </c>
      <c r="AP6" s="2" t="str">
        <f>IF(OR('A créer'!D6="Oui",LEN('A créer'!D6)=0),"","ENT")</f>
        <v>ENT</v>
      </c>
      <c r="AQ6" s="2" t="str">
        <f>IF(OR('A créer'!D6="Oui",LEN('A créer'!D6)=0),"","*SAVE")</f>
        <v>*SAVE</v>
      </c>
      <c r="AR6" s="2" t="str">
        <f>IF(OR('A créer'!D6="Oui",LEN('A créer'!D6)=0),"","*UP")</f>
        <v>*UP</v>
      </c>
      <c r="AS6" s="2" t="str">
        <f>IF(OR('A créer'!D6="Oui",LEN('A créer'!D6)=0),"","*Aé")</f>
        <v>*Aé</v>
      </c>
      <c r="AT6" s="7" t="str">
        <f>IF(OR('A créer'!D6="Oui",LEN('A créer'!D6)=0),"",CONCATENATE('A créer'!B6,'A créer'!A6))</f>
        <v>DOS0450</v>
      </c>
      <c r="AU6" s="2" t="str">
        <f>IF(OR('A créer'!D6="Oui",LEN('A créer'!D6)=0),"","Tab")</f>
        <v>Tab</v>
      </c>
      <c r="AV6" s="2" t="str">
        <f>IF(OR('A créer'!D6="Oui",LEN('A créer'!D6)=0),"","*DN")</f>
        <v>*DN</v>
      </c>
      <c r="AW6" s="7" t="str">
        <f>IF(OR('A créer'!D6="Oui",LEN('A créer'!D6)=0),"",CONCATENATE("XXX",'A créer'!A6))</f>
        <v>XXX0450</v>
      </c>
      <c r="AX6" s="2" t="str">
        <f>IF(OR('A créer'!D6="Oui",LEN('A créer'!D6)=0),"","Tab")</f>
        <v>Tab</v>
      </c>
      <c r="AY6" s="2" t="str">
        <f>IF(OR('A créer'!D6="Oui",LEN('A créer'!D6)=0),"","*SAVE")</f>
        <v>*SAVE</v>
      </c>
      <c r="AZ6" s="2" t="s">
        <v>166</v>
      </c>
    </row>
    <row r="7" spans="1:52" x14ac:dyDescent="0.25">
      <c r="A7" s="2" t="str">
        <f>IF(OR('A créer'!D7="Oui",LEN('A créer'!D7)=0),IF(AND(LEN('A créer'!B7)&gt;0,'A créer'!B7&lt;&gt;'A créer'!H7)=TRUE,"*FN",""),"*FN")</f>
        <v>*FN</v>
      </c>
      <c r="B7" s="7" t="str">
        <f>IF(OR('A créer'!D7="Oui",LEN('A créer'!D7)=0),IF(LEN('A créer'!B7)&gt;0,IF('A créer'!B7='A créer'!H7,"",CONCATENATE('A créer'!B7,'A créer'!A7)),""),CONCATENATE('A créer'!B7,'A créer'!A7))</f>
        <v>DOS0454</v>
      </c>
      <c r="C7" s="2" t="str">
        <f>IF(OR('A créer'!D7="Oui",LEN('A créer'!D7)=0),IF(AND(LEN('A créer'!B7)&gt;0,'A créer'!B7&lt;&gt;'A créer'!H7)=TRUE,"Tab",""),"Tab")</f>
        <v>Tab</v>
      </c>
      <c r="D7" s="7" t="str">
        <f>IF(OR('A créer'!D7="Oui",LEN('A créer'!D7)=0),IF(AND(LEN('A créer'!B7)&gt;0,'A créer'!B7&lt;&gt;'A créer'!H7)=TRUE,CONCATENATE('A créer'!B7,'A créer'!A7,"-",'A créer'!C7),""),CONCATENATE('A créer'!B7,'A créer'!A7,"-",'A créer'!C7))</f>
        <v>DOS0454-SOCIETE VALMY DEFENSE 120</v>
      </c>
      <c r="E7" s="2" t="str">
        <f>IF(OR('A créer'!D7="Oui",LEN('A créer'!D7)=0),IF(AND(LEN('A créer'!B7)&gt;0,'A créer'!B7&lt;&gt;'A créer'!H7)=TRUE,"Tab 4",""),"Tab 4")</f>
        <v>Tab 4</v>
      </c>
      <c r="F7" s="2" t="str">
        <f>IF(OR('A créer'!D7="Oui",LEN('A créer'!D7)=0),IF(AND(LEN('A créer'!B7)&gt;0,'A créer'!B7&lt;&gt;'A créer'!H7)=TRUE,"Tab",""),"Tab")</f>
        <v>Tab</v>
      </c>
      <c r="G7" s="2" t="str">
        <f>IF(OR('A créer'!D7="Oui",LEN('A créer'!D7)=0),IF(AND(LEN('A créer'!B7)&gt;0,'A créer'!B7&lt;&gt;'A créer'!H7)=TRUE,"Tab",""),"Tab")</f>
        <v>Tab</v>
      </c>
      <c r="H7" s="2" t="str">
        <f>IF(OR('A créer'!D7="Oui",LEN('A créer'!D7)=0),IF(AND(LEN('A créer'!B7)&gt;0,'A créer'!B7&lt;&gt;'A créer'!H7)=TRUE,"ENT",""),"ENT")</f>
        <v>ENT</v>
      </c>
      <c r="I7" s="7" t="str">
        <f>IF('A créer'!D7="Oui",IF(AND(LEN('A créer'!B7)&gt;0,'A créer'!B7&lt;&gt;'A créer'!H7)=TRUE,'A créer'!G7,""),'A créer'!G7)</f>
        <v>YS2020</v>
      </c>
      <c r="J7" s="2" t="str">
        <f>IF(OR('A créer'!D7="Oui",LEN('A créer'!D7)=0),IF(AND(LEN('A créer'!B7)&gt;0,'A créer'!B7&lt;&gt;'A créer'!H7)=TRUE,"Tab",""),"Tab")</f>
        <v>Tab</v>
      </c>
      <c r="K7" s="7" t="str">
        <f>IF(OR('A créer'!D7="Oui",LEN('A créer'!D7)=0),IF(AND(LEN('A créer'!B7)&gt;0,'A créer'!B7&lt;&gt;'A créer'!H7)=TRUE,"Oui",""),"Oui")</f>
        <v>Oui</v>
      </c>
      <c r="L7" s="2" t="str">
        <f>IF(OR('A créer'!D7="Oui",LEN('A créer'!D7)=0),IF(AND(LEN('A créer'!B7)&gt;0,'A créer'!B7&lt;&gt;'A créer'!H7)=TRUE,"Tab",""),"Tab")</f>
        <v>Tab</v>
      </c>
      <c r="M7" s="7" t="str">
        <f>IF(OR('A créer'!D7="Oui",LEN('A créer'!D7)=0),IF(AND(LEN('A créer'!B7)&gt;0,'A créer'!B7&lt;&gt;'A créer'!H7)=TRUE,'A créer'!E7,""),'A créer'!E7)</f>
        <v>Non</v>
      </c>
      <c r="N7" s="2" t="str">
        <f>IF(OR('A créer'!D7="Oui",LEN('A créer'!D7)=0),IF(AND(LEN('A créer'!B7)&gt;0,'A créer'!B7&lt;&gt;'A créer'!H7)=TRUE,"ENT",""),"ENT")</f>
        <v>ENT</v>
      </c>
      <c r="O7" s="2" t="str">
        <f>IF(OR('A créer'!D7="Oui",LEN('A créer'!D7)=0),IF(AND(LEN('A créer'!B7)&gt;0,'A créer'!B7&lt;&gt;'A créer'!H7)=TRUE,"*SAVE",""),"*SAVE")</f>
        <v>*SAVE</v>
      </c>
      <c r="P7" s="2" t="str">
        <f>IF(OR('A créer'!D7="Oui",LEN('A créer'!D7)=0),"","*FN")</f>
        <v>*FN</v>
      </c>
      <c r="Q7" s="7" t="str">
        <f>IF(OR('A créer'!D7="Oui",LEN('A créer'!D7)=0),"",CONCATENATE("XXX",'A créer'!A7))</f>
        <v>XXX0454</v>
      </c>
      <c r="R7" s="2" t="str">
        <f>IF(OR('A créer'!D7="Oui",LEN('A créer'!D7)=0),"","Tab")</f>
        <v>Tab</v>
      </c>
      <c r="S7" s="7" t="str">
        <f>IF(OR('A créer'!D7="Oui",LEN('A créer'!D7)=0),"",CONCATENATE("XXX-",'A créer'!C7))</f>
        <v>XXX-SOCIETE VALMY DEFENSE 120</v>
      </c>
      <c r="T7" s="2" t="str">
        <f>IF(OR('A créer'!D7="Oui",LEN('A créer'!D7)=0),"","Tab 4")</f>
        <v>Tab 4</v>
      </c>
      <c r="U7" s="2" t="str">
        <f>IF(OR('A créer'!D7="Oui",LEN('A créer'!D7)=0),"","Tab")</f>
        <v>Tab</v>
      </c>
      <c r="V7" s="2" t="str">
        <f>IF(OR('A créer'!D7="Oui",LEN('A créer'!D7)=0),"","Tab")</f>
        <v>Tab</v>
      </c>
      <c r="W7" s="2" t="str">
        <f>IF(OR('A créer'!D7="Oui",LEN('A créer'!D7)=0),"","ENT")</f>
        <v>ENT</v>
      </c>
      <c r="X7" s="7" t="str">
        <f>IF(OR('A créer'!D7="Oui",LEN('A créer'!D7)=0),"",'A créer'!G7)</f>
        <v>YS2020</v>
      </c>
      <c r="Y7" s="2" t="str">
        <f>IF(OR('A créer'!D7="Oui",LEN('A créer'!D7)=0),"","Tab")</f>
        <v>Tab</v>
      </c>
      <c r="Z7" s="7" t="str">
        <f>IF(OR('A créer'!D7="Oui",LEN('A créer'!D7)=0),"","Oui")</f>
        <v>Oui</v>
      </c>
      <c r="AA7" s="2" t="str">
        <f>IF(OR('A créer'!D7="Oui",LEN('A créer'!D7)=0),"","Tab")</f>
        <v>Tab</v>
      </c>
      <c r="AB7" s="7" t="str">
        <f>IF(OR('A créer'!D7="Oui",LEN('A créer'!D7)=0),"","NON")</f>
        <v>NON</v>
      </c>
      <c r="AC7" s="2" t="str">
        <f>IF(OR('A créer'!D7="Oui",LEN('A créer'!D7)=0),"","ENT")</f>
        <v>ENT</v>
      </c>
      <c r="AD7" s="2" t="str">
        <f>IF(OR('A créer'!D7="Oui",LEN('A créer'!D7)=0),"","*SAVE")</f>
        <v>*SAVE</v>
      </c>
      <c r="AE7" s="2" t="str">
        <f>IF(OR('A créer'!D7="Oui",LEN('A créer'!D7)=0),"","*FN")</f>
        <v>*FN</v>
      </c>
      <c r="AF7" s="7" t="str">
        <f>IF(OR('A créer'!D7="Oui",LEN('A créer'!D7)=0),"",'A créer'!A7)</f>
        <v>0454</v>
      </c>
      <c r="AG7" s="2" t="str">
        <f>IF(OR('A créer'!D7="Oui",LEN('A créer'!D7)=0),"","Tab")</f>
        <v>Tab</v>
      </c>
      <c r="AH7" s="7" t="str">
        <f>IF(OR('A créer'!D7="Oui",LEN('A créer'!D7)=0),"",'A créer'!C7)</f>
        <v>SOCIETE VALMY DEFENSE 120</v>
      </c>
      <c r="AI7" s="2" t="str">
        <f>IF(OR('A créer'!D7="Oui",LEN('A créer'!D7)=0),"","Tab 4")</f>
        <v>Tab 4</v>
      </c>
      <c r="AJ7" s="2" t="str">
        <f>IF(OR('A créer'!D7="Oui",LEN('A créer'!D7)=0),"","*SB")</f>
        <v>*SB</v>
      </c>
      <c r="AK7" s="2" t="str">
        <f>IF(OR('A créer'!D7="Oui",LEN('A créer'!D7)=0),"","Tab")</f>
        <v>Tab</v>
      </c>
      <c r="AL7" s="7" t="str">
        <f>IF(OR('A créer'!D7="Oui",LEN('A créer'!D7)=0),"","InterCoSte")</f>
        <v>InterCoSte</v>
      </c>
      <c r="AM7" s="2" t="str">
        <f>IF(OR('A créer'!D7="Oui",LEN('A créer'!D7)=0),"","Tab")</f>
        <v>Tab</v>
      </c>
      <c r="AN7" s="2" t="str">
        <f>IF(OR('A créer'!D7="Oui",LEN('A créer'!D7)=0),"","Tab")</f>
        <v>Tab</v>
      </c>
      <c r="AO7" s="2" t="str">
        <f>IF(OR('A créer'!D7="Oui",LEN('A créer'!D7)=0),"","ENT")</f>
        <v>ENT</v>
      </c>
      <c r="AP7" s="2" t="str">
        <f>IF(OR('A créer'!D7="Oui",LEN('A créer'!D7)=0),"","ENT")</f>
        <v>ENT</v>
      </c>
      <c r="AQ7" s="2" t="str">
        <f>IF(OR('A créer'!D7="Oui",LEN('A créer'!D7)=0),"","*SAVE")</f>
        <v>*SAVE</v>
      </c>
      <c r="AR7" s="2" t="str">
        <f>IF(OR('A créer'!D7="Oui",LEN('A créer'!D7)=0),"","*UP")</f>
        <v>*UP</v>
      </c>
      <c r="AS7" s="2" t="str">
        <f>IF(OR('A créer'!D7="Oui",LEN('A créer'!D7)=0),"","*Aé")</f>
        <v>*Aé</v>
      </c>
      <c r="AT7" s="7" t="str">
        <f>IF(OR('A créer'!D7="Oui",LEN('A créer'!D7)=0),"",CONCATENATE('A créer'!B7,'A créer'!A7))</f>
        <v>DOS0454</v>
      </c>
      <c r="AU7" s="2" t="str">
        <f>IF(OR('A créer'!D7="Oui",LEN('A créer'!D7)=0),"","Tab")</f>
        <v>Tab</v>
      </c>
      <c r="AV7" s="2" t="str">
        <f>IF(OR('A créer'!D7="Oui",LEN('A créer'!D7)=0),"","*DN")</f>
        <v>*DN</v>
      </c>
      <c r="AW7" s="7" t="str">
        <f>IF(OR('A créer'!D7="Oui",LEN('A créer'!D7)=0),"",CONCATENATE("XXX",'A créer'!A7))</f>
        <v>XXX0454</v>
      </c>
      <c r="AX7" s="2" t="str">
        <f>IF(OR('A créer'!D7="Oui",LEN('A créer'!D7)=0),"","Tab")</f>
        <v>Tab</v>
      </c>
      <c r="AY7" s="2" t="str">
        <f>IF(OR('A créer'!D7="Oui",LEN('A créer'!D7)=0),"","*SAVE")</f>
        <v>*SAVE</v>
      </c>
      <c r="AZ7" s="2" t="s">
        <v>166</v>
      </c>
    </row>
    <row r="8" spans="1:52" x14ac:dyDescent="0.25">
      <c r="A8" s="2" t="str">
        <f>IF(OR('A créer'!D8="Oui",LEN('A créer'!D8)=0),IF(AND(LEN('A créer'!B8)&gt;0,'A créer'!B8&lt;&gt;'A créer'!H8)=TRUE,"*FN",""),"*FN")</f>
        <v>*FN</v>
      </c>
      <c r="B8" s="7" t="str">
        <f>IF(OR('A créer'!D8="Oui",LEN('A créer'!D8)=0),IF(LEN('A créer'!B8)&gt;0,IF('A créer'!B8='A créer'!H8,"",CONCATENATE('A créer'!B8,'A créer'!A8)),""),CONCATENATE('A créer'!B8,'A créer'!A8))</f>
        <v>DOS0455</v>
      </c>
      <c r="C8" s="2" t="str">
        <f>IF(OR('A créer'!D8="Oui",LEN('A créer'!D8)=0),IF(AND(LEN('A créer'!B8)&gt;0,'A créer'!B8&lt;&gt;'A créer'!H8)=TRUE,"Tab",""),"Tab")</f>
        <v>Tab</v>
      </c>
      <c r="D8" s="7" t="str">
        <f>IF(OR('A créer'!D8="Oui",LEN('A créer'!D8)=0),IF(AND(LEN('A créer'!B8)&gt;0,'A créer'!B8&lt;&gt;'A créer'!H8)=TRUE,CONCATENATE('A créer'!B8,'A créer'!A8,"-",'A créer'!C8),""),CONCATENATE('A créer'!B8,'A créer'!A8,"-",'A créer'!C8))</f>
        <v>DOS0455-SOCIETE VALMY DEFENSE 121</v>
      </c>
      <c r="E8" s="2" t="str">
        <f>IF(OR('A créer'!D8="Oui",LEN('A créer'!D8)=0),IF(AND(LEN('A créer'!B8)&gt;0,'A créer'!B8&lt;&gt;'A créer'!H8)=TRUE,"Tab 4",""),"Tab 4")</f>
        <v>Tab 4</v>
      </c>
      <c r="F8" s="2" t="str">
        <f>IF(OR('A créer'!D8="Oui",LEN('A créer'!D8)=0),IF(AND(LEN('A créer'!B8)&gt;0,'A créer'!B8&lt;&gt;'A créer'!H8)=TRUE,"Tab",""),"Tab")</f>
        <v>Tab</v>
      </c>
      <c r="G8" s="2" t="str">
        <f>IF(OR('A créer'!D8="Oui",LEN('A créer'!D8)=0),IF(AND(LEN('A créer'!B8)&gt;0,'A créer'!B8&lt;&gt;'A créer'!H8)=TRUE,"Tab",""),"Tab")</f>
        <v>Tab</v>
      </c>
      <c r="H8" s="2" t="str">
        <f>IF(OR('A créer'!D8="Oui",LEN('A créer'!D8)=0),IF(AND(LEN('A créer'!B8)&gt;0,'A créer'!B8&lt;&gt;'A créer'!H8)=TRUE,"ENT",""),"ENT")</f>
        <v>ENT</v>
      </c>
      <c r="I8" s="7" t="str">
        <f>IF('A créer'!D8="Oui",IF(AND(LEN('A créer'!B8)&gt;0,'A créer'!B8&lt;&gt;'A créer'!H8)=TRUE,'A créer'!G8,""),'A créer'!G8)</f>
        <v>YS2021</v>
      </c>
      <c r="J8" s="2" t="str">
        <f>IF(OR('A créer'!D8="Oui",LEN('A créer'!D8)=0),IF(AND(LEN('A créer'!B8)&gt;0,'A créer'!B8&lt;&gt;'A créer'!H8)=TRUE,"Tab",""),"Tab")</f>
        <v>Tab</v>
      </c>
      <c r="K8" s="7" t="str">
        <f>IF(OR('A créer'!D8="Oui",LEN('A créer'!D8)=0),IF(AND(LEN('A créer'!B8)&gt;0,'A créer'!B8&lt;&gt;'A créer'!H8)=TRUE,"Oui",""),"Oui")</f>
        <v>Oui</v>
      </c>
      <c r="L8" s="2" t="str">
        <f>IF(OR('A créer'!D8="Oui",LEN('A créer'!D8)=0),IF(AND(LEN('A créer'!B8)&gt;0,'A créer'!B8&lt;&gt;'A créer'!H8)=TRUE,"Tab",""),"Tab")</f>
        <v>Tab</v>
      </c>
      <c r="M8" s="7" t="str">
        <f>IF(OR('A créer'!D8="Oui",LEN('A créer'!D8)=0),IF(AND(LEN('A créer'!B8)&gt;0,'A créer'!B8&lt;&gt;'A créer'!H8)=TRUE,'A créer'!E8,""),'A créer'!E8)</f>
        <v>Non</v>
      </c>
      <c r="N8" s="2" t="str">
        <f>IF(OR('A créer'!D8="Oui",LEN('A créer'!D8)=0),IF(AND(LEN('A créer'!B8)&gt;0,'A créer'!B8&lt;&gt;'A créer'!H8)=TRUE,"ENT",""),"ENT")</f>
        <v>ENT</v>
      </c>
      <c r="O8" s="2" t="str">
        <f>IF(OR('A créer'!D8="Oui",LEN('A créer'!D8)=0),IF(AND(LEN('A créer'!B8)&gt;0,'A créer'!B8&lt;&gt;'A créer'!H8)=TRUE,"*SAVE",""),"*SAVE")</f>
        <v>*SAVE</v>
      </c>
      <c r="P8" s="2" t="str">
        <f>IF(OR('A créer'!D8="Oui",LEN('A créer'!D8)=0),"","*FN")</f>
        <v>*FN</v>
      </c>
      <c r="Q8" s="7" t="str">
        <f>IF(OR('A créer'!D8="Oui",LEN('A créer'!D8)=0),"",CONCATENATE("XXX",'A créer'!A8))</f>
        <v>XXX0455</v>
      </c>
      <c r="R8" s="2" t="str">
        <f>IF(OR('A créer'!D8="Oui",LEN('A créer'!D8)=0),"","Tab")</f>
        <v>Tab</v>
      </c>
      <c r="S8" s="7" t="str">
        <f>IF(OR('A créer'!D8="Oui",LEN('A créer'!D8)=0),"",CONCATENATE("XXX-",'A créer'!C8))</f>
        <v>XXX-SOCIETE VALMY DEFENSE 121</v>
      </c>
      <c r="T8" s="2" t="str">
        <f>IF(OR('A créer'!D8="Oui",LEN('A créer'!D8)=0),"","Tab 4")</f>
        <v>Tab 4</v>
      </c>
      <c r="U8" s="2" t="str">
        <f>IF(OR('A créer'!D8="Oui",LEN('A créer'!D8)=0),"","Tab")</f>
        <v>Tab</v>
      </c>
      <c r="V8" s="2" t="str">
        <f>IF(OR('A créer'!D8="Oui",LEN('A créer'!D8)=0),"","Tab")</f>
        <v>Tab</v>
      </c>
      <c r="W8" s="2" t="str">
        <f>IF(OR('A créer'!D8="Oui",LEN('A créer'!D8)=0),"","ENT")</f>
        <v>ENT</v>
      </c>
      <c r="X8" s="7" t="str">
        <f>IF(OR('A créer'!D8="Oui",LEN('A créer'!D8)=0),"",'A créer'!G8)</f>
        <v>YS2021</v>
      </c>
      <c r="Y8" s="2" t="str">
        <f>IF(OR('A créer'!D8="Oui",LEN('A créer'!D8)=0),"","Tab")</f>
        <v>Tab</v>
      </c>
      <c r="Z8" s="7" t="str">
        <f>IF(OR('A créer'!D8="Oui",LEN('A créer'!D8)=0),"","Oui")</f>
        <v>Oui</v>
      </c>
      <c r="AA8" s="2" t="str">
        <f>IF(OR('A créer'!D8="Oui",LEN('A créer'!D8)=0),"","Tab")</f>
        <v>Tab</v>
      </c>
      <c r="AB8" s="7" t="str">
        <f>IF(OR('A créer'!D8="Oui",LEN('A créer'!D8)=0),"","NON")</f>
        <v>NON</v>
      </c>
      <c r="AC8" s="2" t="str">
        <f>IF(OR('A créer'!D8="Oui",LEN('A créer'!D8)=0),"","ENT")</f>
        <v>ENT</v>
      </c>
      <c r="AD8" s="2" t="str">
        <f>IF(OR('A créer'!D8="Oui",LEN('A créer'!D8)=0),"","*SAVE")</f>
        <v>*SAVE</v>
      </c>
      <c r="AE8" s="2" t="str">
        <f>IF(OR('A créer'!D8="Oui",LEN('A créer'!D8)=0),"","*FN")</f>
        <v>*FN</v>
      </c>
      <c r="AF8" s="7" t="str">
        <f>IF(OR('A créer'!D8="Oui",LEN('A créer'!D8)=0),"",'A créer'!A8)</f>
        <v>0455</v>
      </c>
      <c r="AG8" s="2" t="str">
        <f>IF(OR('A créer'!D8="Oui",LEN('A créer'!D8)=0),"","Tab")</f>
        <v>Tab</v>
      </c>
      <c r="AH8" s="7" t="str">
        <f>IF(OR('A créer'!D8="Oui",LEN('A créer'!D8)=0),"",'A créer'!C8)</f>
        <v>SOCIETE VALMY DEFENSE 121</v>
      </c>
      <c r="AI8" s="2" t="str">
        <f>IF(OR('A créer'!D8="Oui",LEN('A créer'!D8)=0),"","Tab 4")</f>
        <v>Tab 4</v>
      </c>
      <c r="AJ8" s="2" t="str">
        <f>IF(OR('A créer'!D8="Oui",LEN('A créer'!D8)=0),"","*SB")</f>
        <v>*SB</v>
      </c>
      <c r="AK8" s="2" t="str">
        <f>IF(OR('A créer'!D8="Oui",LEN('A créer'!D8)=0),"","Tab")</f>
        <v>Tab</v>
      </c>
      <c r="AL8" s="7" t="str">
        <f>IF(OR('A créer'!D8="Oui",LEN('A créer'!D8)=0),"","InterCoSte")</f>
        <v>InterCoSte</v>
      </c>
      <c r="AM8" s="2" t="str">
        <f>IF(OR('A créer'!D8="Oui",LEN('A créer'!D8)=0),"","Tab")</f>
        <v>Tab</v>
      </c>
      <c r="AN8" s="2" t="str">
        <f>IF(OR('A créer'!D8="Oui",LEN('A créer'!D8)=0),"","Tab")</f>
        <v>Tab</v>
      </c>
      <c r="AO8" s="2" t="str">
        <f>IF(OR('A créer'!D8="Oui",LEN('A créer'!D8)=0),"","ENT")</f>
        <v>ENT</v>
      </c>
      <c r="AP8" s="2" t="str">
        <f>IF(OR('A créer'!D8="Oui",LEN('A créer'!D8)=0),"","ENT")</f>
        <v>ENT</v>
      </c>
      <c r="AQ8" s="2" t="str">
        <f>IF(OR('A créer'!D8="Oui",LEN('A créer'!D8)=0),"","*SAVE")</f>
        <v>*SAVE</v>
      </c>
      <c r="AR8" s="2" t="str">
        <f>IF(OR('A créer'!D8="Oui",LEN('A créer'!D8)=0),"","*UP")</f>
        <v>*UP</v>
      </c>
      <c r="AS8" s="2" t="str">
        <f>IF(OR('A créer'!D8="Oui",LEN('A créer'!D8)=0),"","*Aé")</f>
        <v>*Aé</v>
      </c>
      <c r="AT8" s="7" t="str">
        <f>IF(OR('A créer'!D8="Oui",LEN('A créer'!D8)=0),"",CONCATENATE('A créer'!B8,'A créer'!A8))</f>
        <v>DOS0455</v>
      </c>
      <c r="AU8" s="2" t="str">
        <f>IF(OR('A créer'!D8="Oui",LEN('A créer'!D8)=0),"","Tab")</f>
        <v>Tab</v>
      </c>
      <c r="AV8" s="2" t="str">
        <f>IF(OR('A créer'!D8="Oui",LEN('A créer'!D8)=0),"","*DN")</f>
        <v>*DN</v>
      </c>
      <c r="AW8" s="7" t="str">
        <f>IF(OR('A créer'!D8="Oui",LEN('A créer'!D8)=0),"",CONCATENATE("XXX",'A créer'!A8))</f>
        <v>XXX0455</v>
      </c>
      <c r="AX8" s="2" t="str">
        <f>IF(OR('A créer'!D8="Oui",LEN('A créer'!D8)=0),"","Tab")</f>
        <v>Tab</v>
      </c>
      <c r="AY8" s="2" t="str">
        <f>IF(OR('A créer'!D8="Oui",LEN('A créer'!D8)=0),"","*SAVE")</f>
        <v>*SAVE</v>
      </c>
      <c r="AZ8" s="2" t="s">
        <v>166</v>
      </c>
    </row>
    <row r="9" spans="1:52" x14ac:dyDescent="0.25">
      <c r="A9" s="2" t="str">
        <f>IF(OR('A créer'!D9="Oui",LEN('A créer'!D9)=0),IF(AND(LEN('A créer'!B9)&gt;0,'A créer'!B9&lt;&gt;'A créer'!H9)=TRUE,"*FN",""),"*FN")</f>
        <v>*FN</v>
      </c>
      <c r="B9" s="7" t="str">
        <f>IF(OR('A créer'!D9="Oui",LEN('A créer'!D9)=0),IF(LEN('A créer'!B9)&gt;0,IF('A créer'!B9='A créer'!H9,"",CONCATENATE('A créer'!B9,'A créer'!A9)),""),CONCATENATE('A créer'!B9,'A créer'!A9))</f>
        <v>DOS0456</v>
      </c>
      <c r="C9" s="2" t="str">
        <f>IF(OR('A créer'!D9="Oui",LEN('A créer'!D9)=0),IF(AND(LEN('A créer'!B9)&gt;0,'A créer'!B9&lt;&gt;'A créer'!H9)=TRUE,"Tab",""),"Tab")</f>
        <v>Tab</v>
      </c>
      <c r="D9" s="7" t="str">
        <f>IF(OR('A créer'!D9="Oui",LEN('A créer'!D9)=0),IF(AND(LEN('A créer'!B9)&gt;0,'A créer'!B9&lt;&gt;'A créer'!H9)=TRUE,CONCATENATE('A créer'!B9,'A créer'!A9,"-",'A créer'!C9),""),CONCATENATE('A créer'!B9,'A créer'!A9,"-",'A créer'!C9))</f>
        <v>DOS0456-SOCIETE VALMY DEFENSE 122</v>
      </c>
      <c r="E9" s="2" t="str">
        <f>IF(OR('A créer'!D9="Oui",LEN('A créer'!D9)=0),IF(AND(LEN('A créer'!B9)&gt;0,'A créer'!B9&lt;&gt;'A créer'!H9)=TRUE,"Tab 4",""),"Tab 4")</f>
        <v>Tab 4</v>
      </c>
      <c r="F9" s="2" t="str">
        <f>IF(OR('A créer'!D9="Oui",LEN('A créer'!D9)=0),IF(AND(LEN('A créer'!B9)&gt;0,'A créer'!B9&lt;&gt;'A créer'!H9)=TRUE,"Tab",""),"Tab")</f>
        <v>Tab</v>
      </c>
      <c r="G9" s="2" t="str">
        <f>IF(OR('A créer'!D9="Oui",LEN('A créer'!D9)=0),IF(AND(LEN('A créer'!B9)&gt;0,'A créer'!B9&lt;&gt;'A créer'!H9)=TRUE,"Tab",""),"Tab")</f>
        <v>Tab</v>
      </c>
      <c r="H9" s="2" t="str">
        <f>IF(OR('A créer'!D9="Oui",LEN('A créer'!D9)=0),IF(AND(LEN('A créer'!B9)&gt;0,'A créer'!B9&lt;&gt;'A créer'!H9)=TRUE,"ENT",""),"ENT")</f>
        <v>ENT</v>
      </c>
      <c r="I9" s="7" t="str">
        <f>IF('A créer'!D9="Oui",IF(AND(LEN('A créer'!B9)&gt;0,'A créer'!B9&lt;&gt;'A créer'!H9)=TRUE,'A créer'!G9,""),'A créer'!G9)</f>
        <v>YS2022</v>
      </c>
      <c r="J9" s="2" t="str">
        <f>IF(OR('A créer'!D9="Oui",LEN('A créer'!D9)=0),IF(AND(LEN('A créer'!B9)&gt;0,'A créer'!B9&lt;&gt;'A créer'!H9)=TRUE,"Tab",""),"Tab")</f>
        <v>Tab</v>
      </c>
      <c r="K9" s="7" t="str">
        <f>IF(OR('A créer'!D9="Oui",LEN('A créer'!D9)=0),IF(AND(LEN('A créer'!B9)&gt;0,'A créer'!B9&lt;&gt;'A créer'!H9)=TRUE,"Oui",""),"Oui")</f>
        <v>Oui</v>
      </c>
      <c r="L9" s="2" t="str">
        <f>IF(OR('A créer'!D9="Oui",LEN('A créer'!D9)=0),IF(AND(LEN('A créer'!B9)&gt;0,'A créer'!B9&lt;&gt;'A créer'!H9)=TRUE,"Tab",""),"Tab")</f>
        <v>Tab</v>
      </c>
      <c r="M9" s="7" t="str">
        <f>IF(OR('A créer'!D9="Oui",LEN('A créer'!D9)=0),IF(AND(LEN('A créer'!B9)&gt;0,'A créer'!B9&lt;&gt;'A créer'!H9)=TRUE,'A créer'!E9,""),'A créer'!E9)</f>
        <v>Non</v>
      </c>
      <c r="N9" s="2" t="str">
        <f>IF(OR('A créer'!D9="Oui",LEN('A créer'!D9)=0),IF(AND(LEN('A créer'!B9)&gt;0,'A créer'!B9&lt;&gt;'A créer'!H9)=TRUE,"ENT",""),"ENT")</f>
        <v>ENT</v>
      </c>
      <c r="O9" s="2" t="str">
        <f>IF(OR('A créer'!D9="Oui",LEN('A créer'!D9)=0),IF(AND(LEN('A créer'!B9)&gt;0,'A créer'!B9&lt;&gt;'A créer'!H9)=TRUE,"*SAVE",""),"*SAVE")</f>
        <v>*SAVE</v>
      </c>
      <c r="P9" s="2" t="str">
        <f>IF(OR('A créer'!D9="Oui",LEN('A créer'!D9)=0),"","*FN")</f>
        <v>*FN</v>
      </c>
      <c r="Q9" s="7" t="str">
        <f>IF(OR('A créer'!D9="Oui",LEN('A créer'!D9)=0),"",CONCATENATE("XXX",'A créer'!A9))</f>
        <v>XXX0456</v>
      </c>
      <c r="R9" s="2" t="str">
        <f>IF(OR('A créer'!D9="Oui",LEN('A créer'!D9)=0),"","Tab")</f>
        <v>Tab</v>
      </c>
      <c r="S9" s="7" t="str">
        <f>IF(OR('A créer'!D9="Oui",LEN('A créer'!D9)=0),"",CONCATENATE("XXX-",'A créer'!C9))</f>
        <v>XXX-SOCIETE VALMY DEFENSE 122</v>
      </c>
      <c r="T9" s="2" t="str">
        <f>IF(OR('A créer'!D9="Oui",LEN('A créer'!D9)=0),"","Tab 4")</f>
        <v>Tab 4</v>
      </c>
      <c r="U9" s="2" t="str">
        <f>IF(OR('A créer'!D9="Oui",LEN('A créer'!D9)=0),"","Tab")</f>
        <v>Tab</v>
      </c>
      <c r="V9" s="2" t="str">
        <f>IF(OR('A créer'!D9="Oui",LEN('A créer'!D9)=0),"","Tab")</f>
        <v>Tab</v>
      </c>
      <c r="W9" s="2" t="str">
        <f>IF(OR('A créer'!D9="Oui",LEN('A créer'!D9)=0),"","ENT")</f>
        <v>ENT</v>
      </c>
      <c r="X9" s="7" t="str">
        <f>IF(OR('A créer'!D9="Oui",LEN('A créer'!D9)=0),"",'A créer'!G9)</f>
        <v>YS2022</v>
      </c>
      <c r="Y9" s="2" t="str">
        <f>IF(OR('A créer'!D9="Oui",LEN('A créer'!D9)=0),"","Tab")</f>
        <v>Tab</v>
      </c>
      <c r="Z9" s="7" t="str">
        <f>IF(OR('A créer'!D9="Oui",LEN('A créer'!D9)=0),"","Oui")</f>
        <v>Oui</v>
      </c>
      <c r="AA9" s="2" t="str">
        <f>IF(OR('A créer'!D9="Oui",LEN('A créer'!D9)=0),"","Tab")</f>
        <v>Tab</v>
      </c>
      <c r="AB9" s="7" t="str">
        <f>IF(OR('A créer'!D9="Oui",LEN('A créer'!D9)=0),"","NON")</f>
        <v>NON</v>
      </c>
      <c r="AC9" s="2" t="str">
        <f>IF(OR('A créer'!D9="Oui",LEN('A créer'!D9)=0),"","ENT")</f>
        <v>ENT</v>
      </c>
      <c r="AD9" s="2" t="str">
        <f>IF(OR('A créer'!D9="Oui",LEN('A créer'!D9)=0),"","*SAVE")</f>
        <v>*SAVE</v>
      </c>
      <c r="AE9" s="2" t="str">
        <f>IF(OR('A créer'!D9="Oui",LEN('A créer'!D9)=0),"","*FN")</f>
        <v>*FN</v>
      </c>
      <c r="AF9" s="7" t="str">
        <f>IF(OR('A créer'!D9="Oui",LEN('A créer'!D9)=0),"",'A créer'!A9)</f>
        <v>0456</v>
      </c>
      <c r="AG9" s="2" t="str">
        <f>IF(OR('A créer'!D9="Oui",LEN('A créer'!D9)=0),"","Tab")</f>
        <v>Tab</v>
      </c>
      <c r="AH9" s="7" t="str">
        <f>IF(OR('A créer'!D9="Oui",LEN('A créer'!D9)=0),"",'A créer'!C9)</f>
        <v>SOCIETE VALMY DEFENSE 122</v>
      </c>
      <c r="AI9" s="2" t="str">
        <f>IF(OR('A créer'!D9="Oui",LEN('A créer'!D9)=0),"","Tab 4")</f>
        <v>Tab 4</v>
      </c>
      <c r="AJ9" s="2" t="str">
        <f>IF(OR('A créer'!D9="Oui",LEN('A créer'!D9)=0),"","*SB")</f>
        <v>*SB</v>
      </c>
      <c r="AK9" s="2" t="str">
        <f>IF(OR('A créer'!D9="Oui",LEN('A créer'!D9)=0),"","Tab")</f>
        <v>Tab</v>
      </c>
      <c r="AL9" s="7" t="str">
        <f>IF(OR('A créer'!D9="Oui",LEN('A créer'!D9)=0),"","InterCoSte")</f>
        <v>InterCoSte</v>
      </c>
      <c r="AM9" s="2" t="str">
        <f>IF(OR('A créer'!D9="Oui",LEN('A créer'!D9)=0),"","Tab")</f>
        <v>Tab</v>
      </c>
      <c r="AN9" s="2" t="str">
        <f>IF(OR('A créer'!D9="Oui",LEN('A créer'!D9)=0),"","Tab")</f>
        <v>Tab</v>
      </c>
      <c r="AO9" s="2" t="str">
        <f>IF(OR('A créer'!D9="Oui",LEN('A créer'!D9)=0),"","ENT")</f>
        <v>ENT</v>
      </c>
      <c r="AP9" s="2" t="str">
        <f>IF(OR('A créer'!D9="Oui",LEN('A créer'!D9)=0),"","ENT")</f>
        <v>ENT</v>
      </c>
      <c r="AQ9" s="2" t="str">
        <f>IF(OR('A créer'!D9="Oui",LEN('A créer'!D9)=0),"","*SAVE")</f>
        <v>*SAVE</v>
      </c>
      <c r="AR9" s="2" t="str">
        <f>IF(OR('A créer'!D9="Oui",LEN('A créer'!D9)=0),"","*UP")</f>
        <v>*UP</v>
      </c>
      <c r="AS9" s="2" t="str">
        <f>IF(OR('A créer'!D9="Oui",LEN('A créer'!D9)=0),"","*Aé")</f>
        <v>*Aé</v>
      </c>
      <c r="AT9" s="7" t="str">
        <f>IF(OR('A créer'!D9="Oui",LEN('A créer'!D9)=0),"",CONCATENATE('A créer'!B9,'A créer'!A9))</f>
        <v>DOS0456</v>
      </c>
      <c r="AU9" s="2" t="str">
        <f>IF(OR('A créer'!D9="Oui",LEN('A créer'!D9)=0),"","Tab")</f>
        <v>Tab</v>
      </c>
      <c r="AV9" s="2" t="str">
        <f>IF(OR('A créer'!D9="Oui",LEN('A créer'!D9)=0),"","*DN")</f>
        <v>*DN</v>
      </c>
      <c r="AW9" s="7" t="str">
        <f>IF(OR('A créer'!D9="Oui",LEN('A créer'!D9)=0),"",CONCATENATE("XXX",'A créer'!A9))</f>
        <v>XXX0456</v>
      </c>
      <c r="AX9" s="2" t="str">
        <f>IF(OR('A créer'!D9="Oui",LEN('A créer'!D9)=0),"","Tab")</f>
        <v>Tab</v>
      </c>
      <c r="AY9" s="2" t="str">
        <f>IF(OR('A créer'!D9="Oui",LEN('A créer'!D9)=0),"","*SAVE")</f>
        <v>*SAVE</v>
      </c>
      <c r="AZ9" s="2" t="s">
        <v>166</v>
      </c>
    </row>
    <row r="10" spans="1:52" x14ac:dyDescent="0.25">
      <c r="A10" s="2" t="str">
        <f>IF(OR('A créer'!D10="Oui",LEN('A créer'!D10)=0),IF(AND(LEN('A créer'!B10)&gt;0,'A créer'!B10&lt;&gt;'A créer'!H10)=TRUE,"*FN",""),"*FN")</f>
        <v>*FN</v>
      </c>
      <c r="B10" s="7" t="str">
        <f>IF(OR('A créer'!D10="Oui",LEN('A créer'!D10)=0),IF(LEN('A créer'!B10)&gt;0,IF('A créer'!B10='A créer'!H10,"",CONCATENATE('A créer'!B10,'A créer'!A10)),""),CONCATENATE('A créer'!B10,'A créer'!A10))</f>
        <v>DRW0453</v>
      </c>
      <c r="C10" s="2" t="str">
        <f>IF(OR('A créer'!D10="Oui",LEN('A créer'!D10)=0),IF(AND(LEN('A créer'!B10)&gt;0,'A créer'!B10&lt;&gt;'A créer'!H10)=TRUE,"Tab",""),"Tab")</f>
        <v>Tab</v>
      </c>
      <c r="D10" s="7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>DRW0453-SOCIETE VALMY DEFENSE 119</v>
      </c>
      <c r="E10" s="2" t="str">
        <f>IF(OR('A créer'!D10="Oui",LEN('A créer'!D10)=0),IF(AND(LEN('A créer'!B10)&gt;0,'A créer'!B10&lt;&gt;'A créer'!H10)=TRUE,"Tab 4",""),"Tab 4")</f>
        <v>Tab 4</v>
      </c>
      <c r="F10" s="2" t="str">
        <f>IF(OR('A créer'!D10="Oui",LEN('A créer'!D10)=0),IF(AND(LEN('A créer'!B10)&gt;0,'A créer'!B10&lt;&gt;'A créer'!H10)=TRUE,"Tab",""),"Tab")</f>
        <v>Tab</v>
      </c>
      <c r="G10" s="2" t="str">
        <f>IF(OR('A créer'!D10="Oui",LEN('A créer'!D10)=0),IF(AND(LEN('A créer'!B10)&gt;0,'A créer'!B10&lt;&gt;'A créer'!H10)=TRUE,"Tab",""),"Tab")</f>
        <v>Tab</v>
      </c>
      <c r="H10" s="2" t="str">
        <f>IF(OR('A créer'!D10="Oui",LEN('A créer'!D10)=0),IF(AND(LEN('A créer'!B10)&gt;0,'A créer'!B10&lt;&gt;'A créer'!H10)=TRUE,"ENT",""),"ENT")</f>
        <v>ENT</v>
      </c>
      <c r="I10" s="7" t="str">
        <f>IF('A créer'!D10="Oui",IF(AND(LEN('A créer'!B10)&gt;0,'A créer'!B10&lt;&gt;'A créer'!H10)=TRUE,'A créer'!G10,""),'A créer'!G10)</f>
        <v>S2019</v>
      </c>
      <c r="J10" s="2" t="str">
        <f>IF(OR('A créer'!D10="Oui",LEN('A créer'!D10)=0),IF(AND(LEN('A créer'!B10)&gt;0,'A créer'!B10&lt;&gt;'A créer'!H10)=TRUE,"Tab",""),"Tab")</f>
        <v>Tab</v>
      </c>
      <c r="K10" s="7" t="str">
        <f>IF(OR('A créer'!D10="Oui",LEN('A créer'!D10)=0),IF(AND(LEN('A créer'!B10)&gt;0,'A créer'!B10&lt;&gt;'A créer'!H10)=TRUE,"Oui",""),"Oui")</f>
        <v>Oui</v>
      </c>
      <c r="L10" s="2" t="str">
        <f>IF(OR('A créer'!D10="Oui",LEN('A créer'!D10)=0),IF(AND(LEN('A créer'!B10)&gt;0,'A créer'!B10&lt;&gt;'A créer'!H10)=TRUE,"Tab",""),"Tab")</f>
        <v>Tab</v>
      </c>
      <c r="M10" s="7" t="str">
        <f>IF(OR('A créer'!D10="Oui",LEN('A créer'!D10)=0),IF(AND(LEN('A créer'!B10)&gt;0,'A créer'!B10&lt;&gt;'A créer'!H10)=TRUE,'A créer'!E10,""),'A créer'!E10)</f>
        <v>Non</v>
      </c>
      <c r="N10" s="2" t="str">
        <f>IF(OR('A créer'!D10="Oui",LEN('A créer'!D10)=0),IF(AND(LEN('A créer'!B10)&gt;0,'A créer'!B10&lt;&gt;'A créer'!H10)=TRUE,"ENT",""),"ENT")</f>
        <v>ENT</v>
      </c>
      <c r="O10" s="2" t="str">
        <f>IF(OR('A créer'!D10="Oui",LEN('A créer'!D10)=0),IF(AND(LEN('A créer'!B10)&gt;0,'A créer'!B10&lt;&gt;'A créer'!H10)=TRUE,"*SAVE",""),"*SAVE")</f>
        <v>*SAVE</v>
      </c>
      <c r="P10" s="2" t="str">
        <f>IF(OR('A créer'!D10="Oui",LEN('A créer'!D10)=0),"","*FN")</f>
        <v>*FN</v>
      </c>
      <c r="Q10" s="7" t="str">
        <f>IF(OR('A créer'!D10="Oui",LEN('A créer'!D10)=0),"",CONCATENATE("XXX",'A créer'!A10))</f>
        <v>XXX0453</v>
      </c>
      <c r="R10" s="2" t="str">
        <f>IF(OR('A créer'!D10="Oui",LEN('A créer'!D10)=0),"","Tab")</f>
        <v>Tab</v>
      </c>
      <c r="S10" s="7" t="str">
        <f>IF(OR('A créer'!D10="Oui",LEN('A créer'!D10)=0),"",CONCATENATE("XXX-",'A créer'!C10))</f>
        <v>XXX-SOCIETE VALMY DEFENSE 119</v>
      </c>
      <c r="T10" s="2" t="str">
        <f>IF(OR('A créer'!D10="Oui",LEN('A créer'!D10)=0),"","Tab 4")</f>
        <v>Tab 4</v>
      </c>
      <c r="U10" s="2" t="str">
        <f>IF(OR('A créer'!D10="Oui",LEN('A créer'!D10)=0),"","Tab")</f>
        <v>Tab</v>
      </c>
      <c r="V10" s="2" t="str">
        <f>IF(OR('A créer'!D10="Oui",LEN('A créer'!D10)=0),"","Tab")</f>
        <v>Tab</v>
      </c>
      <c r="W10" s="2" t="str">
        <f>IF(OR('A créer'!D10="Oui",LEN('A créer'!D10)=0),"","ENT")</f>
        <v>ENT</v>
      </c>
      <c r="X10" s="7" t="str">
        <f>IF(OR('A créer'!D10="Oui",LEN('A créer'!D10)=0),"",'A créer'!G10)</f>
        <v>S2019</v>
      </c>
      <c r="Y10" s="2" t="str">
        <f>IF(OR('A créer'!D10="Oui",LEN('A créer'!D10)=0),"","Tab")</f>
        <v>Tab</v>
      </c>
      <c r="Z10" s="7" t="str">
        <f>IF(OR('A créer'!D10="Oui",LEN('A créer'!D10)=0),"","Oui")</f>
        <v>Oui</v>
      </c>
      <c r="AA10" s="2" t="str">
        <f>IF(OR('A créer'!D10="Oui",LEN('A créer'!D10)=0),"","Tab")</f>
        <v>Tab</v>
      </c>
      <c r="AB10" s="7" t="str">
        <f>IF(OR('A créer'!D10="Oui",LEN('A créer'!D10)=0),"","NON")</f>
        <v>NON</v>
      </c>
      <c r="AC10" s="2" t="str">
        <f>IF(OR('A créer'!D10="Oui",LEN('A créer'!D10)=0),"","ENT")</f>
        <v>ENT</v>
      </c>
      <c r="AD10" s="2" t="str">
        <f>IF(OR('A créer'!D10="Oui",LEN('A créer'!D10)=0),"","*SAVE")</f>
        <v>*SAVE</v>
      </c>
      <c r="AE10" s="2" t="str">
        <f>IF(OR('A créer'!D10="Oui",LEN('A créer'!D10)=0),"","*FN")</f>
        <v>*FN</v>
      </c>
      <c r="AF10" s="7" t="str">
        <f>IF(OR('A créer'!D10="Oui",LEN('A créer'!D10)=0),"",'A créer'!A10)</f>
        <v>0453</v>
      </c>
      <c r="AG10" s="2" t="str">
        <f>IF(OR('A créer'!D10="Oui",LEN('A créer'!D10)=0),"","Tab")</f>
        <v>Tab</v>
      </c>
      <c r="AH10" s="7" t="str">
        <f>IF(OR('A créer'!D10="Oui",LEN('A créer'!D10)=0),"",'A créer'!C10)</f>
        <v>SOCIETE VALMY DEFENSE 119</v>
      </c>
      <c r="AI10" s="2" t="str">
        <f>IF(OR('A créer'!D10="Oui",LEN('A créer'!D10)=0),"","Tab 4")</f>
        <v>Tab 4</v>
      </c>
      <c r="AJ10" s="2" t="str">
        <f>IF(OR('A créer'!D10="Oui",LEN('A créer'!D10)=0),"","*SB")</f>
        <v>*SB</v>
      </c>
      <c r="AK10" s="2" t="str">
        <f>IF(OR('A créer'!D10="Oui",LEN('A créer'!D10)=0),"","Tab")</f>
        <v>Tab</v>
      </c>
      <c r="AL10" s="7" t="str">
        <f>IF(OR('A créer'!D10="Oui",LEN('A créer'!D10)=0),"","InterCoSte")</f>
        <v>InterCoSte</v>
      </c>
      <c r="AM10" s="2" t="str">
        <f>IF(OR('A créer'!D10="Oui",LEN('A créer'!D10)=0),"","Tab")</f>
        <v>Tab</v>
      </c>
      <c r="AN10" s="2" t="str">
        <f>IF(OR('A créer'!D10="Oui",LEN('A créer'!D10)=0),"","Tab")</f>
        <v>Tab</v>
      </c>
      <c r="AO10" s="2" t="str">
        <f>IF(OR('A créer'!D10="Oui",LEN('A créer'!D10)=0),"","ENT")</f>
        <v>ENT</v>
      </c>
      <c r="AP10" s="2" t="str">
        <f>IF(OR('A créer'!D10="Oui",LEN('A créer'!D10)=0),"","ENT")</f>
        <v>ENT</v>
      </c>
      <c r="AQ10" s="2" t="str">
        <f>IF(OR('A créer'!D10="Oui",LEN('A créer'!D10)=0),"","*SAVE")</f>
        <v>*SAVE</v>
      </c>
      <c r="AR10" s="2" t="str">
        <f>IF(OR('A créer'!D10="Oui",LEN('A créer'!D10)=0),"","*UP")</f>
        <v>*UP</v>
      </c>
      <c r="AS10" s="2" t="str">
        <f>IF(OR('A créer'!D10="Oui",LEN('A créer'!D10)=0),"","*Aé")</f>
        <v>*Aé</v>
      </c>
      <c r="AT10" s="7" t="str">
        <f>IF(OR('A créer'!D10="Oui",LEN('A créer'!D10)=0),"",CONCATENATE('A créer'!B10,'A créer'!A10))</f>
        <v>DRW0453</v>
      </c>
      <c r="AU10" s="2" t="str">
        <f>IF(OR('A créer'!D10="Oui",LEN('A créer'!D10)=0),"","Tab")</f>
        <v>Tab</v>
      </c>
      <c r="AV10" s="2" t="str">
        <f>IF(OR('A créer'!D10="Oui",LEN('A créer'!D10)=0),"","*DN")</f>
        <v>*DN</v>
      </c>
      <c r="AW10" s="7" t="str">
        <f>IF(OR('A créer'!D10="Oui",LEN('A créer'!D10)=0),"",CONCATENATE("XXX",'A créer'!A10))</f>
        <v>XXX0453</v>
      </c>
      <c r="AX10" s="2" t="str">
        <f>IF(OR('A créer'!D10="Oui",LEN('A créer'!D10)=0),"","Tab")</f>
        <v>Tab</v>
      </c>
      <c r="AY10" s="2" t="str">
        <f>IF(OR('A créer'!D10="Oui",LEN('A créer'!D10)=0),"","*SAVE")</f>
        <v>*SAVE</v>
      </c>
      <c r="AZ10" s="2" t="s">
        <v>166</v>
      </c>
    </row>
    <row r="11" spans="1:52" x14ac:dyDescent="0.25">
      <c r="A11" s="2" t="str">
        <f>IF(OR('A créer'!D11="Oui",LEN('A créer'!D11)=0),IF(AND(LEN('A créer'!B11)&gt;0,'A créer'!B11&lt;&gt;'A créer'!H11)=TRUE,"*FN",""),"*FN")</f>
        <v>*FN</v>
      </c>
      <c r="B11" s="7" t="str">
        <f>IF(OR('A créer'!D11="Oui",LEN('A créer'!D11)=0),IF(LEN('A créer'!B11)&gt;0,IF('A créer'!B11='A créer'!H11,"",CONCATENATE('A créer'!B11,'A créer'!A11)),""),CONCATENATE('A créer'!B11,'A créer'!A11))</f>
        <v>DOS0457</v>
      </c>
      <c r="C11" s="2" t="str">
        <f>IF(OR('A créer'!D11="Oui",LEN('A créer'!D11)=0),IF(AND(LEN('A créer'!B11)&gt;0,'A créer'!B11&lt;&gt;'A créer'!H11)=TRUE,"Tab",""),"Tab")</f>
        <v>Tab</v>
      </c>
      <c r="D11" s="7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>DOS0457-DALKIA MIDDLE EAST</v>
      </c>
      <c r="E11" s="2" t="str">
        <f>IF(OR('A créer'!D11="Oui",LEN('A créer'!D11)=0),IF(AND(LEN('A créer'!B11)&gt;0,'A créer'!B11&lt;&gt;'A créer'!H11)=TRUE,"Tab 4",""),"Tab 4")</f>
        <v>Tab 4</v>
      </c>
      <c r="F11" s="2" t="str">
        <f>IF(OR('A créer'!D11="Oui",LEN('A créer'!D11)=0),IF(AND(LEN('A créer'!B11)&gt;0,'A créer'!B11&lt;&gt;'A créer'!H11)=TRUE,"Tab",""),"Tab")</f>
        <v>Tab</v>
      </c>
      <c r="G11" s="2" t="str">
        <f>IF(OR('A créer'!D11="Oui",LEN('A créer'!D11)=0),IF(AND(LEN('A créer'!B11)&gt;0,'A créer'!B11&lt;&gt;'A créer'!H11)=TRUE,"Tab",""),"Tab")</f>
        <v>Tab</v>
      </c>
      <c r="H11" s="2" t="str">
        <f>IF(OR('A créer'!D11="Oui",LEN('A créer'!D11)=0),IF(AND(LEN('A créer'!B11)&gt;0,'A créer'!B11&lt;&gt;'A créer'!H11)=TRUE,"ENT",""),"ENT")</f>
        <v>ENT</v>
      </c>
      <c r="I11" s="7" t="str">
        <f>IF('A créer'!D11="Oui",IF(AND(LEN('A créer'!B11)&gt;0,'A créer'!B11&lt;&gt;'A créer'!H11)=TRUE,'A créer'!G11,""),'A créer'!G11)</f>
        <v>S2023</v>
      </c>
      <c r="J11" s="2" t="str">
        <f>IF(OR('A créer'!D11="Oui",LEN('A créer'!D11)=0),IF(AND(LEN('A créer'!B11)&gt;0,'A créer'!B11&lt;&gt;'A créer'!H11)=TRUE,"Tab",""),"Tab")</f>
        <v>Tab</v>
      </c>
      <c r="K11" s="7" t="str">
        <f>IF(OR('A créer'!D11="Oui",LEN('A créer'!D11)=0),IF(AND(LEN('A créer'!B11)&gt;0,'A créer'!B11&lt;&gt;'A créer'!H11)=TRUE,"Oui",""),"Oui")</f>
        <v>Oui</v>
      </c>
      <c r="L11" s="2" t="str">
        <f>IF(OR('A créer'!D11="Oui",LEN('A créer'!D11)=0),IF(AND(LEN('A créer'!B11)&gt;0,'A créer'!B11&lt;&gt;'A créer'!H11)=TRUE,"Tab",""),"Tab")</f>
        <v>Tab</v>
      </c>
      <c r="M11" s="7" t="str">
        <f>IF(OR('A créer'!D11="Oui",LEN('A créer'!D11)=0),IF(AND(LEN('A créer'!B11)&gt;0,'A créer'!B11&lt;&gt;'A créer'!H11)=TRUE,'A créer'!E11,""),'A créer'!E11)</f>
        <v>Non</v>
      </c>
      <c r="N11" s="2" t="str">
        <f>IF(OR('A créer'!D11="Oui",LEN('A créer'!D11)=0),IF(AND(LEN('A créer'!B11)&gt;0,'A créer'!B11&lt;&gt;'A créer'!H11)=TRUE,"ENT",""),"ENT")</f>
        <v>ENT</v>
      </c>
      <c r="O11" s="2" t="str">
        <f>IF(OR('A créer'!D11="Oui",LEN('A créer'!D11)=0),IF(AND(LEN('A créer'!B11)&gt;0,'A créer'!B11&lt;&gt;'A créer'!H11)=TRUE,"*SAVE",""),"*SAVE")</f>
        <v>*SAVE</v>
      </c>
      <c r="P11" s="2" t="str">
        <f>IF(OR('A créer'!D11="Oui",LEN('A créer'!D11)=0),"","*FN")</f>
        <v>*FN</v>
      </c>
      <c r="Q11" s="7" t="str">
        <f>IF(OR('A créer'!D11="Oui",LEN('A créer'!D11)=0),"",CONCATENATE("XXX",'A créer'!A11))</f>
        <v>XXX0457</v>
      </c>
      <c r="R11" s="2" t="str">
        <f>IF(OR('A créer'!D11="Oui",LEN('A créer'!D11)=0),"","Tab")</f>
        <v>Tab</v>
      </c>
      <c r="S11" s="7" t="str">
        <f>IF(OR('A créer'!D11="Oui",LEN('A créer'!D11)=0),"",CONCATENATE("XXX-",'A créer'!C11))</f>
        <v>XXX-DALKIA MIDDLE EAST</v>
      </c>
      <c r="T11" s="2" t="str">
        <f>IF(OR('A créer'!D11="Oui",LEN('A créer'!D11)=0),"","Tab 4")</f>
        <v>Tab 4</v>
      </c>
      <c r="U11" s="2" t="str">
        <f>IF(OR('A créer'!D11="Oui",LEN('A créer'!D11)=0),"","Tab")</f>
        <v>Tab</v>
      </c>
      <c r="V11" s="2" t="str">
        <f>IF(OR('A créer'!D11="Oui",LEN('A créer'!D11)=0),"","Tab")</f>
        <v>Tab</v>
      </c>
      <c r="W11" s="2" t="str">
        <f>IF(OR('A créer'!D11="Oui",LEN('A créer'!D11)=0),"","ENT")</f>
        <v>ENT</v>
      </c>
      <c r="X11" s="7" t="str">
        <f>IF(OR('A créer'!D11="Oui",LEN('A créer'!D11)=0),"",'A créer'!G11)</f>
        <v>S2023</v>
      </c>
      <c r="Y11" s="2" t="str">
        <f>IF(OR('A créer'!D11="Oui",LEN('A créer'!D11)=0),"","Tab")</f>
        <v>Tab</v>
      </c>
      <c r="Z11" s="7" t="str">
        <f>IF(OR('A créer'!D11="Oui",LEN('A créer'!D11)=0),"","Oui")</f>
        <v>Oui</v>
      </c>
      <c r="AA11" s="2" t="str">
        <f>IF(OR('A créer'!D11="Oui",LEN('A créer'!D11)=0),"","Tab")</f>
        <v>Tab</v>
      </c>
      <c r="AB11" s="7" t="str">
        <f>IF(OR('A créer'!D11="Oui",LEN('A créer'!D11)=0),"","NON")</f>
        <v>NON</v>
      </c>
      <c r="AC11" s="2" t="str">
        <f>IF(OR('A créer'!D11="Oui",LEN('A créer'!D11)=0),"","ENT")</f>
        <v>ENT</v>
      </c>
      <c r="AD11" s="2" t="str">
        <f>IF(OR('A créer'!D11="Oui",LEN('A créer'!D11)=0),"","*SAVE")</f>
        <v>*SAVE</v>
      </c>
      <c r="AE11" s="2" t="str">
        <f>IF(OR('A créer'!D11="Oui",LEN('A créer'!D11)=0),"","*FN")</f>
        <v>*FN</v>
      </c>
      <c r="AF11" s="7" t="str">
        <f>IF(OR('A créer'!D11="Oui",LEN('A créer'!D11)=0),"",'A créer'!A11)</f>
        <v>0457</v>
      </c>
      <c r="AG11" s="2" t="str">
        <f>IF(OR('A créer'!D11="Oui",LEN('A créer'!D11)=0),"","Tab")</f>
        <v>Tab</v>
      </c>
      <c r="AH11" s="7" t="str">
        <f>IF(OR('A créer'!D11="Oui",LEN('A créer'!D11)=0),"",'A créer'!C11)</f>
        <v>DALKIA MIDDLE EAST</v>
      </c>
      <c r="AI11" s="2" t="str">
        <f>IF(OR('A créer'!D11="Oui",LEN('A créer'!D11)=0),"","Tab 4")</f>
        <v>Tab 4</v>
      </c>
      <c r="AJ11" s="2" t="str">
        <f>IF(OR('A créer'!D11="Oui",LEN('A créer'!D11)=0),"","*SB")</f>
        <v>*SB</v>
      </c>
      <c r="AK11" s="2" t="str">
        <f>IF(OR('A créer'!D11="Oui",LEN('A créer'!D11)=0),"","Tab")</f>
        <v>Tab</v>
      </c>
      <c r="AL11" s="7" t="str">
        <f>IF(OR('A créer'!D11="Oui",LEN('A créer'!D11)=0),"","InterCoSte")</f>
        <v>InterCoSte</v>
      </c>
      <c r="AM11" s="2" t="str">
        <f>IF(OR('A créer'!D11="Oui",LEN('A créer'!D11)=0),"","Tab")</f>
        <v>Tab</v>
      </c>
      <c r="AN11" s="2" t="str">
        <f>IF(OR('A créer'!D11="Oui",LEN('A créer'!D11)=0),"","Tab")</f>
        <v>Tab</v>
      </c>
      <c r="AO11" s="2" t="str">
        <f>IF(OR('A créer'!D11="Oui",LEN('A créer'!D11)=0),"","ENT")</f>
        <v>ENT</v>
      </c>
      <c r="AP11" s="2" t="str">
        <f>IF(OR('A créer'!D11="Oui",LEN('A créer'!D11)=0),"","ENT")</f>
        <v>ENT</v>
      </c>
      <c r="AQ11" s="2" t="str">
        <f>IF(OR('A créer'!D11="Oui",LEN('A créer'!D11)=0),"","*SAVE")</f>
        <v>*SAVE</v>
      </c>
      <c r="AR11" s="2" t="str">
        <f>IF(OR('A créer'!D11="Oui",LEN('A créer'!D11)=0),"","*UP")</f>
        <v>*UP</v>
      </c>
      <c r="AS11" s="2" t="str">
        <f>IF(OR('A créer'!D11="Oui",LEN('A créer'!D11)=0),"","*Aé")</f>
        <v>*Aé</v>
      </c>
      <c r="AT11" s="7" t="str">
        <f>IF(OR('A créer'!D11="Oui",LEN('A créer'!D11)=0),"",CONCATENATE('A créer'!B11,'A créer'!A11))</f>
        <v>DOS0457</v>
      </c>
      <c r="AU11" s="2" t="str">
        <f>IF(OR('A créer'!D11="Oui",LEN('A créer'!D11)=0),"","Tab")</f>
        <v>Tab</v>
      </c>
      <c r="AV11" s="2" t="str">
        <f>IF(OR('A créer'!D11="Oui",LEN('A créer'!D11)=0),"","*DN")</f>
        <v>*DN</v>
      </c>
      <c r="AW11" s="7" t="str">
        <f>IF(OR('A créer'!D11="Oui",LEN('A créer'!D11)=0),"",CONCATENATE("XXX",'A créer'!A11))</f>
        <v>XXX0457</v>
      </c>
      <c r="AX11" s="2" t="str">
        <f>IF(OR('A créer'!D11="Oui",LEN('A créer'!D11)=0),"","Tab")</f>
        <v>Tab</v>
      </c>
      <c r="AY11" s="2" t="str">
        <f>IF(OR('A créer'!D11="Oui",LEN('A créer'!D11)=0),"","*SAVE")</f>
        <v>*SAVE</v>
      </c>
      <c r="AZ11" s="2" t="s">
        <v>166</v>
      </c>
    </row>
    <row r="12" spans="1:52" x14ac:dyDescent="0.25">
      <c r="A12" s="2" t="str">
        <f>IF(OR('A créer'!D12="Oui",LEN('A créer'!D12)=0),IF(AND(LEN('A créer'!B12)&gt;0,'A créer'!B12&lt;&gt;'A créer'!H12)=TRUE,"*FN",""),"*FN")</f>
        <v>*FN</v>
      </c>
      <c r="B12" s="7" t="str">
        <f>IF(OR('A créer'!D12="Oui",LEN('A créer'!D12)=0),IF(LEN('A créer'!B12)&gt;0,IF('A créer'!B12='A créer'!H12,"",CONCATENATE('A créer'!B12,'A créer'!A12)),""),CONCATENATE('A créer'!B12,'A créer'!A12))</f>
        <v>DOS0473</v>
      </c>
      <c r="C12" s="2" t="str">
        <f>IF(OR('A créer'!D12="Oui",LEN('A créer'!D12)=0),IF(AND(LEN('A créer'!B12)&gt;0,'A créer'!B12&lt;&gt;'A créer'!H12)=TRUE,"Tab",""),"Tab")</f>
        <v>Tab</v>
      </c>
      <c r="D12" s="7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>DOS0473-CITELUM IG</v>
      </c>
      <c r="E12" s="2" t="str">
        <f>IF(OR('A créer'!D12="Oui",LEN('A créer'!D12)=0),IF(AND(LEN('A créer'!B12)&gt;0,'A créer'!B12&lt;&gt;'A créer'!H12)=TRUE,"Tab 4",""),"Tab 4")</f>
        <v>Tab 4</v>
      </c>
      <c r="F12" s="2" t="str">
        <f>IF(OR('A créer'!D12="Oui",LEN('A créer'!D12)=0),IF(AND(LEN('A créer'!B12)&gt;0,'A créer'!B12&lt;&gt;'A créer'!H12)=TRUE,"Tab",""),"Tab")</f>
        <v>Tab</v>
      </c>
      <c r="G12" s="2" t="str">
        <f>IF(OR('A créer'!D12="Oui",LEN('A créer'!D12)=0),IF(AND(LEN('A créer'!B12)&gt;0,'A créer'!B12&lt;&gt;'A créer'!H12)=TRUE,"Tab",""),"Tab")</f>
        <v>Tab</v>
      </c>
      <c r="H12" s="2" t="str">
        <f>IF(OR('A créer'!D12="Oui",LEN('A créer'!D12)=0),IF(AND(LEN('A créer'!B12)&gt;0,'A créer'!B12&lt;&gt;'A créer'!H12)=TRUE,"ENT",""),"ENT")</f>
        <v>ENT</v>
      </c>
      <c r="I12" s="7" t="str">
        <f>IF('A créer'!D12="Oui",IF(AND(LEN('A créer'!B12)&gt;0,'A créer'!B12&lt;&gt;'A créer'!H12)=TRUE,'A créer'!G12,""),'A créer'!G12)</f>
        <v>SD031IGD</v>
      </c>
      <c r="J12" s="2" t="str">
        <f>IF(OR('A créer'!D12="Oui",LEN('A créer'!D12)=0),IF(AND(LEN('A créer'!B12)&gt;0,'A créer'!B12&lt;&gt;'A créer'!H12)=TRUE,"Tab",""),"Tab")</f>
        <v>Tab</v>
      </c>
      <c r="K12" s="7" t="str">
        <f>IF(OR('A créer'!D12="Oui",LEN('A créer'!D12)=0),IF(AND(LEN('A créer'!B12)&gt;0,'A créer'!B12&lt;&gt;'A créer'!H12)=TRUE,"Oui",""),"Oui")</f>
        <v>Oui</v>
      </c>
      <c r="L12" s="2" t="str">
        <f>IF(OR('A créer'!D12="Oui",LEN('A créer'!D12)=0),IF(AND(LEN('A créer'!B12)&gt;0,'A créer'!B12&lt;&gt;'A créer'!H12)=TRUE,"Tab",""),"Tab")</f>
        <v>Tab</v>
      </c>
      <c r="M12" s="7" t="str">
        <f>IF(OR('A créer'!D12="Oui",LEN('A créer'!D12)=0),IF(AND(LEN('A créer'!B12)&gt;0,'A créer'!B12&lt;&gt;'A créer'!H12)=TRUE,'A créer'!E12,""),'A créer'!E12)</f>
        <v>Non</v>
      </c>
      <c r="N12" s="2" t="str">
        <f>IF(OR('A créer'!D12="Oui",LEN('A créer'!D12)=0),IF(AND(LEN('A créer'!B12)&gt;0,'A créer'!B12&lt;&gt;'A créer'!H12)=TRUE,"ENT",""),"ENT")</f>
        <v>ENT</v>
      </c>
      <c r="O12" s="2" t="str">
        <f>IF(OR('A créer'!D12="Oui",LEN('A créer'!D12)=0),IF(AND(LEN('A créer'!B12)&gt;0,'A créer'!B12&lt;&gt;'A créer'!H12)=TRUE,"*SAVE",""),"*SAVE")</f>
        <v>*SAVE</v>
      </c>
      <c r="P12" s="2" t="str">
        <f>IF(OR('A créer'!D12="Oui",LEN('A créer'!D12)=0),"","*FN")</f>
        <v>*FN</v>
      </c>
      <c r="Q12" s="7" t="str">
        <f>IF(OR('A créer'!D12="Oui",LEN('A créer'!D12)=0),"",CONCATENATE("XXX",'A créer'!A12))</f>
        <v>XXX0473</v>
      </c>
      <c r="R12" s="2" t="str">
        <f>IF(OR('A créer'!D12="Oui",LEN('A créer'!D12)=0),"","Tab")</f>
        <v>Tab</v>
      </c>
      <c r="S12" s="7" t="str">
        <f>IF(OR('A créer'!D12="Oui",LEN('A créer'!D12)=0),"",CONCATENATE("XXX-",'A créer'!C12))</f>
        <v>XXX-CITELUM IG</v>
      </c>
      <c r="T12" s="2" t="str">
        <f>IF(OR('A créer'!D12="Oui",LEN('A créer'!D12)=0),"","Tab 4")</f>
        <v>Tab 4</v>
      </c>
      <c r="U12" s="2" t="str">
        <f>IF(OR('A créer'!D12="Oui",LEN('A créer'!D12)=0),"","Tab")</f>
        <v>Tab</v>
      </c>
      <c r="V12" s="2" t="str">
        <f>IF(OR('A créer'!D12="Oui",LEN('A créer'!D12)=0),"","Tab")</f>
        <v>Tab</v>
      </c>
      <c r="W12" s="2" t="str">
        <f>IF(OR('A créer'!D12="Oui",LEN('A créer'!D12)=0),"","ENT")</f>
        <v>ENT</v>
      </c>
      <c r="X12" s="7" t="str">
        <f>IF(OR('A créer'!D12="Oui",LEN('A créer'!D12)=0),"",'A créer'!G12)</f>
        <v>SD031IGD</v>
      </c>
      <c r="Y12" s="2" t="str">
        <f>IF(OR('A créer'!D12="Oui",LEN('A créer'!D12)=0),"","Tab")</f>
        <v>Tab</v>
      </c>
      <c r="Z12" s="7" t="str">
        <f>IF(OR('A créer'!D12="Oui",LEN('A créer'!D12)=0),"","Oui")</f>
        <v>Oui</v>
      </c>
      <c r="AA12" s="2" t="str">
        <f>IF(OR('A créer'!D12="Oui",LEN('A créer'!D12)=0),"","Tab")</f>
        <v>Tab</v>
      </c>
      <c r="AB12" s="7" t="str">
        <f>IF(OR('A créer'!D12="Oui",LEN('A créer'!D12)=0),"","NON")</f>
        <v>NON</v>
      </c>
      <c r="AC12" s="2" t="str">
        <f>IF(OR('A créer'!D12="Oui",LEN('A créer'!D12)=0),"","ENT")</f>
        <v>ENT</v>
      </c>
      <c r="AD12" s="2" t="str">
        <f>IF(OR('A créer'!D12="Oui",LEN('A créer'!D12)=0),"","*SAVE")</f>
        <v>*SAVE</v>
      </c>
      <c r="AE12" s="2" t="str">
        <f>IF(OR('A créer'!D12="Oui",LEN('A créer'!D12)=0),"","*FN")</f>
        <v>*FN</v>
      </c>
      <c r="AF12" s="7" t="str">
        <f>IF(OR('A créer'!D12="Oui",LEN('A créer'!D12)=0),"",'A créer'!A12)</f>
        <v>0473</v>
      </c>
      <c r="AG12" s="2" t="str">
        <f>IF(OR('A créer'!D12="Oui",LEN('A créer'!D12)=0),"","Tab")</f>
        <v>Tab</v>
      </c>
      <c r="AH12" s="7" t="str">
        <f>IF(OR('A créer'!D12="Oui",LEN('A créer'!D12)=0),"",'A créer'!C12)</f>
        <v>CITELUM IG</v>
      </c>
      <c r="AI12" s="2" t="str">
        <f>IF(OR('A créer'!D12="Oui",LEN('A créer'!D12)=0),"","Tab 4")</f>
        <v>Tab 4</v>
      </c>
      <c r="AJ12" s="2" t="str">
        <f>IF(OR('A créer'!D12="Oui",LEN('A créer'!D12)=0),"","*SB")</f>
        <v>*SB</v>
      </c>
      <c r="AK12" s="2" t="str">
        <f>IF(OR('A créer'!D12="Oui",LEN('A créer'!D12)=0),"","Tab")</f>
        <v>Tab</v>
      </c>
      <c r="AL12" s="7" t="str">
        <f>IF(OR('A créer'!D12="Oui",LEN('A créer'!D12)=0),"","InterCoSte")</f>
        <v>InterCoSte</v>
      </c>
      <c r="AM12" s="2" t="str">
        <f>IF(OR('A créer'!D12="Oui",LEN('A créer'!D12)=0),"","Tab")</f>
        <v>Tab</v>
      </c>
      <c r="AN12" s="2" t="str">
        <f>IF(OR('A créer'!D12="Oui",LEN('A créer'!D12)=0),"","Tab")</f>
        <v>Tab</v>
      </c>
      <c r="AO12" s="2" t="str">
        <f>IF(OR('A créer'!D12="Oui",LEN('A créer'!D12)=0),"","ENT")</f>
        <v>ENT</v>
      </c>
      <c r="AP12" s="2" t="str">
        <f>IF(OR('A créer'!D12="Oui",LEN('A créer'!D12)=0),"","ENT")</f>
        <v>ENT</v>
      </c>
      <c r="AQ12" s="2" t="str">
        <f>IF(OR('A créer'!D12="Oui",LEN('A créer'!D12)=0),"","*SAVE")</f>
        <v>*SAVE</v>
      </c>
      <c r="AR12" s="2" t="str">
        <f>IF(OR('A créer'!D12="Oui",LEN('A créer'!D12)=0),"","*UP")</f>
        <v>*UP</v>
      </c>
      <c r="AS12" s="2" t="str">
        <f>IF(OR('A créer'!D12="Oui",LEN('A créer'!D12)=0),"","*Aé")</f>
        <v>*Aé</v>
      </c>
      <c r="AT12" s="7" t="str">
        <f>IF(OR('A créer'!D12="Oui",LEN('A créer'!D12)=0),"",CONCATENATE('A créer'!B12,'A créer'!A12))</f>
        <v>DOS0473</v>
      </c>
      <c r="AU12" s="2" t="str">
        <f>IF(OR('A créer'!D12="Oui",LEN('A créer'!D12)=0),"","Tab")</f>
        <v>Tab</v>
      </c>
      <c r="AV12" s="2" t="str">
        <f>IF(OR('A créer'!D12="Oui",LEN('A créer'!D12)=0),"","*DN")</f>
        <v>*DN</v>
      </c>
      <c r="AW12" s="7" t="str">
        <f>IF(OR('A créer'!D12="Oui",LEN('A créer'!D12)=0),"",CONCATENATE("XXX",'A créer'!A12))</f>
        <v>XXX0473</v>
      </c>
      <c r="AX12" s="2" t="str">
        <f>IF(OR('A créer'!D12="Oui",LEN('A créer'!D12)=0),"","Tab")</f>
        <v>Tab</v>
      </c>
      <c r="AY12" s="2" t="str">
        <f>IF(OR('A créer'!D12="Oui",LEN('A créer'!D12)=0),"","*SAVE")</f>
        <v>*SAVE</v>
      </c>
      <c r="AZ12" s="2" t="s">
        <v>166</v>
      </c>
    </row>
    <row r="13" spans="1:52" x14ac:dyDescent="0.25">
      <c r="A13" s="2" t="str">
        <f>IF(OR('A créer'!D13="Oui",LEN('A créer'!D13)=0),IF(AND(LEN('A créer'!B13)&gt;0,'A créer'!B13&lt;&gt;'A créer'!H13)=TRUE,"*FN",""),"*FN")</f>
        <v>*FN</v>
      </c>
      <c r="B13" s="7" t="str">
        <f>IF(OR('A créer'!D13="Oui",LEN('A créer'!D13)=0),IF(LEN('A créer'!B13)&gt;0,IF('A créer'!B13='A créer'!H13,"",CONCATENATE('A créer'!B13,'A créer'!A13)),""),CONCATENATE('A créer'!B13,'A créer'!A13))</f>
        <v>DMS0474</v>
      </c>
      <c r="C13" s="2" t="str">
        <f>IF(OR('A créer'!D13="Oui",LEN('A créer'!D13)=0),IF(AND(LEN('A créer'!B13)&gt;0,'A créer'!B13&lt;&gt;'A créer'!H13)=TRUE,"Tab",""),"Tab")</f>
        <v>Tab</v>
      </c>
      <c r="D13" s="7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>DMS0474-AIR FORMING</v>
      </c>
      <c r="E13" s="2" t="str">
        <f>IF(OR('A créer'!D13="Oui",LEN('A créer'!D13)=0),IF(AND(LEN('A créer'!B13)&gt;0,'A créer'!B13&lt;&gt;'A créer'!H13)=TRUE,"Tab 4",""),"Tab 4")</f>
        <v>Tab 4</v>
      </c>
      <c r="F13" s="2" t="str">
        <f>IF(OR('A créer'!D13="Oui",LEN('A créer'!D13)=0),IF(AND(LEN('A créer'!B13)&gt;0,'A créer'!B13&lt;&gt;'A créer'!H13)=TRUE,"Tab",""),"Tab")</f>
        <v>Tab</v>
      </c>
      <c r="G13" s="2" t="str">
        <f>IF(OR('A créer'!D13="Oui",LEN('A créer'!D13)=0),IF(AND(LEN('A créer'!B13)&gt;0,'A créer'!B13&lt;&gt;'A créer'!H13)=TRUE,"Tab",""),"Tab")</f>
        <v>Tab</v>
      </c>
      <c r="H13" s="2" t="str">
        <f>IF(OR('A créer'!D13="Oui",LEN('A créer'!D13)=0),IF(AND(LEN('A créer'!B13)&gt;0,'A créer'!B13&lt;&gt;'A créer'!H13)=TRUE,"ENT",""),"ENT")</f>
        <v>ENT</v>
      </c>
      <c r="I13" s="7" t="str">
        <f>IF('A créer'!D13="Oui",IF(AND(LEN('A créer'!B13)&gt;0,'A créer'!B13&lt;&gt;'A créer'!H13)=TRUE,'A créer'!G13,""),'A créer'!G13)</f>
        <v>SD442</v>
      </c>
      <c r="J13" s="2" t="str">
        <f>IF(OR('A créer'!D13="Oui",LEN('A créer'!D13)=0),IF(AND(LEN('A créer'!B13)&gt;0,'A créer'!B13&lt;&gt;'A créer'!H13)=TRUE,"Tab",""),"Tab")</f>
        <v>Tab</v>
      </c>
      <c r="K13" s="7" t="str">
        <f>IF(OR('A créer'!D13="Oui",LEN('A créer'!D13)=0),IF(AND(LEN('A créer'!B13)&gt;0,'A créer'!B13&lt;&gt;'A créer'!H13)=TRUE,"Oui",""),"Oui")</f>
        <v>Oui</v>
      </c>
      <c r="L13" s="2" t="str">
        <f>IF(OR('A créer'!D13="Oui",LEN('A créer'!D13)=0),IF(AND(LEN('A créer'!B13)&gt;0,'A créer'!B13&lt;&gt;'A créer'!H13)=TRUE,"Tab",""),"Tab")</f>
        <v>Tab</v>
      </c>
      <c r="M13" s="7" t="str">
        <f>IF(OR('A créer'!D13="Oui",LEN('A créer'!D13)=0),IF(AND(LEN('A créer'!B13)&gt;0,'A créer'!B13&lt;&gt;'A créer'!H13)=TRUE,'A créer'!E13,""),'A créer'!E13)</f>
        <v>Non</v>
      </c>
      <c r="N13" s="2" t="str">
        <f>IF(OR('A créer'!D13="Oui",LEN('A créer'!D13)=0),IF(AND(LEN('A créer'!B13)&gt;0,'A créer'!B13&lt;&gt;'A créer'!H13)=TRUE,"ENT",""),"ENT")</f>
        <v>ENT</v>
      </c>
      <c r="O13" s="2" t="str">
        <f>IF(OR('A créer'!D13="Oui",LEN('A créer'!D13)=0),IF(AND(LEN('A créer'!B13)&gt;0,'A créer'!B13&lt;&gt;'A créer'!H13)=TRUE,"*SAVE",""),"*SAVE")</f>
        <v>*SAVE</v>
      </c>
      <c r="P13" s="2" t="str">
        <f>IF(OR('A créer'!D13="Oui",LEN('A créer'!D13)=0),"","*FN")</f>
        <v>*FN</v>
      </c>
      <c r="Q13" s="7" t="str">
        <f>IF(OR('A créer'!D13="Oui",LEN('A créer'!D13)=0),"",CONCATENATE("XXX",'A créer'!A13))</f>
        <v>XXX0474</v>
      </c>
      <c r="R13" s="2" t="str">
        <f>IF(OR('A créer'!D13="Oui",LEN('A créer'!D13)=0),"","Tab")</f>
        <v>Tab</v>
      </c>
      <c r="S13" s="7" t="str">
        <f>IF(OR('A créer'!D13="Oui",LEN('A créer'!D13)=0),"",CONCATENATE("XXX-",'A créer'!C13))</f>
        <v>XXX-AIR FORMING</v>
      </c>
      <c r="T13" s="2" t="str">
        <f>IF(OR('A créer'!D13="Oui",LEN('A créer'!D13)=0),"","Tab 4")</f>
        <v>Tab 4</v>
      </c>
      <c r="U13" s="2" t="str">
        <f>IF(OR('A créer'!D13="Oui",LEN('A créer'!D13)=0),"","Tab")</f>
        <v>Tab</v>
      </c>
      <c r="V13" s="2" t="str">
        <f>IF(OR('A créer'!D13="Oui",LEN('A créer'!D13)=0),"","Tab")</f>
        <v>Tab</v>
      </c>
      <c r="W13" s="2" t="str">
        <f>IF(OR('A créer'!D13="Oui",LEN('A créer'!D13)=0),"","ENT")</f>
        <v>ENT</v>
      </c>
      <c r="X13" s="7" t="str">
        <f>IF(OR('A créer'!D13="Oui",LEN('A créer'!D13)=0),"",'A créer'!G13)</f>
        <v>SD442</v>
      </c>
      <c r="Y13" s="2" t="str">
        <f>IF(OR('A créer'!D13="Oui",LEN('A créer'!D13)=0),"","Tab")</f>
        <v>Tab</v>
      </c>
      <c r="Z13" s="7" t="str">
        <f>IF(OR('A créer'!D13="Oui",LEN('A créer'!D13)=0),"","Oui")</f>
        <v>Oui</v>
      </c>
      <c r="AA13" s="2" t="str">
        <f>IF(OR('A créer'!D13="Oui",LEN('A créer'!D13)=0),"","Tab")</f>
        <v>Tab</v>
      </c>
      <c r="AB13" s="7" t="str">
        <f>IF(OR('A créer'!D13="Oui",LEN('A créer'!D13)=0),"","NON")</f>
        <v>NON</v>
      </c>
      <c r="AC13" s="2" t="str">
        <f>IF(OR('A créer'!D13="Oui",LEN('A créer'!D13)=0),"","ENT")</f>
        <v>ENT</v>
      </c>
      <c r="AD13" s="2" t="str">
        <f>IF(OR('A créer'!D13="Oui",LEN('A créer'!D13)=0),"","*SAVE")</f>
        <v>*SAVE</v>
      </c>
      <c r="AE13" s="2" t="str">
        <f>IF(OR('A créer'!D13="Oui",LEN('A créer'!D13)=0),"","*FN")</f>
        <v>*FN</v>
      </c>
      <c r="AF13" s="7" t="str">
        <f>IF(OR('A créer'!D13="Oui",LEN('A créer'!D13)=0),"",'A créer'!A13)</f>
        <v>0474</v>
      </c>
      <c r="AG13" s="2" t="str">
        <f>IF(OR('A créer'!D13="Oui",LEN('A créer'!D13)=0),"","Tab")</f>
        <v>Tab</v>
      </c>
      <c r="AH13" s="7" t="str">
        <f>IF(OR('A créer'!D13="Oui",LEN('A créer'!D13)=0),"",'A créer'!C13)</f>
        <v>AIR FORMING</v>
      </c>
      <c r="AI13" s="2" t="str">
        <f>IF(OR('A créer'!D13="Oui",LEN('A créer'!D13)=0),"","Tab 4")</f>
        <v>Tab 4</v>
      </c>
      <c r="AJ13" s="2" t="str">
        <f>IF(OR('A créer'!D13="Oui",LEN('A créer'!D13)=0),"","*SB")</f>
        <v>*SB</v>
      </c>
      <c r="AK13" s="2" t="str">
        <f>IF(OR('A créer'!D13="Oui",LEN('A créer'!D13)=0),"","Tab")</f>
        <v>Tab</v>
      </c>
      <c r="AL13" s="7" t="str">
        <f>IF(OR('A créer'!D13="Oui",LEN('A créer'!D13)=0),"","InterCoSte")</f>
        <v>InterCoSte</v>
      </c>
      <c r="AM13" s="2" t="str">
        <f>IF(OR('A créer'!D13="Oui",LEN('A créer'!D13)=0),"","Tab")</f>
        <v>Tab</v>
      </c>
      <c r="AN13" s="2" t="str">
        <f>IF(OR('A créer'!D13="Oui",LEN('A créer'!D13)=0),"","Tab")</f>
        <v>Tab</v>
      </c>
      <c r="AO13" s="2" t="str">
        <f>IF(OR('A créer'!D13="Oui",LEN('A créer'!D13)=0),"","ENT")</f>
        <v>ENT</v>
      </c>
      <c r="AP13" s="2" t="str">
        <f>IF(OR('A créer'!D13="Oui",LEN('A créer'!D13)=0),"","ENT")</f>
        <v>ENT</v>
      </c>
      <c r="AQ13" s="2" t="str">
        <f>IF(OR('A créer'!D13="Oui",LEN('A créer'!D13)=0),"","*SAVE")</f>
        <v>*SAVE</v>
      </c>
      <c r="AR13" s="2" t="str">
        <f>IF(OR('A créer'!D13="Oui",LEN('A créer'!D13)=0),"","*UP")</f>
        <v>*UP</v>
      </c>
      <c r="AS13" s="2" t="str">
        <f>IF(OR('A créer'!D13="Oui",LEN('A créer'!D13)=0),"","*Aé")</f>
        <v>*Aé</v>
      </c>
      <c r="AT13" s="7" t="str">
        <f>IF(OR('A créer'!D13="Oui",LEN('A créer'!D13)=0),"",CONCATENATE('A créer'!B13,'A créer'!A13))</f>
        <v>DMS0474</v>
      </c>
      <c r="AU13" s="2" t="str">
        <f>IF(OR('A créer'!D13="Oui",LEN('A créer'!D13)=0),"","Tab")</f>
        <v>Tab</v>
      </c>
      <c r="AV13" s="2" t="str">
        <f>IF(OR('A créer'!D13="Oui",LEN('A créer'!D13)=0),"","*DN")</f>
        <v>*DN</v>
      </c>
      <c r="AW13" s="7" t="str">
        <f>IF(OR('A créer'!D13="Oui",LEN('A créer'!D13)=0),"",CONCATENATE("XXX",'A créer'!A13))</f>
        <v>XXX0474</v>
      </c>
      <c r="AX13" s="2" t="str">
        <f>IF(OR('A créer'!D13="Oui",LEN('A créer'!D13)=0),"","Tab")</f>
        <v>Tab</v>
      </c>
      <c r="AY13" s="2" t="str">
        <f>IF(OR('A créer'!D13="Oui",LEN('A créer'!D13)=0),"","*SAVE")</f>
        <v>*SAVE</v>
      </c>
      <c r="AZ13" s="2" t="s">
        <v>166</v>
      </c>
    </row>
    <row r="14" spans="1:52" x14ac:dyDescent="0.25">
      <c r="A14" s="2" t="str">
        <f>IF(OR('A créer'!D14="Oui",LEN('A créer'!D14)=0),IF(AND(LEN('A créer'!B14)&gt;0,'A créer'!B14&lt;&gt;'A créer'!H14)=TRUE,"*FN",""),"*FN")</f>
        <v>*FN</v>
      </c>
      <c r="B14" s="7" t="str">
        <f>IF(OR('A créer'!D14="Oui",LEN('A créer'!D14)=0),IF(LEN('A créer'!B14)&gt;0,IF('A créer'!B14='A créer'!H14,"",CONCATENATE('A créer'!B14,'A créer'!A14)),""),CONCATENATE('A créer'!B14,'A créer'!A14))</f>
        <v>DNA0470</v>
      </c>
      <c r="C14" s="2" t="str">
        <f>IF(OR('A créer'!D14="Oui",LEN('A créer'!D14)=0),IF(AND(LEN('A créer'!B14)&gt;0,'A créer'!B14&lt;&gt;'A créer'!H14)=TRUE,"Tab",""),"Tab")</f>
        <v>Tab</v>
      </c>
      <c r="D14" s="7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>DNA0470-SA DESCHAMPS LATHUS</v>
      </c>
      <c r="E14" s="2" t="str">
        <f>IF(OR('A créer'!D14="Oui",LEN('A créer'!D14)=0),IF(AND(LEN('A créer'!B14)&gt;0,'A créer'!B14&lt;&gt;'A créer'!H14)=TRUE,"Tab 4",""),"Tab 4")</f>
        <v>Tab 4</v>
      </c>
      <c r="F14" s="2" t="str">
        <f>IF(OR('A créer'!D14="Oui",LEN('A créer'!D14)=0),IF(AND(LEN('A créer'!B14)&gt;0,'A créer'!B14&lt;&gt;'A créer'!H14)=TRUE,"Tab",""),"Tab")</f>
        <v>Tab</v>
      </c>
      <c r="G14" s="2" t="str">
        <f>IF(OR('A créer'!D14="Oui",LEN('A créer'!D14)=0),IF(AND(LEN('A créer'!B14)&gt;0,'A créer'!B14&lt;&gt;'A créer'!H14)=TRUE,"Tab",""),"Tab")</f>
        <v>Tab</v>
      </c>
      <c r="H14" s="2" t="str">
        <f>IF(OR('A créer'!D14="Oui",LEN('A créer'!D14)=0),IF(AND(LEN('A créer'!B14)&gt;0,'A créer'!B14&lt;&gt;'A créer'!H14)=TRUE,"ENT",""),"ENT")</f>
        <v>ENT</v>
      </c>
      <c r="I14" s="7" t="str">
        <f>IF('A créer'!D14="Oui",IF(AND(LEN('A créer'!B14)&gt;0,'A créer'!B14&lt;&gt;'A créer'!H14)=TRUE,'A créer'!G14,""),'A créer'!G14)</f>
        <v>S0150</v>
      </c>
      <c r="J14" s="2" t="str">
        <f>IF(OR('A créer'!D14="Oui",LEN('A créer'!D14)=0),IF(AND(LEN('A créer'!B14)&gt;0,'A créer'!B14&lt;&gt;'A créer'!H14)=TRUE,"Tab",""),"Tab")</f>
        <v>Tab</v>
      </c>
      <c r="K14" s="7" t="str">
        <f>IF(OR('A créer'!D14="Oui",LEN('A créer'!D14)=0),IF(AND(LEN('A créer'!B14)&gt;0,'A créer'!B14&lt;&gt;'A créer'!H14)=TRUE,"Oui",""),"Oui")</f>
        <v>Oui</v>
      </c>
      <c r="L14" s="2" t="str">
        <f>IF(OR('A créer'!D14="Oui",LEN('A créer'!D14)=0),IF(AND(LEN('A créer'!B14)&gt;0,'A créer'!B14&lt;&gt;'A créer'!H14)=TRUE,"Tab",""),"Tab")</f>
        <v>Tab</v>
      </c>
      <c r="M14" s="7" t="str">
        <f>IF(OR('A créer'!D14="Oui",LEN('A créer'!D14)=0),IF(AND(LEN('A créer'!B14)&gt;0,'A créer'!B14&lt;&gt;'A créer'!H14)=TRUE,'A créer'!E14,""),'A créer'!E14)</f>
        <v>Non</v>
      </c>
      <c r="N14" s="2" t="str">
        <f>IF(OR('A créer'!D14="Oui",LEN('A créer'!D14)=0),IF(AND(LEN('A créer'!B14)&gt;0,'A créer'!B14&lt;&gt;'A créer'!H14)=TRUE,"ENT",""),"ENT")</f>
        <v>ENT</v>
      </c>
      <c r="O14" s="2" t="str">
        <f>IF(OR('A créer'!D14="Oui",LEN('A créer'!D14)=0),IF(AND(LEN('A créer'!B14)&gt;0,'A créer'!B14&lt;&gt;'A créer'!H14)=TRUE,"*SAVE",""),"*SAVE")</f>
        <v>*SAVE</v>
      </c>
      <c r="P14" s="2" t="str">
        <f>IF(OR('A créer'!D14="Oui",LEN('A créer'!D14)=0),"","*FN")</f>
        <v>*FN</v>
      </c>
      <c r="Q14" s="7" t="str">
        <f>IF(OR('A créer'!D14="Oui",LEN('A créer'!D14)=0),"",CONCATENATE("XXX",'A créer'!A14))</f>
        <v>XXX0470</v>
      </c>
      <c r="R14" s="2" t="str">
        <f>IF(OR('A créer'!D14="Oui",LEN('A créer'!D14)=0),"","Tab")</f>
        <v>Tab</v>
      </c>
      <c r="S14" s="7" t="str">
        <f>IF(OR('A créer'!D14="Oui",LEN('A créer'!D14)=0),"",CONCATENATE("XXX-",'A créer'!C14))</f>
        <v>XXX-SA DESCHAMPS LATHUS</v>
      </c>
      <c r="T14" s="2" t="str">
        <f>IF(OR('A créer'!D14="Oui",LEN('A créer'!D14)=0),"","Tab 4")</f>
        <v>Tab 4</v>
      </c>
      <c r="U14" s="2" t="str">
        <f>IF(OR('A créer'!D14="Oui",LEN('A créer'!D14)=0),"","Tab")</f>
        <v>Tab</v>
      </c>
      <c r="V14" s="2" t="str">
        <f>IF(OR('A créer'!D14="Oui",LEN('A créer'!D14)=0),"","Tab")</f>
        <v>Tab</v>
      </c>
      <c r="W14" s="2" t="str">
        <f>IF(OR('A créer'!D14="Oui",LEN('A créer'!D14)=0),"","ENT")</f>
        <v>ENT</v>
      </c>
      <c r="X14" s="7" t="str">
        <f>IF(OR('A créer'!D14="Oui",LEN('A créer'!D14)=0),"",'A créer'!G14)</f>
        <v>S0150</v>
      </c>
      <c r="Y14" s="2" t="str">
        <f>IF(OR('A créer'!D14="Oui",LEN('A créer'!D14)=0),"","Tab")</f>
        <v>Tab</v>
      </c>
      <c r="Z14" s="7" t="str">
        <f>IF(OR('A créer'!D14="Oui",LEN('A créer'!D14)=0),"","Oui")</f>
        <v>Oui</v>
      </c>
      <c r="AA14" s="2" t="str">
        <f>IF(OR('A créer'!D14="Oui",LEN('A créer'!D14)=0),"","Tab")</f>
        <v>Tab</v>
      </c>
      <c r="AB14" s="7" t="str">
        <f>IF(OR('A créer'!D14="Oui",LEN('A créer'!D14)=0),"","NON")</f>
        <v>NON</v>
      </c>
      <c r="AC14" s="2" t="str">
        <f>IF(OR('A créer'!D14="Oui",LEN('A créer'!D14)=0),"","ENT")</f>
        <v>ENT</v>
      </c>
      <c r="AD14" s="2" t="str">
        <f>IF(OR('A créer'!D14="Oui",LEN('A créer'!D14)=0),"","*SAVE")</f>
        <v>*SAVE</v>
      </c>
      <c r="AE14" s="2" t="str">
        <f>IF(OR('A créer'!D14="Oui",LEN('A créer'!D14)=0),"","*FN")</f>
        <v>*FN</v>
      </c>
      <c r="AF14" s="7" t="str">
        <f>IF(OR('A créer'!D14="Oui",LEN('A créer'!D14)=0),"",'A créer'!A14)</f>
        <v>0470</v>
      </c>
      <c r="AG14" s="2" t="str">
        <f>IF(OR('A créer'!D14="Oui",LEN('A créer'!D14)=0),"","Tab")</f>
        <v>Tab</v>
      </c>
      <c r="AH14" s="7" t="str">
        <f>IF(OR('A créer'!D14="Oui",LEN('A créer'!D14)=0),"",'A créer'!C14)</f>
        <v>SA DESCHAMPS LATHUS</v>
      </c>
      <c r="AI14" s="2" t="str">
        <f>IF(OR('A créer'!D14="Oui",LEN('A créer'!D14)=0),"","Tab 4")</f>
        <v>Tab 4</v>
      </c>
      <c r="AJ14" s="2" t="str">
        <f>IF(OR('A créer'!D14="Oui",LEN('A créer'!D14)=0),"","*SB")</f>
        <v>*SB</v>
      </c>
      <c r="AK14" s="2" t="str">
        <f>IF(OR('A créer'!D14="Oui",LEN('A créer'!D14)=0),"","Tab")</f>
        <v>Tab</v>
      </c>
      <c r="AL14" s="7" t="str">
        <f>IF(OR('A créer'!D14="Oui",LEN('A créer'!D14)=0),"","InterCoSte")</f>
        <v>InterCoSte</v>
      </c>
      <c r="AM14" s="2" t="str">
        <f>IF(OR('A créer'!D14="Oui",LEN('A créer'!D14)=0),"","Tab")</f>
        <v>Tab</v>
      </c>
      <c r="AN14" s="2" t="str">
        <f>IF(OR('A créer'!D14="Oui",LEN('A créer'!D14)=0),"","Tab")</f>
        <v>Tab</v>
      </c>
      <c r="AO14" s="2" t="str">
        <f>IF(OR('A créer'!D14="Oui",LEN('A créer'!D14)=0),"","ENT")</f>
        <v>ENT</v>
      </c>
      <c r="AP14" s="2" t="str">
        <f>IF(OR('A créer'!D14="Oui",LEN('A créer'!D14)=0),"","ENT")</f>
        <v>ENT</v>
      </c>
      <c r="AQ14" s="2" t="str">
        <f>IF(OR('A créer'!D14="Oui",LEN('A créer'!D14)=0),"","*SAVE")</f>
        <v>*SAVE</v>
      </c>
      <c r="AR14" s="2" t="str">
        <f>IF(OR('A créer'!D14="Oui",LEN('A créer'!D14)=0),"","*UP")</f>
        <v>*UP</v>
      </c>
      <c r="AS14" s="2" t="str">
        <f>IF(OR('A créer'!D14="Oui",LEN('A créer'!D14)=0),"","*Aé")</f>
        <v>*Aé</v>
      </c>
      <c r="AT14" s="7" t="str">
        <f>IF(OR('A créer'!D14="Oui",LEN('A créer'!D14)=0),"",CONCATENATE('A créer'!B14,'A créer'!A14))</f>
        <v>DNA0470</v>
      </c>
      <c r="AU14" s="2" t="str">
        <f>IF(OR('A créer'!D14="Oui",LEN('A créer'!D14)=0),"","Tab")</f>
        <v>Tab</v>
      </c>
      <c r="AV14" s="2" t="str">
        <f>IF(OR('A créer'!D14="Oui",LEN('A créer'!D14)=0),"","*DN")</f>
        <v>*DN</v>
      </c>
      <c r="AW14" s="7" t="str">
        <f>IF(OR('A créer'!D14="Oui",LEN('A créer'!D14)=0),"",CONCATENATE("XXX",'A créer'!A14))</f>
        <v>XXX0470</v>
      </c>
      <c r="AX14" s="2" t="str">
        <f>IF(OR('A créer'!D14="Oui",LEN('A créer'!D14)=0),"","Tab")</f>
        <v>Tab</v>
      </c>
      <c r="AY14" s="2" t="str">
        <f>IF(OR('A créer'!D14="Oui",LEN('A créer'!D14)=0),"","*SAVE")</f>
        <v>*SAVE</v>
      </c>
      <c r="AZ14" s="2" t="str">
        <f>IF(OR('A créer'!D14="Oui",LEN('A créer'!D14)=0),"","*ML(751,142)")</f>
        <v>*ML(751,142)</v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7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7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7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7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7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7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7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7" t="str">
        <f>IF(OR('A créer'!D15="Oui",LEN('A créer'!D15)=0),"",'A créer'!G15)</f>
        <v/>
      </c>
      <c r="Y15" s="2" t="str">
        <f>IF(OR('A créer'!D15="Oui",LEN('A créer'!D15)=0),"","Tab")</f>
        <v/>
      </c>
      <c r="Z15" s="7" t="str">
        <f>IF(OR('A créer'!D15="Oui",LEN('A créer'!D15)=0),"","Oui")</f>
        <v/>
      </c>
      <c r="AA15" s="2" t="str">
        <f>IF(OR('A créer'!D15="Oui",LEN('A créer'!D15)=0),"","Tab")</f>
        <v/>
      </c>
      <c r="AB15" s="7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7" t="str">
        <f>IF(OR('A créer'!D15="Oui",LEN('A créer'!D15)=0),"",'A créer'!A15)</f>
        <v/>
      </c>
      <c r="AG15" s="2" t="str">
        <f>IF(OR('A créer'!D15="Oui",LEN('A créer'!D15)=0),"","Tab")</f>
        <v/>
      </c>
      <c r="AH15" s="7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7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7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7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7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7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7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7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7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7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7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7" t="str">
        <f>IF(OR('A créer'!D16="Oui",LEN('A créer'!D16)=0),"",'A créer'!G16)</f>
        <v/>
      </c>
      <c r="Y16" s="2" t="str">
        <f>IF(OR('A créer'!D16="Oui",LEN('A créer'!D16)=0),"","Tab")</f>
        <v/>
      </c>
      <c r="Z16" s="7" t="str">
        <f>IF(OR('A créer'!D16="Oui",LEN('A créer'!D16)=0),"","Oui")</f>
        <v/>
      </c>
      <c r="AA16" s="2" t="str">
        <f>IF(OR('A créer'!D16="Oui",LEN('A créer'!D16)=0),"","Tab")</f>
        <v/>
      </c>
      <c r="AB16" s="7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7" t="str">
        <f>IF(OR('A créer'!D16="Oui",LEN('A créer'!D16)=0),"",'A créer'!A16)</f>
        <v/>
      </c>
      <c r="AG16" s="2" t="str">
        <f>IF(OR('A créer'!D16="Oui",LEN('A créer'!D16)=0),"","Tab")</f>
        <v/>
      </c>
      <c r="AH16" s="7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7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7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7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7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7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7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7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7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7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7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7" t="str">
        <f>IF(OR('A créer'!D17="Oui",LEN('A créer'!D17)=0),"",'A créer'!G17)</f>
        <v/>
      </c>
      <c r="Y17" s="2" t="str">
        <f>IF(OR('A créer'!D17="Oui",LEN('A créer'!D17)=0),"","Tab")</f>
        <v/>
      </c>
      <c r="Z17" s="7" t="str">
        <f>IF(OR('A créer'!D17="Oui",LEN('A créer'!D17)=0),"","Oui")</f>
        <v/>
      </c>
      <c r="AA17" s="2" t="str">
        <f>IF(OR('A créer'!D17="Oui",LEN('A créer'!D17)=0),"","Tab")</f>
        <v/>
      </c>
      <c r="AB17" s="7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7" t="str">
        <f>IF(OR('A créer'!D17="Oui",LEN('A créer'!D17)=0),"",'A créer'!A17)</f>
        <v/>
      </c>
      <c r="AG17" s="2" t="str">
        <f>IF(OR('A créer'!D17="Oui",LEN('A créer'!D17)=0),"","Tab")</f>
        <v/>
      </c>
      <c r="AH17" s="7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7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7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7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7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7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7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7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7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7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7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7" t="str">
        <f>IF(OR('A créer'!D18="Oui",LEN('A créer'!D18)=0),"",'A créer'!G18)</f>
        <v/>
      </c>
      <c r="Y18" s="2" t="str">
        <f>IF(OR('A créer'!D18="Oui",LEN('A créer'!D18)=0),"","Tab")</f>
        <v/>
      </c>
      <c r="Z18" s="7" t="str">
        <f>IF(OR('A créer'!D18="Oui",LEN('A créer'!D18)=0),"","Oui")</f>
        <v/>
      </c>
      <c r="AA18" s="2" t="str">
        <f>IF(OR('A créer'!D18="Oui",LEN('A créer'!D18)=0),"","Tab")</f>
        <v/>
      </c>
      <c r="AB18" s="7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7" t="str">
        <f>IF(OR('A créer'!D18="Oui",LEN('A créer'!D18)=0),"",'A créer'!A18)</f>
        <v/>
      </c>
      <c r="AG18" s="2" t="str">
        <f>IF(OR('A créer'!D18="Oui",LEN('A créer'!D18)=0),"","Tab")</f>
        <v/>
      </c>
      <c r="AH18" s="7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7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7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7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7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7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7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7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7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7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7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7" t="str">
        <f>IF(OR('A créer'!D19="Oui",LEN('A créer'!D19)=0),"",'A créer'!G19)</f>
        <v/>
      </c>
      <c r="Y19" s="2" t="str">
        <f>IF(OR('A créer'!D19="Oui",LEN('A créer'!D19)=0),"","Tab")</f>
        <v/>
      </c>
      <c r="Z19" s="7" t="str">
        <f>IF(OR('A créer'!D19="Oui",LEN('A créer'!D19)=0),"","Oui")</f>
        <v/>
      </c>
      <c r="AA19" s="2" t="str">
        <f>IF(OR('A créer'!D19="Oui",LEN('A créer'!D19)=0),"","Tab")</f>
        <v/>
      </c>
      <c r="AB19" s="7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7" t="str">
        <f>IF(OR('A créer'!D19="Oui",LEN('A créer'!D19)=0),"",'A créer'!A19)</f>
        <v/>
      </c>
      <c r="AG19" s="2" t="str">
        <f>IF(OR('A créer'!D19="Oui",LEN('A créer'!D19)=0),"","Tab")</f>
        <v/>
      </c>
      <c r="AH19" s="7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7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7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7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7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7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7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7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7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7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7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7" t="str">
        <f>IF(OR('A créer'!D20="Oui",LEN('A créer'!D20)=0),"",'A créer'!G20)</f>
        <v/>
      </c>
      <c r="Y20" s="2" t="str">
        <f>IF(OR('A créer'!D20="Oui",LEN('A créer'!D20)=0),"","Tab")</f>
        <v/>
      </c>
      <c r="Z20" s="7" t="str">
        <f>IF(OR('A créer'!D20="Oui",LEN('A créer'!D20)=0),"","Oui")</f>
        <v/>
      </c>
      <c r="AA20" s="2" t="str">
        <f>IF(OR('A créer'!D20="Oui",LEN('A créer'!D20)=0),"","Tab")</f>
        <v/>
      </c>
      <c r="AB20" s="7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7" t="str">
        <f>IF(OR('A créer'!D20="Oui",LEN('A créer'!D20)=0),"",'A créer'!A20)</f>
        <v/>
      </c>
      <c r="AG20" s="2" t="str">
        <f>IF(OR('A créer'!D20="Oui",LEN('A créer'!D20)=0),"","Tab")</f>
        <v/>
      </c>
      <c r="AH20" s="7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7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7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7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7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7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7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7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7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7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7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7" t="str">
        <f>IF(OR('A créer'!D21="Oui",LEN('A créer'!D21)=0),"",'A créer'!G21)</f>
        <v/>
      </c>
      <c r="Y21" s="2" t="str">
        <f>IF(OR('A créer'!D21="Oui",LEN('A créer'!D21)=0),"","Tab")</f>
        <v/>
      </c>
      <c r="Z21" s="7" t="str">
        <f>IF(OR('A créer'!D21="Oui",LEN('A créer'!D21)=0),"","Oui")</f>
        <v/>
      </c>
      <c r="AA21" s="2" t="str">
        <f>IF(OR('A créer'!D21="Oui",LEN('A créer'!D21)=0),"","Tab")</f>
        <v/>
      </c>
      <c r="AB21" s="7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7" t="str">
        <f>IF(OR('A créer'!D21="Oui",LEN('A créer'!D21)=0),"",'A créer'!A21)</f>
        <v/>
      </c>
      <c r="AG21" s="2" t="str">
        <f>IF(OR('A créer'!D21="Oui",LEN('A créer'!D21)=0),"","Tab")</f>
        <v/>
      </c>
      <c r="AH21" s="7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7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7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7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7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7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7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7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7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7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7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7" t="str">
        <f>IF(OR('A créer'!D22="Oui",LEN('A créer'!D22)=0),"",'A créer'!G22)</f>
        <v/>
      </c>
      <c r="Y22" s="2" t="str">
        <f>IF(OR('A créer'!D22="Oui",LEN('A créer'!D22)=0),"","Tab")</f>
        <v/>
      </c>
      <c r="Z22" s="7" t="str">
        <f>IF(OR('A créer'!D22="Oui",LEN('A créer'!D22)=0),"","Oui")</f>
        <v/>
      </c>
      <c r="AA22" s="2" t="str">
        <f>IF(OR('A créer'!D22="Oui",LEN('A créer'!D22)=0),"","Tab")</f>
        <v/>
      </c>
      <c r="AB22" s="7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7" t="str">
        <f>IF(OR('A créer'!D22="Oui",LEN('A créer'!D22)=0),"",'A créer'!A22)</f>
        <v/>
      </c>
      <c r="AG22" s="2" t="str">
        <f>IF(OR('A créer'!D22="Oui",LEN('A créer'!D22)=0),"","Tab")</f>
        <v/>
      </c>
      <c r="AH22" s="7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7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7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7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7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7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7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7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7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7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7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7" t="str">
        <f>IF(OR('A créer'!D23="Oui",LEN('A créer'!D23)=0),"",'A créer'!G23)</f>
        <v/>
      </c>
      <c r="Y23" s="2" t="str">
        <f>IF(OR('A créer'!D23="Oui",LEN('A créer'!D23)=0),"","Tab")</f>
        <v/>
      </c>
      <c r="Z23" s="7" t="str">
        <f>IF(OR('A créer'!D23="Oui",LEN('A créer'!D23)=0),"","Oui")</f>
        <v/>
      </c>
      <c r="AA23" s="2" t="str">
        <f>IF(OR('A créer'!D23="Oui",LEN('A créer'!D23)=0),"","Tab")</f>
        <v/>
      </c>
      <c r="AB23" s="7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7" t="str">
        <f>IF(OR('A créer'!D23="Oui",LEN('A créer'!D23)=0),"",'A créer'!A23)</f>
        <v/>
      </c>
      <c r="AG23" s="2" t="str">
        <f>IF(OR('A créer'!D23="Oui",LEN('A créer'!D23)=0),"","Tab")</f>
        <v/>
      </c>
      <c r="AH23" s="7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7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7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7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7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7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7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7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7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7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7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7" t="str">
        <f>IF(OR('A créer'!D24="Oui",LEN('A créer'!D24)=0),"",'A créer'!G24)</f>
        <v/>
      </c>
      <c r="Y24" s="2" t="str">
        <f>IF(OR('A créer'!D24="Oui",LEN('A créer'!D24)=0),"","Tab")</f>
        <v/>
      </c>
      <c r="Z24" s="7" t="str">
        <f>IF(OR('A créer'!D24="Oui",LEN('A créer'!D24)=0),"","Oui")</f>
        <v/>
      </c>
      <c r="AA24" s="2" t="str">
        <f>IF(OR('A créer'!D24="Oui",LEN('A créer'!D24)=0),"","Tab")</f>
        <v/>
      </c>
      <c r="AB24" s="7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7" t="str">
        <f>IF(OR('A créer'!D24="Oui",LEN('A créer'!D24)=0),"",'A créer'!A24)</f>
        <v/>
      </c>
      <c r="AG24" s="2" t="str">
        <f>IF(OR('A créer'!D24="Oui",LEN('A créer'!D24)=0),"","Tab")</f>
        <v/>
      </c>
      <c r="AH24" s="7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7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7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7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7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7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7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7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7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7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7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7" t="str">
        <f>IF(OR('A créer'!D25="Oui",LEN('A créer'!D25)=0),"",'A créer'!G25)</f>
        <v/>
      </c>
      <c r="Y25" s="2" t="str">
        <f>IF(OR('A créer'!D25="Oui",LEN('A créer'!D25)=0),"","Tab")</f>
        <v/>
      </c>
      <c r="Z25" s="7" t="str">
        <f>IF(OR('A créer'!D25="Oui",LEN('A créer'!D25)=0),"","Oui")</f>
        <v/>
      </c>
      <c r="AA25" s="2" t="str">
        <f>IF(OR('A créer'!D25="Oui",LEN('A créer'!D25)=0),"","Tab")</f>
        <v/>
      </c>
      <c r="AB25" s="7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7" t="str">
        <f>IF(OR('A créer'!D25="Oui",LEN('A créer'!D25)=0),"",'A créer'!A25)</f>
        <v/>
      </c>
      <c r="AG25" s="2" t="str">
        <f>IF(OR('A créer'!D25="Oui",LEN('A créer'!D25)=0),"","Tab")</f>
        <v/>
      </c>
      <c r="AH25" s="7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7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7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7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7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7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7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7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7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7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7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7" t="str">
        <f>IF(OR('A créer'!D26="Oui",LEN('A créer'!D26)=0),"",'A créer'!G26)</f>
        <v/>
      </c>
      <c r="Y26" s="2" t="str">
        <f>IF(OR('A créer'!D26="Oui",LEN('A créer'!D26)=0),"","Tab")</f>
        <v/>
      </c>
      <c r="Z26" s="7" t="str">
        <f>IF(OR('A créer'!D26="Oui",LEN('A créer'!D26)=0),"","Oui")</f>
        <v/>
      </c>
      <c r="AA26" s="2" t="str">
        <f>IF(OR('A créer'!D26="Oui",LEN('A créer'!D26)=0),"","Tab")</f>
        <v/>
      </c>
      <c r="AB26" s="7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7" t="str">
        <f>IF(OR('A créer'!D26="Oui",LEN('A créer'!D26)=0),"",'A créer'!A26)</f>
        <v/>
      </c>
      <c r="AG26" s="2" t="str">
        <f>IF(OR('A créer'!D26="Oui",LEN('A créer'!D26)=0),"","Tab")</f>
        <v/>
      </c>
      <c r="AH26" s="7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7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7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7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7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7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7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7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7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7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7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7" t="str">
        <f>IF(OR('A créer'!D27="Oui",LEN('A créer'!D27)=0),"",'A créer'!G27)</f>
        <v/>
      </c>
      <c r="Y27" s="2" t="str">
        <f>IF(OR('A créer'!D27="Oui",LEN('A créer'!D27)=0),"","Tab")</f>
        <v/>
      </c>
      <c r="Z27" s="7" t="str">
        <f>IF(OR('A créer'!D27="Oui",LEN('A créer'!D27)=0),"","Oui")</f>
        <v/>
      </c>
      <c r="AA27" s="2" t="str">
        <f>IF(OR('A créer'!D27="Oui",LEN('A créer'!D27)=0),"","Tab")</f>
        <v/>
      </c>
      <c r="AB27" s="7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7" t="str">
        <f>IF(OR('A créer'!D27="Oui",LEN('A créer'!D27)=0),"",'A créer'!A27)</f>
        <v/>
      </c>
      <c r="AG27" s="2" t="str">
        <f>IF(OR('A créer'!D27="Oui",LEN('A créer'!D27)=0),"","Tab")</f>
        <v/>
      </c>
      <c r="AH27" s="7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7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7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7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7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7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7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7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7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7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7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7" t="str">
        <f>IF(OR('A créer'!D28="Oui",LEN('A créer'!D28)=0),"",'A créer'!G28)</f>
        <v/>
      </c>
      <c r="Y28" s="2" t="str">
        <f>IF(OR('A créer'!D28="Oui",LEN('A créer'!D28)=0),"","Tab")</f>
        <v/>
      </c>
      <c r="Z28" s="7" t="str">
        <f>IF(OR('A créer'!D28="Oui",LEN('A créer'!D28)=0),"","Oui")</f>
        <v/>
      </c>
      <c r="AA28" s="2" t="str">
        <f>IF(OR('A créer'!D28="Oui",LEN('A créer'!D28)=0),"","Tab")</f>
        <v/>
      </c>
      <c r="AB28" s="7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7" t="str">
        <f>IF(OR('A créer'!D28="Oui",LEN('A créer'!D28)=0),"",'A créer'!A28)</f>
        <v/>
      </c>
      <c r="AG28" s="2" t="str">
        <f>IF(OR('A créer'!D28="Oui",LEN('A créer'!D28)=0),"","Tab")</f>
        <v/>
      </c>
      <c r="AH28" s="7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7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7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7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7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7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7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7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7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7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7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7" t="str">
        <f>IF(OR('A créer'!D29="Oui",LEN('A créer'!D29)=0),"",'A créer'!G29)</f>
        <v/>
      </c>
      <c r="Y29" s="2" t="str">
        <f>IF(OR('A créer'!D29="Oui",LEN('A créer'!D29)=0),"","Tab")</f>
        <v/>
      </c>
      <c r="Z29" s="7" t="str">
        <f>IF(OR('A créer'!D29="Oui",LEN('A créer'!D29)=0),"","Oui")</f>
        <v/>
      </c>
      <c r="AA29" s="2" t="str">
        <f>IF(OR('A créer'!D29="Oui",LEN('A créer'!D29)=0),"","Tab")</f>
        <v/>
      </c>
      <c r="AB29" s="7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7" t="str">
        <f>IF(OR('A créer'!D29="Oui",LEN('A créer'!D29)=0),"",'A créer'!A29)</f>
        <v/>
      </c>
      <c r="AG29" s="2" t="str">
        <f>IF(OR('A créer'!D29="Oui",LEN('A créer'!D29)=0),"","Tab")</f>
        <v/>
      </c>
      <c r="AH29" s="7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7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7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7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7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7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7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7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7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7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7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7" t="str">
        <f>IF(OR('A créer'!D30="Oui",LEN('A créer'!D30)=0),"",'A créer'!G30)</f>
        <v/>
      </c>
      <c r="Y30" s="2" t="str">
        <f>IF(OR('A créer'!D30="Oui",LEN('A créer'!D30)=0),"","Tab")</f>
        <v/>
      </c>
      <c r="Z30" s="7" t="str">
        <f>IF(OR('A créer'!D30="Oui",LEN('A créer'!D30)=0),"","Oui")</f>
        <v/>
      </c>
      <c r="AA30" s="2" t="str">
        <f>IF(OR('A créer'!D30="Oui",LEN('A créer'!D30)=0),"","Tab")</f>
        <v/>
      </c>
      <c r="AB30" s="7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7" t="str">
        <f>IF(OR('A créer'!D30="Oui",LEN('A créer'!D30)=0),"",'A créer'!A30)</f>
        <v/>
      </c>
      <c r="AG30" s="2" t="str">
        <f>IF(OR('A créer'!D30="Oui",LEN('A créer'!D30)=0),"","Tab")</f>
        <v/>
      </c>
      <c r="AH30" s="7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7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7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7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="80" zoomScaleNormal="80" workbookViewId="0">
      <pane ySplit="1" topLeftCell="A2" activePane="bottomLeft" state="frozenSplit"/>
      <selection pane="bottomLeft" activeCell="S1" sqref="S1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39.42578125" bestFit="1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165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165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513516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0443 SOCIETE VALMY DEFENSE 114/DOS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165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>*FN</v>
      </c>
      <c r="B3" s="7">
        <f>IF(AND(LEN('A créer'!P3)=0,OR('A créer'!D3="Oui",LEN('A créer'!D3)=0))=TRUE,"",'A créer'!P3)</f>
        <v>513517</v>
      </c>
      <c r="C3" s="2" t="str">
        <f>IF(AND(LEN('A créer'!P3)=0,OR('A créer'!D3="Oui",LEN('A créer'!D3)=0))=TRUE,"","Tab")</f>
        <v>Tab</v>
      </c>
      <c r="D3" s="7" t="str">
        <f>IF(AND(LEN('A créer'!P3)=0,OR('A créer'!D3="Oui",LEN('A créer'!D3)=0))=TRUE,"",CONCATENATE('A créer'!Q3," ",'A créer'!A3," ",'A créer'!C3,"/",'A créer'!B3))</f>
        <v>BNP PARIBAS 0444 SOCIETE VALMY DEFENSE 115/DOS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7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7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7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7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7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165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25">
      <c r="A4" s="2" t="str">
        <f>IF(AND(LEN('A créer'!P4)=0,OR('A créer'!D4="Oui",LEN('A créer'!D4)=0))=TRUE,"","*FN")</f>
        <v>*FN</v>
      </c>
      <c r="B4" s="7">
        <f>IF(AND(LEN('A créer'!P4)=0,OR('A créer'!D4="Oui",LEN('A créer'!D4)=0))=TRUE,"",'A créer'!P4)</f>
        <v>513518</v>
      </c>
      <c r="C4" s="2" t="str">
        <f>IF(AND(LEN('A créer'!P4)=0,OR('A créer'!D4="Oui",LEN('A créer'!D4)=0))=TRUE,"","Tab")</f>
        <v>Tab</v>
      </c>
      <c r="D4" s="7" t="str">
        <f>IF(AND(LEN('A créer'!P4)=0,OR('A créer'!D4="Oui",LEN('A créer'!D4)=0))=TRUE,"",CONCATENATE('A créer'!Q4," ",'A créer'!A4," ",'A créer'!C4,"/",'A créer'!B4))</f>
        <v>BNP PARIBAS 0446 SOCIETE VALMY DEFENSE 116/DOS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7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7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7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7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7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165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25">
      <c r="A5" s="2" t="str">
        <f>IF(AND(LEN('A créer'!P5)=0,OR('A créer'!D5="Oui",LEN('A créer'!D5)=0))=TRUE,"","*FN")</f>
        <v>*FN</v>
      </c>
      <c r="B5" s="7">
        <f>IF(AND(LEN('A créer'!P5)=0,OR('A créer'!D5="Oui",LEN('A créer'!D5)=0))=TRUE,"",'A créer'!P5)</f>
        <v>513519</v>
      </c>
      <c r="C5" s="2" t="str">
        <f>IF(AND(LEN('A créer'!P5)=0,OR('A créer'!D5="Oui",LEN('A créer'!D5)=0))=TRUE,"","Tab")</f>
        <v>Tab</v>
      </c>
      <c r="D5" s="7" t="str">
        <f>IF(AND(LEN('A créer'!P5)=0,OR('A créer'!D5="Oui",LEN('A créer'!D5)=0))=TRUE,"",CONCATENATE('A créer'!Q5," ",'A créer'!A5," ",'A créer'!C5,"/",'A créer'!B5))</f>
        <v>BNP PARIBAS 0449 SOCIETE VALMY DEFENSE 117/DOS</v>
      </c>
      <c r="E5" s="2" t="str">
        <f>IF(AND(LEN('A créer'!P5)=0,OR('A créer'!D5="Oui",LEN('A créer'!D5)=0))=TRUE,"","Tab 4")</f>
        <v>Tab 4</v>
      </c>
      <c r="F5" s="2" t="str">
        <f>IF(AND(LEN('A créer'!P5)=0,OR('A créer'!D5="Oui",LEN('A créer'!D5)=0))=TRUE,"","Tab")</f>
        <v>Tab</v>
      </c>
      <c r="G5" s="2" t="str">
        <f>IF(AND(LEN('A créer'!P5)=0,OR('A créer'!D5="Oui",LEN('A créer'!D5)=0))=TRUE,"","Tab")</f>
        <v>Tab</v>
      </c>
      <c r="H5" s="7" t="str">
        <f>IF(AND(LEN('A créer'!P5)=0,OR('A créer'!D5="Oui",LEN('A créer'!D5)=0))=TRUE,"","Non")</f>
        <v>Non</v>
      </c>
      <c r="I5" s="2" t="str">
        <f>IF(AND(LEN('A créer'!P5)=0,OR('A créer'!D5="Oui",LEN('A créer'!D5)=0))=TRUE,"","Tab")</f>
        <v>Tab</v>
      </c>
      <c r="J5" s="7" t="str">
        <f>IF(AND(LEN('A créer'!P5)=0,OR('A créer'!D5="Oui",LEN('A créer'!D5)=0))=TRUE,"","Oui")</f>
        <v>Oui</v>
      </c>
      <c r="K5" s="2" t="str">
        <f>IF(AND(LEN('A créer'!P5)=0,OR('A créer'!D5="Oui",LEN('A créer'!D5)=0))=TRUE,"","Tab")</f>
        <v>Tab</v>
      </c>
      <c r="L5" s="7" t="str">
        <f>IF(AND(LEN('A créer'!P5)=0,OR('A créer'!D5="Oui",LEN('A créer'!D5)=0))=TRUE,"","Actif")</f>
        <v>Actif</v>
      </c>
      <c r="M5" s="2" t="str">
        <f>IF(AND(LEN('A créer'!P5)=0,OR('A créer'!D5="Oui",LEN('A créer'!D5)=0))=TRUE,"","Tab")</f>
        <v>Tab</v>
      </c>
      <c r="N5" s="7" t="str">
        <f>IF(AND(LEN('A créer'!P5)=0,OR('A créer'!D5="Oui",LEN('A créer'!D5)=0))=TRUE,"","Non")</f>
        <v>Non</v>
      </c>
      <c r="O5" s="2" t="str">
        <f>IF(AND(LEN('A créer'!P5)=0,OR('A créer'!D5="Oui",LEN('A créer'!D5)=0))=TRUE,"","Tab")</f>
        <v>Tab</v>
      </c>
      <c r="P5" s="7" t="str">
        <f>IF(AND(LEN('A créer'!P5)=0,OR('A créer'!D5="Oui",LEN('A créer'!D5)=0))=TRUE,"","Non")</f>
        <v>Non</v>
      </c>
      <c r="Q5" s="2" t="str">
        <f>IF(AND(LEN('A créer'!P5)=0,OR('A créer'!D5="Oui",LEN('A créer'!D5)=0))=TRUE,"","Tab")</f>
        <v>Tab</v>
      </c>
      <c r="R5" s="2" t="str">
        <f>IF(AND(LEN('A créer'!P5)=0,OR('A créer'!D5="Oui",LEN('A créer'!D5)=0))=TRUE,"","ENT")</f>
        <v>ENT</v>
      </c>
      <c r="S5" s="2" t="s">
        <v>165</v>
      </c>
      <c r="T5" s="2" t="str">
        <f>IF(AND(LEN('A créer'!P5)=0,OR('A créer'!D5="Oui",LEN('A créer'!D5)=0))=TRUE,"","Tab")</f>
        <v>Tab</v>
      </c>
      <c r="U5" s="2" t="str">
        <f>IF(AND(LEN('A créer'!P5)=0,OR('A créer'!D5="Oui",LEN('A créer'!D5)=0))=TRUE,"","Tab")</f>
        <v>Tab</v>
      </c>
      <c r="V5" s="2" t="str">
        <f>IF(AND(LEN('A créer'!P5)=0,OR('A créer'!D5="Oui",LEN('A créer'!D5)=0))=TRUE,"","Tab")</f>
        <v>Tab</v>
      </c>
      <c r="W5" s="4" t="str">
        <f>IF(AND(LEN('A créer'!P5)=0,OR('A créer'!D5="Oui",LEN('A créer'!D5)=0))=TRUE,"","Non")</f>
        <v>Non</v>
      </c>
      <c r="X5" s="2" t="str">
        <f>IF(AND(LEN('A créer'!P5)=0,OR('A créer'!D5="Oui",LEN('A créer'!D5)=0))=TRUE,"","ENT")</f>
        <v>ENT</v>
      </c>
      <c r="Y5" s="2" t="str">
        <f>IF(AND(LEN('A créer'!P5)=0,OR('A créer'!D5="Oui",LEN('A créer'!D5)=0))=TRUE,"","*SAVE")</f>
        <v>*SAVE</v>
      </c>
    </row>
    <row r="6" spans="1:25" x14ac:dyDescent="0.25">
      <c r="A6" s="2" t="str">
        <f>IF(AND(LEN('A créer'!P6)=0,OR('A créer'!D6="Oui",LEN('A créer'!D6)=0))=TRUE,"","*FN")</f>
        <v>*FN</v>
      </c>
      <c r="B6" s="7">
        <f>IF(AND(LEN('A créer'!P6)=0,OR('A créer'!D6="Oui",LEN('A créer'!D6)=0))=TRUE,"",'A créer'!P6)</f>
        <v>513520</v>
      </c>
      <c r="C6" s="2" t="str">
        <f>IF(AND(LEN('A créer'!P6)=0,OR('A créer'!D6="Oui",LEN('A créer'!D6)=0))=TRUE,"","Tab")</f>
        <v>Tab</v>
      </c>
      <c r="D6" s="7" t="str">
        <f>IF(AND(LEN('A créer'!P6)=0,OR('A créer'!D6="Oui",LEN('A créer'!D6)=0))=TRUE,"",CONCATENATE('A créer'!Q6," ",'A créer'!A6," ",'A créer'!C6,"/",'A créer'!B6))</f>
        <v>BNP PARIBAS 0450 SOCIETE VALMY DEFENSE 118/DOS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7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7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7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7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7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165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25">
      <c r="A7" s="2" t="str">
        <f>IF(AND(LEN('A créer'!P7)=0,OR('A créer'!D7="Oui",LEN('A créer'!D7)=0))=TRUE,"","*FN")</f>
        <v>*FN</v>
      </c>
      <c r="B7" s="7">
        <f>IF(AND(LEN('A créer'!P7)=0,OR('A créer'!D7="Oui",LEN('A créer'!D7)=0))=TRUE,"",'A créer'!P7)</f>
        <v>513521</v>
      </c>
      <c r="C7" s="2" t="str">
        <f>IF(AND(LEN('A créer'!P7)=0,OR('A créer'!D7="Oui",LEN('A créer'!D7)=0))=TRUE,"","Tab")</f>
        <v>Tab</v>
      </c>
      <c r="D7" s="7" t="str">
        <f>IF(AND(LEN('A créer'!P7)=0,OR('A créer'!D7="Oui",LEN('A créer'!D7)=0))=TRUE,"",CONCATENATE('A créer'!Q7," ",'A créer'!A7," ",'A créer'!C7,"/",'A créer'!B7))</f>
        <v>BNP PARIBAS 0454 SOCIETE VALMY DEFENSE 120/DOS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7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7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7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7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7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165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25">
      <c r="A8" s="2" t="str">
        <f>IF(AND(LEN('A créer'!P8)=0,OR('A créer'!D8="Oui",LEN('A créer'!D8)=0))=TRUE,"","*FN")</f>
        <v>*FN</v>
      </c>
      <c r="B8" s="7">
        <f>IF(AND(LEN('A créer'!P8)=0,OR('A créer'!D8="Oui",LEN('A créer'!D8)=0))=TRUE,"",'A créer'!P8)</f>
        <v>513522</v>
      </c>
      <c r="C8" s="2" t="str">
        <f>IF(AND(LEN('A créer'!P8)=0,OR('A créer'!D8="Oui",LEN('A créer'!D8)=0))=TRUE,"","Tab")</f>
        <v>Tab</v>
      </c>
      <c r="D8" s="7" t="str">
        <f>IF(AND(LEN('A créer'!P8)=0,OR('A créer'!D8="Oui",LEN('A créer'!D8)=0))=TRUE,"",CONCATENATE('A créer'!Q8," ",'A créer'!A8," ",'A créer'!C8,"/",'A créer'!B8))</f>
        <v>BNP PARIBAS 0455 SOCIETE VALMY DEFENSE 121/DOS</v>
      </c>
      <c r="E8" s="2" t="str">
        <f>IF(AND(LEN('A créer'!P8)=0,OR('A créer'!D8="Oui",LEN('A créer'!D8)=0))=TRUE,"","Tab 4")</f>
        <v>Tab 4</v>
      </c>
      <c r="F8" s="2" t="str">
        <f>IF(AND(LEN('A créer'!P8)=0,OR('A créer'!D8="Oui",LEN('A créer'!D8)=0))=TRUE,"","Tab")</f>
        <v>Tab</v>
      </c>
      <c r="G8" s="2" t="str">
        <f>IF(AND(LEN('A créer'!P8)=0,OR('A créer'!D8="Oui",LEN('A créer'!D8)=0))=TRUE,"","Tab")</f>
        <v>Tab</v>
      </c>
      <c r="H8" s="7" t="str">
        <f>IF(AND(LEN('A créer'!P8)=0,OR('A créer'!D8="Oui",LEN('A créer'!D8)=0))=TRUE,"","Non")</f>
        <v>Non</v>
      </c>
      <c r="I8" s="2" t="str">
        <f>IF(AND(LEN('A créer'!P8)=0,OR('A créer'!D8="Oui",LEN('A créer'!D8)=0))=TRUE,"","Tab")</f>
        <v>Tab</v>
      </c>
      <c r="J8" s="7" t="str">
        <f>IF(AND(LEN('A créer'!P8)=0,OR('A créer'!D8="Oui",LEN('A créer'!D8)=0))=TRUE,"","Oui")</f>
        <v>Oui</v>
      </c>
      <c r="K8" s="2" t="str">
        <f>IF(AND(LEN('A créer'!P8)=0,OR('A créer'!D8="Oui",LEN('A créer'!D8)=0))=TRUE,"","Tab")</f>
        <v>Tab</v>
      </c>
      <c r="L8" s="7" t="str">
        <f>IF(AND(LEN('A créer'!P8)=0,OR('A créer'!D8="Oui",LEN('A créer'!D8)=0))=TRUE,"","Actif")</f>
        <v>Actif</v>
      </c>
      <c r="M8" s="2" t="str">
        <f>IF(AND(LEN('A créer'!P8)=0,OR('A créer'!D8="Oui",LEN('A créer'!D8)=0))=TRUE,"","Tab")</f>
        <v>Tab</v>
      </c>
      <c r="N8" s="7" t="str">
        <f>IF(AND(LEN('A créer'!P8)=0,OR('A créer'!D8="Oui",LEN('A créer'!D8)=0))=TRUE,"","Non")</f>
        <v>Non</v>
      </c>
      <c r="O8" s="2" t="str">
        <f>IF(AND(LEN('A créer'!P8)=0,OR('A créer'!D8="Oui",LEN('A créer'!D8)=0))=TRUE,"","Tab")</f>
        <v>Tab</v>
      </c>
      <c r="P8" s="7" t="str">
        <f>IF(AND(LEN('A créer'!P8)=0,OR('A créer'!D8="Oui",LEN('A créer'!D8)=0))=TRUE,"","Non")</f>
        <v>Non</v>
      </c>
      <c r="Q8" s="2" t="str">
        <f>IF(AND(LEN('A créer'!P8)=0,OR('A créer'!D8="Oui",LEN('A créer'!D8)=0))=TRUE,"","Tab")</f>
        <v>Tab</v>
      </c>
      <c r="R8" s="2" t="str">
        <f>IF(AND(LEN('A créer'!P8)=0,OR('A créer'!D8="Oui",LEN('A créer'!D8)=0))=TRUE,"","ENT")</f>
        <v>ENT</v>
      </c>
      <c r="S8" s="2" t="s">
        <v>165</v>
      </c>
      <c r="T8" s="2" t="str">
        <f>IF(AND(LEN('A créer'!P8)=0,OR('A créer'!D8="Oui",LEN('A créer'!D8)=0))=TRUE,"","Tab")</f>
        <v>Tab</v>
      </c>
      <c r="U8" s="2" t="str">
        <f>IF(AND(LEN('A créer'!P8)=0,OR('A créer'!D8="Oui",LEN('A créer'!D8)=0))=TRUE,"","Tab")</f>
        <v>Tab</v>
      </c>
      <c r="V8" s="2" t="str">
        <f>IF(AND(LEN('A créer'!P8)=0,OR('A créer'!D8="Oui",LEN('A créer'!D8)=0))=TRUE,"","Tab")</f>
        <v>Tab</v>
      </c>
      <c r="W8" s="4" t="str">
        <f>IF(AND(LEN('A créer'!P8)=0,OR('A créer'!D8="Oui",LEN('A créer'!D8)=0))=TRUE,"","Non")</f>
        <v>Non</v>
      </c>
      <c r="X8" s="2" t="str">
        <f>IF(AND(LEN('A créer'!P8)=0,OR('A créer'!D8="Oui",LEN('A créer'!D8)=0))=TRUE,"","ENT")</f>
        <v>ENT</v>
      </c>
      <c r="Y8" s="2" t="str">
        <f>IF(AND(LEN('A créer'!P8)=0,OR('A créer'!D8="Oui",LEN('A créer'!D8)=0))=TRUE,"","*SAVE")</f>
        <v>*SAVE</v>
      </c>
    </row>
    <row r="9" spans="1:25" x14ac:dyDescent="0.25">
      <c r="A9" s="2" t="str">
        <f>IF(AND(LEN('A créer'!P9)=0,OR('A créer'!D9="Oui",LEN('A créer'!D9)=0))=TRUE,"","*FN")</f>
        <v>*FN</v>
      </c>
      <c r="B9" s="7">
        <f>IF(AND(LEN('A créer'!P9)=0,OR('A créer'!D9="Oui",LEN('A créer'!D9)=0))=TRUE,"",'A créer'!P9)</f>
        <v>513523</v>
      </c>
      <c r="C9" s="2" t="str">
        <f>IF(AND(LEN('A créer'!P9)=0,OR('A créer'!D9="Oui",LEN('A créer'!D9)=0))=TRUE,"","Tab")</f>
        <v>Tab</v>
      </c>
      <c r="D9" s="7" t="str">
        <f>IF(AND(LEN('A créer'!P9)=0,OR('A créer'!D9="Oui",LEN('A créer'!D9)=0))=TRUE,"",CONCATENATE('A créer'!Q9," ",'A créer'!A9," ",'A créer'!C9,"/",'A créer'!B9))</f>
        <v>BNP PARIBAS 0456 SOCIETE VALMY DEFENSE 122/DOS</v>
      </c>
      <c r="E9" s="2" t="str">
        <f>IF(AND(LEN('A créer'!P9)=0,OR('A créer'!D9="Oui",LEN('A créer'!D9)=0))=TRUE,"","Tab 4")</f>
        <v>Tab 4</v>
      </c>
      <c r="F9" s="2" t="str">
        <f>IF(AND(LEN('A créer'!P9)=0,OR('A créer'!D9="Oui",LEN('A créer'!D9)=0))=TRUE,"","Tab")</f>
        <v>Tab</v>
      </c>
      <c r="G9" s="2" t="str">
        <f>IF(AND(LEN('A créer'!P9)=0,OR('A créer'!D9="Oui",LEN('A créer'!D9)=0))=TRUE,"","Tab")</f>
        <v>Tab</v>
      </c>
      <c r="H9" s="7" t="str">
        <f>IF(AND(LEN('A créer'!P9)=0,OR('A créer'!D9="Oui",LEN('A créer'!D9)=0))=TRUE,"","Non")</f>
        <v>Non</v>
      </c>
      <c r="I9" s="2" t="str">
        <f>IF(AND(LEN('A créer'!P9)=0,OR('A créer'!D9="Oui",LEN('A créer'!D9)=0))=TRUE,"","Tab")</f>
        <v>Tab</v>
      </c>
      <c r="J9" s="7" t="str">
        <f>IF(AND(LEN('A créer'!P9)=0,OR('A créer'!D9="Oui",LEN('A créer'!D9)=0))=TRUE,"","Oui")</f>
        <v>Oui</v>
      </c>
      <c r="K9" s="2" t="str">
        <f>IF(AND(LEN('A créer'!P9)=0,OR('A créer'!D9="Oui",LEN('A créer'!D9)=0))=TRUE,"","Tab")</f>
        <v>Tab</v>
      </c>
      <c r="L9" s="7" t="str">
        <f>IF(AND(LEN('A créer'!P9)=0,OR('A créer'!D9="Oui",LEN('A créer'!D9)=0))=TRUE,"","Actif")</f>
        <v>Actif</v>
      </c>
      <c r="M9" s="2" t="str">
        <f>IF(AND(LEN('A créer'!P9)=0,OR('A créer'!D9="Oui",LEN('A créer'!D9)=0))=TRUE,"","Tab")</f>
        <v>Tab</v>
      </c>
      <c r="N9" s="7" t="str">
        <f>IF(AND(LEN('A créer'!P9)=0,OR('A créer'!D9="Oui",LEN('A créer'!D9)=0))=TRUE,"","Non")</f>
        <v>Non</v>
      </c>
      <c r="O9" s="2" t="str">
        <f>IF(AND(LEN('A créer'!P9)=0,OR('A créer'!D9="Oui",LEN('A créer'!D9)=0))=TRUE,"","Tab")</f>
        <v>Tab</v>
      </c>
      <c r="P9" s="7" t="str">
        <f>IF(AND(LEN('A créer'!P9)=0,OR('A créer'!D9="Oui",LEN('A créer'!D9)=0))=TRUE,"","Non")</f>
        <v>Non</v>
      </c>
      <c r="Q9" s="2" t="str">
        <f>IF(AND(LEN('A créer'!P9)=0,OR('A créer'!D9="Oui",LEN('A créer'!D9)=0))=TRUE,"","Tab")</f>
        <v>Tab</v>
      </c>
      <c r="R9" s="2" t="str">
        <f>IF(AND(LEN('A créer'!P9)=0,OR('A créer'!D9="Oui",LEN('A créer'!D9)=0))=TRUE,"","ENT")</f>
        <v>ENT</v>
      </c>
      <c r="S9" s="2" t="s">
        <v>165</v>
      </c>
      <c r="T9" s="2" t="str">
        <f>IF(AND(LEN('A créer'!P9)=0,OR('A créer'!D9="Oui",LEN('A créer'!D9)=0))=TRUE,"","Tab")</f>
        <v>Tab</v>
      </c>
      <c r="U9" s="2" t="str">
        <f>IF(AND(LEN('A créer'!P9)=0,OR('A créer'!D9="Oui",LEN('A créer'!D9)=0))=TRUE,"","Tab")</f>
        <v>Tab</v>
      </c>
      <c r="V9" s="2" t="str">
        <f>IF(AND(LEN('A créer'!P9)=0,OR('A créer'!D9="Oui",LEN('A créer'!D9)=0))=TRUE,"","Tab")</f>
        <v>Tab</v>
      </c>
      <c r="W9" s="4" t="str">
        <f>IF(AND(LEN('A créer'!P9)=0,OR('A créer'!D9="Oui",LEN('A créer'!D9)=0))=TRUE,"","Non")</f>
        <v>Non</v>
      </c>
      <c r="X9" s="2" t="str">
        <f>IF(AND(LEN('A créer'!P9)=0,OR('A créer'!D9="Oui",LEN('A créer'!D9)=0))=TRUE,"","ENT")</f>
        <v>ENT</v>
      </c>
      <c r="Y9" s="2" t="str">
        <f>IF(AND(LEN('A créer'!P9)=0,OR('A créer'!D9="Oui",LEN('A créer'!D9)=0))=TRUE,"","*SAVE")</f>
        <v>*SAVE</v>
      </c>
    </row>
    <row r="10" spans="1:25" x14ac:dyDescent="0.25">
      <c r="A10" s="2" t="str">
        <f>IF(AND(LEN('A créer'!P10)=0,OR('A créer'!D10="Oui",LEN('A créer'!D10)=0))=TRUE,"","*FN")</f>
        <v>*FN</v>
      </c>
      <c r="B10" s="7">
        <f>IF(AND(LEN('A créer'!P10)=0,OR('A créer'!D10="Oui",LEN('A créer'!D10)=0))=TRUE,"",'A créer'!P10)</f>
        <v>513514</v>
      </c>
      <c r="C10" s="2" t="str">
        <f>IF(AND(LEN('A créer'!P10)=0,OR('A créer'!D10="Oui",LEN('A créer'!D10)=0))=TRUE,"","Tab")</f>
        <v>Tab</v>
      </c>
      <c r="D10" s="7" t="str">
        <f>IF(AND(LEN('A créer'!P10)=0,OR('A créer'!D10="Oui",LEN('A créer'!D10)=0))=TRUE,"",CONCATENATE('A créer'!Q10," ",'A créer'!A10," ",'A créer'!C10,"/",'A créer'!B10))</f>
        <v>BNP PARIBAS 0453 SOCIETE VALMY DEFENSE 119/DRW</v>
      </c>
      <c r="E10" s="2" t="str">
        <f>IF(AND(LEN('A créer'!P10)=0,OR('A créer'!D10="Oui",LEN('A créer'!D10)=0))=TRUE,"","Tab 4")</f>
        <v>Tab 4</v>
      </c>
      <c r="F10" s="2" t="str">
        <f>IF(AND(LEN('A créer'!P10)=0,OR('A créer'!D10="Oui",LEN('A créer'!D10)=0))=TRUE,"","Tab")</f>
        <v>Tab</v>
      </c>
      <c r="G10" s="2" t="str">
        <f>IF(AND(LEN('A créer'!P10)=0,OR('A créer'!D10="Oui",LEN('A créer'!D10)=0))=TRUE,"","Tab")</f>
        <v>Tab</v>
      </c>
      <c r="H10" s="7" t="str">
        <f>IF(AND(LEN('A créer'!P10)=0,OR('A créer'!D10="Oui",LEN('A créer'!D10)=0))=TRUE,"","Non")</f>
        <v>Non</v>
      </c>
      <c r="I10" s="2" t="str">
        <f>IF(AND(LEN('A créer'!P10)=0,OR('A créer'!D10="Oui",LEN('A créer'!D10)=0))=TRUE,"","Tab")</f>
        <v>Tab</v>
      </c>
      <c r="J10" s="7" t="str">
        <f>IF(AND(LEN('A créer'!P10)=0,OR('A créer'!D10="Oui",LEN('A créer'!D10)=0))=TRUE,"","Oui")</f>
        <v>Oui</v>
      </c>
      <c r="K10" s="2" t="str">
        <f>IF(AND(LEN('A créer'!P10)=0,OR('A créer'!D10="Oui",LEN('A créer'!D10)=0))=TRUE,"","Tab")</f>
        <v>Tab</v>
      </c>
      <c r="L10" s="7" t="str">
        <f>IF(AND(LEN('A créer'!P10)=0,OR('A créer'!D10="Oui",LEN('A créer'!D10)=0))=TRUE,"","Actif")</f>
        <v>Actif</v>
      </c>
      <c r="M10" s="2" t="str">
        <f>IF(AND(LEN('A créer'!P10)=0,OR('A créer'!D10="Oui",LEN('A créer'!D10)=0))=TRUE,"","Tab")</f>
        <v>Tab</v>
      </c>
      <c r="N10" s="7" t="str">
        <f>IF(AND(LEN('A créer'!P10)=0,OR('A créer'!D10="Oui",LEN('A créer'!D10)=0))=TRUE,"","Non")</f>
        <v>Non</v>
      </c>
      <c r="O10" s="2" t="str">
        <f>IF(AND(LEN('A créer'!P10)=0,OR('A créer'!D10="Oui",LEN('A créer'!D10)=0))=TRUE,"","Tab")</f>
        <v>Tab</v>
      </c>
      <c r="P10" s="7" t="str">
        <f>IF(AND(LEN('A créer'!P10)=0,OR('A créer'!D10="Oui",LEN('A créer'!D10)=0))=TRUE,"","Non")</f>
        <v>Non</v>
      </c>
      <c r="Q10" s="2" t="str">
        <f>IF(AND(LEN('A créer'!P10)=0,OR('A créer'!D10="Oui",LEN('A créer'!D10)=0))=TRUE,"","Tab")</f>
        <v>Tab</v>
      </c>
      <c r="R10" s="2" t="str">
        <f>IF(AND(LEN('A créer'!P10)=0,OR('A créer'!D10="Oui",LEN('A créer'!D10)=0))=TRUE,"","ENT")</f>
        <v>ENT</v>
      </c>
      <c r="S10" s="2" t="s">
        <v>165</v>
      </c>
      <c r="T10" s="2" t="str">
        <f>IF(AND(LEN('A créer'!P10)=0,OR('A créer'!D10="Oui",LEN('A créer'!D10)=0))=TRUE,"","Tab")</f>
        <v>Tab</v>
      </c>
      <c r="U10" s="2" t="str">
        <f>IF(AND(LEN('A créer'!P10)=0,OR('A créer'!D10="Oui",LEN('A créer'!D10)=0))=TRUE,"","Tab")</f>
        <v>Tab</v>
      </c>
      <c r="V10" s="2" t="str">
        <f>IF(AND(LEN('A créer'!P10)=0,OR('A créer'!D10="Oui",LEN('A créer'!D10)=0))=TRUE,"","Tab")</f>
        <v>Tab</v>
      </c>
      <c r="W10" s="4" t="str">
        <f>IF(AND(LEN('A créer'!P10)=0,OR('A créer'!D10="Oui",LEN('A créer'!D10)=0))=TRUE,"","Non")</f>
        <v>Non</v>
      </c>
      <c r="X10" s="2" t="str">
        <f>IF(AND(LEN('A créer'!P10)=0,OR('A créer'!D10="Oui",LEN('A créer'!D10)=0))=TRUE,"","ENT")</f>
        <v>ENT</v>
      </c>
      <c r="Y10" s="2" t="str">
        <f>IF(AND(LEN('A créer'!P10)=0,OR('A créer'!D10="Oui",LEN('A créer'!D10)=0))=TRUE,"","*SAVE")</f>
        <v>*SAVE</v>
      </c>
    </row>
    <row r="11" spans="1:25" x14ac:dyDescent="0.25">
      <c r="A11" s="2" t="str">
        <f>IF(AND(LEN('A créer'!P11)=0,OR('A créer'!D11="Oui",LEN('A créer'!D11)=0))=TRUE,"","*FN")</f>
        <v>*FN</v>
      </c>
      <c r="B11" s="7">
        <f>IF(AND(LEN('A créer'!P11)=0,OR('A créer'!D11="Oui",LEN('A créer'!D11)=0))=TRUE,"",'A créer'!P11)</f>
        <v>513515</v>
      </c>
      <c r="C11" s="2" t="str">
        <f>IF(AND(LEN('A créer'!P11)=0,OR('A créer'!D11="Oui",LEN('A créer'!D11)=0))=TRUE,"","Tab")</f>
        <v>Tab</v>
      </c>
      <c r="D11" s="7" t="str">
        <f>IF(AND(LEN('A créer'!P11)=0,OR('A créer'!D11="Oui",LEN('A créer'!D11)=0))=TRUE,"",CONCATENATE('A créer'!Q11," ",'A créer'!A11," ",'A créer'!C11,"/",'A créer'!B11))</f>
        <v>BNP PARIBAS 0457 DALKIA MIDDLE EAST/DOS</v>
      </c>
      <c r="E11" s="2" t="str">
        <f>IF(AND(LEN('A créer'!P11)=0,OR('A créer'!D11="Oui",LEN('A créer'!D11)=0))=TRUE,"","Tab 4")</f>
        <v>Tab 4</v>
      </c>
      <c r="F11" s="2" t="str">
        <f>IF(AND(LEN('A créer'!P11)=0,OR('A créer'!D11="Oui",LEN('A créer'!D11)=0))=TRUE,"","Tab")</f>
        <v>Tab</v>
      </c>
      <c r="G11" s="2" t="str">
        <f>IF(AND(LEN('A créer'!P11)=0,OR('A créer'!D11="Oui",LEN('A créer'!D11)=0))=TRUE,"","Tab")</f>
        <v>Tab</v>
      </c>
      <c r="H11" s="7" t="str">
        <f>IF(AND(LEN('A créer'!P11)=0,OR('A créer'!D11="Oui",LEN('A créer'!D11)=0))=TRUE,"","Non")</f>
        <v>Non</v>
      </c>
      <c r="I11" s="2" t="str">
        <f>IF(AND(LEN('A créer'!P11)=0,OR('A créer'!D11="Oui",LEN('A créer'!D11)=0))=TRUE,"","Tab")</f>
        <v>Tab</v>
      </c>
      <c r="J11" s="7" t="str">
        <f>IF(AND(LEN('A créer'!P11)=0,OR('A créer'!D11="Oui",LEN('A créer'!D11)=0))=TRUE,"","Oui")</f>
        <v>Oui</v>
      </c>
      <c r="K11" s="2" t="str">
        <f>IF(AND(LEN('A créer'!P11)=0,OR('A créer'!D11="Oui",LEN('A créer'!D11)=0))=TRUE,"","Tab")</f>
        <v>Tab</v>
      </c>
      <c r="L11" s="7" t="str">
        <f>IF(AND(LEN('A créer'!P11)=0,OR('A créer'!D11="Oui",LEN('A créer'!D11)=0))=TRUE,"","Actif")</f>
        <v>Actif</v>
      </c>
      <c r="M11" s="2" t="str">
        <f>IF(AND(LEN('A créer'!P11)=0,OR('A créer'!D11="Oui",LEN('A créer'!D11)=0))=TRUE,"","Tab")</f>
        <v>Tab</v>
      </c>
      <c r="N11" s="7" t="str">
        <f>IF(AND(LEN('A créer'!P11)=0,OR('A créer'!D11="Oui",LEN('A créer'!D11)=0))=TRUE,"","Non")</f>
        <v>Non</v>
      </c>
      <c r="O11" s="2" t="str">
        <f>IF(AND(LEN('A créer'!P11)=0,OR('A créer'!D11="Oui",LEN('A créer'!D11)=0))=TRUE,"","Tab")</f>
        <v>Tab</v>
      </c>
      <c r="P11" s="7" t="str">
        <f>IF(AND(LEN('A créer'!P11)=0,OR('A créer'!D11="Oui",LEN('A créer'!D11)=0))=TRUE,"","Non")</f>
        <v>Non</v>
      </c>
      <c r="Q11" s="2" t="str">
        <f>IF(AND(LEN('A créer'!P11)=0,OR('A créer'!D11="Oui",LEN('A créer'!D11)=0))=TRUE,"","Tab")</f>
        <v>Tab</v>
      </c>
      <c r="R11" s="2" t="str">
        <f>IF(AND(LEN('A créer'!P11)=0,OR('A créer'!D11="Oui",LEN('A créer'!D11)=0))=TRUE,"","ENT")</f>
        <v>ENT</v>
      </c>
      <c r="S11" s="2" t="s">
        <v>165</v>
      </c>
      <c r="T11" s="2" t="str">
        <f>IF(AND(LEN('A créer'!P11)=0,OR('A créer'!D11="Oui",LEN('A créer'!D11)=0))=TRUE,"","Tab")</f>
        <v>Tab</v>
      </c>
      <c r="U11" s="2" t="str">
        <f>IF(AND(LEN('A créer'!P11)=0,OR('A créer'!D11="Oui",LEN('A créer'!D11)=0))=TRUE,"","Tab")</f>
        <v>Tab</v>
      </c>
      <c r="V11" s="2" t="str">
        <f>IF(AND(LEN('A créer'!P11)=0,OR('A créer'!D11="Oui",LEN('A créer'!D11)=0))=TRUE,"","Tab")</f>
        <v>Tab</v>
      </c>
      <c r="W11" s="4" t="str">
        <f>IF(AND(LEN('A créer'!P11)=0,OR('A créer'!D11="Oui",LEN('A créer'!D11)=0))=TRUE,"","Non")</f>
        <v>Non</v>
      </c>
      <c r="X11" s="2" t="str">
        <f>IF(AND(LEN('A créer'!P11)=0,OR('A créer'!D11="Oui",LEN('A créer'!D11)=0))=TRUE,"","ENT")</f>
        <v>ENT</v>
      </c>
      <c r="Y11" s="2" t="str">
        <f>IF(AND(LEN('A créer'!P11)=0,OR('A créer'!D11="Oui",LEN('A créer'!D11)=0))=TRUE,"","*SAVE")</f>
        <v>*SAVE</v>
      </c>
    </row>
    <row r="12" spans="1:25" x14ac:dyDescent="0.25">
      <c r="A12" s="2" t="str">
        <f>IF(AND(LEN('A créer'!P12)=0,OR('A créer'!D12="Oui",LEN('A créer'!D12)=0))=TRUE,"","*FN")</f>
        <v>*FN</v>
      </c>
      <c r="B12" s="7">
        <f>IF(AND(LEN('A créer'!P12)=0,OR('A créer'!D12="Oui",LEN('A créer'!D12)=0))=TRUE,"",'A créer'!P12)</f>
        <v>513524</v>
      </c>
      <c r="C12" s="2" t="str">
        <f>IF(AND(LEN('A créer'!P12)=0,OR('A créer'!D12="Oui",LEN('A créer'!D12)=0))=TRUE,"","Tab")</f>
        <v>Tab</v>
      </c>
      <c r="D12" s="7" t="str">
        <f>IF(AND(LEN('A créer'!P12)=0,OR('A créer'!D12="Oui",LEN('A créer'!D12)=0))=TRUE,"",CONCATENATE('A créer'!Q12," ",'A créer'!A12," ",'A créer'!C12,"/",'A créer'!B12))</f>
        <v>BNP PARIBAS 0473 CITELUM IG/DOS</v>
      </c>
      <c r="E12" s="2" t="str">
        <f>IF(AND(LEN('A créer'!P12)=0,OR('A créer'!D12="Oui",LEN('A créer'!D12)=0))=TRUE,"","Tab 4")</f>
        <v>Tab 4</v>
      </c>
      <c r="F12" s="2" t="str">
        <f>IF(AND(LEN('A créer'!P12)=0,OR('A créer'!D12="Oui",LEN('A créer'!D12)=0))=TRUE,"","Tab")</f>
        <v>Tab</v>
      </c>
      <c r="G12" s="2" t="str">
        <f>IF(AND(LEN('A créer'!P12)=0,OR('A créer'!D12="Oui",LEN('A créer'!D12)=0))=TRUE,"","Tab")</f>
        <v>Tab</v>
      </c>
      <c r="H12" s="7" t="str">
        <f>IF(AND(LEN('A créer'!P12)=0,OR('A créer'!D12="Oui",LEN('A créer'!D12)=0))=TRUE,"","Non")</f>
        <v>Non</v>
      </c>
      <c r="I12" s="2" t="str">
        <f>IF(AND(LEN('A créer'!P12)=0,OR('A créer'!D12="Oui",LEN('A créer'!D12)=0))=TRUE,"","Tab")</f>
        <v>Tab</v>
      </c>
      <c r="J12" s="7" t="str">
        <f>IF(AND(LEN('A créer'!P12)=0,OR('A créer'!D12="Oui",LEN('A créer'!D12)=0))=TRUE,"","Oui")</f>
        <v>Oui</v>
      </c>
      <c r="K12" s="2" t="str">
        <f>IF(AND(LEN('A créer'!P12)=0,OR('A créer'!D12="Oui",LEN('A créer'!D12)=0))=TRUE,"","Tab")</f>
        <v>Tab</v>
      </c>
      <c r="L12" s="7" t="str">
        <f>IF(AND(LEN('A créer'!P12)=0,OR('A créer'!D12="Oui",LEN('A créer'!D12)=0))=TRUE,"","Actif")</f>
        <v>Actif</v>
      </c>
      <c r="M12" s="2" t="str">
        <f>IF(AND(LEN('A créer'!P12)=0,OR('A créer'!D12="Oui",LEN('A créer'!D12)=0))=TRUE,"","Tab")</f>
        <v>Tab</v>
      </c>
      <c r="N12" s="7" t="str">
        <f>IF(AND(LEN('A créer'!P12)=0,OR('A créer'!D12="Oui",LEN('A créer'!D12)=0))=TRUE,"","Non")</f>
        <v>Non</v>
      </c>
      <c r="O12" s="2" t="str">
        <f>IF(AND(LEN('A créer'!P12)=0,OR('A créer'!D12="Oui",LEN('A créer'!D12)=0))=TRUE,"","Tab")</f>
        <v>Tab</v>
      </c>
      <c r="P12" s="7" t="str">
        <f>IF(AND(LEN('A créer'!P12)=0,OR('A créer'!D12="Oui",LEN('A créer'!D12)=0))=TRUE,"","Non")</f>
        <v>Non</v>
      </c>
      <c r="Q12" s="2" t="str">
        <f>IF(AND(LEN('A créer'!P12)=0,OR('A créer'!D12="Oui",LEN('A créer'!D12)=0))=TRUE,"","Tab")</f>
        <v>Tab</v>
      </c>
      <c r="R12" s="2" t="str">
        <f>IF(AND(LEN('A créer'!P12)=0,OR('A créer'!D12="Oui",LEN('A créer'!D12)=0))=TRUE,"","ENT")</f>
        <v>ENT</v>
      </c>
      <c r="S12" s="2" t="s">
        <v>165</v>
      </c>
      <c r="T12" s="2" t="str">
        <f>IF(AND(LEN('A créer'!P12)=0,OR('A créer'!D12="Oui",LEN('A créer'!D12)=0))=TRUE,"","Tab")</f>
        <v>Tab</v>
      </c>
      <c r="U12" s="2" t="str">
        <f>IF(AND(LEN('A créer'!P12)=0,OR('A créer'!D12="Oui",LEN('A créer'!D12)=0))=TRUE,"","Tab")</f>
        <v>Tab</v>
      </c>
      <c r="V12" s="2" t="str">
        <f>IF(AND(LEN('A créer'!P12)=0,OR('A créer'!D12="Oui",LEN('A créer'!D12)=0))=TRUE,"","Tab")</f>
        <v>Tab</v>
      </c>
      <c r="W12" s="4" t="str">
        <f>IF(AND(LEN('A créer'!P12)=0,OR('A créer'!D12="Oui",LEN('A créer'!D12)=0))=TRUE,"","Non")</f>
        <v>Non</v>
      </c>
      <c r="X12" s="2" t="str">
        <f>IF(AND(LEN('A créer'!P12)=0,OR('A créer'!D12="Oui",LEN('A créer'!D12)=0))=TRUE,"","ENT")</f>
        <v>ENT</v>
      </c>
      <c r="Y12" s="2" t="str">
        <f>IF(AND(LEN('A créer'!P12)=0,OR('A créer'!D12="Oui",LEN('A créer'!D12)=0))=TRUE,"","*SAVE")</f>
        <v>*SAVE</v>
      </c>
    </row>
    <row r="13" spans="1:25" x14ac:dyDescent="0.25">
      <c r="A13" s="2" t="str">
        <f>IF(AND(LEN('A créer'!P13)=0,OR('A créer'!D13="Oui",LEN('A créer'!D13)=0))=TRUE,"","*FN")</f>
        <v>*FN</v>
      </c>
      <c r="B13" s="7">
        <f>IF(AND(LEN('A créer'!P13)=0,OR('A créer'!D13="Oui",LEN('A créer'!D13)=0))=TRUE,"",'A créer'!P13)</f>
        <v>513525</v>
      </c>
      <c r="C13" s="2" t="str">
        <f>IF(AND(LEN('A créer'!P13)=0,OR('A créer'!D13="Oui",LEN('A créer'!D13)=0))=TRUE,"","Tab")</f>
        <v>Tab</v>
      </c>
      <c r="D13" s="7" t="str">
        <f>IF(AND(LEN('A créer'!P13)=0,OR('A créer'!D13="Oui",LEN('A créer'!D13)=0))=TRUE,"",CONCATENATE('A créer'!Q13," ",'A créer'!A13," ",'A créer'!C13,"/",'A créer'!B13))</f>
        <v>CAISSE D'EPARGNE RHONE ALPES  0474 AIR FORMING/DMS</v>
      </c>
      <c r="E13" s="2" t="str">
        <f>IF(AND(LEN('A créer'!P13)=0,OR('A créer'!D13="Oui",LEN('A créer'!D13)=0))=TRUE,"","Tab 4")</f>
        <v>Tab 4</v>
      </c>
      <c r="F13" s="2" t="str">
        <f>IF(AND(LEN('A créer'!P13)=0,OR('A créer'!D13="Oui",LEN('A créer'!D13)=0))=TRUE,"","Tab")</f>
        <v>Tab</v>
      </c>
      <c r="G13" s="2" t="str">
        <f>IF(AND(LEN('A créer'!P13)=0,OR('A créer'!D13="Oui",LEN('A créer'!D13)=0))=TRUE,"","Tab")</f>
        <v>Tab</v>
      </c>
      <c r="H13" s="7" t="str">
        <f>IF(AND(LEN('A créer'!P13)=0,OR('A créer'!D13="Oui",LEN('A créer'!D13)=0))=TRUE,"","Non")</f>
        <v>Non</v>
      </c>
      <c r="I13" s="2" t="str">
        <f>IF(AND(LEN('A créer'!P13)=0,OR('A créer'!D13="Oui",LEN('A créer'!D13)=0))=TRUE,"","Tab")</f>
        <v>Tab</v>
      </c>
      <c r="J13" s="7" t="str">
        <f>IF(AND(LEN('A créer'!P13)=0,OR('A créer'!D13="Oui",LEN('A créer'!D13)=0))=TRUE,"","Oui")</f>
        <v>Oui</v>
      </c>
      <c r="K13" s="2" t="str">
        <f>IF(AND(LEN('A créer'!P13)=0,OR('A créer'!D13="Oui",LEN('A créer'!D13)=0))=TRUE,"","Tab")</f>
        <v>Tab</v>
      </c>
      <c r="L13" s="7" t="str">
        <f>IF(AND(LEN('A créer'!P13)=0,OR('A créer'!D13="Oui",LEN('A créer'!D13)=0))=TRUE,"","Actif")</f>
        <v>Actif</v>
      </c>
      <c r="M13" s="2" t="str">
        <f>IF(AND(LEN('A créer'!P13)=0,OR('A créer'!D13="Oui",LEN('A créer'!D13)=0))=TRUE,"","Tab")</f>
        <v>Tab</v>
      </c>
      <c r="N13" s="7" t="str">
        <f>IF(AND(LEN('A créer'!P13)=0,OR('A créer'!D13="Oui",LEN('A créer'!D13)=0))=TRUE,"","Non")</f>
        <v>Non</v>
      </c>
      <c r="O13" s="2" t="str">
        <f>IF(AND(LEN('A créer'!P13)=0,OR('A créer'!D13="Oui",LEN('A créer'!D13)=0))=TRUE,"","Tab")</f>
        <v>Tab</v>
      </c>
      <c r="P13" s="7" t="str">
        <f>IF(AND(LEN('A créer'!P13)=0,OR('A créer'!D13="Oui",LEN('A créer'!D13)=0))=TRUE,"","Non")</f>
        <v>Non</v>
      </c>
      <c r="Q13" s="2" t="str">
        <f>IF(AND(LEN('A créer'!P13)=0,OR('A créer'!D13="Oui",LEN('A créer'!D13)=0))=TRUE,"","Tab")</f>
        <v>Tab</v>
      </c>
      <c r="R13" s="2" t="str">
        <f>IF(AND(LEN('A créer'!P13)=0,OR('A créer'!D13="Oui",LEN('A créer'!D13)=0))=TRUE,"","ENT")</f>
        <v>ENT</v>
      </c>
      <c r="S13" s="2" t="s">
        <v>165</v>
      </c>
      <c r="T13" s="2" t="str">
        <f>IF(AND(LEN('A créer'!P13)=0,OR('A créer'!D13="Oui",LEN('A créer'!D13)=0))=TRUE,"","Tab")</f>
        <v>Tab</v>
      </c>
      <c r="U13" s="2" t="str">
        <f>IF(AND(LEN('A créer'!P13)=0,OR('A créer'!D13="Oui",LEN('A créer'!D13)=0))=TRUE,"","Tab")</f>
        <v>Tab</v>
      </c>
      <c r="V13" s="2" t="str">
        <f>IF(AND(LEN('A créer'!P13)=0,OR('A créer'!D13="Oui",LEN('A créer'!D13)=0))=TRUE,"","Tab")</f>
        <v>Tab</v>
      </c>
      <c r="W13" s="4" t="str">
        <f>IF(AND(LEN('A créer'!P13)=0,OR('A créer'!D13="Oui",LEN('A créer'!D13)=0))=TRUE,"","Non")</f>
        <v>Non</v>
      </c>
      <c r="X13" s="2" t="str">
        <f>IF(AND(LEN('A créer'!P13)=0,OR('A créer'!D13="Oui",LEN('A créer'!D13)=0))=TRUE,"","ENT")</f>
        <v>ENT</v>
      </c>
      <c r="Y13" s="2" t="str">
        <f>IF(AND(LEN('A créer'!P13)=0,OR('A créer'!D13="Oui",LEN('A créer'!D13)=0))=TRUE,"","*SAVE")</f>
        <v>*SAVE</v>
      </c>
    </row>
    <row r="14" spans="1:25" x14ac:dyDescent="0.25">
      <c r="A14" s="2" t="str">
        <f>IF(AND(LEN('A créer'!P14)=0,OR('A créer'!D14="Oui",LEN('A créer'!D14)=0))=TRUE,"","*FN")</f>
        <v>*FN</v>
      </c>
      <c r="B14" s="7">
        <f>IF(AND(LEN('A créer'!P14)=0,OR('A créer'!D14="Oui",LEN('A créer'!D14)=0))=TRUE,"",'A créer'!P14)</f>
        <v>0</v>
      </c>
      <c r="C14" s="2" t="str">
        <f>IF(AND(LEN('A créer'!P14)=0,OR('A créer'!D14="Oui",LEN('A créer'!D14)=0))=TRUE,"","Tab")</f>
        <v>Tab</v>
      </c>
      <c r="D14" s="7" t="str">
        <f>IF(AND(LEN('A créer'!P14)=0,OR('A créer'!D14="Oui",LEN('A créer'!D14)=0))=TRUE,"",CONCATENATE('A créer'!Q14," ",'A créer'!A14," ",'A créer'!C14,"/",'A créer'!B14))</f>
        <v xml:space="preserve"> 0470 SA DESCHAMPS LATHUS/DNA</v>
      </c>
      <c r="E14" s="2" t="str">
        <f>IF(AND(LEN('A créer'!P14)=0,OR('A créer'!D14="Oui",LEN('A créer'!D14)=0))=TRUE,"","Tab 4")</f>
        <v>Tab 4</v>
      </c>
      <c r="F14" s="2" t="str">
        <f>IF(AND(LEN('A créer'!P14)=0,OR('A créer'!D14="Oui",LEN('A créer'!D14)=0))=TRUE,"","Tab")</f>
        <v>Tab</v>
      </c>
      <c r="G14" s="2" t="str">
        <f>IF(AND(LEN('A créer'!P14)=0,OR('A créer'!D14="Oui",LEN('A créer'!D14)=0))=TRUE,"","Tab")</f>
        <v>Tab</v>
      </c>
      <c r="H14" s="7" t="str">
        <f>IF(AND(LEN('A créer'!P14)=0,OR('A créer'!D14="Oui",LEN('A créer'!D14)=0))=TRUE,"","Non")</f>
        <v>Non</v>
      </c>
      <c r="I14" s="2" t="str">
        <f>IF(AND(LEN('A créer'!P14)=0,OR('A créer'!D14="Oui",LEN('A créer'!D14)=0))=TRUE,"","Tab")</f>
        <v>Tab</v>
      </c>
      <c r="J14" s="7" t="str">
        <f>IF(AND(LEN('A créer'!P14)=0,OR('A créer'!D14="Oui",LEN('A créer'!D14)=0))=TRUE,"","Oui")</f>
        <v>Oui</v>
      </c>
      <c r="K14" s="2" t="str">
        <f>IF(AND(LEN('A créer'!P14)=0,OR('A créer'!D14="Oui",LEN('A créer'!D14)=0))=TRUE,"","Tab")</f>
        <v>Tab</v>
      </c>
      <c r="L14" s="7" t="str">
        <f>IF(AND(LEN('A créer'!P14)=0,OR('A créer'!D14="Oui",LEN('A créer'!D14)=0))=TRUE,"","Actif")</f>
        <v>Actif</v>
      </c>
      <c r="M14" s="2" t="str">
        <f>IF(AND(LEN('A créer'!P14)=0,OR('A créer'!D14="Oui",LEN('A créer'!D14)=0))=TRUE,"","Tab")</f>
        <v>Tab</v>
      </c>
      <c r="N14" s="7" t="str">
        <f>IF(AND(LEN('A créer'!P14)=0,OR('A créer'!D14="Oui",LEN('A créer'!D14)=0))=TRUE,"","Non")</f>
        <v>Non</v>
      </c>
      <c r="O14" s="2" t="str">
        <f>IF(AND(LEN('A créer'!P14)=0,OR('A créer'!D14="Oui",LEN('A créer'!D14)=0))=TRUE,"","Tab")</f>
        <v>Tab</v>
      </c>
      <c r="P14" s="7" t="str">
        <f>IF(AND(LEN('A créer'!P14)=0,OR('A créer'!D14="Oui",LEN('A créer'!D14)=0))=TRUE,"","Non")</f>
        <v>Non</v>
      </c>
      <c r="Q14" s="2" t="str">
        <f>IF(AND(LEN('A créer'!P14)=0,OR('A créer'!D14="Oui",LEN('A créer'!D14)=0))=TRUE,"","Tab")</f>
        <v>Tab</v>
      </c>
      <c r="R14" s="2" t="str">
        <f>IF(AND(LEN('A créer'!P14)=0,OR('A créer'!D14="Oui",LEN('A créer'!D14)=0))=TRUE,"","ENT")</f>
        <v>ENT</v>
      </c>
      <c r="S14" s="2" t="str">
        <f>IF(AND(LEN('A créer'!P14)=0,OR('A créer'!D14="Oui",LEN('A créer'!D14)=0))=TRUE,"","Tab4")</f>
        <v>Tab4</v>
      </c>
      <c r="T14" s="2" t="str">
        <f>IF(AND(LEN('A créer'!P14)=0,OR('A créer'!D14="Oui",LEN('A créer'!D14)=0))=TRUE,"","Tab")</f>
        <v>Tab</v>
      </c>
      <c r="U14" s="2" t="str">
        <f>IF(AND(LEN('A créer'!P14)=0,OR('A créer'!D14="Oui",LEN('A créer'!D14)=0))=TRUE,"","Tab")</f>
        <v>Tab</v>
      </c>
      <c r="V14" s="2" t="str">
        <f>IF(AND(LEN('A créer'!P14)=0,OR('A créer'!D14="Oui",LEN('A créer'!D14)=0))=TRUE,"","Tab")</f>
        <v>Tab</v>
      </c>
      <c r="W14" s="4" t="str">
        <f>IF(AND(LEN('A créer'!P14)=0,OR('A créer'!D14="Oui",LEN('A créer'!D14)=0))=TRUE,"","Non")</f>
        <v>Non</v>
      </c>
      <c r="X14" s="2" t="str">
        <f>IF(AND(LEN('A créer'!P14)=0,OR('A créer'!D14="Oui",LEN('A créer'!D14)=0))=TRUE,"","ENT")</f>
        <v>ENT</v>
      </c>
      <c r="Y14" s="2" t="str">
        <f>IF(AND(LEN('A créer'!P14)=0,OR('A créer'!D14="Oui",LEN('A créer'!D14)=0))=TRUE,"","*SAVE")</f>
        <v>*SAVE</v>
      </c>
    </row>
    <row r="15" spans="1:25" x14ac:dyDescent="0.25">
      <c r="A15" s="2" t="str">
        <f>IF(AND(LEN('A créer'!P15)=0,OR('A créer'!D15="Oui",LEN('A créer'!D15)=0))=TRUE,"","*FN")</f>
        <v/>
      </c>
      <c r="B15" s="7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7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7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7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7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7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7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7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7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7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7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7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7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7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7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7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7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7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7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7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7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7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7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7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7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7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7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7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7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7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7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7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7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7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7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7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7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7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7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7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7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7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7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7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7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7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7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7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7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7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7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7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7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7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7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7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7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7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7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7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7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7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7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7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7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7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7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7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7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7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7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7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7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7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7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7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7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7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7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7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7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7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7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7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7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7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7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7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7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7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7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7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7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7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7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7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7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7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7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7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7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7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7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7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7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7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7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7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7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7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7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7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zoomScale="80" zoomScaleNormal="80" workbookViewId="0">
      <pane ySplit="1" topLeftCell="A2" activePane="bottomLeft" state="frozenSplit"/>
      <selection pane="bottomLeft" activeCell="A14" sqref="A14:R14"/>
    </sheetView>
  </sheetViews>
  <sheetFormatPr baseColWidth="10" defaultRowHeight="15" x14ac:dyDescent="0.25"/>
  <cols>
    <col min="1" max="1" width="4.28515625" bestFit="1" customWidth="1"/>
    <col min="2" max="2" width="8.42578125" bestFit="1" customWidth="1"/>
    <col min="3" max="3" width="4" bestFit="1" customWidth="1"/>
    <col min="5" max="5" width="5.42578125" bestFit="1" customWidth="1"/>
    <col min="6" max="7" width="4" bestFit="1" customWidth="1"/>
    <col min="8" max="8" width="4.28515625" bestFit="1" customWidth="1"/>
    <col min="9" max="9" width="6.140625" bestFit="1" customWidth="1"/>
    <col min="10" max="10" width="4.28515625" bestFit="1" customWidth="1"/>
    <col min="12" max="12" width="4" bestFit="1" customWidth="1"/>
    <col min="13" max="13" width="44.85546875" bestFit="1" customWidth="1"/>
    <col min="14" max="14" width="5.42578125" bestFit="1" customWidth="1"/>
    <col min="15" max="15" width="4" bestFit="1" customWidth="1"/>
    <col min="16" max="16" width="4.42578125" customWidth="1"/>
    <col min="17" max="17" width="4.28515625" bestFit="1" customWidth="1"/>
    <col min="18" max="18" width="6.140625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165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165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DOS0443</v>
      </c>
      <c r="C2" s="2" t="str">
        <f>IF(LEN('A créer'!C2)=0,"","Tab")</f>
        <v>Tab</v>
      </c>
      <c r="D2" t="str">
        <f>IF(LEN('A créer'!C2)=0,"",CONCATENATE(,'A créer'!B2,'A créer'!A2,"-",'A créer'!C2))</f>
        <v>DOS0443-SOCIETE VALMY DEFENSE 114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FB0075778L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DOS_0443PF FPS 0443 SOCIETE VALMY DEFENSE 114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>*FN</v>
      </c>
      <c r="B3" t="str">
        <f>IF(LEN('A créer'!C3)=0,"",CONCATENATE(,'A créer'!B3,'A créer'!A3))</f>
        <v>DOS0444</v>
      </c>
      <c r="C3" s="2" t="str">
        <f>IF(LEN('A créer'!C3)=0,"","Tab")</f>
        <v>Tab</v>
      </c>
      <c r="D3" t="str">
        <f>IF(LEN('A créer'!C3)=0,"",CONCATENATE(,'A créer'!B3,'A créer'!A3,"-",'A créer'!C3))</f>
        <v>DOS0444-SOCIETE VALMY DEFENSE 115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FB0075779M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DOS_0444PF FPS 0444 SOCIETE VALMY DEFENSE 115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25">
      <c r="A4" s="2" t="str">
        <f>IF(LEN('A créer'!C4)=0,"","*FN")</f>
        <v>*FN</v>
      </c>
      <c r="B4" t="str">
        <f>IF(LEN('A créer'!C4)=0,"",CONCATENATE(,'A créer'!B4,'A créer'!A4))</f>
        <v>DOS0446</v>
      </c>
      <c r="C4" s="2" t="str">
        <f>IF(LEN('A créer'!C4)=0,"","Tab")</f>
        <v>Tab</v>
      </c>
      <c r="D4" t="str">
        <f>IF(LEN('A créer'!C4)=0,"",CONCATENATE(,'A créer'!B4,'A créer'!A4,"-",'A créer'!C4))</f>
        <v>DOS0446-SOCIETE VALMY DEFENSE 116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FB0075780N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DOS_0446PF FPS 0446 SOCIETE VALMY DEFENSE 116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25">
      <c r="A5" s="2" t="str">
        <f>IF(LEN('A créer'!C5)=0,"","*FN")</f>
        <v>*FN</v>
      </c>
      <c r="B5" t="str">
        <f>IF(LEN('A créer'!C5)=0,"",CONCATENATE(,'A créer'!B5,'A créer'!A5))</f>
        <v>DOS0449</v>
      </c>
      <c r="C5" s="2" t="str">
        <f>IF(LEN('A créer'!C5)=0,"","Tab")</f>
        <v>Tab</v>
      </c>
      <c r="D5" t="str">
        <f>IF(LEN('A créer'!C5)=0,"",CONCATENATE(,'A créer'!B5,'A créer'!A5,"-",'A créer'!C5))</f>
        <v>DOS0449-SOCIETE VALMY DEFENSE 117</v>
      </c>
      <c r="E5" s="2" t="str">
        <f>IF(LEN('A créer'!C5)=0,"","Tab 4")</f>
        <v>Tab 4</v>
      </c>
      <c r="F5" s="2" t="str">
        <f>IF(LEN('A créer'!C5)=0,"","Tab")</f>
        <v>Tab</v>
      </c>
      <c r="G5" s="2" t="str">
        <f>IF(LEN('A créer'!C5)=0,"","Tab")</f>
        <v>Tab</v>
      </c>
      <c r="H5" s="2" t="str">
        <f>IF(LEN('A créer'!C5)=0,"","ENT")</f>
        <v>ENT</v>
      </c>
      <c r="I5" s="2" t="str">
        <f>IF(LEN('A créer'!C5)=0,"","*SAVE")</f>
        <v>*SAVE</v>
      </c>
      <c r="J5" s="2" t="str">
        <f>IF(LEN('A créer'!R5)=0,"","*FN")</f>
        <v>*FN</v>
      </c>
      <c r="K5" t="str">
        <f>IF(LEN('A créer'!R5)=0,"",'A créer'!R5)</f>
        <v>FB0075781P</v>
      </c>
      <c r="L5" s="2" t="str">
        <f>IF(LEN('A créer'!R5)=0,"","Tab")</f>
        <v>Tab</v>
      </c>
      <c r="M5" t="str">
        <f>IF(LEN('A créer'!R5)=0,"",CONCATENATE(,'A créer'!B5,"_",'A créer'!A5,"PF FPS ",'A créer'!A5," ",'A créer'!C5))</f>
        <v>DOS_0449PF FPS 0449 SOCIETE VALMY DEFENSE 117</v>
      </c>
      <c r="N5" s="2" t="str">
        <f>IF(LEN('A créer'!R5)=0,"","Tab 4")</f>
        <v>Tab 4</v>
      </c>
      <c r="O5" s="2" t="str">
        <f>IF(LEN('A créer'!R5)=0,"","Tab")</f>
        <v>Tab</v>
      </c>
      <c r="P5" s="2" t="str">
        <f>IF(LEN('A créer'!R5)=0,"","Tab")</f>
        <v>Tab</v>
      </c>
      <c r="Q5" s="2" t="str">
        <f>IF(LEN('A créer'!R5)=0,"","ENT")</f>
        <v>ENT</v>
      </c>
      <c r="R5" s="2" t="str">
        <f>IF(LEN('A créer'!R5)=0,"","*SAVE")</f>
        <v>*SAVE</v>
      </c>
    </row>
    <row r="6" spans="1:18" x14ac:dyDescent="0.25">
      <c r="A6" s="2" t="str">
        <f>IF(LEN('A créer'!C6)=0,"","*FN")</f>
        <v>*FN</v>
      </c>
      <c r="B6" t="str">
        <f>IF(LEN('A créer'!C6)=0,"",CONCATENATE(,'A créer'!B6,'A créer'!A6))</f>
        <v>DOS0450</v>
      </c>
      <c r="C6" s="2" t="str">
        <f>IF(LEN('A créer'!C6)=0,"","Tab")</f>
        <v>Tab</v>
      </c>
      <c r="D6" t="str">
        <f>IF(LEN('A créer'!C6)=0,"",CONCATENATE(,'A créer'!B6,'A créer'!A6,"-",'A créer'!C6))</f>
        <v>DOS0450-SOCIETE VALMY DEFENSE 118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FB0075782R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DOS_0450PF FPS 0450 SOCIETE VALMY DEFENSE 118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25">
      <c r="A7" s="2" t="str">
        <f>IF(LEN('A créer'!C7)=0,"","*FN")</f>
        <v>*FN</v>
      </c>
      <c r="B7" t="str">
        <f>IF(LEN('A créer'!C7)=0,"",CONCATENATE(,'A créer'!B7,'A créer'!A7))</f>
        <v>DOS0454</v>
      </c>
      <c r="C7" s="2" t="str">
        <f>IF(LEN('A créer'!C7)=0,"","Tab")</f>
        <v>Tab</v>
      </c>
      <c r="D7" t="str">
        <f>IF(LEN('A créer'!C7)=0,"",CONCATENATE(,'A créer'!B7,'A créer'!A7,"-",'A créer'!C7))</f>
        <v>DOS0454-SOCIETE VALMY DEFENSE 120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FB0075784T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DOS_0454PF FPS 0454 SOCIETE VALMY DEFENSE 120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25">
      <c r="A8" s="2" t="str">
        <f>IF(LEN('A créer'!C8)=0,"","*FN")</f>
        <v>*FN</v>
      </c>
      <c r="B8" t="str">
        <f>IF(LEN('A créer'!C8)=0,"",CONCATENATE(,'A créer'!B8,'A créer'!A8))</f>
        <v>DOS0455</v>
      </c>
      <c r="C8" s="2" t="str">
        <f>IF(LEN('A créer'!C8)=0,"","Tab")</f>
        <v>Tab</v>
      </c>
      <c r="D8" t="str">
        <f>IF(LEN('A créer'!C8)=0,"",CONCATENATE(,'A créer'!B8,'A créer'!A8,"-",'A créer'!C8))</f>
        <v>DOS0455-SOCIETE VALMY DEFENSE 121</v>
      </c>
      <c r="E8" s="2" t="str">
        <f>IF(LEN('A créer'!C8)=0,"","Tab 4")</f>
        <v>Tab 4</v>
      </c>
      <c r="F8" s="2" t="str">
        <f>IF(LEN('A créer'!C8)=0,"","Tab")</f>
        <v>Tab</v>
      </c>
      <c r="G8" s="2" t="str">
        <f>IF(LEN('A créer'!C8)=0,"","Tab")</f>
        <v>Tab</v>
      </c>
      <c r="H8" s="2" t="str">
        <f>IF(LEN('A créer'!C8)=0,"","ENT")</f>
        <v>ENT</v>
      </c>
      <c r="I8" s="2" t="str">
        <f>IF(LEN('A créer'!C8)=0,"","*SAVE")</f>
        <v>*SAVE</v>
      </c>
      <c r="J8" s="2" t="str">
        <f>IF(LEN('A créer'!R8)=0,"","*FN")</f>
        <v>*FN</v>
      </c>
      <c r="K8" t="str">
        <f>IF(LEN('A créer'!R8)=0,"",'A créer'!R8)</f>
        <v>FB0075785V</v>
      </c>
      <c r="L8" s="2" t="str">
        <f>IF(LEN('A créer'!R8)=0,"","Tab")</f>
        <v>Tab</v>
      </c>
      <c r="M8" t="str">
        <f>IF(LEN('A créer'!R8)=0,"",CONCATENATE(,'A créer'!B8,"_",'A créer'!A8,"PF FPS ",'A créer'!A8," ",'A créer'!C8))</f>
        <v>DOS_0455PF FPS 0455 SOCIETE VALMY DEFENSE 121</v>
      </c>
      <c r="N8" s="2" t="str">
        <f>IF(LEN('A créer'!R8)=0,"","Tab 4")</f>
        <v>Tab 4</v>
      </c>
      <c r="O8" s="2" t="str">
        <f>IF(LEN('A créer'!R8)=0,"","Tab")</f>
        <v>Tab</v>
      </c>
      <c r="P8" s="2" t="str">
        <f>IF(LEN('A créer'!R8)=0,"","Tab")</f>
        <v>Tab</v>
      </c>
      <c r="Q8" s="2" t="str">
        <f>IF(LEN('A créer'!R8)=0,"","ENT")</f>
        <v>ENT</v>
      </c>
      <c r="R8" s="2" t="str">
        <f>IF(LEN('A créer'!R8)=0,"","*SAVE")</f>
        <v>*SAVE</v>
      </c>
    </row>
    <row r="9" spans="1:18" x14ac:dyDescent="0.25">
      <c r="A9" s="2" t="str">
        <f>IF(LEN('A créer'!C9)=0,"","*FN")</f>
        <v>*FN</v>
      </c>
      <c r="B9" t="str">
        <f>IF(LEN('A créer'!C9)=0,"",CONCATENATE(,'A créer'!B9,'A créer'!A9))</f>
        <v>DOS0456</v>
      </c>
      <c r="C9" s="2" t="str">
        <f>IF(LEN('A créer'!C9)=0,"","Tab")</f>
        <v>Tab</v>
      </c>
      <c r="D9" t="str">
        <f>IF(LEN('A créer'!C9)=0,"",CONCATENATE(,'A créer'!B9,'A créer'!A9,"-",'A créer'!C9))</f>
        <v>DOS0456-SOCIETE VALMY DEFENSE 122</v>
      </c>
      <c r="E9" s="2" t="str">
        <f>IF(LEN('A créer'!C9)=0,"","Tab 4")</f>
        <v>Tab 4</v>
      </c>
      <c r="F9" s="2" t="str">
        <f>IF(LEN('A créer'!C9)=0,"","Tab")</f>
        <v>Tab</v>
      </c>
      <c r="G9" s="2" t="str">
        <f>IF(LEN('A créer'!C9)=0,"","Tab")</f>
        <v>Tab</v>
      </c>
      <c r="H9" s="2" t="str">
        <f>IF(LEN('A créer'!C9)=0,"","ENT")</f>
        <v>ENT</v>
      </c>
      <c r="I9" s="2" t="str">
        <f>IF(LEN('A créer'!C9)=0,"","*SAVE")</f>
        <v>*SAVE</v>
      </c>
      <c r="J9" s="2" t="str">
        <f>IF(LEN('A créer'!R9)=0,"","*FN")</f>
        <v>*FN</v>
      </c>
      <c r="K9" t="str">
        <f>IF(LEN('A créer'!R9)=0,"",'A créer'!R9)</f>
        <v>FB0075786W</v>
      </c>
      <c r="L9" s="2" t="str">
        <f>IF(LEN('A créer'!R9)=0,"","Tab")</f>
        <v>Tab</v>
      </c>
      <c r="M9" t="str">
        <f>IF(LEN('A créer'!R9)=0,"",CONCATENATE(,'A créer'!B9,"_",'A créer'!A9,"PF FPS ",'A créer'!A9," ",'A créer'!C9))</f>
        <v>DOS_0456PF FPS 0456 SOCIETE VALMY DEFENSE 122</v>
      </c>
      <c r="N9" s="2" t="str">
        <f>IF(LEN('A créer'!R9)=0,"","Tab 4")</f>
        <v>Tab 4</v>
      </c>
      <c r="O9" s="2" t="str">
        <f>IF(LEN('A créer'!R9)=0,"","Tab")</f>
        <v>Tab</v>
      </c>
      <c r="P9" s="2" t="str">
        <f>IF(LEN('A créer'!R9)=0,"","Tab")</f>
        <v>Tab</v>
      </c>
      <c r="Q9" s="2" t="str">
        <f>IF(LEN('A créer'!R9)=0,"","ENT")</f>
        <v>ENT</v>
      </c>
      <c r="R9" s="2" t="str">
        <f>IF(LEN('A créer'!R9)=0,"","*SAVE")</f>
        <v>*SAVE</v>
      </c>
    </row>
    <row r="10" spans="1:18" x14ac:dyDescent="0.25">
      <c r="A10" s="2" t="str">
        <f>IF(LEN('A créer'!C10)=0,"","*FN")</f>
        <v>*FN</v>
      </c>
      <c r="B10" t="str">
        <f>IF(LEN('A créer'!C10)=0,"",CONCATENATE(,'A créer'!B10,'A créer'!A10))</f>
        <v>DRW0453</v>
      </c>
      <c r="C10" s="2" t="str">
        <f>IF(LEN('A créer'!C10)=0,"","Tab")</f>
        <v>Tab</v>
      </c>
      <c r="D10" t="str">
        <f>IF(LEN('A créer'!C10)=0,"",CONCATENATE(,'A créer'!B10,'A créer'!A10,"-",'A créer'!C10))</f>
        <v>DRW0453-SOCIETE VALMY DEFENSE 119</v>
      </c>
      <c r="E10" s="2" t="str">
        <f>IF(LEN('A créer'!C10)=0,"","Tab 4")</f>
        <v>Tab 4</v>
      </c>
      <c r="F10" s="2" t="str">
        <f>IF(LEN('A créer'!C10)=0,"","Tab")</f>
        <v>Tab</v>
      </c>
      <c r="G10" s="2" t="str">
        <f>IF(LEN('A créer'!C10)=0,"","Tab")</f>
        <v>Tab</v>
      </c>
      <c r="H10" s="2" t="str">
        <f>IF(LEN('A créer'!C10)=0,"","ENT")</f>
        <v>ENT</v>
      </c>
      <c r="I10" s="2" t="str">
        <f>IF(LEN('A créer'!C10)=0,"","*SAVE")</f>
        <v>*SAVE</v>
      </c>
      <c r="J10" s="2" t="str">
        <f>IF(LEN('A créer'!R10)=0,"","*FN")</f>
        <v>*FN</v>
      </c>
      <c r="K10" t="str">
        <f>IF(LEN('A créer'!R10)=0,"",'A créer'!R10)</f>
        <v>FB0075845M</v>
      </c>
      <c r="L10" s="2" t="str">
        <f>IF(LEN('A créer'!R10)=0,"","Tab")</f>
        <v>Tab</v>
      </c>
      <c r="M10" t="str">
        <f>IF(LEN('A créer'!R10)=0,"",CONCATENATE(,'A créer'!B10,"_",'A créer'!A10,"PF FPS ",'A créer'!A10," ",'A créer'!C10))</f>
        <v>DRW_0453PF FPS 0453 SOCIETE VALMY DEFENSE 119</v>
      </c>
      <c r="N10" s="2" t="str">
        <f>IF(LEN('A créer'!R10)=0,"","Tab 4")</f>
        <v>Tab 4</v>
      </c>
      <c r="O10" s="2" t="str">
        <f>IF(LEN('A créer'!R10)=0,"","Tab")</f>
        <v>Tab</v>
      </c>
      <c r="P10" s="2" t="str">
        <f>IF(LEN('A créer'!R10)=0,"","Tab")</f>
        <v>Tab</v>
      </c>
      <c r="Q10" s="2" t="str">
        <f>IF(LEN('A créer'!R10)=0,"","ENT")</f>
        <v>ENT</v>
      </c>
      <c r="R10" s="2" t="str">
        <f>IF(LEN('A créer'!R10)=0,"","*SAVE")</f>
        <v>*SAVE</v>
      </c>
    </row>
    <row r="11" spans="1:18" x14ac:dyDescent="0.25">
      <c r="A11" s="2" t="str">
        <f>IF(LEN('A créer'!C11)=0,"","*FN")</f>
        <v>*FN</v>
      </c>
      <c r="B11" t="str">
        <f>IF(LEN('A créer'!C11)=0,"",CONCATENATE(,'A créer'!B11,'A créer'!A11))</f>
        <v>DOS0457</v>
      </c>
      <c r="C11" s="2" t="str">
        <f>IF(LEN('A créer'!C11)=0,"","Tab")</f>
        <v>Tab</v>
      </c>
      <c r="D11" t="str">
        <f>IF(LEN('A créer'!C11)=0,"",CONCATENATE(,'A créer'!B11,'A créer'!A11,"-",'A créer'!C11))</f>
        <v>DOS0457-DALKIA MIDDLE EAST</v>
      </c>
      <c r="E11" s="2" t="str">
        <f>IF(LEN('A créer'!C11)=0,"","Tab 4")</f>
        <v>Tab 4</v>
      </c>
      <c r="F11" s="2" t="str">
        <f>IF(LEN('A créer'!C11)=0,"","Tab")</f>
        <v>Tab</v>
      </c>
      <c r="G11" s="2" t="str">
        <f>IF(LEN('A créer'!C11)=0,"","Tab")</f>
        <v>Tab</v>
      </c>
      <c r="H11" s="2" t="str">
        <f>IF(LEN('A créer'!C11)=0,"","ENT")</f>
        <v>ENT</v>
      </c>
      <c r="I11" s="2" t="str">
        <f>IF(LEN('A créer'!C11)=0,"","*SAVE")</f>
        <v>*SAVE</v>
      </c>
      <c r="J11" s="2" t="str">
        <f>IF(LEN('A créer'!R11)=0,"","*FN")</f>
        <v>*FN</v>
      </c>
      <c r="K11" t="str">
        <f>IF(LEN('A créer'!R11)=0,"",'A créer'!R11)</f>
        <v>FB0075787X</v>
      </c>
      <c r="L11" s="2" t="str">
        <f>IF(LEN('A créer'!R11)=0,"","Tab")</f>
        <v>Tab</v>
      </c>
      <c r="M11" t="str">
        <f>IF(LEN('A créer'!R11)=0,"",CONCATENATE(,'A créer'!B11,"_",'A créer'!A11,"PF FPS ",'A créer'!A11," ",'A créer'!C11))</f>
        <v>DOS_0457PF FPS 0457 DALKIA MIDDLE EAST</v>
      </c>
      <c r="N11" s="2" t="str">
        <f>IF(LEN('A créer'!R11)=0,"","Tab 4")</f>
        <v>Tab 4</v>
      </c>
      <c r="O11" s="2" t="str">
        <f>IF(LEN('A créer'!R11)=0,"","Tab")</f>
        <v>Tab</v>
      </c>
      <c r="P11" s="2" t="str">
        <f>IF(LEN('A créer'!R11)=0,"","Tab")</f>
        <v>Tab</v>
      </c>
      <c r="Q11" s="2" t="str">
        <f>IF(LEN('A créer'!R11)=0,"","ENT")</f>
        <v>ENT</v>
      </c>
      <c r="R11" s="2" t="str">
        <f>IF(LEN('A créer'!R11)=0,"","*SAVE")</f>
        <v>*SAVE</v>
      </c>
    </row>
    <row r="12" spans="1:18" x14ac:dyDescent="0.25">
      <c r="A12" s="2" t="str">
        <f>IF(LEN('A créer'!C12)=0,"","*FN")</f>
        <v>*FN</v>
      </c>
      <c r="B12" t="str">
        <f>IF(LEN('A créer'!C12)=0,"",CONCATENATE(,'A créer'!B12,'A créer'!A12))</f>
        <v>DOS0473</v>
      </c>
      <c r="C12" s="2" t="str">
        <f>IF(LEN('A créer'!C12)=0,"","Tab")</f>
        <v>Tab</v>
      </c>
      <c r="D12" t="str">
        <f>IF(LEN('A créer'!C12)=0,"",CONCATENATE(,'A créer'!B12,'A créer'!A12,"-",'A créer'!C12))</f>
        <v>DOS0473-CITELUM IG</v>
      </c>
      <c r="E12" s="2" t="str">
        <f>IF(LEN('A créer'!C12)=0,"","Tab 4")</f>
        <v>Tab 4</v>
      </c>
      <c r="F12" s="2" t="str">
        <f>IF(LEN('A créer'!C12)=0,"","Tab")</f>
        <v>Tab</v>
      </c>
      <c r="G12" s="2" t="str">
        <f>IF(LEN('A créer'!C12)=0,"","Tab")</f>
        <v>Tab</v>
      </c>
      <c r="H12" s="2" t="str">
        <f>IF(LEN('A créer'!C12)=0,"","ENT")</f>
        <v>ENT</v>
      </c>
      <c r="I12" s="2" t="str">
        <f>IF(LEN('A créer'!C12)=0,"","*SAVE")</f>
        <v>*SAVE</v>
      </c>
      <c r="J12" s="2" t="str">
        <f>IF(LEN('A créer'!R12)=0,"","*FN")</f>
        <v>*FN</v>
      </c>
      <c r="K12" t="str">
        <f>IF(LEN('A créer'!R12)=0,"",'A créer'!R12)</f>
        <v>FB0076084J</v>
      </c>
      <c r="L12" s="2" t="str">
        <f>IF(LEN('A créer'!R12)=0,"","Tab")</f>
        <v>Tab</v>
      </c>
      <c r="M12" t="str">
        <f>IF(LEN('A créer'!R12)=0,"",CONCATENATE(,'A créer'!B12,"_",'A créer'!A12,"PF FPS ",'A créer'!A12," ",'A créer'!C12))</f>
        <v>DOS_0473PF FPS 0473 CITELUM IG</v>
      </c>
      <c r="N12" s="2" t="str">
        <f>IF(LEN('A créer'!R12)=0,"","Tab 4")</f>
        <v>Tab 4</v>
      </c>
      <c r="O12" s="2" t="str">
        <f>IF(LEN('A créer'!R12)=0,"","Tab")</f>
        <v>Tab</v>
      </c>
      <c r="P12" s="2" t="str">
        <f>IF(LEN('A créer'!R12)=0,"","Tab")</f>
        <v>Tab</v>
      </c>
      <c r="Q12" s="2" t="str">
        <f>IF(LEN('A créer'!R12)=0,"","ENT")</f>
        <v>ENT</v>
      </c>
      <c r="R12" s="2" t="str">
        <f>IF(LEN('A créer'!R12)=0,"","*SAVE")</f>
        <v>*SAVE</v>
      </c>
    </row>
    <row r="13" spans="1:18" x14ac:dyDescent="0.25">
      <c r="A13" s="2" t="str">
        <f>IF(LEN('A créer'!C13)=0,"","*FN")</f>
        <v>*FN</v>
      </c>
      <c r="B13" t="str">
        <f>IF(LEN('A créer'!C13)=0,"",CONCATENATE(,'A créer'!B13,'A créer'!A13))</f>
        <v>DMS0474</v>
      </c>
      <c r="C13" s="2" t="str">
        <f>IF(LEN('A créer'!C13)=0,"","Tab")</f>
        <v>Tab</v>
      </c>
      <c r="D13" t="str">
        <f>IF(LEN('A créer'!C13)=0,"",CONCATENATE(,'A créer'!B13,'A créer'!A13,"-",'A créer'!C13))</f>
        <v>DMS0474-AIR FORMING</v>
      </c>
      <c r="E13" s="2" t="str">
        <f>IF(LEN('A créer'!C13)=0,"","Tab 4")</f>
        <v>Tab 4</v>
      </c>
      <c r="F13" s="2" t="str">
        <f>IF(LEN('A créer'!C13)=0,"","Tab")</f>
        <v>Tab</v>
      </c>
      <c r="G13" s="2" t="str">
        <f>IF(LEN('A créer'!C13)=0,"","Tab")</f>
        <v>Tab</v>
      </c>
      <c r="H13" s="2" t="str">
        <f>IF(LEN('A créer'!C13)=0,"","ENT")</f>
        <v>ENT</v>
      </c>
      <c r="I13" s="2" t="str">
        <f>IF(LEN('A créer'!C13)=0,"","*SAVE")</f>
        <v>*SAVE</v>
      </c>
      <c r="J13" s="2" t="str">
        <f>IF(LEN('A créer'!R13)=0,"","*FN")</f>
        <v>*FN</v>
      </c>
      <c r="K13" t="str">
        <f>IF(LEN('A créer'!R13)=0,"",'A créer'!R13)</f>
        <v>FB0076091S</v>
      </c>
      <c r="L13" s="2" t="str">
        <f>IF(LEN('A créer'!R13)=0,"","Tab")</f>
        <v>Tab</v>
      </c>
      <c r="M13" t="str">
        <f>IF(LEN('A créer'!R13)=0,"",CONCATENATE(,'A créer'!B13,"_",'A créer'!A13,"PF FPS ",'A créer'!A13," ",'A créer'!C13))</f>
        <v>DMS_0474PF FPS 0474 AIR FORMING</v>
      </c>
      <c r="N13" s="2" t="str">
        <f>IF(LEN('A créer'!R13)=0,"","Tab 4")</f>
        <v>Tab 4</v>
      </c>
      <c r="O13" s="2" t="str">
        <f>IF(LEN('A créer'!R13)=0,"","Tab")</f>
        <v>Tab</v>
      </c>
      <c r="P13" s="2" t="str">
        <f>IF(LEN('A créer'!R13)=0,"","Tab")</f>
        <v>Tab</v>
      </c>
      <c r="Q13" s="2" t="str">
        <f>IF(LEN('A créer'!R13)=0,"","ENT")</f>
        <v>ENT</v>
      </c>
      <c r="R13" s="2" t="str">
        <f>IF(LEN('A créer'!R13)=0,"","*SAVE")</f>
        <v>*SAVE</v>
      </c>
    </row>
    <row r="14" spans="1:18" x14ac:dyDescent="0.25">
      <c r="A14" s="2" t="str">
        <f>IF(LEN('A créer'!C14)=0,"","*FN")</f>
        <v>*FN</v>
      </c>
      <c r="B14" t="str">
        <f>IF(LEN('A créer'!C14)=0,"",CONCATENATE(,'A créer'!B14,'A créer'!A14))</f>
        <v>DNA0470</v>
      </c>
      <c r="C14" s="2" t="str">
        <f>IF(LEN('A créer'!C14)=0,"","Tab")</f>
        <v>Tab</v>
      </c>
      <c r="D14" t="str">
        <f>IF(LEN('A créer'!C14)=0,"",CONCATENATE(,'A créer'!B14,'A créer'!A14,"-",'A créer'!C14))</f>
        <v>DNA0470-SA DESCHAMPS LATHUS</v>
      </c>
      <c r="E14" s="2" t="str">
        <f>IF(LEN('A créer'!C14)=0,"","Tab 4")</f>
        <v>Tab 4</v>
      </c>
      <c r="F14" s="2" t="str">
        <f>IF(LEN('A créer'!C14)=0,"","Tab")</f>
        <v>Tab</v>
      </c>
      <c r="G14" s="2" t="str">
        <f>IF(LEN('A créer'!C14)=0,"","Tab")</f>
        <v>Tab</v>
      </c>
      <c r="H14" s="2" t="str">
        <f>IF(LEN('A créer'!C14)=0,"","ENT")</f>
        <v>ENT</v>
      </c>
      <c r="I14" s="2" t="str">
        <f>IF(LEN('A créer'!C14)=0,"","*SAVE")</f>
        <v>*SAVE</v>
      </c>
      <c r="J14" s="2" t="str">
        <f>IF(LEN('A créer'!R14)=0,"","*FN")</f>
        <v>*FN</v>
      </c>
      <c r="K14" t="str">
        <f>IF(LEN('A créer'!R14)=0,"",'A créer'!R14)</f>
        <v>FB0075975K</v>
      </c>
      <c r="L14" s="2" t="str">
        <f>IF(LEN('A créer'!R14)=0,"","Tab")</f>
        <v>Tab</v>
      </c>
      <c r="M14" t="str">
        <f>IF(LEN('A créer'!R14)=0,"",CONCATENATE(,'A créer'!B14,"_",'A créer'!A14,"PF FPS ",'A créer'!A14," ",'A créer'!C14))</f>
        <v>DNA_0470PF FPS 0470 SA DESCHAMPS LATHUS</v>
      </c>
      <c r="N14" s="2" t="str">
        <f>IF(LEN('A créer'!R14)=0,"","Tab 4")</f>
        <v>Tab 4</v>
      </c>
      <c r="O14" s="2" t="str">
        <f>IF(LEN('A créer'!R14)=0,"","Tab")</f>
        <v>Tab</v>
      </c>
      <c r="P14" s="2" t="str">
        <f>IF(LEN('A créer'!R14)=0,"","Tab")</f>
        <v>Tab</v>
      </c>
      <c r="Q14" s="2" t="str">
        <f>IF(LEN('A créer'!R14)=0,"","ENT")</f>
        <v>ENT</v>
      </c>
      <c r="R14" s="2" t="str">
        <f>IF(LEN('A créer'!R14)=0,"","*SAVE")</f>
        <v>*SAVE</v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="80" zoomScaleNormal="80" workbookViewId="0">
      <pane xSplit="1" ySplit="1" topLeftCell="AI2" activePane="bottomRight" state="frozenSplit"/>
      <selection pane="topRight"/>
      <selection pane="bottomLeft" activeCell="A2" sqref="A2"/>
      <selection pane="bottomRight" activeCell="A14" sqref="A14:BZ14"/>
    </sheetView>
  </sheetViews>
  <sheetFormatPr baseColWidth="10" defaultRowHeight="15" x14ac:dyDescent="0.25"/>
  <cols>
    <col min="1" max="1" width="4.28515625" bestFit="1" customWidth="1"/>
    <col min="2" max="2" width="2.7109375" bestFit="1" customWidth="1"/>
    <col min="3" max="3" width="4" bestFit="1" customWidth="1"/>
    <col min="4" max="4" width="7" bestFit="1" customWidth="1"/>
    <col min="5" max="5" width="4" bestFit="1" customWidth="1"/>
    <col min="6" max="7" width="4" customWidth="1"/>
    <col min="8" max="8" width="6.5703125" bestFit="1" customWidth="1"/>
    <col min="9" max="9" width="2" bestFit="1" customWidth="1"/>
    <col min="10" max="10" width="4" bestFit="1" customWidth="1"/>
    <col min="11" max="11" width="6.28515625" bestFit="1" customWidth="1"/>
    <col min="12" max="12" width="2" bestFit="1" customWidth="1"/>
    <col min="13" max="13" width="4" bestFit="1" customWidth="1"/>
    <col min="14" max="14" width="9.5703125" bestFit="1" customWidth="1"/>
    <col min="15" max="15" width="8.42578125" bestFit="1" customWidth="1"/>
    <col min="16" max="16" width="4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  <col min="40" max="40" width="4.28515625" bestFit="1" customWidth="1"/>
    <col min="41" max="41" width="2.7109375" bestFit="1" customWidth="1"/>
    <col min="42" max="42" width="4.28515625" bestFit="1" customWidth="1"/>
    <col min="43" max="43" width="7" bestFit="1" customWidth="1"/>
    <col min="44" max="44" width="4" bestFit="1" customWidth="1"/>
    <col min="45" max="45" width="2" bestFit="1" customWidth="1"/>
    <col min="46" max="46" width="4" bestFit="1" customWidth="1"/>
    <col min="47" max="47" width="6.5703125" bestFit="1" customWidth="1"/>
    <col min="48" max="48" width="2" bestFit="1" customWidth="1"/>
    <col min="49" max="49" width="4" bestFit="1" customWidth="1"/>
    <col min="50" max="50" width="6.28515625" bestFit="1" customWidth="1"/>
    <col min="51" max="51" width="2" bestFit="1" customWidth="1"/>
    <col min="52" max="52" width="4" bestFit="1" customWidth="1"/>
    <col min="53" max="53" width="9.5703125" bestFit="1" customWidth="1"/>
    <col min="54" max="54" width="8" bestFit="1" customWidth="1"/>
    <col min="55" max="55" width="4" bestFit="1" customWidth="1"/>
    <col min="56" max="56" width="2" bestFit="1" customWidth="1"/>
    <col min="57" max="57" width="4" bestFit="1" customWidth="1"/>
    <col min="58" max="58" width="9.85546875" bestFit="1" customWidth="1"/>
    <col min="59" max="59" width="2" bestFit="1" customWidth="1"/>
    <col min="60" max="60" width="4" bestFit="1" customWidth="1"/>
    <col min="61" max="61" width="9.85546875" bestFit="1" customWidth="1"/>
    <col min="62" max="62" width="2" bestFit="1" customWidth="1"/>
    <col min="63" max="63" width="4" bestFit="1" customWidth="1"/>
    <col min="64" max="64" width="14.28515625" bestFit="1" customWidth="1"/>
    <col min="65" max="65" width="2" bestFit="1" customWidth="1"/>
    <col min="66" max="66" width="4" bestFit="1" customWidth="1"/>
    <col min="67" max="67" width="4.28515625" bestFit="1" customWidth="1"/>
    <col min="68" max="68" width="2" bestFit="1" customWidth="1"/>
    <col min="69" max="69" width="4" bestFit="1" customWidth="1"/>
    <col min="70" max="70" width="9.85546875" bestFit="1" customWidth="1"/>
    <col min="71" max="71" width="2" bestFit="1" customWidth="1"/>
    <col min="72" max="72" width="4" bestFit="1" customWidth="1"/>
    <col min="73" max="73" width="9.85546875" bestFit="1" customWidth="1"/>
    <col min="74" max="74" width="2" bestFit="1" customWidth="1"/>
    <col min="75" max="75" width="4" bestFit="1" customWidth="1"/>
    <col min="76" max="76" width="9.85546875" bestFit="1" customWidth="1"/>
    <col min="77" max="77" width="4.28515625" bestFit="1" customWidth="1"/>
    <col min="78" max="78" width="6.140625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0443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DOS0443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0443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XXX0443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2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7" t="str">
        <f>IF(LEN('A créer'!C3)=0,"",'A créer'!A3)</f>
        <v>0444</v>
      </c>
      <c r="E3" s="2" t="str">
        <f>IF(LEN('A créer'!C3)=0,"","Tab")</f>
        <v>Tab</v>
      </c>
      <c r="F3" s="7">
        <f>IF(LEN('A créer'!C3)=0,"",0)</f>
        <v>0</v>
      </c>
      <c r="G3" s="2" t="str">
        <f>IF(LEN('A créer'!C3)=0,"","Tab")</f>
        <v>Tab</v>
      </c>
      <c r="H3" s="7" t="str">
        <f>IF(LEN('A créer'!C3)=0,"","ZZZ")</f>
        <v>ZZZ</v>
      </c>
      <c r="I3" s="7" t="str">
        <f>IF(LEN('A créer'!C3)=0,"","0")</f>
        <v>0</v>
      </c>
      <c r="J3" s="2" t="str">
        <f>IF(LEN('A créer'!C3)=0,"","Tab")</f>
        <v>Tab</v>
      </c>
      <c r="K3" s="7" t="str">
        <f>IF(LEN('A créer'!C3)=0,"","ZZZZZZ")</f>
        <v>ZZZZZZ</v>
      </c>
      <c r="L3" s="7" t="str">
        <f>IF(LEN('A créer'!C3)=0,"","0")</f>
        <v>0</v>
      </c>
      <c r="M3" s="2" t="str">
        <f>IF(LEN('A créer'!C3)=0,"","Tab")</f>
        <v>Tab</v>
      </c>
      <c r="N3" s="7" t="str">
        <f>IF(LEN('A créer'!C3)=0,"","ZZZZZ")</f>
        <v>ZZZZZ</v>
      </c>
      <c r="O3" s="7" t="str">
        <f>IF(LEN('A créer'!C3)=0,"",CONCATENATE('A créer'!B3,'A créer'!A3))</f>
        <v>DOS0444</v>
      </c>
      <c r="P3" s="2" t="str">
        <f>IF(LEN('A créer'!C3)=0,"","Tab")</f>
        <v>Tab</v>
      </c>
      <c r="Q3" s="7" t="str">
        <f>IF(LEN('A créer'!C3)=0,"","0")</f>
        <v>0</v>
      </c>
      <c r="R3" s="2" t="str">
        <f>IF(LEN('A créer'!C3)=0,"","Tab")</f>
        <v>Tab</v>
      </c>
      <c r="S3" s="7" t="str">
        <f>IF(LEN('A créer'!C3)=0,"","ZZZZZZZZZZ")</f>
        <v>ZZZZZZZZZZ</v>
      </c>
      <c r="T3" s="7" t="str">
        <f>IF(LEN('A créer'!C3)=0,"","0")</f>
        <v>0</v>
      </c>
      <c r="U3" s="2" t="str">
        <f>IF(LEN('A créer'!C3)=0,"","Tab")</f>
        <v>Tab</v>
      </c>
      <c r="V3" s="7" t="str">
        <f>IF(LEN('A créer'!C3)=0,"","ZZZZZZZZZZ")</f>
        <v>ZZZZZZZZZZ</v>
      </c>
      <c r="W3" s="7" t="str">
        <f>IF(LEN('A créer'!C3)=0,"","0")</f>
        <v>0</v>
      </c>
      <c r="X3" s="2" t="str">
        <f>IF(LEN('A créer'!C3)=0,"","Tab")</f>
        <v>Tab</v>
      </c>
      <c r="Y3" s="7" t="str">
        <f>IF(LEN('A créer'!C3)=0,"","ZZZZZZZZZZZZZZZ")</f>
        <v>ZZZZZZZZZZZZZZZ</v>
      </c>
      <c r="Z3" s="7" t="str">
        <f>IF(LEN('A créer'!C3)=0,"","0")</f>
        <v>0</v>
      </c>
      <c r="AA3" s="2" t="str">
        <f>IF(LEN('A créer'!C3)=0,"","Tab")</f>
        <v>Tab</v>
      </c>
      <c r="AB3" s="7" t="str">
        <f>IF(LEN('A créer'!C3)=0,"","ZZZ")</f>
        <v>ZZZ</v>
      </c>
      <c r="AC3" s="7" t="str">
        <f>IF(LEN('A créer'!C3)=0,"","0")</f>
        <v>0</v>
      </c>
      <c r="AD3" s="2" t="str">
        <f>IF(LEN('A créer'!C3)=0,"","Tab")</f>
        <v>Tab</v>
      </c>
      <c r="AE3" s="7" t="str">
        <f>IF(LEN('A créer'!C3)=0,"","ZZZZZZZZZZ")</f>
        <v>ZZZZZZZZZZ</v>
      </c>
      <c r="AF3" s="7" t="str">
        <f>IF(LEN('A créer'!C3)=0,"","0")</f>
        <v>0</v>
      </c>
      <c r="AG3" s="2" t="str">
        <f>IF(LEN('A créer'!C3)=0,"","Tab")</f>
        <v>Tab</v>
      </c>
      <c r="AH3" s="7" t="str">
        <f>IF(LEN('A créer'!C3)=0,"","ZZZZZZZZZZ")</f>
        <v>ZZZZZZZZZZ</v>
      </c>
      <c r="AI3" s="7" t="str">
        <f>IF(LEN('A créer'!C3)=0,"","0")</f>
        <v>0</v>
      </c>
      <c r="AJ3" s="2" t="str">
        <f>IF(LEN('A créer'!C3)=0,"","Tab")</f>
        <v>Tab</v>
      </c>
      <c r="AK3" s="7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>*FN</v>
      </c>
      <c r="AO3" s="3" t="str">
        <f>IF(OR('A créer'!D3="Oui",LEN('A créer'!D3)=0,LEN('A créer'!C3)=0),"","\E")</f>
        <v>\E</v>
      </c>
      <c r="AP3" s="2" t="str">
        <f>IF(OR('A créer'!D3="Oui",LEN('A créer'!D3)=0,LEN('A créer'!C3)=0),"","TAB")</f>
        <v>TAB</v>
      </c>
      <c r="AQ3" s="7" t="str">
        <f>IF(OR('A créer'!D3="Oui",LEN('A créer'!D3)=0,LEN('A créer'!C3)=0),"",'A créer'!A3)</f>
        <v>0444</v>
      </c>
      <c r="AR3" s="2" t="str">
        <f>IF(OR('A créer'!D3="Oui",LEN('A créer'!D3)=0,LEN('A créer'!C3)=0),"","TAB")</f>
        <v>TAB</v>
      </c>
      <c r="AS3" s="7" t="str">
        <f>IF(OR('A créer'!D3="Oui",LEN('A créer'!D3)=0,LEN('A créer'!C3)=0),"","0")</f>
        <v>0</v>
      </c>
      <c r="AT3" s="2" t="str">
        <f>IF(OR('A créer'!D3="Oui",LEN('A créer'!D3)=0,LEN('A créer'!C3)=0),"","TAB")</f>
        <v>TAB</v>
      </c>
      <c r="AU3" s="7" t="str">
        <f>IF(OR('A créer'!D3="Oui",LEN('A créer'!D3)=0,LEN('A créer'!C3)=0),"","ZZZ")</f>
        <v>ZZZ</v>
      </c>
      <c r="AV3" s="7" t="str">
        <f>IF(OR('A créer'!D3="Oui",LEN('A créer'!D3)=0,LEN('A créer'!C3)=0),"","0")</f>
        <v>0</v>
      </c>
      <c r="AW3" s="2" t="str">
        <f>IF(OR('A créer'!D3="Oui",LEN('A créer'!D3)=0,LEN('A créer'!C3)=0),"","TAB")</f>
        <v>TAB</v>
      </c>
      <c r="AX3" s="7" t="str">
        <f>IF(OR('A créer'!D3="Oui",LEN('A créer'!D3)=0,LEN('A créer'!C3)=0),"","ZZZZZZ")</f>
        <v>ZZZZZZ</v>
      </c>
      <c r="AY3" s="7" t="str">
        <f>IF(OR('A créer'!D3="Oui",LEN('A créer'!D3)=0,LEN('A créer'!C3)=0),"","0")</f>
        <v>0</v>
      </c>
      <c r="AZ3" s="2" t="str">
        <f>IF(OR('A créer'!D3="Oui",LEN('A créer'!D3)=0,LEN('A créer'!C3)=0),"","TAB")</f>
        <v>TAB</v>
      </c>
      <c r="BA3" s="7" t="str">
        <f>IF(OR('A créer'!D3="Oui",LEN('A créer'!D3)=0,LEN('A créer'!C3)=0),"","ZZZZZ")</f>
        <v>ZZZZZ</v>
      </c>
      <c r="BB3" s="7" t="str">
        <f>IF(OR('A créer'!D3="Oui",LEN('A créer'!D3)=0,LEN('A créer'!C3)=0),"",CONCATENATE("XXX",'A créer'!A3))</f>
        <v>XXX0444</v>
      </c>
      <c r="BC3" s="2" t="str">
        <f>IF(OR('A créer'!D3="Oui",LEN('A créer'!D3)=0,LEN('A créer'!C3)=0),"","TAB")</f>
        <v>TAB</v>
      </c>
      <c r="BD3" s="7" t="str">
        <f>IF(OR('A créer'!D3="Oui",LEN('A créer'!D3)=0,LEN('A créer'!C3)=0),"","0")</f>
        <v>0</v>
      </c>
      <c r="BE3" s="2" t="str">
        <f>IF(OR('A créer'!D3="Oui",LEN('A créer'!D3)=0,LEN('A créer'!C3)=0),"","TAB")</f>
        <v>TAB</v>
      </c>
      <c r="BF3" s="7" t="str">
        <f>IF(OR('A créer'!D3="Oui",LEN('A créer'!D3)=0,LEN('A créer'!C3)=0),"","ZZZZZZZZZZ")</f>
        <v>ZZZZZZZZZZ</v>
      </c>
      <c r="BG3" s="7" t="str">
        <f>IF(OR('A créer'!D3="Oui",LEN('A créer'!D3)=0,LEN('A créer'!C3)=0),"","0")</f>
        <v>0</v>
      </c>
      <c r="BH3" s="2" t="str">
        <f>IF(OR('A créer'!D3="Oui",LEN('A créer'!D3)=0,LEN('A créer'!C3)=0),"","TAB")</f>
        <v>TAB</v>
      </c>
      <c r="BI3" s="7" t="str">
        <f>IF(OR('A créer'!D3="Oui",LEN('A créer'!D3)=0,LEN('A créer'!C3)=0),"","ZZZZZZZZZZ")</f>
        <v>ZZZZZZZZZZ</v>
      </c>
      <c r="BJ3" s="7" t="str">
        <f>IF(OR('A créer'!D3="Oui",LEN('A créer'!D3)=0,LEN('A créer'!C3)=0),"","0")</f>
        <v>0</v>
      </c>
      <c r="BK3" s="2" t="str">
        <f>IF(OR('A créer'!D3="Oui",LEN('A créer'!D3)=0,LEN('A créer'!C3)=0),"","TAB")</f>
        <v>TAB</v>
      </c>
      <c r="BL3" s="7" t="str">
        <f>IF(OR('A créer'!D3="Oui",LEN('A créer'!D3)=0,LEN('A créer'!C3)=0),"","ZZZZZZZZZZZZZZZ")</f>
        <v>ZZZZZZZZZZZZZZZ</v>
      </c>
      <c r="BM3" s="7" t="str">
        <f>IF(OR('A créer'!D3="Oui",LEN('A créer'!D3)=0,LEN('A créer'!C3)=0),"","0")</f>
        <v>0</v>
      </c>
      <c r="BN3" s="2" t="str">
        <f>IF(OR('A créer'!D3="Oui",LEN('A créer'!D3)=0,LEN('A créer'!C3)=0),"","TAB")</f>
        <v>TAB</v>
      </c>
      <c r="BO3" s="7" t="str">
        <f>IF(OR('A créer'!D3="Oui",LEN('A créer'!D3)=0,LEN('A créer'!C3)=0),"","ZZZ")</f>
        <v>ZZZ</v>
      </c>
      <c r="BP3" s="7" t="str">
        <f>IF(OR('A créer'!D3="Oui",LEN('A créer'!D3)=0,LEN('A créer'!C3)=0),"","0")</f>
        <v>0</v>
      </c>
      <c r="BQ3" s="2" t="str">
        <f>IF(OR('A créer'!D3="Oui",LEN('A créer'!D3)=0,LEN('A créer'!C3)=0),"","TAB")</f>
        <v>TAB</v>
      </c>
      <c r="BR3" s="7" t="str">
        <f>IF(OR('A créer'!D3="Oui",LEN('A créer'!D3)=0,LEN('A créer'!C3)=0),"","ZZZZZZZZZZ")</f>
        <v>ZZZZZZZZZZ</v>
      </c>
      <c r="BS3" s="7" t="str">
        <f>IF(OR('A créer'!D3="Oui",LEN('A créer'!D3)=0,LEN('A créer'!C3)=0),"","0")</f>
        <v>0</v>
      </c>
      <c r="BT3" s="2" t="str">
        <f>IF(OR('A créer'!D3="Oui",LEN('A créer'!D3)=0,LEN('A créer'!C3)=0),"","TAB")</f>
        <v>TAB</v>
      </c>
      <c r="BU3" s="7" t="str">
        <f>IF(OR('A créer'!D3="Oui",LEN('A créer'!D3)=0,LEN('A créer'!C3)=0),"","ZZZZZZZZZZ")</f>
        <v>ZZZZZZZZZZ</v>
      </c>
      <c r="BV3" s="7" t="str">
        <f>IF(OR('A créer'!D3="Oui",LEN('A créer'!D3)=0,LEN('A créer'!C3)=0),"","0")</f>
        <v>0</v>
      </c>
      <c r="BW3" s="2" t="str">
        <f>IF(OR('A créer'!D3="Oui",LEN('A créer'!D3)=0,LEN('A créer'!C3)=0),"","TAB")</f>
        <v>TAB</v>
      </c>
      <c r="BX3" s="7" t="str">
        <f>IF(OR('A créer'!D3="Oui",LEN('A créer'!D3)=0,LEN('A créer'!C3)=0),"","ZZZZZZZZZZ")</f>
        <v>ZZZZZZZZZZ</v>
      </c>
      <c r="BY3" s="2" t="str">
        <f>IF(OR('A créer'!D3="Oui",LEN('A créer'!D3)=0,LEN('A créer'!C3)=0),"","ENT")</f>
        <v>ENT</v>
      </c>
      <c r="BZ3" s="2" t="str">
        <f>IF(OR('A créer'!D3="Oui",LEN('A créer'!D3)=0,LEN('A créer'!C3)=0),"","*SAVE")</f>
        <v>*SAVE</v>
      </c>
    </row>
    <row r="4" spans="1:78" x14ac:dyDescent="0.2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7" t="str">
        <f>IF(LEN('A créer'!C4)=0,"",'A créer'!A4)</f>
        <v>0446</v>
      </c>
      <c r="E4" s="2" t="str">
        <f>IF(LEN('A créer'!C4)=0,"","Tab")</f>
        <v>Tab</v>
      </c>
      <c r="F4" s="7">
        <f>IF(LEN('A créer'!C4)=0,"",0)</f>
        <v>0</v>
      </c>
      <c r="G4" s="2" t="str">
        <f>IF(LEN('A créer'!C4)=0,"","Tab")</f>
        <v>Tab</v>
      </c>
      <c r="H4" s="7" t="str">
        <f>IF(LEN('A créer'!C4)=0,"","ZZZ")</f>
        <v>ZZZ</v>
      </c>
      <c r="I4" s="7" t="str">
        <f>IF(LEN('A créer'!C4)=0,"","0")</f>
        <v>0</v>
      </c>
      <c r="J4" s="2" t="str">
        <f>IF(LEN('A créer'!C4)=0,"","Tab")</f>
        <v>Tab</v>
      </c>
      <c r="K4" s="7" t="str">
        <f>IF(LEN('A créer'!C4)=0,"","ZZZZZZ")</f>
        <v>ZZZZZZ</v>
      </c>
      <c r="L4" s="7" t="str">
        <f>IF(LEN('A créer'!C4)=0,"","0")</f>
        <v>0</v>
      </c>
      <c r="M4" s="2" t="str">
        <f>IF(LEN('A créer'!C4)=0,"","Tab")</f>
        <v>Tab</v>
      </c>
      <c r="N4" s="7" t="str">
        <f>IF(LEN('A créer'!C4)=0,"","ZZZZZ")</f>
        <v>ZZZZZ</v>
      </c>
      <c r="O4" s="7" t="str">
        <f>IF(LEN('A créer'!C4)=0,"",CONCATENATE('A créer'!B4,'A créer'!A4))</f>
        <v>DOS0446</v>
      </c>
      <c r="P4" s="2" t="str">
        <f>IF(LEN('A créer'!C4)=0,"","Tab")</f>
        <v>Tab</v>
      </c>
      <c r="Q4" s="7" t="str">
        <f>IF(LEN('A créer'!C4)=0,"","0")</f>
        <v>0</v>
      </c>
      <c r="R4" s="2" t="str">
        <f>IF(LEN('A créer'!C4)=0,"","Tab")</f>
        <v>Tab</v>
      </c>
      <c r="S4" s="7" t="str">
        <f>IF(LEN('A créer'!C4)=0,"","ZZZZZZZZZZ")</f>
        <v>ZZZZZZZZZZ</v>
      </c>
      <c r="T4" s="7" t="str">
        <f>IF(LEN('A créer'!C4)=0,"","0")</f>
        <v>0</v>
      </c>
      <c r="U4" s="2" t="str">
        <f>IF(LEN('A créer'!C4)=0,"","Tab")</f>
        <v>Tab</v>
      </c>
      <c r="V4" s="7" t="str">
        <f>IF(LEN('A créer'!C4)=0,"","ZZZZZZZZZZ")</f>
        <v>ZZZZZZZZZZ</v>
      </c>
      <c r="W4" s="7" t="str">
        <f>IF(LEN('A créer'!C4)=0,"","0")</f>
        <v>0</v>
      </c>
      <c r="X4" s="2" t="str">
        <f>IF(LEN('A créer'!C4)=0,"","Tab")</f>
        <v>Tab</v>
      </c>
      <c r="Y4" s="7" t="str">
        <f>IF(LEN('A créer'!C4)=0,"","ZZZZZZZZZZZZZZZ")</f>
        <v>ZZZZZZZZZZZZZZZ</v>
      </c>
      <c r="Z4" s="7" t="str">
        <f>IF(LEN('A créer'!C4)=0,"","0")</f>
        <v>0</v>
      </c>
      <c r="AA4" s="2" t="str">
        <f>IF(LEN('A créer'!C4)=0,"","Tab")</f>
        <v>Tab</v>
      </c>
      <c r="AB4" s="7" t="str">
        <f>IF(LEN('A créer'!C4)=0,"","ZZZ")</f>
        <v>ZZZ</v>
      </c>
      <c r="AC4" s="7" t="str">
        <f>IF(LEN('A créer'!C4)=0,"","0")</f>
        <v>0</v>
      </c>
      <c r="AD4" s="2" t="str">
        <f>IF(LEN('A créer'!C4)=0,"","Tab")</f>
        <v>Tab</v>
      </c>
      <c r="AE4" s="7" t="str">
        <f>IF(LEN('A créer'!C4)=0,"","ZZZZZZZZZZ")</f>
        <v>ZZZZZZZZZZ</v>
      </c>
      <c r="AF4" s="7" t="str">
        <f>IF(LEN('A créer'!C4)=0,"","0")</f>
        <v>0</v>
      </c>
      <c r="AG4" s="2" t="str">
        <f>IF(LEN('A créer'!C4)=0,"","Tab")</f>
        <v>Tab</v>
      </c>
      <c r="AH4" s="7" t="str">
        <f>IF(LEN('A créer'!C4)=0,"","ZZZZZZZZZZ")</f>
        <v>ZZZZZZZZZZ</v>
      </c>
      <c r="AI4" s="7" t="str">
        <f>IF(LEN('A créer'!C4)=0,"","0")</f>
        <v>0</v>
      </c>
      <c r="AJ4" s="2" t="str">
        <f>IF(LEN('A créer'!C4)=0,"","Tab")</f>
        <v>Tab</v>
      </c>
      <c r="AK4" s="7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>*FN</v>
      </c>
      <c r="AO4" s="3" t="str">
        <f>IF(OR('A créer'!D4="Oui",LEN('A créer'!D4)=0,LEN('A créer'!C4)=0),"","\E")</f>
        <v>\E</v>
      </c>
      <c r="AP4" s="2" t="str">
        <f>IF(OR('A créer'!D4="Oui",LEN('A créer'!D4)=0,LEN('A créer'!C4)=0),"","TAB")</f>
        <v>TAB</v>
      </c>
      <c r="AQ4" s="7" t="str">
        <f>IF(OR('A créer'!D4="Oui",LEN('A créer'!D4)=0,LEN('A créer'!C4)=0),"",'A créer'!A4)</f>
        <v>0446</v>
      </c>
      <c r="AR4" s="2" t="str">
        <f>IF(OR('A créer'!D4="Oui",LEN('A créer'!D4)=0,LEN('A créer'!C4)=0),"","TAB")</f>
        <v>TAB</v>
      </c>
      <c r="AS4" s="7" t="str">
        <f>IF(OR('A créer'!D4="Oui",LEN('A créer'!D4)=0,LEN('A créer'!C4)=0),"","0")</f>
        <v>0</v>
      </c>
      <c r="AT4" s="2" t="str">
        <f>IF(OR('A créer'!D4="Oui",LEN('A créer'!D4)=0,LEN('A créer'!C4)=0),"","TAB")</f>
        <v>TAB</v>
      </c>
      <c r="AU4" s="7" t="str">
        <f>IF(OR('A créer'!D4="Oui",LEN('A créer'!D4)=0,LEN('A créer'!C4)=0),"","ZZZ")</f>
        <v>ZZZ</v>
      </c>
      <c r="AV4" s="7" t="str">
        <f>IF(OR('A créer'!D4="Oui",LEN('A créer'!D4)=0,LEN('A créer'!C4)=0),"","0")</f>
        <v>0</v>
      </c>
      <c r="AW4" s="2" t="str">
        <f>IF(OR('A créer'!D4="Oui",LEN('A créer'!D4)=0,LEN('A créer'!C4)=0),"","TAB")</f>
        <v>TAB</v>
      </c>
      <c r="AX4" s="7" t="str">
        <f>IF(OR('A créer'!D4="Oui",LEN('A créer'!D4)=0,LEN('A créer'!C4)=0),"","ZZZZZZ")</f>
        <v>ZZZZZZ</v>
      </c>
      <c r="AY4" s="7" t="str">
        <f>IF(OR('A créer'!D4="Oui",LEN('A créer'!D4)=0,LEN('A créer'!C4)=0),"","0")</f>
        <v>0</v>
      </c>
      <c r="AZ4" s="2" t="str">
        <f>IF(OR('A créer'!D4="Oui",LEN('A créer'!D4)=0,LEN('A créer'!C4)=0),"","TAB")</f>
        <v>TAB</v>
      </c>
      <c r="BA4" s="7" t="str">
        <f>IF(OR('A créer'!D4="Oui",LEN('A créer'!D4)=0,LEN('A créer'!C4)=0),"","ZZZZZ")</f>
        <v>ZZZZZ</v>
      </c>
      <c r="BB4" s="7" t="str">
        <f>IF(OR('A créer'!D4="Oui",LEN('A créer'!D4)=0,LEN('A créer'!C4)=0),"",CONCATENATE("XXX",'A créer'!A4))</f>
        <v>XXX0446</v>
      </c>
      <c r="BC4" s="2" t="str">
        <f>IF(OR('A créer'!D4="Oui",LEN('A créer'!D4)=0,LEN('A créer'!C4)=0),"","TAB")</f>
        <v>TAB</v>
      </c>
      <c r="BD4" s="7" t="str">
        <f>IF(OR('A créer'!D4="Oui",LEN('A créer'!D4)=0,LEN('A créer'!C4)=0),"","0")</f>
        <v>0</v>
      </c>
      <c r="BE4" s="2" t="str">
        <f>IF(OR('A créer'!D4="Oui",LEN('A créer'!D4)=0,LEN('A créer'!C4)=0),"","TAB")</f>
        <v>TAB</v>
      </c>
      <c r="BF4" s="7" t="str">
        <f>IF(OR('A créer'!D4="Oui",LEN('A créer'!D4)=0,LEN('A créer'!C4)=0),"","ZZZZZZZZZZ")</f>
        <v>ZZZZZZZZZZ</v>
      </c>
      <c r="BG4" s="7" t="str">
        <f>IF(OR('A créer'!D4="Oui",LEN('A créer'!D4)=0,LEN('A créer'!C4)=0),"","0")</f>
        <v>0</v>
      </c>
      <c r="BH4" s="2" t="str">
        <f>IF(OR('A créer'!D4="Oui",LEN('A créer'!D4)=0,LEN('A créer'!C4)=0),"","TAB")</f>
        <v>TAB</v>
      </c>
      <c r="BI4" s="7" t="str">
        <f>IF(OR('A créer'!D4="Oui",LEN('A créer'!D4)=0,LEN('A créer'!C4)=0),"","ZZZZZZZZZZ")</f>
        <v>ZZZZZZZZZZ</v>
      </c>
      <c r="BJ4" s="7" t="str">
        <f>IF(OR('A créer'!D4="Oui",LEN('A créer'!D4)=0,LEN('A créer'!C4)=0),"","0")</f>
        <v>0</v>
      </c>
      <c r="BK4" s="2" t="str">
        <f>IF(OR('A créer'!D4="Oui",LEN('A créer'!D4)=0,LEN('A créer'!C4)=0),"","TAB")</f>
        <v>TAB</v>
      </c>
      <c r="BL4" s="7" t="str">
        <f>IF(OR('A créer'!D4="Oui",LEN('A créer'!D4)=0,LEN('A créer'!C4)=0),"","ZZZZZZZZZZZZZZZ")</f>
        <v>ZZZZZZZZZZZZZZZ</v>
      </c>
      <c r="BM4" s="7" t="str">
        <f>IF(OR('A créer'!D4="Oui",LEN('A créer'!D4)=0,LEN('A créer'!C4)=0),"","0")</f>
        <v>0</v>
      </c>
      <c r="BN4" s="2" t="str">
        <f>IF(OR('A créer'!D4="Oui",LEN('A créer'!D4)=0,LEN('A créer'!C4)=0),"","TAB")</f>
        <v>TAB</v>
      </c>
      <c r="BO4" s="7" t="str">
        <f>IF(OR('A créer'!D4="Oui",LEN('A créer'!D4)=0,LEN('A créer'!C4)=0),"","ZZZ")</f>
        <v>ZZZ</v>
      </c>
      <c r="BP4" s="7" t="str">
        <f>IF(OR('A créer'!D4="Oui",LEN('A créer'!D4)=0,LEN('A créer'!C4)=0),"","0")</f>
        <v>0</v>
      </c>
      <c r="BQ4" s="2" t="str">
        <f>IF(OR('A créer'!D4="Oui",LEN('A créer'!D4)=0,LEN('A créer'!C4)=0),"","TAB")</f>
        <v>TAB</v>
      </c>
      <c r="BR4" s="7" t="str">
        <f>IF(OR('A créer'!D4="Oui",LEN('A créer'!D4)=0,LEN('A créer'!C4)=0),"","ZZZZZZZZZZ")</f>
        <v>ZZZZZZZZZZ</v>
      </c>
      <c r="BS4" s="7" t="str">
        <f>IF(OR('A créer'!D4="Oui",LEN('A créer'!D4)=0,LEN('A créer'!C4)=0),"","0")</f>
        <v>0</v>
      </c>
      <c r="BT4" s="2" t="str">
        <f>IF(OR('A créer'!D4="Oui",LEN('A créer'!D4)=0,LEN('A créer'!C4)=0),"","TAB")</f>
        <v>TAB</v>
      </c>
      <c r="BU4" s="7" t="str">
        <f>IF(OR('A créer'!D4="Oui",LEN('A créer'!D4)=0,LEN('A créer'!C4)=0),"","ZZZZZZZZZZ")</f>
        <v>ZZZZZZZZZZ</v>
      </c>
      <c r="BV4" s="7" t="str">
        <f>IF(OR('A créer'!D4="Oui",LEN('A créer'!D4)=0,LEN('A créer'!C4)=0),"","0")</f>
        <v>0</v>
      </c>
      <c r="BW4" s="2" t="str">
        <f>IF(OR('A créer'!D4="Oui",LEN('A créer'!D4)=0,LEN('A créer'!C4)=0),"","TAB")</f>
        <v>TAB</v>
      </c>
      <c r="BX4" s="7" t="str">
        <f>IF(OR('A créer'!D4="Oui",LEN('A créer'!D4)=0,LEN('A créer'!C4)=0),"","ZZZZZZZZZZ")</f>
        <v>ZZZZZZZZZZ</v>
      </c>
      <c r="BY4" s="2" t="str">
        <f>IF(OR('A créer'!D4="Oui",LEN('A créer'!D4)=0,LEN('A créer'!C4)=0),"","ENT")</f>
        <v>ENT</v>
      </c>
      <c r="BZ4" s="2" t="str">
        <f>IF(OR('A créer'!D4="Oui",LEN('A créer'!D4)=0,LEN('A créer'!C4)=0),"","*SAVE")</f>
        <v>*SAVE</v>
      </c>
    </row>
    <row r="5" spans="1:78" x14ac:dyDescent="0.25">
      <c r="A5" s="2" t="str">
        <f>IF(LEN('A créer'!C5)=0,"","*FN")</f>
        <v>*FN</v>
      </c>
      <c r="B5" s="3" t="str">
        <f>IF(LEN('A créer'!C5)=0,"","\E")</f>
        <v>\E</v>
      </c>
      <c r="C5" s="2" t="str">
        <f>IF(LEN('A créer'!C5)=0,"","Tab")</f>
        <v>Tab</v>
      </c>
      <c r="D5" s="7" t="str">
        <f>IF(LEN('A créer'!C5)=0,"",'A créer'!A5)</f>
        <v>0449</v>
      </c>
      <c r="E5" s="2" t="str">
        <f>IF(LEN('A créer'!C5)=0,"","Tab")</f>
        <v>Tab</v>
      </c>
      <c r="F5" s="7">
        <f>IF(LEN('A créer'!C5)=0,"",0)</f>
        <v>0</v>
      </c>
      <c r="G5" s="2" t="str">
        <f>IF(LEN('A créer'!C5)=0,"","Tab")</f>
        <v>Tab</v>
      </c>
      <c r="H5" s="7" t="str">
        <f>IF(LEN('A créer'!C5)=0,"","ZZZ")</f>
        <v>ZZZ</v>
      </c>
      <c r="I5" s="7" t="str">
        <f>IF(LEN('A créer'!C5)=0,"","0")</f>
        <v>0</v>
      </c>
      <c r="J5" s="2" t="str">
        <f>IF(LEN('A créer'!C5)=0,"","Tab")</f>
        <v>Tab</v>
      </c>
      <c r="K5" s="7" t="str">
        <f>IF(LEN('A créer'!C5)=0,"","ZZZZZZ")</f>
        <v>ZZZZZZ</v>
      </c>
      <c r="L5" s="7" t="str">
        <f>IF(LEN('A créer'!C5)=0,"","0")</f>
        <v>0</v>
      </c>
      <c r="M5" s="2" t="str">
        <f>IF(LEN('A créer'!C5)=0,"","Tab")</f>
        <v>Tab</v>
      </c>
      <c r="N5" s="7" t="str">
        <f>IF(LEN('A créer'!C5)=0,"","ZZZZZ")</f>
        <v>ZZZZZ</v>
      </c>
      <c r="O5" s="7" t="str">
        <f>IF(LEN('A créer'!C5)=0,"",CONCATENATE('A créer'!B5,'A créer'!A5))</f>
        <v>DOS0449</v>
      </c>
      <c r="P5" s="2" t="str">
        <f>IF(LEN('A créer'!C5)=0,"","Tab")</f>
        <v>Tab</v>
      </c>
      <c r="Q5" s="7" t="str">
        <f>IF(LEN('A créer'!C5)=0,"","0")</f>
        <v>0</v>
      </c>
      <c r="R5" s="2" t="str">
        <f>IF(LEN('A créer'!C5)=0,"","Tab")</f>
        <v>Tab</v>
      </c>
      <c r="S5" s="7" t="str">
        <f>IF(LEN('A créer'!C5)=0,"","ZZZZZZZZZZ")</f>
        <v>ZZZZZZZZZZ</v>
      </c>
      <c r="T5" s="7" t="str">
        <f>IF(LEN('A créer'!C5)=0,"","0")</f>
        <v>0</v>
      </c>
      <c r="U5" s="2" t="str">
        <f>IF(LEN('A créer'!C5)=0,"","Tab")</f>
        <v>Tab</v>
      </c>
      <c r="V5" s="7" t="str">
        <f>IF(LEN('A créer'!C5)=0,"","ZZZZZZZZZZ")</f>
        <v>ZZZZZZZZZZ</v>
      </c>
      <c r="W5" s="7" t="str">
        <f>IF(LEN('A créer'!C5)=0,"","0")</f>
        <v>0</v>
      </c>
      <c r="X5" s="2" t="str">
        <f>IF(LEN('A créer'!C5)=0,"","Tab")</f>
        <v>Tab</v>
      </c>
      <c r="Y5" s="7" t="str">
        <f>IF(LEN('A créer'!C5)=0,"","ZZZZZZZZZZZZZZZ")</f>
        <v>ZZZZZZZZZZZZZZZ</v>
      </c>
      <c r="Z5" s="7" t="str">
        <f>IF(LEN('A créer'!C5)=0,"","0")</f>
        <v>0</v>
      </c>
      <c r="AA5" s="2" t="str">
        <f>IF(LEN('A créer'!C5)=0,"","Tab")</f>
        <v>Tab</v>
      </c>
      <c r="AB5" s="7" t="str">
        <f>IF(LEN('A créer'!C5)=0,"","ZZZ")</f>
        <v>ZZZ</v>
      </c>
      <c r="AC5" s="7" t="str">
        <f>IF(LEN('A créer'!C5)=0,"","0")</f>
        <v>0</v>
      </c>
      <c r="AD5" s="2" t="str">
        <f>IF(LEN('A créer'!C5)=0,"","Tab")</f>
        <v>Tab</v>
      </c>
      <c r="AE5" s="7" t="str">
        <f>IF(LEN('A créer'!C5)=0,"","ZZZZZZZZZZ")</f>
        <v>ZZZZZZZZZZ</v>
      </c>
      <c r="AF5" s="7" t="str">
        <f>IF(LEN('A créer'!C5)=0,"","0")</f>
        <v>0</v>
      </c>
      <c r="AG5" s="2" t="str">
        <f>IF(LEN('A créer'!C5)=0,"","Tab")</f>
        <v>Tab</v>
      </c>
      <c r="AH5" s="7" t="str">
        <f>IF(LEN('A créer'!C5)=0,"","ZZZZZZZZZZ")</f>
        <v>ZZZZZZZZZZ</v>
      </c>
      <c r="AI5" s="7" t="str">
        <f>IF(LEN('A créer'!C5)=0,"","0")</f>
        <v>0</v>
      </c>
      <c r="AJ5" s="2" t="str">
        <f>IF(LEN('A créer'!C5)=0,"","Tab")</f>
        <v>Tab</v>
      </c>
      <c r="AK5" s="7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  <c r="AN5" s="2" t="str">
        <f>IF(OR('A créer'!D5="Oui",LEN('A créer'!D5)=0,LEN('A créer'!C5)=0),"","*FN")</f>
        <v>*FN</v>
      </c>
      <c r="AO5" s="3" t="str">
        <f>IF(OR('A créer'!D5="Oui",LEN('A créer'!D5)=0,LEN('A créer'!C5)=0),"","\E")</f>
        <v>\E</v>
      </c>
      <c r="AP5" s="2" t="str">
        <f>IF(OR('A créer'!D5="Oui",LEN('A créer'!D5)=0,LEN('A créer'!C5)=0),"","TAB")</f>
        <v>TAB</v>
      </c>
      <c r="AQ5" s="7" t="str">
        <f>IF(OR('A créer'!D5="Oui",LEN('A créer'!D5)=0,LEN('A créer'!C5)=0),"",'A créer'!A5)</f>
        <v>0449</v>
      </c>
      <c r="AR5" s="2" t="str">
        <f>IF(OR('A créer'!D5="Oui",LEN('A créer'!D5)=0,LEN('A créer'!C5)=0),"","TAB")</f>
        <v>TAB</v>
      </c>
      <c r="AS5" s="7" t="str">
        <f>IF(OR('A créer'!D5="Oui",LEN('A créer'!D5)=0,LEN('A créer'!C5)=0),"","0")</f>
        <v>0</v>
      </c>
      <c r="AT5" s="2" t="str">
        <f>IF(OR('A créer'!D5="Oui",LEN('A créer'!D5)=0,LEN('A créer'!C5)=0),"","TAB")</f>
        <v>TAB</v>
      </c>
      <c r="AU5" s="7" t="str">
        <f>IF(OR('A créer'!D5="Oui",LEN('A créer'!D5)=0,LEN('A créer'!C5)=0),"","ZZZ")</f>
        <v>ZZZ</v>
      </c>
      <c r="AV5" s="7" t="str">
        <f>IF(OR('A créer'!D5="Oui",LEN('A créer'!D5)=0,LEN('A créer'!C5)=0),"","0")</f>
        <v>0</v>
      </c>
      <c r="AW5" s="2" t="str">
        <f>IF(OR('A créer'!D5="Oui",LEN('A créer'!D5)=0,LEN('A créer'!C5)=0),"","TAB")</f>
        <v>TAB</v>
      </c>
      <c r="AX5" s="7" t="str">
        <f>IF(OR('A créer'!D5="Oui",LEN('A créer'!D5)=0,LEN('A créer'!C5)=0),"","ZZZZZZ")</f>
        <v>ZZZZZZ</v>
      </c>
      <c r="AY5" s="7" t="str">
        <f>IF(OR('A créer'!D5="Oui",LEN('A créer'!D5)=0,LEN('A créer'!C5)=0),"","0")</f>
        <v>0</v>
      </c>
      <c r="AZ5" s="2" t="str">
        <f>IF(OR('A créer'!D5="Oui",LEN('A créer'!D5)=0,LEN('A créer'!C5)=0),"","TAB")</f>
        <v>TAB</v>
      </c>
      <c r="BA5" s="7" t="str">
        <f>IF(OR('A créer'!D5="Oui",LEN('A créer'!D5)=0,LEN('A créer'!C5)=0),"","ZZZZZ")</f>
        <v>ZZZZZ</v>
      </c>
      <c r="BB5" s="7" t="str">
        <f>IF(OR('A créer'!D5="Oui",LEN('A créer'!D5)=0,LEN('A créer'!C5)=0),"",CONCATENATE("XXX",'A créer'!A5))</f>
        <v>XXX0449</v>
      </c>
      <c r="BC5" s="2" t="str">
        <f>IF(OR('A créer'!D5="Oui",LEN('A créer'!D5)=0,LEN('A créer'!C5)=0),"","TAB")</f>
        <v>TAB</v>
      </c>
      <c r="BD5" s="7" t="str">
        <f>IF(OR('A créer'!D5="Oui",LEN('A créer'!D5)=0,LEN('A créer'!C5)=0),"","0")</f>
        <v>0</v>
      </c>
      <c r="BE5" s="2" t="str">
        <f>IF(OR('A créer'!D5="Oui",LEN('A créer'!D5)=0,LEN('A créer'!C5)=0),"","TAB")</f>
        <v>TAB</v>
      </c>
      <c r="BF5" s="7" t="str">
        <f>IF(OR('A créer'!D5="Oui",LEN('A créer'!D5)=0,LEN('A créer'!C5)=0),"","ZZZZZZZZZZ")</f>
        <v>ZZZZZZZZZZ</v>
      </c>
      <c r="BG5" s="7" t="str">
        <f>IF(OR('A créer'!D5="Oui",LEN('A créer'!D5)=0,LEN('A créer'!C5)=0),"","0")</f>
        <v>0</v>
      </c>
      <c r="BH5" s="2" t="str">
        <f>IF(OR('A créer'!D5="Oui",LEN('A créer'!D5)=0,LEN('A créer'!C5)=0),"","TAB")</f>
        <v>TAB</v>
      </c>
      <c r="BI5" s="7" t="str">
        <f>IF(OR('A créer'!D5="Oui",LEN('A créer'!D5)=0,LEN('A créer'!C5)=0),"","ZZZZZZZZZZ")</f>
        <v>ZZZZZZZZZZ</v>
      </c>
      <c r="BJ5" s="7" t="str">
        <f>IF(OR('A créer'!D5="Oui",LEN('A créer'!D5)=0,LEN('A créer'!C5)=0),"","0")</f>
        <v>0</v>
      </c>
      <c r="BK5" s="2" t="str">
        <f>IF(OR('A créer'!D5="Oui",LEN('A créer'!D5)=0,LEN('A créer'!C5)=0),"","TAB")</f>
        <v>TAB</v>
      </c>
      <c r="BL5" s="7" t="str">
        <f>IF(OR('A créer'!D5="Oui",LEN('A créer'!D5)=0,LEN('A créer'!C5)=0),"","ZZZZZZZZZZZZZZZ")</f>
        <v>ZZZZZZZZZZZZZZZ</v>
      </c>
      <c r="BM5" s="7" t="str">
        <f>IF(OR('A créer'!D5="Oui",LEN('A créer'!D5)=0,LEN('A créer'!C5)=0),"","0")</f>
        <v>0</v>
      </c>
      <c r="BN5" s="2" t="str">
        <f>IF(OR('A créer'!D5="Oui",LEN('A créer'!D5)=0,LEN('A créer'!C5)=0),"","TAB")</f>
        <v>TAB</v>
      </c>
      <c r="BO5" s="7" t="str">
        <f>IF(OR('A créer'!D5="Oui",LEN('A créer'!D5)=0,LEN('A créer'!C5)=0),"","ZZZ")</f>
        <v>ZZZ</v>
      </c>
      <c r="BP5" s="7" t="str">
        <f>IF(OR('A créer'!D5="Oui",LEN('A créer'!D5)=0,LEN('A créer'!C5)=0),"","0")</f>
        <v>0</v>
      </c>
      <c r="BQ5" s="2" t="str">
        <f>IF(OR('A créer'!D5="Oui",LEN('A créer'!D5)=0,LEN('A créer'!C5)=0),"","TAB")</f>
        <v>TAB</v>
      </c>
      <c r="BR5" s="7" t="str">
        <f>IF(OR('A créer'!D5="Oui",LEN('A créer'!D5)=0,LEN('A créer'!C5)=0),"","ZZZZZZZZZZ")</f>
        <v>ZZZZZZZZZZ</v>
      </c>
      <c r="BS5" s="7" t="str">
        <f>IF(OR('A créer'!D5="Oui",LEN('A créer'!D5)=0,LEN('A créer'!C5)=0),"","0")</f>
        <v>0</v>
      </c>
      <c r="BT5" s="2" t="str">
        <f>IF(OR('A créer'!D5="Oui",LEN('A créer'!D5)=0,LEN('A créer'!C5)=0),"","TAB")</f>
        <v>TAB</v>
      </c>
      <c r="BU5" s="7" t="str">
        <f>IF(OR('A créer'!D5="Oui",LEN('A créer'!D5)=0,LEN('A créer'!C5)=0),"","ZZZZZZZZZZ")</f>
        <v>ZZZZZZZZZZ</v>
      </c>
      <c r="BV5" s="7" t="str">
        <f>IF(OR('A créer'!D5="Oui",LEN('A créer'!D5)=0,LEN('A créer'!C5)=0),"","0")</f>
        <v>0</v>
      </c>
      <c r="BW5" s="2" t="str">
        <f>IF(OR('A créer'!D5="Oui",LEN('A créer'!D5)=0,LEN('A créer'!C5)=0),"","TAB")</f>
        <v>TAB</v>
      </c>
      <c r="BX5" s="7" t="str">
        <f>IF(OR('A créer'!D5="Oui",LEN('A créer'!D5)=0,LEN('A créer'!C5)=0),"","ZZZZZZZZZZ")</f>
        <v>ZZZZZZZZZZ</v>
      </c>
      <c r="BY5" s="2" t="str">
        <f>IF(OR('A créer'!D5="Oui",LEN('A créer'!D5)=0,LEN('A créer'!C5)=0),"","ENT")</f>
        <v>ENT</v>
      </c>
      <c r="BZ5" s="2" t="str">
        <f>IF(OR('A créer'!D5="Oui",LEN('A créer'!D5)=0,LEN('A créer'!C5)=0),"","*SAVE")</f>
        <v>*SAVE</v>
      </c>
    </row>
    <row r="6" spans="1:78" x14ac:dyDescent="0.2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7" t="str">
        <f>IF(LEN('A créer'!C6)=0,"",'A créer'!A6)</f>
        <v>0450</v>
      </c>
      <c r="E6" s="2" t="str">
        <f>IF(LEN('A créer'!C6)=0,"","Tab")</f>
        <v>Tab</v>
      </c>
      <c r="F6" s="7">
        <f>IF(LEN('A créer'!C6)=0,"",0)</f>
        <v>0</v>
      </c>
      <c r="G6" s="2" t="str">
        <f>IF(LEN('A créer'!C6)=0,"","Tab")</f>
        <v>Tab</v>
      </c>
      <c r="H6" s="7" t="str">
        <f>IF(LEN('A créer'!C6)=0,"","ZZZ")</f>
        <v>ZZZ</v>
      </c>
      <c r="I6" s="7" t="str">
        <f>IF(LEN('A créer'!C6)=0,"","0")</f>
        <v>0</v>
      </c>
      <c r="J6" s="2" t="str">
        <f>IF(LEN('A créer'!C6)=0,"","Tab")</f>
        <v>Tab</v>
      </c>
      <c r="K6" s="7" t="str">
        <f>IF(LEN('A créer'!C6)=0,"","ZZZZZZ")</f>
        <v>ZZZZZZ</v>
      </c>
      <c r="L6" s="7" t="str">
        <f>IF(LEN('A créer'!C6)=0,"","0")</f>
        <v>0</v>
      </c>
      <c r="M6" s="2" t="str">
        <f>IF(LEN('A créer'!C6)=0,"","Tab")</f>
        <v>Tab</v>
      </c>
      <c r="N6" s="7" t="str">
        <f>IF(LEN('A créer'!C6)=0,"","ZZZZZ")</f>
        <v>ZZZZZ</v>
      </c>
      <c r="O6" s="7" t="str">
        <f>IF(LEN('A créer'!C6)=0,"",CONCATENATE('A créer'!B6,'A créer'!A6))</f>
        <v>DOS0450</v>
      </c>
      <c r="P6" s="2" t="str">
        <f>IF(LEN('A créer'!C6)=0,"","Tab")</f>
        <v>Tab</v>
      </c>
      <c r="Q6" s="7" t="str">
        <f>IF(LEN('A créer'!C6)=0,"","0")</f>
        <v>0</v>
      </c>
      <c r="R6" s="2" t="str">
        <f>IF(LEN('A créer'!C6)=0,"","Tab")</f>
        <v>Tab</v>
      </c>
      <c r="S6" s="7" t="str">
        <f>IF(LEN('A créer'!C6)=0,"","ZZZZZZZZZZ")</f>
        <v>ZZZZZZZZZZ</v>
      </c>
      <c r="T6" s="7" t="str">
        <f>IF(LEN('A créer'!C6)=0,"","0")</f>
        <v>0</v>
      </c>
      <c r="U6" s="2" t="str">
        <f>IF(LEN('A créer'!C6)=0,"","Tab")</f>
        <v>Tab</v>
      </c>
      <c r="V6" s="7" t="str">
        <f>IF(LEN('A créer'!C6)=0,"","ZZZZZZZZZZ")</f>
        <v>ZZZZZZZZZZ</v>
      </c>
      <c r="W6" s="7" t="str">
        <f>IF(LEN('A créer'!C6)=0,"","0")</f>
        <v>0</v>
      </c>
      <c r="X6" s="2" t="str">
        <f>IF(LEN('A créer'!C6)=0,"","Tab")</f>
        <v>Tab</v>
      </c>
      <c r="Y6" s="7" t="str">
        <f>IF(LEN('A créer'!C6)=0,"","ZZZZZZZZZZZZZZZ")</f>
        <v>ZZZZZZZZZZZZZZZ</v>
      </c>
      <c r="Z6" s="7" t="str">
        <f>IF(LEN('A créer'!C6)=0,"","0")</f>
        <v>0</v>
      </c>
      <c r="AA6" s="2" t="str">
        <f>IF(LEN('A créer'!C6)=0,"","Tab")</f>
        <v>Tab</v>
      </c>
      <c r="AB6" s="7" t="str">
        <f>IF(LEN('A créer'!C6)=0,"","ZZZ")</f>
        <v>ZZZ</v>
      </c>
      <c r="AC6" s="7" t="str">
        <f>IF(LEN('A créer'!C6)=0,"","0")</f>
        <v>0</v>
      </c>
      <c r="AD6" s="2" t="str">
        <f>IF(LEN('A créer'!C6)=0,"","Tab")</f>
        <v>Tab</v>
      </c>
      <c r="AE6" s="7" t="str">
        <f>IF(LEN('A créer'!C6)=0,"","ZZZZZZZZZZ")</f>
        <v>ZZZZZZZZZZ</v>
      </c>
      <c r="AF6" s="7" t="str">
        <f>IF(LEN('A créer'!C6)=0,"","0")</f>
        <v>0</v>
      </c>
      <c r="AG6" s="2" t="str">
        <f>IF(LEN('A créer'!C6)=0,"","Tab")</f>
        <v>Tab</v>
      </c>
      <c r="AH6" s="7" t="str">
        <f>IF(LEN('A créer'!C6)=0,"","ZZZZZZZZZZ")</f>
        <v>ZZZZZZZZZZ</v>
      </c>
      <c r="AI6" s="7" t="str">
        <f>IF(LEN('A créer'!C6)=0,"","0")</f>
        <v>0</v>
      </c>
      <c r="AJ6" s="2" t="str">
        <f>IF(LEN('A créer'!C6)=0,"","Tab")</f>
        <v>Tab</v>
      </c>
      <c r="AK6" s="7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>*FN</v>
      </c>
      <c r="AO6" s="3" t="str">
        <f>IF(OR('A créer'!D6="Oui",LEN('A créer'!D6)=0,LEN('A créer'!C6)=0),"","\E")</f>
        <v>\E</v>
      </c>
      <c r="AP6" s="2" t="str">
        <f>IF(OR('A créer'!D6="Oui",LEN('A créer'!D6)=0,LEN('A créer'!C6)=0),"","TAB")</f>
        <v>TAB</v>
      </c>
      <c r="AQ6" s="7" t="str">
        <f>IF(OR('A créer'!D6="Oui",LEN('A créer'!D6)=0,LEN('A créer'!C6)=0),"",'A créer'!A6)</f>
        <v>0450</v>
      </c>
      <c r="AR6" s="2" t="str">
        <f>IF(OR('A créer'!D6="Oui",LEN('A créer'!D6)=0,LEN('A créer'!C6)=0),"","TAB")</f>
        <v>TAB</v>
      </c>
      <c r="AS6" s="7" t="str">
        <f>IF(OR('A créer'!D6="Oui",LEN('A créer'!D6)=0,LEN('A créer'!C6)=0),"","0")</f>
        <v>0</v>
      </c>
      <c r="AT6" s="2" t="str">
        <f>IF(OR('A créer'!D6="Oui",LEN('A créer'!D6)=0,LEN('A créer'!C6)=0),"","TAB")</f>
        <v>TAB</v>
      </c>
      <c r="AU6" s="7" t="str">
        <f>IF(OR('A créer'!D6="Oui",LEN('A créer'!D6)=0,LEN('A créer'!C6)=0),"","ZZZ")</f>
        <v>ZZZ</v>
      </c>
      <c r="AV6" s="7" t="str">
        <f>IF(OR('A créer'!D6="Oui",LEN('A créer'!D6)=0,LEN('A créer'!C6)=0),"","0")</f>
        <v>0</v>
      </c>
      <c r="AW6" s="2" t="str">
        <f>IF(OR('A créer'!D6="Oui",LEN('A créer'!D6)=0,LEN('A créer'!C6)=0),"","TAB")</f>
        <v>TAB</v>
      </c>
      <c r="AX6" s="7" t="str">
        <f>IF(OR('A créer'!D6="Oui",LEN('A créer'!D6)=0,LEN('A créer'!C6)=0),"","ZZZZZZ")</f>
        <v>ZZZZZZ</v>
      </c>
      <c r="AY6" s="7" t="str">
        <f>IF(OR('A créer'!D6="Oui",LEN('A créer'!D6)=0,LEN('A créer'!C6)=0),"","0")</f>
        <v>0</v>
      </c>
      <c r="AZ6" s="2" t="str">
        <f>IF(OR('A créer'!D6="Oui",LEN('A créer'!D6)=0,LEN('A créer'!C6)=0),"","TAB")</f>
        <v>TAB</v>
      </c>
      <c r="BA6" s="7" t="str">
        <f>IF(OR('A créer'!D6="Oui",LEN('A créer'!D6)=0,LEN('A créer'!C6)=0),"","ZZZZZ")</f>
        <v>ZZZZZ</v>
      </c>
      <c r="BB6" s="7" t="str">
        <f>IF(OR('A créer'!D6="Oui",LEN('A créer'!D6)=0,LEN('A créer'!C6)=0),"",CONCATENATE("XXX",'A créer'!A6))</f>
        <v>XXX0450</v>
      </c>
      <c r="BC6" s="2" t="str">
        <f>IF(OR('A créer'!D6="Oui",LEN('A créer'!D6)=0,LEN('A créer'!C6)=0),"","TAB")</f>
        <v>TAB</v>
      </c>
      <c r="BD6" s="7" t="str">
        <f>IF(OR('A créer'!D6="Oui",LEN('A créer'!D6)=0,LEN('A créer'!C6)=0),"","0")</f>
        <v>0</v>
      </c>
      <c r="BE6" s="2" t="str">
        <f>IF(OR('A créer'!D6="Oui",LEN('A créer'!D6)=0,LEN('A créer'!C6)=0),"","TAB")</f>
        <v>TAB</v>
      </c>
      <c r="BF6" s="7" t="str">
        <f>IF(OR('A créer'!D6="Oui",LEN('A créer'!D6)=0,LEN('A créer'!C6)=0),"","ZZZZZZZZZZ")</f>
        <v>ZZZZZZZZZZ</v>
      </c>
      <c r="BG6" s="7" t="str">
        <f>IF(OR('A créer'!D6="Oui",LEN('A créer'!D6)=0,LEN('A créer'!C6)=0),"","0")</f>
        <v>0</v>
      </c>
      <c r="BH6" s="2" t="str">
        <f>IF(OR('A créer'!D6="Oui",LEN('A créer'!D6)=0,LEN('A créer'!C6)=0),"","TAB")</f>
        <v>TAB</v>
      </c>
      <c r="BI6" s="7" t="str">
        <f>IF(OR('A créer'!D6="Oui",LEN('A créer'!D6)=0,LEN('A créer'!C6)=0),"","ZZZZZZZZZZ")</f>
        <v>ZZZZZZZZZZ</v>
      </c>
      <c r="BJ6" s="7" t="str">
        <f>IF(OR('A créer'!D6="Oui",LEN('A créer'!D6)=0,LEN('A créer'!C6)=0),"","0")</f>
        <v>0</v>
      </c>
      <c r="BK6" s="2" t="str">
        <f>IF(OR('A créer'!D6="Oui",LEN('A créer'!D6)=0,LEN('A créer'!C6)=0),"","TAB")</f>
        <v>TAB</v>
      </c>
      <c r="BL6" s="7" t="str">
        <f>IF(OR('A créer'!D6="Oui",LEN('A créer'!D6)=0,LEN('A créer'!C6)=0),"","ZZZZZZZZZZZZZZZ")</f>
        <v>ZZZZZZZZZZZZZZZ</v>
      </c>
      <c r="BM6" s="7" t="str">
        <f>IF(OR('A créer'!D6="Oui",LEN('A créer'!D6)=0,LEN('A créer'!C6)=0),"","0")</f>
        <v>0</v>
      </c>
      <c r="BN6" s="2" t="str">
        <f>IF(OR('A créer'!D6="Oui",LEN('A créer'!D6)=0,LEN('A créer'!C6)=0),"","TAB")</f>
        <v>TAB</v>
      </c>
      <c r="BO6" s="7" t="str">
        <f>IF(OR('A créer'!D6="Oui",LEN('A créer'!D6)=0,LEN('A créer'!C6)=0),"","ZZZ")</f>
        <v>ZZZ</v>
      </c>
      <c r="BP6" s="7" t="str">
        <f>IF(OR('A créer'!D6="Oui",LEN('A créer'!D6)=0,LEN('A créer'!C6)=0),"","0")</f>
        <v>0</v>
      </c>
      <c r="BQ6" s="2" t="str">
        <f>IF(OR('A créer'!D6="Oui",LEN('A créer'!D6)=0,LEN('A créer'!C6)=0),"","TAB")</f>
        <v>TAB</v>
      </c>
      <c r="BR6" s="7" t="str">
        <f>IF(OR('A créer'!D6="Oui",LEN('A créer'!D6)=0,LEN('A créer'!C6)=0),"","ZZZZZZZZZZ")</f>
        <v>ZZZZZZZZZZ</v>
      </c>
      <c r="BS6" s="7" t="str">
        <f>IF(OR('A créer'!D6="Oui",LEN('A créer'!D6)=0,LEN('A créer'!C6)=0),"","0")</f>
        <v>0</v>
      </c>
      <c r="BT6" s="2" t="str">
        <f>IF(OR('A créer'!D6="Oui",LEN('A créer'!D6)=0,LEN('A créer'!C6)=0),"","TAB")</f>
        <v>TAB</v>
      </c>
      <c r="BU6" s="7" t="str">
        <f>IF(OR('A créer'!D6="Oui",LEN('A créer'!D6)=0,LEN('A créer'!C6)=0),"","ZZZZZZZZZZ")</f>
        <v>ZZZZZZZZZZ</v>
      </c>
      <c r="BV6" s="7" t="str">
        <f>IF(OR('A créer'!D6="Oui",LEN('A créer'!D6)=0,LEN('A créer'!C6)=0),"","0")</f>
        <v>0</v>
      </c>
      <c r="BW6" s="2" t="str">
        <f>IF(OR('A créer'!D6="Oui",LEN('A créer'!D6)=0,LEN('A créer'!C6)=0),"","TAB")</f>
        <v>TAB</v>
      </c>
      <c r="BX6" s="7" t="str">
        <f>IF(OR('A créer'!D6="Oui",LEN('A créer'!D6)=0,LEN('A créer'!C6)=0),"","ZZZZZZZZZZ")</f>
        <v>ZZZZZZZZZZ</v>
      </c>
      <c r="BY6" s="2" t="str">
        <f>IF(OR('A créer'!D6="Oui",LEN('A créer'!D6)=0,LEN('A créer'!C6)=0),"","ENT")</f>
        <v>ENT</v>
      </c>
      <c r="BZ6" s="2" t="str">
        <f>IF(OR('A créer'!D6="Oui",LEN('A créer'!D6)=0,LEN('A créer'!C6)=0),"","*SAVE")</f>
        <v>*SAVE</v>
      </c>
    </row>
    <row r="7" spans="1:78" x14ac:dyDescent="0.2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7" t="str">
        <f>IF(LEN('A créer'!C7)=0,"",'A créer'!A7)</f>
        <v>0454</v>
      </c>
      <c r="E7" s="2" t="str">
        <f>IF(LEN('A créer'!C7)=0,"","Tab")</f>
        <v>Tab</v>
      </c>
      <c r="F7" s="7">
        <f>IF(LEN('A créer'!C7)=0,"",0)</f>
        <v>0</v>
      </c>
      <c r="G7" s="2" t="str">
        <f>IF(LEN('A créer'!C7)=0,"","Tab")</f>
        <v>Tab</v>
      </c>
      <c r="H7" s="7" t="str">
        <f>IF(LEN('A créer'!C7)=0,"","ZZZ")</f>
        <v>ZZZ</v>
      </c>
      <c r="I7" s="7" t="str">
        <f>IF(LEN('A créer'!C7)=0,"","0")</f>
        <v>0</v>
      </c>
      <c r="J7" s="2" t="str">
        <f>IF(LEN('A créer'!C7)=0,"","Tab")</f>
        <v>Tab</v>
      </c>
      <c r="K7" s="7" t="str">
        <f>IF(LEN('A créer'!C7)=0,"","ZZZZZZ")</f>
        <v>ZZZZZZ</v>
      </c>
      <c r="L7" s="7" t="str">
        <f>IF(LEN('A créer'!C7)=0,"","0")</f>
        <v>0</v>
      </c>
      <c r="M7" s="2" t="str">
        <f>IF(LEN('A créer'!C7)=0,"","Tab")</f>
        <v>Tab</v>
      </c>
      <c r="N7" s="7" t="str">
        <f>IF(LEN('A créer'!C7)=0,"","ZZZZZ")</f>
        <v>ZZZZZ</v>
      </c>
      <c r="O7" s="7" t="str">
        <f>IF(LEN('A créer'!C7)=0,"",CONCATENATE('A créer'!B7,'A créer'!A7))</f>
        <v>DOS0454</v>
      </c>
      <c r="P7" s="2" t="str">
        <f>IF(LEN('A créer'!C7)=0,"","Tab")</f>
        <v>Tab</v>
      </c>
      <c r="Q7" s="7" t="str">
        <f>IF(LEN('A créer'!C7)=0,"","0")</f>
        <v>0</v>
      </c>
      <c r="R7" s="2" t="str">
        <f>IF(LEN('A créer'!C7)=0,"","Tab")</f>
        <v>Tab</v>
      </c>
      <c r="S7" s="7" t="str">
        <f>IF(LEN('A créer'!C7)=0,"","ZZZZZZZZZZ")</f>
        <v>ZZZZZZZZZZ</v>
      </c>
      <c r="T7" s="7" t="str">
        <f>IF(LEN('A créer'!C7)=0,"","0")</f>
        <v>0</v>
      </c>
      <c r="U7" s="2" t="str">
        <f>IF(LEN('A créer'!C7)=0,"","Tab")</f>
        <v>Tab</v>
      </c>
      <c r="V7" s="7" t="str">
        <f>IF(LEN('A créer'!C7)=0,"","ZZZZZZZZZZ")</f>
        <v>ZZZZZZZZZZ</v>
      </c>
      <c r="W7" s="7" t="str">
        <f>IF(LEN('A créer'!C7)=0,"","0")</f>
        <v>0</v>
      </c>
      <c r="X7" s="2" t="str">
        <f>IF(LEN('A créer'!C7)=0,"","Tab")</f>
        <v>Tab</v>
      </c>
      <c r="Y7" s="7" t="str">
        <f>IF(LEN('A créer'!C7)=0,"","ZZZZZZZZZZZZZZZ")</f>
        <v>ZZZZZZZZZZZZZZZ</v>
      </c>
      <c r="Z7" s="7" t="str">
        <f>IF(LEN('A créer'!C7)=0,"","0")</f>
        <v>0</v>
      </c>
      <c r="AA7" s="2" t="str">
        <f>IF(LEN('A créer'!C7)=0,"","Tab")</f>
        <v>Tab</v>
      </c>
      <c r="AB7" s="7" t="str">
        <f>IF(LEN('A créer'!C7)=0,"","ZZZ")</f>
        <v>ZZZ</v>
      </c>
      <c r="AC7" s="7" t="str">
        <f>IF(LEN('A créer'!C7)=0,"","0")</f>
        <v>0</v>
      </c>
      <c r="AD7" s="2" t="str">
        <f>IF(LEN('A créer'!C7)=0,"","Tab")</f>
        <v>Tab</v>
      </c>
      <c r="AE7" s="7" t="str">
        <f>IF(LEN('A créer'!C7)=0,"","ZZZZZZZZZZ")</f>
        <v>ZZZZZZZZZZ</v>
      </c>
      <c r="AF7" s="7" t="str">
        <f>IF(LEN('A créer'!C7)=0,"","0")</f>
        <v>0</v>
      </c>
      <c r="AG7" s="2" t="str">
        <f>IF(LEN('A créer'!C7)=0,"","Tab")</f>
        <v>Tab</v>
      </c>
      <c r="AH7" s="7" t="str">
        <f>IF(LEN('A créer'!C7)=0,"","ZZZZZZZZZZ")</f>
        <v>ZZZZZZZZZZ</v>
      </c>
      <c r="AI7" s="7" t="str">
        <f>IF(LEN('A créer'!C7)=0,"","0")</f>
        <v>0</v>
      </c>
      <c r="AJ7" s="2" t="str">
        <f>IF(LEN('A créer'!C7)=0,"","Tab")</f>
        <v>Tab</v>
      </c>
      <c r="AK7" s="7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>*FN</v>
      </c>
      <c r="AO7" s="3" t="str">
        <f>IF(OR('A créer'!D7="Oui",LEN('A créer'!D7)=0,LEN('A créer'!C7)=0),"","\E")</f>
        <v>\E</v>
      </c>
      <c r="AP7" s="2" t="str">
        <f>IF(OR('A créer'!D7="Oui",LEN('A créer'!D7)=0,LEN('A créer'!C7)=0),"","TAB")</f>
        <v>TAB</v>
      </c>
      <c r="AQ7" s="7" t="str">
        <f>IF(OR('A créer'!D7="Oui",LEN('A créer'!D7)=0,LEN('A créer'!C7)=0),"",'A créer'!A7)</f>
        <v>0454</v>
      </c>
      <c r="AR7" s="2" t="str">
        <f>IF(OR('A créer'!D7="Oui",LEN('A créer'!D7)=0,LEN('A créer'!C7)=0),"","TAB")</f>
        <v>TAB</v>
      </c>
      <c r="AS7" s="7" t="str">
        <f>IF(OR('A créer'!D7="Oui",LEN('A créer'!D7)=0,LEN('A créer'!C7)=0),"","0")</f>
        <v>0</v>
      </c>
      <c r="AT7" s="2" t="str">
        <f>IF(OR('A créer'!D7="Oui",LEN('A créer'!D7)=0,LEN('A créer'!C7)=0),"","TAB")</f>
        <v>TAB</v>
      </c>
      <c r="AU7" s="7" t="str">
        <f>IF(OR('A créer'!D7="Oui",LEN('A créer'!D7)=0,LEN('A créer'!C7)=0),"","ZZZ")</f>
        <v>ZZZ</v>
      </c>
      <c r="AV7" s="7" t="str">
        <f>IF(OR('A créer'!D7="Oui",LEN('A créer'!D7)=0,LEN('A créer'!C7)=0),"","0")</f>
        <v>0</v>
      </c>
      <c r="AW7" s="2" t="str">
        <f>IF(OR('A créer'!D7="Oui",LEN('A créer'!D7)=0,LEN('A créer'!C7)=0),"","TAB")</f>
        <v>TAB</v>
      </c>
      <c r="AX7" s="7" t="str">
        <f>IF(OR('A créer'!D7="Oui",LEN('A créer'!D7)=0,LEN('A créer'!C7)=0),"","ZZZZZZ")</f>
        <v>ZZZZZZ</v>
      </c>
      <c r="AY7" s="7" t="str">
        <f>IF(OR('A créer'!D7="Oui",LEN('A créer'!D7)=0,LEN('A créer'!C7)=0),"","0")</f>
        <v>0</v>
      </c>
      <c r="AZ7" s="2" t="str">
        <f>IF(OR('A créer'!D7="Oui",LEN('A créer'!D7)=0,LEN('A créer'!C7)=0),"","TAB")</f>
        <v>TAB</v>
      </c>
      <c r="BA7" s="7" t="str">
        <f>IF(OR('A créer'!D7="Oui",LEN('A créer'!D7)=0,LEN('A créer'!C7)=0),"","ZZZZZ")</f>
        <v>ZZZZZ</v>
      </c>
      <c r="BB7" s="7" t="str">
        <f>IF(OR('A créer'!D7="Oui",LEN('A créer'!D7)=0,LEN('A créer'!C7)=0),"",CONCATENATE("XXX",'A créer'!A7))</f>
        <v>XXX0454</v>
      </c>
      <c r="BC7" s="2" t="str">
        <f>IF(OR('A créer'!D7="Oui",LEN('A créer'!D7)=0,LEN('A créer'!C7)=0),"","TAB")</f>
        <v>TAB</v>
      </c>
      <c r="BD7" s="7" t="str">
        <f>IF(OR('A créer'!D7="Oui",LEN('A créer'!D7)=0,LEN('A créer'!C7)=0),"","0")</f>
        <v>0</v>
      </c>
      <c r="BE7" s="2" t="str">
        <f>IF(OR('A créer'!D7="Oui",LEN('A créer'!D7)=0,LEN('A créer'!C7)=0),"","TAB")</f>
        <v>TAB</v>
      </c>
      <c r="BF7" s="7" t="str">
        <f>IF(OR('A créer'!D7="Oui",LEN('A créer'!D7)=0,LEN('A créer'!C7)=0),"","ZZZZZZZZZZ")</f>
        <v>ZZZZZZZZZZ</v>
      </c>
      <c r="BG7" s="7" t="str">
        <f>IF(OR('A créer'!D7="Oui",LEN('A créer'!D7)=0,LEN('A créer'!C7)=0),"","0")</f>
        <v>0</v>
      </c>
      <c r="BH7" s="2" t="str">
        <f>IF(OR('A créer'!D7="Oui",LEN('A créer'!D7)=0,LEN('A créer'!C7)=0),"","TAB")</f>
        <v>TAB</v>
      </c>
      <c r="BI7" s="7" t="str">
        <f>IF(OR('A créer'!D7="Oui",LEN('A créer'!D7)=0,LEN('A créer'!C7)=0),"","ZZZZZZZZZZ")</f>
        <v>ZZZZZZZZZZ</v>
      </c>
      <c r="BJ7" s="7" t="str">
        <f>IF(OR('A créer'!D7="Oui",LEN('A créer'!D7)=0,LEN('A créer'!C7)=0),"","0")</f>
        <v>0</v>
      </c>
      <c r="BK7" s="2" t="str">
        <f>IF(OR('A créer'!D7="Oui",LEN('A créer'!D7)=0,LEN('A créer'!C7)=0),"","TAB")</f>
        <v>TAB</v>
      </c>
      <c r="BL7" s="7" t="str">
        <f>IF(OR('A créer'!D7="Oui",LEN('A créer'!D7)=0,LEN('A créer'!C7)=0),"","ZZZZZZZZZZZZZZZ")</f>
        <v>ZZZZZZZZZZZZZZZ</v>
      </c>
      <c r="BM7" s="7" t="str">
        <f>IF(OR('A créer'!D7="Oui",LEN('A créer'!D7)=0,LEN('A créer'!C7)=0),"","0")</f>
        <v>0</v>
      </c>
      <c r="BN7" s="2" t="str">
        <f>IF(OR('A créer'!D7="Oui",LEN('A créer'!D7)=0,LEN('A créer'!C7)=0),"","TAB")</f>
        <v>TAB</v>
      </c>
      <c r="BO7" s="7" t="str">
        <f>IF(OR('A créer'!D7="Oui",LEN('A créer'!D7)=0,LEN('A créer'!C7)=0),"","ZZZ")</f>
        <v>ZZZ</v>
      </c>
      <c r="BP7" s="7" t="str">
        <f>IF(OR('A créer'!D7="Oui",LEN('A créer'!D7)=0,LEN('A créer'!C7)=0),"","0")</f>
        <v>0</v>
      </c>
      <c r="BQ7" s="2" t="str">
        <f>IF(OR('A créer'!D7="Oui",LEN('A créer'!D7)=0,LEN('A créer'!C7)=0),"","TAB")</f>
        <v>TAB</v>
      </c>
      <c r="BR7" s="7" t="str">
        <f>IF(OR('A créer'!D7="Oui",LEN('A créer'!D7)=0,LEN('A créer'!C7)=0),"","ZZZZZZZZZZ")</f>
        <v>ZZZZZZZZZZ</v>
      </c>
      <c r="BS7" s="7" t="str">
        <f>IF(OR('A créer'!D7="Oui",LEN('A créer'!D7)=0,LEN('A créer'!C7)=0),"","0")</f>
        <v>0</v>
      </c>
      <c r="BT7" s="2" t="str">
        <f>IF(OR('A créer'!D7="Oui",LEN('A créer'!D7)=0,LEN('A créer'!C7)=0),"","TAB")</f>
        <v>TAB</v>
      </c>
      <c r="BU7" s="7" t="str">
        <f>IF(OR('A créer'!D7="Oui",LEN('A créer'!D7)=0,LEN('A créer'!C7)=0),"","ZZZZZZZZZZ")</f>
        <v>ZZZZZZZZZZ</v>
      </c>
      <c r="BV7" s="7" t="str">
        <f>IF(OR('A créer'!D7="Oui",LEN('A créer'!D7)=0,LEN('A créer'!C7)=0),"","0")</f>
        <v>0</v>
      </c>
      <c r="BW7" s="2" t="str">
        <f>IF(OR('A créer'!D7="Oui",LEN('A créer'!D7)=0,LEN('A créer'!C7)=0),"","TAB")</f>
        <v>TAB</v>
      </c>
      <c r="BX7" s="7" t="str">
        <f>IF(OR('A créer'!D7="Oui",LEN('A créer'!D7)=0,LEN('A créer'!C7)=0),"","ZZZZZZZZZZ")</f>
        <v>ZZZZZZZZZZ</v>
      </c>
      <c r="BY7" s="2" t="str">
        <f>IF(OR('A créer'!D7="Oui",LEN('A créer'!D7)=0,LEN('A créer'!C7)=0),"","ENT")</f>
        <v>ENT</v>
      </c>
      <c r="BZ7" s="2" t="str">
        <f>IF(OR('A créer'!D7="Oui",LEN('A créer'!D7)=0,LEN('A créer'!C7)=0),"","*SAVE")</f>
        <v>*SAVE</v>
      </c>
    </row>
    <row r="8" spans="1:78" x14ac:dyDescent="0.25">
      <c r="A8" s="2" t="str">
        <f>IF(LEN('A créer'!C8)=0,"","*FN")</f>
        <v>*FN</v>
      </c>
      <c r="B8" s="3" t="str">
        <f>IF(LEN('A créer'!C8)=0,"","\E")</f>
        <v>\E</v>
      </c>
      <c r="C8" s="2" t="str">
        <f>IF(LEN('A créer'!C8)=0,"","Tab")</f>
        <v>Tab</v>
      </c>
      <c r="D8" s="7" t="str">
        <f>IF(LEN('A créer'!C8)=0,"",'A créer'!A8)</f>
        <v>0455</v>
      </c>
      <c r="E8" s="2" t="str">
        <f>IF(LEN('A créer'!C8)=0,"","Tab")</f>
        <v>Tab</v>
      </c>
      <c r="F8" s="7">
        <f>IF(LEN('A créer'!C8)=0,"",0)</f>
        <v>0</v>
      </c>
      <c r="G8" s="2" t="str">
        <f>IF(LEN('A créer'!C8)=0,"","Tab")</f>
        <v>Tab</v>
      </c>
      <c r="H8" s="7" t="str">
        <f>IF(LEN('A créer'!C8)=0,"","ZZZ")</f>
        <v>ZZZ</v>
      </c>
      <c r="I8" s="7" t="str">
        <f>IF(LEN('A créer'!C8)=0,"","0")</f>
        <v>0</v>
      </c>
      <c r="J8" s="2" t="str">
        <f>IF(LEN('A créer'!C8)=0,"","Tab")</f>
        <v>Tab</v>
      </c>
      <c r="K8" s="7" t="str">
        <f>IF(LEN('A créer'!C8)=0,"","ZZZZZZ")</f>
        <v>ZZZZZZ</v>
      </c>
      <c r="L8" s="7" t="str">
        <f>IF(LEN('A créer'!C8)=0,"","0")</f>
        <v>0</v>
      </c>
      <c r="M8" s="2" t="str">
        <f>IF(LEN('A créer'!C8)=0,"","Tab")</f>
        <v>Tab</v>
      </c>
      <c r="N8" s="7" t="str">
        <f>IF(LEN('A créer'!C8)=0,"","ZZZZZ")</f>
        <v>ZZZZZ</v>
      </c>
      <c r="O8" s="7" t="str">
        <f>IF(LEN('A créer'!C8)=0,"",CONCATENATE('A créer'!B8,'A créer'!A8))</f>
        <v>DOS0455</v>
      </c>
      <c r="P8" s="2" t="str">
        <f>IF(LEN('A créer'!C8)=0,"","Tab")</f>
        <v>Tab</v>
      </c>
      <c r="Q8" s="7" t="str">
        <f>IF(LEN('A créer'!C8)=0,"","0")</f>
        <v>0</v>
      </c>
      <c r="R8" s="2" t="str">
        <f>IF(LEN('A créer'!C8)=0,"","Tab")</f>
        <v>Tab</v>
      </c>
      <c r="S8" s="7" t="str">
        <f>IF(LEN('A créer'!C8)=0,"","ZZZZZZZZZZ")</f>
        <v>ZZZZZZZZZZ</v>
      </c>
      <c r="T8" s="7" t="str">
        <f>IF(LEN('A créer'!C8)=0,"","0")</f>
        <v>0</v>
      </c>
      <c r="U8" s="2" t="str">
        <f>IF(LEN('A créer'!C8)=0,"","Tab")</f>
        <v>Tab</v>
      </c>
      <c r="V8" s="7" t="str">
        <f>IF(LEN('A créer'!C8)=0,"","ZZZZZZZZZZ")</f>
        <v>ZZZZZZZZZZ</v>
      </c>
      <c r="W8" s="7" t="str">
        <f>IF(LEN('A créer'!C8)=0,"","0")</f>
        <v>0</v>
      </c>
      <c r="X8" s="2" t="str">
        <f>IF(LEN('A créer'!C8)=0,"","Tab")</f>
        <v>Tab</v>
      </c>
      <c r="Y8" s="7" t="str">
        <f>IF(LEN('A créer'!C8)=0,"","ZZZZZZZZZZZZZZZ")</f>
        <v>ZZZZZZZZZZZZZZZ</v>
      </c>
      <c r="Z8" s="7" t="str">
        <f>IF(LEN('A créer'!C8)=0,"","0")</f>
        <v>0</v>
      </c>
      <c r="AA8" s="2" t="str">
        <f>IF(LEN('A créer'!C8)=0,"","Tab")</f>
        <v>Tab</v>
      </c>
      <c r="AB8" s="7" t="str">
        <f>IF(LEN('A créer'!C8)=0,"","ZZZ")</f>
        <v>ZZZ</v>
      </c>
      <c r="AC8" s="7" t="str">
        <f>IF(LEN('A créer'!C8)=0,"","0")</f>
        <v>0</v>
      </c>
      <c r="AD8" s="2" t="str">
        <f>IF(LEN('A créer'!C8)=0,"","Tab")</f>
        <v>Tab</v>
      </c>
      <c r="AE8" s="7" t="str">
        <f>IF(LEN('A créer'!C8)=0,"","ZZZZZZZZZZ")</f>
        <v>ZZZZZZZZZZ</v>
      </c>
      <c r="AF8" s="7" t="str">
        <f>IF(LEN('A créer'!C8)=0,"","0")</f>
        <v>0</v>
      </c>
      <c r="AG8" s="2" t="str">
        <f>IF(LEN('A créer'!C8)=0,"","Tab")</f>
        <v>Tab</v>
      </c>
      <c r="AH8" s="7" t="str">
        <f>IF(LEN('A créer'!C8)=0,"","ZZZZZZZZZZ")</f>
        <v>ZZZZZZZZZZ</v>
      </c>
      <c r="AI8" s="7" t="str">
        <f>IF(LEN('A créer'!C8)=0,"","0")</f>
        <v>0</v>
      </c>
      <c r="AJ8" s="2" t="str">
        <f>IF(LEN('A créer'!C8)=0,"","Tab")</f>
        <v>Tab</v>
      </c>
      <c r="AK8" s="7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  <c r="AN8" s="2" t="str">
        <f>IF(OR('A créer'!D8="Oui",LEN('A créer'!D8)=0,LEN('A créer'!C8)=0),"","*FN")</f>
        <v>*FN</v>
      </c>
      <c r="AO8" s="3" t="str">
        <f>IF(OR('A créer'!D8="Oui",LEN('A créer'!D8)=0,LEN('A créer'!C8)=0),"","\E")</f>
        <v>\E</v>
      </c>
      <c r="AP8" s="2" t="str">
        <f>IF(OR('A créer'!D8="Oui",LEN('A créer'!D8)=0,LEN('A créer'!C8)=0),"","TAB")</f>
        <v>TAB</v>
      </c>
      <c r="AQ8" s="7" t="str">
        <f>IF(OR('A créer'!D8="Oui",LEN('A créer'!D8)=0,LEN('A créer'!C8)=0),"",'A créer'!A8)</f>
        <v>0455</v>
      </c>
      <c r="AR8" s="2" t="str">
        <f>IF(OR('A créer'!D8="Oui",LEN('A créer'!D8)=0,LEN('A créer'!C8)=0),"","TAB")</f>
        <v>TAB</v>
      </c>
      <c r="AS8" s="7" t="str">
        <f>IF(OR('A créer'!D8="Oui",LEN('A créer'!D8)=0,LEN('A créer'!C8)=0),"","0")</f>
        <v>0</v>
      </c>
      <c r="AT8" s="2" t="str">
        <f>IF(OR('A créer'!D8="Oui",LEN('A créer'!D8)=0,LEN('A créer'!C8)=0),"","TAB")</f>
        <v>TAB</v>
      </c>
      <c r="AU8" s="7" t="str">
        <f>IF(OR('A créer'!D8="Oui",LEN('A créer'!D8)=0,LEN('A créer'!C8)=0),"","ZZZ")</f>
        <v>ZZZ</v>
      </c>
      <c r="AV8" s="7" t="str">
        <f>IF(OR('A créer'!D8="Oui",LEN('A créer'!D8)=0,LEN('A créer'!C8)=0),"","0")</f>
        <v>0</v>
      </c>
      <c r="AW8" s="2" t="str">
        <f>IF(OR('A créer'!D8="Oui",LEN('A créer'!D8)=0,LEN('A créer'!C8)=0),"","TAB")</f>
        <v>TAB</v>
      </c>
      <c r="AX8" s="7" t="str">
        <f>IF(OR('A créer'!D8="Oui",LEN('A créer'!D8)=0,LEN('A créer'!C8)=0),"","ZZZZZZ")</f>
        <v>ZZZZZZ</v>
      </c>
      <c r="AY8" s="7" t="str">
        <f>IF(OR('A créer'!D8="Oui",LEN('A créer'!D8)=0,LEN('A créer'!C8)=0),"","0")</f>
        <v>0</v>
      </c>
      <c r="AZ8" s="2" t="str">
        <f>IF(OR('A créer'!D8="Oui",LEN('A créer'!D8)=0,LEN('A créer'!C8)=0),"","TAB")</f>
        <v>TAB</v>
      </c>
      <c r="BA8" s="7" t="str">
        <f>IF(OR('A créer'!D8="Oui",LEN('A créer'!D8)=0,LEN('A créer'!C8)=0),"","ZZZZZ")</f>
        <v>ZZZZZ</v>
      </c>
      <c r="BB8" s="7" t="str">
        <f>IF(OR('A créer'!D8="Oui",LEN('A créer'!D8)=0,LEN('A créer'!C8)=0),"",CONCATENATE("XXX",'A créer'!A8))</f>
        <v>XXX0455</v>
      </c>
      <c r="BC8" s="2" t="str">
        <f>IF(OR('A créer'!D8="Oui",LEN('A créer'!D8)=0,LEN('A créer'!C8)=0),"","TAB")</f>
        <v>TAB</v>
      </c>
      <c r="BD8" s="7" t="str">
        <f>IF(OR('A créer'!D8="Oui",LEN('A créer'!D8)=0,LEN('A créer'!C8)=0),"","0")</f>
        <v>0</v>
      </c>
      <c r="BE8" s="2" t="str">
        <f>IF(OR('A créer'!D8="Oui",LEN('A créer'!D8)=0,LEN('A créer'!C8)=0),"","TAB")</f>
        <v>TAB</v>
      </c>
      <c r="BF8" s="7" t="str">
        <f>IF(OR('A créer'!D8="Oui",LEN('A créer'!D8)=0,LEN('A créer'!C8)=0),"","ZZZZZZZZZZ")</f>
        <v>ZZZZZZZZZZ</v>
      </c>
      <c r="BG8" s="7" t="str">
        <f>IF(OR('A créer'!D8="Oui",LEN('A créer'!D8)=0,LEN('A créer'!C8)=0),"","0")</f>
        <v>0</v>
      </c>
      <c r="BH8" s="2" t="str">
        <f>IF(OR('A créer'!D8="Oui",LEN('A créer'!D8)=0,LEN('A créer'!C8)=0),"","TAB")</f>
        <v>TAB</v>
      </c>
      <c r="BI8" s="7" t="str">
        <f>IF(OR('A créer'!D8="Oui",LEN('A créer'!D8)=0,LEN('A créer'!C8)=0),"","ZZZZZZZZZZ")</f>
        <v>ZZZZZZZZZZ</v>
      </c>
      <c r="BJ8" s="7" t="str">
        <f>IF(OR('A créer'!D8="Oui",LEN('A créer'!D8)=0,LEN('A créer'!C8)=0),"","0")</f>
        <v>0</v>
      </c>
      <c r="BK8" s="2" t="str">
        <f>IF(OR('A créer'!D8="Oui",LEN('A créer'!D8)=0,LEN('A créer'!C8)=0),"","TAB")</f>
        <v>TAB</v>
      </c>
      <c r="BL8" s="7" t="str">
        <f>IF(OR('A créer'!D8="Oui",LEN('A créer'!D8)=0,LEN('A créer'!C8)=0),"","ZZZZZZZZZZZZZZZ")</f>
        <v>ZZZZZZZZZZZZZZZ</v>
      </c>
      <c r="BM8" s="7" t="str">
        <f>IF(OR('A créer'!D8="Oui",LEN('A créer'!D8)=0,LEN('A créer'!C8)=0),"","0")</f>
        <v>0</v>
      </c>
      <c r="BN8" s="2" t="str">
        <f>IF(OR('A créer'!D8="Oui",LEN('A créer'!D8)=0,LEN('A créer'!C8)=0),"","TAB")</f>
        <v>TAB</v>
      </c>
      <c r="BO8" s="7" t="str">
        <f>IF(OR('A créer'!D8="Oui",LEN('A créer'!D8)=0,LEN('A créer'!C8)=0),"","ZZZ")</f>
        <v>ZZZ</v>
      </c>
      <c r="BP8" s="7" t="str">
        <f>IF(OR('A créer'!D8="Oui",LEN('A créer'!D8)=0,LEN('A créer'!C8)=0),"","0")</f>
        <v>0</v>
      </c>
      <c r="BQ8" s="2" t="str">
        <f>IF(OR('A créer'!D8="Oui",LEN('A créer'!D8)=0,LEN('A créer'!C8)=0),"","TAB")</f>
        <v>TAB</v>
      </c>
      <c r="BR8" s="7" t="str">
        <f>IF(OR('A créer'!D8="Oui",LEN('A créer'!D8)=0,LEN('A créer'!C8)=0),"","ZZZZZZZZZZ")</f>
        <v>ZZZZZZZZZZ</v>
      </c>
      <c r="BS8" s="7" t="str">
        <f>IF(OR('A créer'!D8="Oui",LEN('A créer'!D8)=0,LEN('A créer'!C8)=0),"","0")</f>
        <v>0</v>
      </c>
      <c r="BT8" s="2" t="str">
        <f>IF(OR('A créer'!D8="Oui",LEN('A créer'!D8)=0,LEN('A créer'!C8)=0),"","TAB")</f>
        <v>TAB</v>
      </c>
      <c r="BU8" s="7" t="str">
        <f>IF(OR('A créer'!D8="Oui",LEN('A créer'!D8)=0,LEN('A créer'!C8)=0),"","ZZZZZZZZZZ")</f>
        <v>ZZZZZZZZZZ</v>
      </c>
      <c r="BV8" s="7" t="str">
        <f>IF(OR('A créer'!D8="Oui",LEN('A créer'!D8)=0,LEN('A créer'!C8)=0),"","0")</f>
        <v>0</v>
      </c>
      <c r="BW8" s="2" t="str">
        <f>IF(OR('A créer'!D8="Oui",LEN('A créer'!D8)=0,LEN('A créer'!C8)=0),"","TAB")</f>
        <v>TAB</v>
      </c>
      <c r="BX8" s="7" t="str">
        <f>IF(OR('A créer'!D8="Oui",LEN('A créer'!D8)=0,LEN('A créer'!C8)=0),"","ZZZZZZZZZZ")</f>
        <v>ZZZZZZZZZZ</v>
      </c>
      <c r="BY8" s="2" t="str">
        <f>IF(OR('A créer'!D8="Oui",LEN('A créer'!D8)=0,LEN('A créer'!C8)=0),"","ENT")</f>
        <v>ENT</v>
      </c>
      <c r="BZ8" s="2" t="str">
        <f>IF(OR('A créer'!D8="Oui",LEN('A créer'!D8)=0,LEN('A créer'!C8)=0),"","*SAVE")</f>
        <v>*SAVE</v>
      </c>
    </row>
    <row r="9" spans="1:78" x14ac:dyDescent="0.25">
      <c r="A9" s="2" t="str">
        <f>IF(LEN('A créer'!C9)=0,"","*FN")</f>
        <v>*FN</v>
      </c>
      <c r="B9" s="3" t="str">
        <f>IF(LEN('A créer'!C9)=0,"","\E")</f>
        <v>\E</v>
      </c>
      <c r="C9" s="2" t="str">
        <f>IF(LEN('A créer'!C9)=0,"","Tab")</f>
        <v>Tab</v>
      </c>
      <c r="D9" s="7" t="str">
        <f>IF(LEN('A créer'!C9)=0,"",'A créer'!A9)</f>
        <v>0456</v>
      </c>
      <c r="E9" s="2" t="str">
        <f>IF(LEN('A créer'!C9)=0,"","Tab")</f>
        <v>Tab</v>
      </c>
      <c r="F9" s="7">
        <f>IF(LEN('A créer'!C9)=0,"",0)</f>
        <v>0</v>
      </c>
      <c r="G9" s="2" t="str">
        <f>IF(LEN('A créer'!C9)=0,"","Tab")</f>
        <v>Tab</v>
      </c>
      <c r="H9" s="7" t="str">
        <f>IF(LEN('A créer'!C9)=0,"","ZZZ")</f>
        <v>ZZZ</v>
      </c>
      <c r="I9" s="7" t="str">
        <f>IF(LEN('A créer'!C9)=0,"","0")</f>
        <v>0</v>
      </c>
      <c r="J9" s="2" t="str">
        <f>IF(LEN('A créer'!C9)=0,"","Tab")</f>
        <v>Tab</v>
      </c>
      <c r="K9" s="7" t="str">
        <f>IF(LEN('A créer'!C9)=0,"","ZZZZZZ")</f>
        <v>ZZZZZZ</v>
      </c>
      <c r="L9" s="7" t="str">
        <f>IF(LEN('A créer'!C9)=0,"","0")</f>
        <v>0</v>
      </c>
      <c r="M9" s="2" t="str">
        <f>IF(LEN('A créer'!C9)=0,"","Tab")</f>
        <v>Tab</v>
      </c>
      <c r="N9" s="7" t="str">
        <f>IF(LEN('A créer'!C9)=0,"","ZZZZZ")</f>
        <v>ZZZZZ</v>
      </c>
      <c r="O9" s="7" t="str">
        <f>IF(LEN('A créer'!C9)=0,"",CONCATENATE('A créer'!B9,'A créer'!A9))</f>
        <v>DOS0456</v>
      </c>
      <c r="P9" s="2" t="str">
        <f>IF(LEN('A créer'!C9)=0,"","Tab")</f>
        <v>Tab</v>
      </c>
      <c r="Q9" s="7" t="str">
        <f>IF(LEN('A créer'!C9)=0,"","0")</f>
        <v>0</v>
      </c>
      <c r="R9" s="2" t="str">
        <f>IF(LEN('A créer'!C9)=0,"","Tab")</f>
        <v>Tab</v>
      </c>
      <c r="S9" s="7" t="str">
        <f>IF(LEN('A créer'!C9)=0,"","ZZZZZZZZZZ")</f>
        <v>ZZZZZZZZZZ</v>
      </c>
      <c r="T9" s="7" t="str">
        <f>IF(LEN('A créer'!C9)=0,"","0")</f>
        <v>0</v>
      </c>
      <c r="U9" s="2" t="str">
        <f>IF(LEN('A créer'!C9)=0,"","Tab")</f>
        <v>Tab</v>
      </c>
      <c r="V9" s="7" t="str">
        <f>IF(LEN('A créer'!C9)=0,"","ZZZZZZZZZZ")</f>
        <v>ZZZZZZZZZZ</v>
      </c>
      <c r="W9" s="7" t="str">
        <f>IF(LEN('A créer'!C9)=0,"","0")</f>
        <v>0</v>
      </c>
      <c r="X9" s="2" t="str">
        <f>IF(LEN('A créer'!C9)=0,"","Tab")</f>
        <v>Tab</v>
      </c>
      <c r="Y9" s="7" t="str">
        <f>IF(LEN('A créer'!C9)=0,"","ZZZZZZZZZZZZZZZ")</f>
        <v>ZZZZZZZZZZZZZZZ</v>
      </c>
      <c r="Z9" s="7" t="str">
        <f>IF(LEN('A créer'!C9)=0,"","0")</f>
        <v>0</v>
      </c>
      <c r="AA9" s="2" t="str">
        <f>IF(LEN('A créer'!C9)=0,"","Tab")</f>
        <v>Tab</v>
      </c>
      <c r="AB9" s="7" t="str">
        <f>IF(LEN('A créer'!C9)=0,"","ZZZ")</f>
        <v>ZZZ</v>
      </c>
      <c r="AC9" s="7" t="str">
        <f>IF(LEN('A créer'!C9)=0,"","0")</f>
        <v>0</v>
      </c>
      <c r="AD9" s="2" t="str">
        <f>IF(LEN('A créer'!C9)=0,"","Tab")</f>
        <v>Tab</v>
      </c>
      <c r="AE9" s="7" t="str">
        <f>IF(LEN('A créer'!C9)=0,"","ZZZZZZZZZZ")</f>
        <v>ZZZZZZZZZZ</v>
      </c>
      <c r="AF9" s="7" t="str">
        <f>IF(LEN('A créer'!C9)=0,"","0")</f>
        <v>0</v>
      </c>
      <c r="AG9" s="2" t="str">
        <f>IF(LEN('A créer'!C9)=0,"","Tab")</f>
        <v>Tab</v>
      </c>
      <c r="AH9" s="7" t="str">
        <f>IF(LEN('A créer'!C9)=0,"","ZZZZZZZZZZ")</f>
        <v>ZZZZZZZZZZ</v>
      </c>
      <c r="AI9" s="7" t="str">
        <f>IF(LEN('A créer'!C9)=0,"","0")</f>
        <v>0</v>
      </c>
      <c r="AJ9" s="2" t="str">
        <f>IF(LEN('A créer'!C9)=0,"","Tab")</f>
        <v>Tab</v>
      </c>
      <c r="AK9" s="7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  <c r="AN9" s="2" t="str">
        <f>IF(OR('A créer'!D9="Oui",LEN('A créer'!D9)=0,LEN('A créer'!C9)=0),"","*FN")</f>
        <v>*FN</v>
      </c>
      <c r="AO9" s="3" t="str">
        <f>IF(OR('A créer'!D9="Oui",LEN('A créer'!D9)=0,LEN('A créer'!C9)=0),"","\E")</f>
        <v>\E</v>
      </c>
      <c r="AP9" s="2" t="str">
        <f>IF(OR('A créer'!D9="Oui",LEN('A créer'!D9)=0,LEN('A créer'!C9)=0),"","TAB")</f>
        <v>TAB</v>
      </c>
      <c r="AQ9" s="7" t="str">
        <f>IF(OR('A créer'!D9="Oui",LEN('A créer'!D9)=0,LEN('A créer'!C9)=0),"",'A créer'!A9)</f>
        <v>0456</v>
      </c>
      <c r="AR9" s="2" t="str">
        <f>IF(OR('A créer'!D9="Oui",LEN('A créer'!D9)=0,LEN('A créer'!C9)=0),"","TAB")</f>
        <v>TAB</v>
      </c>
      <c r="AS9" s="7" t="str">
        <f>IF(OR('A créer'!D9="Oui",LEN('A créer'!D9)=0,LEN('A créer'!C9)=0),"","0")</f>
        <v>0</v>
      </c>
      <c r="AT9" s="2" t="str">
        <f>IF(OR('A créer'!D9="Oui",LEN('A créer'!D9)=0,LEN('A créer'!C9)=0),"","TAB")</f>
        <v>TAB</v>
      </c>
      <c r="AU9" s="7" t="str">
        <f>IF(OR('A créer'!D9="Oui",LEN('A créer'!D9)=0,LEN('A créer'!C9)=0),"","ZZZ")</f>
        <v>ZZZ</v>
      </c>
      <c r="AV9" s="7" t="str">
        <f>IF(OR('A créer'!D9="Oui",LEN('A créer'!D9)=0,LEN('A créer'!C9)=0),"","0")</f>
        <v>0</v>
      </c>
      <c r="AW9" s="2" t="str">
        <f>IF(OR('A créer'!D9="Oui",LEN('A créer'!D9)=0,LEN('A créer'!C9)=0),"","TAB")</f>
        <v>TAB</v>
      </c>
      <c r="AX9" s="7" t="str">
        <f>IF(OR('A créer'!D9="Oui",LEN('A créer'!D9)=0,LEN('A créer'!C9)=0),"","ZZZZZZ")</f>
        <v>ZZZZZZ</v>
      </c>
      <c r="AY9" s="7" t="str">
        <f>IF(OR('A créer'!D9="Oui",LEN('A créer'!D9)=0,LEN('A créer'!C9)=0),"","0")</f>
        <v>0</v>
      </c>
      <c r="AZ9" s="2" t="str">
        <f>IF(OR('A créer'!D9="Oui",LEN('A créer'!D9)=0,LEN('A créer'!C9)=0),"","TAB")</f>
        <v>TAB</v>
      </c>
      <c r="BA9" s="7" t="str">
        <f>IF(OR('A créer'!D9="Oui",LEN('A créer'!D9)=0,LEN('A créer'!C9)=0),"","ZZZZZ")</f>
        <v>ZZZZZ</v>
      </c>
      <c r="BB9" s="7" t="str">
        <f>IF(OR('A créer'!D9="Oui",LEN('A créer'!D9)=0,LEN('A créer'!C9)=0),"",CONCATENATE("XXX",'A créer'!A9))</f>
        <v>XXX0456</v>
      </c>
      <c r="BC9" s="2" t="str">
        <f>IF(OR('A créer'!D9="Oui",LEN('A créer'!D9)=0,LEN('A créer'!C9)=0),"","TAB")</f>
        <v>TAB</v>
      </c>
      <c r="BD9" s="7" t="str">
        <f>IF(OR('A créer'!D9="Oui",LEN('A créer'!D9)=0,LEN('A créer'!C9)=0),"","0")</f>
        <v>0</v>
      </c>
      <c r="BE9" s="2" t="str">
        <f>IF(OR('A créer'!D9="Oui",LEN('A créer'!D9)=0,LEN('A créer'!C9)=0),"","TAB")</f>
        <v>TAB</v>
      </c>
      <c r="BF9" s="7" t="str">
        <f>IF(OR('A créer'!D9="Oui",LEN('A créer'!D9)=0,LEN('A créer'!C9)=0),"","ZZZZZZZZZZ")</f>
        <v>ZZZZZZZZZZ</v>
      </c>
      <c r="BG9" s="7" t="str">
        <f>IF(OR('A créer'!D9="Oui",LEN('A créer'!D9)=0,LEN('A créer'!C9)=0),"","0")</f>
        <v>0</v>
      </c>
      <c r="BH9" s="2" t="str">
        <f>IF(OR('A créer'!D9="Oui",LEN('A créer'!D9)=0,LEN('A créer'!C9)=0),"","TAB")</f>
        <v>TAB</v>
      </c>
      <c r="BI9" s="7" t="str">
        <f>IF(OR('A créer'!D9="Oui",LEN('A créer'!D9)=0,LEN('A créer'!C9)=0),"","ZZZZZZZZZZ")</f>
        <v>ZZZZZZZZZZ</v>
      </c>
      <c r="BJ9" s="7" t="str">
        <f>IF(OR('A créer'!D9="Oui",LEN('A créer'!D9)=0,LEN('A créer'!C9)=0),"","0")</f>
        <v>0</v>
      </c>
      <c r="BK9" s="2" t="str">
        <f>IF(OR('A créer'!D9="Oui",LEN('A créer'!D9)=0,LEN('A créer'!C9)=0),"","TAB")</f>
        <v>TAB</v>
      </c>
      <c r="BL9" s="7" t="str">
        <f>IF(OR('A créer'!D9="Oui",LEN('A créer'!D9)=0,LEN('A créer'!C9)=0),"","ZZZZZZZZZZZZZZZ")</f>
        <v>ZZZZZZZZZZZZZZZ</v>
      </c>
      <c r="BM9" s="7" t="str">
        <f>IF(OR('A créer'!D9="Oui",LEN('A créer'!D9)=0,LEN('A créer'!C9)=0),"","0")</f>
        <v>0</v>
      </c>
      <c r="BN9" s="2" t="str">
        <f>IF(OR('A créer'!D9="Oui",LEN('A créer'!D9)=0,LEN('A créer'!C9)=0),"","TAB")</f>
        <v>TAB</v>
      </c>
      <c r="BO9" s="7" t="str">
        <f>IF(OR('A créer'!D9="Oui",LEN('A créer'!D9)=0,LEN('A créer'!C9)=0),"","ZZZ")</f>
        <v>ZZZ</v>
      </c>
      <c r="BP9" s="7" t="str">
        <f>IF(OR('A créer'!D9="Oui",LEN('A créer'!D9)=0,LEN('A créer'!C9)=0),"","0")</f>
        <v>0</v>
      </c>
      <c r="BQ9" s="2" t="str">
        <f>IF(OR('A créer'!D9="Oui",LEN('A créer'!D9)=0,LEN('A créer'!C9)=0),"","TAB")</f>
        <v>TAB</v>
      </c>
      <c r="BR9" s="7" t="str">
        <f>IF(OR('A créer'!D9="Oui",LEN('A créer'!D9)=0,LEN('A créer'!C9)=0),"","ZZZZZZZZZZ")</f>
        <v>ZZZZZZZZZZ</v>
      </c>
      <c r="BS9" s="7" t="str">
        <f>IF(OR('A créer'!D9="Oui",LEN('A créer'!D9)=0,LEN('A créer'!C9)=0),"","0")</f>
        <v>0</v>
      </c>
      <c r="BT9" s="2" t="str">
        <f>IF(OR('A créer'!D9="Oui",LEN('A créer'!D9)=0,LEN('A créer'!C9)=0),"","TAB")</f>
        <v>TAB</v>
      </c>
      <c r="BU9" s="7" t="str">
        <f>IF(OR('A créer'!D9="Oui",LEN('A créer'!D9)=0,LEN('A créer'!C9)=0),"","ZZZZZZZZZZ")</f>
        <v>ZZZZZZZZZZ</v>
      </c>
      <c r="BV9" s="7" t="str">
        <f>IF(OR('A créer'!D9="Oui",LEN('A créer'!D9)=0,LEN('A créer'!C9)=0),"","0")</f>
        <v>0</v>
      </c>
      <c r="BW9" s="2" t="str">
        <f>IF(OR('A créer'!D9="Oui",LEN('A créer'!D9)=0,LEN('A créer'!C9)=0),"","TAB")</f>
        <v>TAB</v>
      </c>
      <c r="BX9" s="7" t="str">
        <f>IF(OR('A créer'!D9="Oui",LEN('A créer'!D9)=0,LEN('A créer'!C9)=0),"","ZZZZZZZZZZ")</f>
        <v>ZZZZZZZZZZ</v>
      </c>
      <c r="BY9" s="2" t="str">
        <f>IF(OR('A créer'!D9="Oui",LEN('A créer'!D9)=0,LEN('A créer'!C9)=0),"","ENT")</f>
        <v>ENT</v>
      </c>
      <c r="BZ9" s="2" t="str">
        <f>IF(OR('A créer'!D9="Oui",LEN('A créer'!D9)=0,LEN('A créer'!C9)=0),"","*SAVE")</f>
        <v>*SAVE</v>
      </c>
    </row>
    <row r="10" spans="1:78" x14ac:dyDescent="0.25">
      <c r="A10" s="2" t="str">
        <f>IF(LEN('A créer'!C10)=0,"","*FN")</f>
        <v>*FN</v>
      </c>
      <c r="B10" s="3" t="str">
        <f>IF(LEN('A créer'!C10)=0,"","\E")</f>
        <v>\E</v>
      </c>
      <c r="C10" s="2" t="str">
        <f>IF(LEN('A créer'!C10)=0,"","Tab")</f>
        <v>Tab</v>
      </c>
      <c r="D10" s="7" t="str">
        <f>IF(LEN('A créer'!C10)=0,"",'A créer'!A10)</f>
        <v>0453</v>
      </c>
      <c r="E10" s="2" t="str">
        <f>IF(LEN('A créer'!C10)=0,"","Tab")</f>
        <v>Tab</v>
      </c>
      <c r="F10" s="7">
        <f>IF(LEN('A créer'!C10)=0,"",0)</f>
        <v>0</v>
      </c>
      <c r="G10" s="2" t="str">
        <f>IF(LEN('A créer'!C10)=0,"","Tab")</f>
        <v>Tab</v>
      </c>
      <c r="H10" s="7" t="str">
        <f>IF(LEN('A créer'!C10)=0,"","ZZZ")</f>
        <v>ZZZ</v>
      </c>
      <c r="I10" s="7" t="str">
        <f>IF(LEN('A créer'!C10)=0,"","0")</f>
        <v>0</v>
      </c>
      <c r="J10" s="2" t="str">
        <f>IF(LEN('A créer'!C10)=0,"","Tab")</f>
        <v>Tab</v>
      </c>
      <c r="K10" s="7" t="str">
        <f>IF(LEN('A créer'!C10)=0,"","ZZZZZZ")</f>
        <v>ZZZZZZ</v>
      </c>
      <c r="L10" s="7" t="str">
        <f>IF(LEN('A créer'!C10)=0,"","0")</f>
        <v>0</v>
      </c>
      <c r="M10" s="2" t="str">
        <f>IF(LEN('A créer'!C10)=0,"","Tab")</f>
        <v>Tab</v>
      </c>
      <c r="N10" s="7" t="str">
        <f>IF(LEN('A créer'!C10)=0,"","ZZZZZ")</f>
        <v>ZZZZZ</v>
      </c>
      <c r="O10" s="7" t="str">
        <f>IF(LEN('A créer'!C10)=0,"",CONCATENATE('A créer'!B10,'A créer'!A10))</f>
        <v>DRW0453</v>
      </c>
      <c r="P10" s="2" t="str">
        <f>IF(LEN('A créer'!C10)=0,"","Tab")</f>
        <v>Tab</v>
      </c>
      <c r="Q10" s="7" t="str">
        <f>IF(LEN('A créer'!C10)=0,"","0")</f>
        <v>0</v>
      </c>
      <c r="R10" s="2" t="str">
        <f>IF(LEN('A créer'!C10)=0,"","Tab")</f>
        <v>Tab</v>
      </c>
      <c r="S10" s="7" t="str">
        <f>IF(LEN('A créer'!C10)=0,"","ZZZZZZZZZZ")</f>
        <v>ZZZZZZZZZZ</v>
      </c>
      <c r="T10" s="7" t="str">
        <f>IF(LEN('A créer'!C10)=0,"","0")</f>
        <v>0</v>
      </c>
      <c r="U10" s="2" t="str">
        <f>IF(LEN('A créer'!C10)=0,"","Tab")</f>
        <v>Tab</v>
      </c>
      <c r="V10" s="7" t="str">
        <f>IF(LEN('A créer'!C10)=0,"","ZZZZZZZZZZ")</f>
        <v>ZZZZZZZZZZ</v>
      </c>
      <c r="W10" s="7" t="str">
        <f>IF(LEN('A créer'!C10)=0,"","0")</f>
        <v>0</v>
      </c>
      <c r="X10" s="2" t="str">
        <f>IF(LEN('A créer'!C10)=0,"","Tab")</f>
        <v>Tab</v>
      </c>
      <c r="Y10" s="7" t="str">
        <f>IF(LEN('A créer'!C10)=0,"","ZZZZZZZZZZZZZZZ")</f>
        <v>ZZZZZZZZZZZZZZZ</v>
      </c>
      <c r="Z10" s="7" t="str">
        <f>IF(LEN('A créer'!C10)=0,"","0")</f>
        <v>0</v>
      </c>
      <c r="AA10" s="2" t="str">
        <f>IF(LEN('A créer'!C10)=0,"","Tab")</f>
        <v>Tab</v>
      </c>
      <c r="AB10" s="7" t="str">
        <f>IF(LEN('A créer'!C10)=0,"","ZZZ")</f>
        <v>ZZZ</v>
      </c>
      <c r="AC10" s="7" t="str">
        <f>IF(LEN('A créer'!C10)=0,"","0")</f>
        <v>0</v>
      </c>
      <c r="AD10" s="2" t="str">
        <f>IF(LEN('A créer'!C10)=0,"","Tab")</f>
        <v>Tab</v>
      </c>
      <c r="AE10" s="7" t="str">
        <f>IF(LEN('A créer'!C10)=0,"","ZZZZZZZZZZ")</f>
        <v>ZZZZZZZZZZ</v>
      </c>
      <c r="AF10" s="7" t="str">
        <f>IF(LEN('A créer'!C10)=0,"","0")</f>
        <v>0</v>
      </c>
      <c r="AG10" s="2" t="str">
        <f>IF(LEN('A créer'!C10)=0,"","Tab")</f>
        <v>Tab</v>
      </c>
      <c r="AH10" s="7" t="str">
        <f>IF(LEN('A créer'!C10)=0,"","ZZZZZZZZZZ")</f>
        <v>ZZZZZZZZZZ</v>
      </c>
      <c r="AI10" s="7" t="str">
        <f>IF(LEN('A créer'!C10)=0,"","0")</f>
        <v>0</v>
      </c>
      <c r="AJ10" s="2" t="str">
        <f>IF(LEN('A créer'!C10)=0,"","Tab")</f>
        <v>Tab</v>
      </c>
      <c r="AK10" s="7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  <c r="AN10" s="2" t="str">
        <f>IF(OR('A créer'!D10="Oui",LEN('A créer'!D10)=0,LEN('A créer'!C10)=0),"","*FN")</f>
        <v>*FN</v>
      </c>
      <c r="AO10" s="3" t="str">
        <f>IF(OR('A créer'!D10="Oui",LEN('A créer'!D10)=0,LEN('A créer'!C10)=0),"","\E")</f>
        <v>\E</v>
      </c>
      <c r="AP10" s="2" t="str">
        <f>IF(OR('A créer'!D10="Oui",LEN('A créer'!D10)=0,LEN('A créer'!C10)=0),"","TAB")</f>
        <v>TAB</v>
      </c>
      <c r="AQ10" s="7" t="str">
        <f>IF(OR('A créer'!D10="Oui",LEN('A créer'!D10)=0,LEN('A créer'!C10)=0),"",'A créer'!A10)</f>
        <v>0453</v>
      </c>
      <c r="AR10" s="2" t="str">
        <f>IF(OR('A créer'!D10="Oui",LEN('A créer'!D10)=0,LEN('A créer'!C10)=0),"","TAB")</f>
        <v>TAB</v>
      </c>
      <c r="AS10" s="7" t="str">
        <f>IF(OR('A créer'!D10="Oui",LEN('A créer'!D10)=0,LEN('A créer'!C10)=0),"","0")</f>
        <v>0</v>
      </c>
      <c r="AT10" s="2" t="str">
        <f>IF(OR('A créer'!D10="Oui",LEN('A créer'!D10)=0,LEN('A créer'!C10)=0),"","TAB")</f>
        <v>TAB</v>
      </c>
      <c r="AU10" s="7" t="str">
        <f>IF(OR('A créer'!D10="Oui",LEN('A créer'!D10)=0,LEN('A créer'!C10)=0),"","ZZZ")</f>
        <v>ZZZ</v>
      </c>
      <c r="AV10" s="7" t="str">
        <f>IF(OR('A créer'!D10="Oui",LEN('A créer'!D10)=0,LEN('A créer'!C10)=0),"","0")</f>
        <v>0</v>
      </c>
      <c r="AW10" s="2" t="str">
        <f>IF(OR('A créer'!D10="Oui",LEN('A créer'!D10)=0,LEN('A créer'!C10)=0),"","TAB")</f>
        <v>TAB</v>
      </c>
      <c r="AX10" s="7" t="str">
        <f>IF(OR('A créer'!D10="Oui",LEN('A créer'!D10)=0,LEN('A créer'!C10)=0),"","ZZZZZZ")</f>
        <v>ZZZZZZ</v>
      </c>
      <c r="AY10" s="7" t="str">
        <f>IF(OR('A créer'!D10="Oui",LEN('A créer'!D10)=0,LEN('A créer'!C10)=0),"","0")</f>
        <v>0</v>
      </c>
      <c r="AZ10" s="2" t="str">
        <f>IF(OR('A créer'!D10="Oui",LEN('A créer'!D10)=0,LEN('A créer'!C10)=0),"","TAB")</f>
        <v>TAB</v>
      </c>
      <c r="BA10" s="7" t="str">
        <f>IF(OR('A créer'!D10="Oui",LEN('A créer'!D10)=0,LEN('A créer'!C10)=0),"","ZZZZZ")</f>
        <v>ZZZZZ</v>
      </c>
      <c r="BB10" s="7" t="str">
        <f>IF(OR('A créer'!D10="Oui",LEN('A créer'!D10)=0,LEN('A créer'!C10)=0),"",CONCATENATE("XXX",'A créer'!A10))</f>
        <v>XXX0453</v>
      </c>
      <c r="BC10" s="2" t="str">
        <f>IF(OR('A créer'!D10="Oui",LEN('A créer'!D10)=0,LEN('A créer'!C10)=0),"","TAB")</f>
        <v>TAB</v>
      </c>
      <c r="BD10" s="7" t="str">
        <f>IF(OR('A créer'!D10="Oui",LEN('A créer'!D10)=0,LEN('A créer'!C10)=0),"","0")</f>
        <v>0</v>
      </c>
      <c r="BE10" s="2" t="str">
        <f>IF(OR('A créer'!D10="Oui",LEN('A créer'!D10)=0,LEN('A créer'!C10)=0),"","TAB")</f>
        <v>TAB</v>
      </c>
      <c r="BF10" s="7" t="str">
        <f>IF(OR('A créer'!D10="Oui",LEN('A créer'!D10)=0,LEN('A créer'!C10)=0),"","ZZZZZZZZZZ")</f>
        <v>ZZZZZZZZZZ</v>
      </c>
      <c r="BG10" s="7" t="str">
        <f>IF(OR('A créer'!D10="Oui",LEN('A créer'!D10)=0,LEN('A créer'!C10)=0),"","0")</f>
        <v>0</v>
      </c>
      <c r="BH10" s="2" t="str">
        <f>IF(OR('A créer'!D10="Oui",LEN('A créer'!D10)=0,LEN('A créer'!C10)=0),"","TAB")</f>
        <v>TAB</v>
      </c>
      <c r="BI10" s="7" t="str">
        <f>IF(OR('A créer'!D10="Oui",LEN('A créer'!D10)=0,LEN('A créer'!C10)=0),"","ZZZZZZZZZZ")</f>
        <v>ZZZZZZZZZZ</v>
      </c>
      <c r="BJ10" s="7" t="str">
        <f>IF(OR('A créer'!D10="Oui",LEN('A créer'!D10)=0,LEN('A créer'!C10)=0),"","0")</f>
        <v>0</v>
      </c>
      <c r="BK10" s="2" t="str">
        <f>IF(OR('A créer'!D10="Oui",LEN('A créer'!D10)=0,LEN('A créer'!C10)=0),"","TAB")</f>
        <v>TAB</v>
      </c>
      <c r="BL10" s="7" t="str">
        <f>IF(OR('A créer'!D10="Oui",LEN('A créer'!D10)=0,LEN('A créer'!C10)=0),"","ZZZZZZZZZZZZZZZ")</f>
        <v>ZZZZZZZZZZZZZZZ</v>
      </c>
      <c r="BM10" s="7" t="str">
        <f>IF(OR('A créer'!D10="Oui",LEN('A créer'!D10)=0,LEN('A créer'!C10)=0),"","0")</f>
        <v>0</v>
      </c>
      <c r="BN10" s="2" t="str">
        <f>IF(OR('A créer'!D10="Oui",LEN('A créer'!D10)=0,LEN('A créer'!C10)=0),"","TAB")</f>
        <v>TAB</v>
      </c>
      <c r="BO10" s="7" t="str">
        <f>IF(OR('A créer'!D10="Oui",LEN('A créer'!D10)=0,LEN('A créer'!C10)=0),"","ZZZ")</f>
        <v>ZZZ</v>
      </c>
      <c r="BP10" s="7" t="str">
        <f>IF(OR('A créer'!D10="Oui",LEN('A créer'!D10)=0,LEN('A créer'!C10)=0),"","0")</f>
        <v>0</v>
      </c>
      <c r="BQ10" s="2" t="str">
        <f>IF(OR('A créer'!D10="Oui",LEN('A créer'!D10)=0,LEN('A créer'!C10)=0),"","TAB")</f>
        <v>TAB</v>
      </c>
      <c r="BR10" s="7" t="str">
        <f>IF(OR('A créer'!D10="Oui",LEN('A créer'!D10)=0,LEN('A créer'!C10)=0),"","ZZZZZZZZZZ")</f>
        <v>ZZZZZZZZZZ</v>
      </c>
      <c r="BS10" s="7" t="str">
        <f>IF(OR('A créer'!D10="Oui",LEN('A créer'!D10)=0,LEN('A créer'!C10)=0),"","0")</f>
        <v>0</v>
      </c>
      <c r="BT10" s="2" t="str">
        <f>IF(OR('A créer'!D10="Oui",LEN('A créer'!D10)=0,LEN('A créer'!C10)=0),"","TAB")</f>
        <v>TAB</v>
      </c>
      <c r="BU10" s="7" t="str">
        <f>IF(OR('A créer'!D10="Oui",LEN('A créer'!D10)=0,LEN('A créer'!C10)=0),"","ZZZZZZZZZZ")</f>
        <v>ZZZZZZZZZZ</v>
      </c>
      <c r="BV10" s="7" t="str">
        <f>IF(OR('A créer'!D10="Oui",LEN('A créer'!D10)=0,LEN('A créer'!C10)=0),"","0")</f>
        <v>0</v>
      </c>
      <c r="BW10" s="2" t="str">
        <f>IF(OR('A créer'!D10="Oui",LEN('A créer'!D10)=0,LEN('A créer'!C10)=0),"","TAB")</f>
        <v>TAB</v>
      </c>
      <c r="BX10" s="7" t="str">
        <f>IF(OR('A créer'!D10="Oui",LEN('A créer'!D10)=0,LEN('A créer'!C10)=0),"","ZZZZZZZZZZ")</f>
        <v>ZZZZZZZZZZ</v>
      </c>
      <c r="BY10" s="2" t="str">
        <f>IF(OR('A créer'!D10="Oui",LEN('A créer'!D10)=0,LEN('A créer'!C10)=0),"","ENT")</f>
        <v>ENT</v>
      </c>
      <c r="BZ10" s="2" t="str">
        <f>IF(OR('A créer'!D10="Oui",LEN('A créer'!D10)=0,LEN('A créer'!C10)=0),"","*SAVE")</f>
        <v>*SAVE</v>
      </c>
    </row>
    <row r="11" spans="1:78" x14ac:dyDescent="0.25">
      <c r="A11" s="2" t="str">
        <f>IF(LEN('A créer'!C11)=0,"","*FN")</f>
        <v>*FN</v>
      </c>
      <c r="B11" s="3" t="str">
        <f>IF(LEN('A créer'!C11)=0,"","\E")</f>
        <v>\E</v>
      </c>
      <c r="C11" s="2" t="str">
        <f>IF(LEN('A créer'!C11)=0,"","Tab")</f>
        <v>Tab</v>
      </c>
      <c r="D11" s="7" t="str">
        <f>IF(LEN('A créer'!C11)=0,"",'A créer'!A11)</f>
        <v>0457</v>
      </c>
      <c r="E11" s="2" t="str">
        <f>IF(LEN('A créer'!C11)=0,"","Tab")</f>
        <v>Tab</v>
      </c>
      <c r="F11" s="7">
        <f>IF(LEN('A créer'!C11)=0,"",0)</f>
        <v>0</v>
      </c>
      <c r="G11" s="2" t="str">
        <f>IF(LEN('A créer'!C11)=0,"","Tab")</f>
        <v>Tab</v>
      </c>
      <c r="H11" s="7" t="str">
        <f>IF(LEN('A créer'!C11)=0,"","ZZZ")</f>
        <v>ZZZ</v>
      </c>
      <c r="I11" s="7" t="str">
        <f>IF(LEN('A créer'!C11)=0,"","0")</f>
        <v>0</v>
      </c>
      <c r="J11" s="2" t="str">
        <f>IF(LEN('A créer'!C11)=0,"","Tab")</f>
        <v>Tab</v>
      </c>
      <c r="K11" s="7" t="str">
        <f>IF(LEN('A créer'!C11)=0,"","ZZZZZZ")</f>
        <v>ZZZZZZ</v>
      </c>
      <c r="L11" s="7" t="str">
        <f>IF(LEN('A créer'!C11)=0,"","0")</f>
        <v>0</v>
      </c>
      <c r="M11" s="2" t="str">
        <f>IF(LEN('A créer'!C11)=0,"","Tab")</f>
        <v>Tab</v>
      </c>
      <c r="N11" s="7" t="str">
        <f>IF(LEN('A créer'!C11)=0,"","ZZZZZ")</f>
        <v>ZZZZZ</v>
      </c>
      <c r="O11" s="7" t="str">
        <f>IF(LEN('A créer'!C11)=0,"",CONCATENATE('A créer'!B11,'A créer'!A11))</f>
        <v>DOS0457</v>
      </c>
      <c r="P11" s="2" t="str">
        <f>IF(LEN('A créer'!C11)=0,"","Tab")</f>
        <v>Tab</v>
      </c>
      <c r="Q11" s="7" t="str">
        <f>IF(LEN('A créer'!C11)=0,"","0")</f>
        <v>0</v>
      </c>
      <c r="R11" s="2" t="str">
        <f>IF(LEN('A créer'!C11)=0,"","Tab")</f>
        <v>Tab</v>
      </c>
      <c r="S11" s="7" t="str">
        <f>IF(LEN('A créer'!C11)=0,"","ZZZZZZZZZZ")</f>
        <v>ZZZZZZZZZZ</v>
      </c>
      <c r="T11" s="7" t="str">
        <f>IF(LEN('A créer'!C11)=0,"","0")</f>
        <v>0</v>
      </c>
      <c r="U11" s="2" t="str">
        <f>IF(LEN('A créer'!C11)=0,"","Tab")</f>
        <v>Tab</v>
      </c>
      <c r="V11" s="7" t="str">
        <f>IF(LEN('A créer'!C11)=0,"","ZZZZZZZZZZ")</f>
        <v>ZZZZZZZZZZ</v>
      </c>
      <c r="W11" s="7" t="str">
        <f>IF(LEN('A créer'!C11)=0,"","0")</f>
        <v>0</v>
      </c>
      <c r="X11" s="2" t="str">
        <f>IF(LEN('A créer'!C11)=0,"","Tab")</f>
        <v>Tab</v>
      </c>
      <c r="Y11" s="7" t="str">
        <f>IF(LEN('A créer'!C11)=0,"","ZZZZZZZZZZZZZZZ")</f>
        <v>ZZZZZZZZZZZZZZZ</v>
      </c>
      <c r="Z11" s="7" t="str">
        <f>IF(LEN('A créer'!C11)=0,"","0")</f>
        <v>0</v>
      </c>
      <c r="AA11" s="2" t="str">
        <f>IF(LEN('A créer'!C11)=0,"","Tab")</f>
        <v>Tab</v>
      </c>
      <c r="AB11" s="7" t="str">
        <f>IF(LEN('A créer'!C11)=0,"","ZZZ")</f>
        <v>ZZZ</v>
      </c>
      <c r="AC11" s="7" t="str">
        <f>IF(LEN('A créer'!C11)=0,"","0")</f>
        <v>0</v>
      </c>
      <c r="AD11" s="2" t="str">
        <f>IF(LEN('A créer'!C11)=0,"","Tab")</f>
        <v>Tab</v>
      </c>
      <c r="AE11" s="7" t="str">
        <f>IF(LEN('A créer'!C11)=0,"","ZZZZZZZZZZ")</f>
        <v>ZZZZZZZZZZ</v>
      </c>
      <c r="AF11" s="7" t="str">
        <f>IF(LEN('A créer'!C11)=0,"","0")</f>
        <v>0</v>
      </c>
      <c r="AG11" s="2" t="str">
        <f>IF(LEN('A créer'!C11)=0,"","Tab")</f>
        <v>Tab</v>
      </c>
      <c r="AH11" s="7" t="str">
        <f>IF(LEN('A créer'!C11)=0,"","ZZZZZZZZZZ")</f>
        <v>ZZZZZZZZZZ</v>
      </c>
      <c r="AI11" s="7" t="str">
        <f>IF(LEN('A créer'!C11)=0,"","0")</f>
        <v>0</v>
      </c>
      <c r="AJ11" s="2" t="str">
        <f>IF(LEN('A créer'!C11)=0,"","Tab")</f>
        <v>Tab</v>
      </c>
      <c r="AK11" s="7" t="str">
        <f>IF(LEN('A créer'!C11)=0,"","ZZZZZZZZZZ")</f>
        <v>ZZZZZZZZZZ</v>
      </c>
      <c r="AL11" s="2" t="str">
        <f>IF(LEN('A créer'!C11)=0,"","ENT")</f>
        <v>ENT</v>
      </c>
      <c r="AM11" s="2" t="str">
        <f>IF(LEN('A créer'!C11)=0,"","*SAVE")</f>
        <v>*SAVE</v>
      </c>
      <c r="AN11" s="2" t="str">
        <f>IF(OR('A créer'!D11="Oui",LEN('A créer'!D11)=0,LEN('A créer'!C11)=0),"","*FN")</f>
        <v>*FN</v>
      </c>
      <c r="AO11" s="3" t="str">
        <f>IF(OR('A créer'!D11="Oui",LEN('A créer'!D11)=0,LEN('A créer'!C11)=0),"","\E")</f>
        <v>\E</v>
      </c>
      <c r="AP11" s="2" t="str">
        <f>IF(OR('A créer'!D11="Oui",LEN('A créer'!D11)=0,LEN('A créer'!C11)=0),"","TAB")</f>
        <v>TAB</v>
      </c>
      <c r="AQ11" s="7" t="str">
        <f>IF(OR('A créer'!D11="Oui",LEN('A créer'!D11)=0,LEN('A créer'!C11)=0),"",'A créer'!A11)</f>
        <v>0457</v>
      </c>
      <c r="AR11" s="2" t="str">
        <f>IF(OR('A créer'!D11="Oui",LEN('A créer'!D11)=0,LEN('A créer'!C11)=0),"","TAB")</f>
        <v>TAB</v>
      </c>
      <c r="AS11" s="7" t="str">
        <f>IF(OR('A créer'!D11="Oui",LEN('A créer'!D11)=0,LEN('A créer'!C11)=0),"","0")</f>
        <v>0</v>
      </c>
      <c r="AT11" s="2" t="str">
        <f>IF(OR('A créer'!D11="Oui",LEN('A créer'!D11)=0,LEN('A créer'!C11)=0),"","TAB")</f>
        <v>TAB</v>
      </c>
      <c r="AU11" s="7" t="str">
        <f>IF(OR('A créer'!D11="Oui",LEN('A créer'!D11)=0,LEN('A créer'!C11)=0),"","ZZZ")</f>
        <v>ZZZ</v>
      </c>
      <c r="AV11" s="7" t="str">
        <f>IF(OR('A créer'!D11="Oui",LEN('A créer'!D11)=0,LEN('A créer'!C11)=0),"","0")</f>
        <v>0</v>
      </c>
      <c r="AW11" s="2" t="str">
        <f>IF(OR('A créer'!D11="Oui",LEN('A créer'!D11)=0,LEN('A créer'!C11)=0),"","TAB")</f>
        <v>TAB</v>
      </c>
      <c r="AX11" s="7" t="str">
        <f>IF(OR('A créer'!D11="Oui",LEN('A créer'!D11)=0,LEN('A créer'!C11)=0),"","ZZZZZZ")</f>
        <v>ZZZZZZ</v>
      </c>
      <c r="AY11" s="7" t="str">
        <f>IF(OR('A créer'!D11="Oui",LEN('A créer'!D11)=0,LEN('A créer'!C11)=0),"","0")</f>
        <v>0</v>
      </c>
      <c r="AZ11" s="2" t="str">
        <f>IF(OR('A créer'!D11="Oui",LEN('A créer'!D11)=0,LEN('A créer'!C11)=0),"","TAB")</f>
        <v>TAB</v>
      </c>
      <c r="BA11" s="7" t="str">
        <f>IF(OR('A créer'!D11="Oui",LEN('A créer'!D11)=0,LEN('A créer'!C11)=0),"","ZZZZZ")</f>
        <v>ZZZZZ</v>
      </c>
      <c r="BB11" s="7" t="str">
        <f>IF(OR('A créer'!D11="Oui",LEN('A créer'!D11)=0,LEN('A créer'!C11)=0),"",CONCATENATE("XXX",'A créer'!A11))</f>
        <v>XXX0457</v>
      </c>
      <c r="BC11" s="2" t="str">
        <f>IF(OR('A créer'!D11="Oui",LEN('A créer'!D11)=0,LEN('A créer'!C11)=0),"","TAB")</f>
        <v>TAB</v>
      </c>
      <c r="BD11" s="7" t="str">
        <f>IF(OR('A créer'!D11="Oui",LEN('A créer'!D11)=0,LEN('A créer'!C11)=0),"","0")</f>
        <v>0</v>
      </c>
      <c r="BE11" s="2" t="str">
        <f>IF(OR('A créer'!D11="Oui",LEN('A créer'!D11)=0,LEN('A créer'!C11)=0),"","TAB")</f>
        <v>TAB</v>
      </c>
      <c r="BF11" s="7" t="str">
        <f>IF(OR('A créer'!D11="Oui",LEN('A créer'!D11)=0,LEN('A créer'!C11)=0),"","ZZZZZZZZZZ")</f>
        <v>ZZZZZZZZZZ</v>
      </c>
      <c r="BG11" s="7" t="str">
        <f>IF(OR('A créer'!D11="Oui",LEN('A créer'!D11)=0,LEN('A créer'!C11)=0),"","0")</f>
        <v>0</v>
      </c>
      <c r="BH11" s="2" t="str">
        <f>IF(OR('A créer'!D11="Oui",LEN('A créer'!D11)=0,LEN('A créer'!C11)=0),"","TAB")</f>
        <v>TAB</v>
      </c>
      <c r="BI11" s="7" t="str">
        <f>IF(OR('A créer'!D11="Oui",LEN('A créer'!D11)=0,LEN('A créer'!C11)=0),"","ZZZZZZZZZZ")</f>
        <v>ZZZZZZZZZZ</v>
      </c>
      <c r="BJ11" s="7" t="str">
        <f>IF(OR('A créer'!D11="Oui",LEN('A créer'!D11)=0,LEN('A créer'!C11)=0),"","0")</f>
        <v>0</v>
      </c>
      <c r="BK11" s="2" t="str">
        <f>IF(OR('A créer'!D11="Oui",LEN('A créer'!D11)=0,LEN('A créer'!C11)=0),"","TAB")</f>
        <v>TAB</v>
      </c>
      <c r="BL11" s="7" t="str">
        <f>IF(OR('A créer'!D11="Oui",LEN('A créer'!D11)=0,LEN('A créer'!C11)=0),"","ZZZZZZZZZZZZZZZ")</f>
        <v>ZZZZZZZZZZZZZZZ</v>
      </c>
      <c r="BM11" s="7" t="str">
        <f>IF(OR('A créer'!D11="Oui",LEN('A créer'!D11)=0,LEN('A créer'!C11)=0),"","0")</f>
        <v>0</v>
      </c>
      <c r="BN11" s="2" t="str">
        <f>IF(OR('A créer'!D11="Oui",LEN('A créer'!D11)=0,LEN('A créer'!C11)=0),"","TAB")</f>
        <v>TAB</v>
      </c>
      <c r="BO11" s="7" t="str">
        <f>IF(OR('A créer'!D11="Oui",LEN('A créer'!D11)=0,LEN('A créer'!C11)=0),"","ZZZ")</f>
        <v>ZZZ</v>
      </c>
      <c r="BP11" s="7" t="str">
        <f>IF(OR('A créer'!D11="Oui",LEN('A créer'!D11)=0,LEN('A créer'!C11)=0),"","0")</f>
        <v>0</v>
      </c>
      <c r="BQ11" s="2" t="str">
        <f>IF(OR('A créer'!D11="Oui",LEN('A créer'!D11)=0,LEN('A créer'!C11)=0),"","TAB")</f>
        <v>TAB</v>
      </c>
      <c r="BR11" s="7" t="str">
        <f>IF(OR('A créer'!D11="Oui",LEN('A créer'!D11)=0,LEN('A créer'!C11)=0),"","ZZZZZZZZZZ")</f>
        <v>ZZZZZZZZZZ</v>
      </c>
      <c r="BS11" s="7" t="str">
        <f>IF(OR('A créer'!D11="Oui",LEN('A créer'!D11)=0,LEN('A créer'!C11)=0),"","0")</f>
        <v>0</v>
      </c>
      <c r="BT11" s="2" t="str">
        <f>IF(OR('A créer'!D11="Oui",LEN('A créer'!D11)=0,LEN('A créer'!C11)=0),"","TAB")</f>
        <v>TAB</v>
      </c>
      <c r="BU11" s="7" t="str">
        <f>IF(OR('A créer'!D11="Oui",LEN('A créer'!D11)=0,LEN('A créer'!C11)=0),"","ZZZZZZZZZZ")</f>
        <v>ZZZZZZZZZZ</v>
      </c>
      <c r="BV11" s="7" t="str">
        <f>IF(OR('A créer'!D11="Oui",LEN('A créer'!D11)=0,LEN('A créer'!C11)=0),"","0")</f>
        <v>0</v>
      </c>
      <c r="BW11" s="2" t="str">
        <f>IF(OR('A créer'!D11="Oui",LEN('A créer'!D11)=0,LEN('A créer'!C11)=0),"","TAB")</f>
        <v>TAB</v>
      </c>
      <c r="BX11" s="7" t="str">
        <f>IF(OR('A créer'!D11="Oui",LEN('A créer'!D11)=0,LEN('A créer'!C11)=0),"","ZZZZZZZZZZ")</f>
        <v>ZZZZZZZZZZ</v>
      </c>
      <c r="BY11" s="2" t="str">
        <f>IF(OR('A créer'!D11="Oui",LEN('A créer'!D11)=0,LEN('A créer'!C11)=0),"","ENT")</f>
        <v>ENT</v>
      </c>
      <c r="BZ11" s="2" t="str">
        <f>IF(OR('A créer'!D11="Oui",LEN('A créer'!D11)=0,LEN('A créer'!C11)=0),"","*SAVE")</f>
        <v>*SAVE</v>
      </c>
    </row>
    <row r="12" spans="1:78" x14ac:dyDescent="0.25">
      <c r="A12" s="2" t="str">
        <f>IF(LEN('A créer'!C12)=0,"","*FN")</f>
        <v>*FN</v>
      </c>
      <c r="B12" s="3" t="str">
        <f>IF(LEN('A créer'!C12)=0,"","\E")</f>
        <v>\E</v>
      </c>
      <c r="C12" s="2" t="str">
        <f>IF(LEN('A créer'!C12)=0,"","Tab")</f>
        <v>Tab</v>
      </c>
      <c r="D12" s="7" t="str">
        <f>IF(LEN('A créer'!C12)=0,"",'A créer'!A12)</f>
        <v>0473</v>
      </c>
      <c r="E12" s="2" t="str">
        <f>IF(LEN('A créer'!C12)=0,"","Tab")</f>
        <v>Tab</v>
      </c>
      <c r="F12" s="7">
        <f>IF(LEN('A créer'!C12)=0,"",0)</f>
        <v>0</v>
      </c>
      <c r="G12" s="2" t="str">
        <f>IF(LEN('A créer'!C12)=0,"","Tab")</f>
        <v>Tab</v>
      </c>
      <c r="H12" s="7" t="str">
        <f>IF(LEN('A créer'!C12)=0,"","ZZZ")</f>
        <v>ZZZ</v>
      </c>
      <c r="I12" s="7" t="str">
        <f>IF(LEN('A créer'!C12)=0,"","0")</f>
        <v>0</v>
      </c>
      <c r="J12" s="2" t="str">
        <f>IF(LEN('A créer'!C12)=0,"","Tab")</f>
        <v>Tab</v>
      </c>
      <c r="K12" s="7" t="str">
        <f>IF(LEN('A créer'!C12)=0,"","ZZZZZZ")</f>
        <v>ZZZZZZ</v>
      </c>
      <c r="L12" s="7" t="str">
        <f>IF(LEN('A créer'!C12)=0,"","0")</f>
        <v>0</v>
      </c>
      <c r="M12" s="2" t="str">
        <f>IF(LEN('A créer'!C12)=0,"","Tab")</f>
        <v>Tab</v>
      </c>
      <c r="N12" s="7" t="str">
        <f>IF(LEN('A créer'!C12)=0,"","ZZZZZ")</f>
        <v>ZZZZZ</v>
      </c>
      <c r="O12" s="7" t="str">
        <f>IF(LEN('A créer'!C12)=0,"",CONCATENATE('A créer'!B12,'A créer'!A12))</f>
        <v>DOS0473</v>
      </c>
      <c r="P12" s="2" t="str">
        <f>IF(LEN('A créer'!C12)=0,"","Tab")</f>
        <v>Tab</v>
      </c>
      <c r="Q12" s="7" t="str">
        <f>IF(LEN('A créer'!C12)=0,"","0")</f>
        <v>0</v>
      </c>
      <c r="R12" s="2" t="str">
        <f>IF(LEN('A créer'!C12)=0,"","Tab")</f>
        <v>Tab</v>
      </c>
      <c r="S12" s="7" t="str">
        <f>IF(LEN('A créer'!C12)=0,"","ZZZZZZZZZZ")</f>
        <v>ZZZZZZZZZZ</v>
      </c>
      <c r="T12" s="7" t="str">
        <f>IF(LEN('A créer'!C12)=0,"","0")</f>
        <v>0</v>
      </c>
      <c r="U12" s="2" t="str">
        <f>IF(LEN('A créer'!C12)=0,"","Tab")</f>
        <v>Tab</v>
      </c>
      <c r="V12" s="7" t="str">
        <f>IF(LEN('A créer'!C12)=0,"","ZZZZZZZZZZ")</f>
        <v>ZZZZZZZZZZ</v>
      </c>
      <c r="W12" s="7" t="str">
        <f>IF(LEN('A créer'!C12)=0,"","0")</f>
        <v>0</v>
      </c>
      <c r="X12" s="2" t="str">
        <f>IF(LEN('A créer'!C12)=0,"","Tab")</f>
        <v>Tab</v>
      </c>
      <c r="Y12" s="7" t="str">
        <f>IF(LEN('A créer'!C12)=0,"","ZZZZZZZZZZZZZZZ")</f>
        <v>ZZZZZZZZZZZZZZZ</v>
      </c>
      <c r="Z12" s="7" t="str">
        <f>IF(LEN('A créer'!C12)=0,"","0")</f>
        <v>0</v>
      </c>
      <c r="AA12" s="2" t="str">
        <f>IF(LEN('A créer'!C12)=0,"","Tab")</f>
        <v>Tab</v>
      </c>
      <c r="AB12" s="7" t="str">
        <f>IF(LEN('A créer'!C12)=0,"","ZZZ")</f>
        <v>ZZZ</v>
      </c>
      <c r="AC12" s="7" t="str">
        <f>IF(LEN('A créer'!C12)=0,"","0")</f>
        <v>0</v>
      </c>
      <c r="AD12" s="2" t="str">
        <f>IF(LEN('A créer'!C12)=0,"","Tab")</f>
        <v>Tab</v>
      </c>
      <c r="AE12" s="7" t="str">
        <f>IF(LEN('A créer'!C12)=0,"","ZZZZZZZZZZ")</f>
        <v>ZZZZZZZZZZ</v>
      </c>
      <c r="AF12" s="7" t="str">
        <f>IF(LEN('A créer'!C12)=0,"","0")</f>
        <v>0</v>
      </c>
      <c r="AG12" s="2" t="str">
        <f>IF(LEN('A créer'!C12)=0,"","Tab")</f>
        <v>Tab</v>
      </c>
      <c r="AH12" s="7" t="str">
        <f>IF(LEN('A créer'!C12)=0,"","ZZZZZZZZZZ")</f>
        <v>ZZZZZZZZZZ</v>
      </c>
      <c r="AI12" s="7" t="str">
        <f>IF(LEN('A créer'!C12)=0,"","0")</f>
        <v>0</v>
      </c>
      <c r="AJ12" s="2" t="str">
        <f>IF(LEN('A créer'!C12)=0,"","Tab")</f>
        <v>Tab</v>
      </c>
      <c r="AK12" s="7" t="str">
        <f>IF(LEN('A créer'!C12)=0,"","ZZZZZZZZZZ")</f>
        <v>ZZZZZZZZZZ</v>
      </c>
      <c r="AL12" s="2" t="str">
        <f>IF(LEN('A créer'!C12)=0,"","ENT")</f>
        <v>ENT</v>
      </c>
      <c r="AM12" s="2" t="str">
        <f>IF(LEN('A créer'!C12)=0,"","*SAVE")</f>
        <v>*SAVE</v>
      </c>
      <c r="AN12" s="2" t="str">
        <f>IF(OR('A créer'!D12="Oui",LEN('A créer'!D12)=0,LEN('A créer'!C12)=0),"","*FN")</f>
        <v>*FN</v>
      </c>
      <c r="AO12" s="3" t="str">
        <f>IF(OR('A créer'!D12="Oui",LEN('A créer'!D12)=0,LEN('A créer'!C12)=0),"","\E")</f>
        <v>\E</v>
      </c>
      <c r="AP12" s="2" t="str">
        <f>IF(OR('A créer'!D12="Oui",LEN('A créer'!D12)=0,LEN('A créer'!C12)=0),"","TAB")</f>
        <v>TAB</v>
      </c>
      <c r="AQ12" s="7" t="str">
        <f>IF(OR('A créer'!D12="Oui",LEN('A créer'!D12)=0,LEN('A créer'!C12)=0),"",'A créer'!A12)</f>
        <v>0473</v>
      </c>
      <c r="AR12" s="2" t="str">
        <f>IF(OR('A créer'!D12="Oui",LEN('A créer'!D12)=0,LEN('A créer'!C12)=0),"","TAB")</f>
        <v>TAB</v>
      </c>
      <c r="AS12" s="7" t="str">
        <f>IF(OR('A créer'!D12="Oui",LEN('A créer'!D12)=0,LEN('A créer'!C12)=0),"","0")</f>
        <v>0</v>
      </c>
      <c r="AT12" s="2" t="str">
        <f>IF(OR('A créer'!D12="Oui",LEN('A créer'!D12)=0,LEN('A créer'!C12)=0),"","TAB")</f>
        <v>TAB</v>
      </c>
      <c r="AU12" s="7" t="str">
        <f>IF(OR('A créer'!D12="Oui",LEN('A créer'!D12)=0,LEN('A créer'!C12)=0),"","ZZZ")</f>
        <v>ZZZ</v>
      </c>
      <c r="AV12" s="7" t="str">
        <f>IF(OR('A créer'!D12="Oui",LEN('A créer'!D12)=0,LEN('A créer'!C12)=0),"","0")</f>
        <v>0</v>
      </c>
      <c r="AW12" s="2" t="str">
        <f>IF(OR('A créer'!D12="Oui",LEN('A créer'!D12)=0,LEN('A créer'!C12)=0),"","TAB")</f>
        <v>TAB</v>
      </c>
      <c r="AX12" s="7" t="str">
        <f>IF(OR('A créer'!D12="Oui",LEN('A créer'!D12)=0,LEN('A créer'!C12)=0),"","ZZZZZZ")</f>
        <v>ZZZZZZ</v>
      </c>
      <c r="AY12" s="7" t="str">
        <f>IF(OR('A créer'!D12="Oui",LEN('A créer'!D12)=0,LEN('A créer'!C12)=0),"","0")</f>
        <v>0</v>
      </c>
      <c r="AZ12" s="2" t="str">
        <f>IF(OR('A créer'!D12="Oui",LEN('A créer'!D12)=0,LEN('A créer'!C12)=0),"","TAB")</f>
        <v>TAB</v>
      </c>
      <c r="BA12" s="7" t="str">
        <f>IF(OR('A créer'!D12="Oui",LEN('A créer'!D12)=0,LEN('A créer'!C12)=0),"","ZZZZZ")</f>
        <v>ZZZZZ</v>
      </c>
      <c r="BB12" s="7" t="str">
        <f>IF(OR('A créer'!D12="Oui",LEN('A créer'!D12)=0,LEN('A créer'!C12)=0),"",CONCATENATE("XXX",'A créer'!A12))</f>
        <v>XXX0473</v>
      </c>
      <c r="BC12" s="2" t="str">
        <f>IF(OR('A créer'!D12="Oui",LEN('A créer'!D12)=0,LEN('A créer'!C12)=0),"","TAB")</f>
        <v>TAB</v>
      </c>
      <c r="BD12" s="7" t="str">
        <f>IF(OR('A créer'!D12="Oui",LEN('A créer'!D12)=0,LEN('A créer'!C12)=0),"","0")</f>
        <v>0</v>
      </c>
      <c r="BE12" s="2" t="str">
        <f>IF(OR('A créer'!D12="Oui",LEN('A créer'!D12)=0,LEN('A créer'!C12)=0),"","TAB")</f>
        <v>TAB</v>
      </c>
      <c r="BF12" s="7" t="str">
        <f>IF(OR('A créer'!D12="Oui",LEN('A créer'!D12)=0,LEN('A créer'!C12)=0),"","ZZZZZZZZZZ")</f>
        <v>ZZZZZZZZZZ</v>
      </c>
      <c r="BG12" s="7" t="str">
        <f>IF(OR('A créer'!D12="Oui",LEN('A créer'!D12)=0,LEN('A créer'!C12)=0),"","0")</f>
        <v>0</v>
      </c>
      <c r="BH12" s="2" t="str">
        <f>IF(OR('A créer'!D12="Oui",LEN('A créer'!D12)=0,LEN('A créer'!C12)=0),"","TAB")</f>
        <v>TAB</v>
      </c>
      <c r="BI12" s="7" t="str">
        <f>IF(OR('A créer'!D12="Oui",LEN('A créer'!D12)=0,LEN('A créer'!C12)=0),"","ZZZZZZZZZZ")</f>
        <v>ZZZZZZZZZZ</v>
      </c>
      <c r="BJ12" s="7" t="str">
        <f>IF(OR('A créer'!D12="Oui",LEN('A créer'!D12)=0,LEN('A créer'!C12)=0),"","0")</f>
        <v>0</v>
      </c>
      <c r="BK12" s="2" t="str">
        <f>IF(OR('A créer'!D12="Oui",LEN('A créer'!D12)=0,LEN('A créer'!C12)=0),"","TAB")</f>
        <v>TAB</v>
      </c>
      <c r="BL12" s="7" t="str">
        <f>IF(OR('A créer'!D12="Oui",LEN('A créer'!D12)=0,LEN('A créer'!C12)=0),"","ZZZZZZZZZZZZZZZ")</f>
        <v>ZZZZZZZZZZZZZZZ</v>
      </c>
      <c r="BM12" s="7" t="str">
        <f>IF(OR('A créer'!D12="Oui",LEN('A créer'!D12)=0,LEN('A créer'!C12)=0),"","0")</f>
        <v>0</v>
      </c>
      <c r="BN12" s="2" t="str">
        <f>IF(OR('A créer'!D12="Oui",LEN('A créer'!D12)=0,LEN('A créer'!C12)=0),"","TAB")</f>
        <v>TAB</v>
      </c>
      <c r="BO12" s="7" t="str">
        <f>IF(OR('A créer'!D12="Oui",LEN('A créer'!D12)=0,LEN('A créer'!C12)=0),"","ZZZ")</f>
        <v>ZZZ</v>
      </c>
      <c r="BP12" s="7" t="str">
        <f>IF(OR('A créer'!D12="Oui",LEN('A créer'!D12)=0,LEN('A créer'!C12)=0),"","0")</f>
        <v>0</v>
      </c>
      <c r="BQ12" s="2" t="str">
        <f>IF(OR('A créer'!D12="Oui",LEN('A créer'!D12)=0,LEN('A créer'!C12)=0),"","TAB")</f>
        <v>TAB</v>
      </c>
      <c r="BR12" s="7" t="str">
        <f>IF(OR('A créer'!D12="Oui",LEN('A créer'!D12)=0,LEN('A créer'!C12)=0),"","ZZZZZZZZZZ")</f>
        <v>ZZZZZZZZZZ</v>
      </c>
      <c r="BS12" s="7" t="str">
        <f>IF(OR('A créer'!D12="Oui",LEN('A créer'!D12)=0,LEN('A créer'!C12)=0),"","0")</f>
        <v>0</v>
      </c>
      <c r="BT12" s="2" t="str">
        <f>IF(OR('A créer'!D12="Oui",LEN('A créer'!D12)=0,LEN('A créer'!C12)=0),"","TAB")</f>
        <v>TAB</v>
      </c>
      <c r="BU12" s="7" t="str">
        <f>IF(OR('A créer'!D12="Oui",LEN('A créer'!D12)=0,LEN('A créer'!C12)=0),"","ZZZZZZZZZZ")</f>
        <v>ZZZZZZZZZZ</v>
      </c>
      <c r="BV12" s="7" t="str">
        <f>IF(OR('A créer'!D12="Oui",LEN('A créer'!D12)=0,LEN('A créer'!C12)=0),"","0")</f>
        <v>0</v>
      </c>
      <c r="BW12" s="2" t="str">
        <f>IF(OR('A créer'!D12="Oui",LEN('A créer'!D12)=0,LEN('A créer'!C12)=0),"","TAB")</f>
        <v>TAB</v>
      </c>
      <c r="BX12" s="7" t="str">
        <f>IF(OR('A créer'!D12="Oui",LEN('A créer'!D12)=0,LEN('A créer'!C12)=0),"","ZZZZZZZZZZ")</f>
        <v>ZZZZZZZZZZ</v>
      </c>
      <c r="BY12" s="2" t="str">
        <f>IF(OR('A créer'!D12="Oui",LEN('A créer'!D12)=0,LEN('A créer'!C12)=0),"","ENT")</f>
        <v>ENT</v>
      </c>
      <c r="BZ12" s="2" t="str">
        <f>IF(OR('A créer'!D12="Oui",LEN('A créer'!D12)=0,LEN('A créer'!C12)=0),"","*SAVE")</f>
        <v>*SAVE</v>
      </c>
    </row>
    <row r="13" spans="1:78" x14ac:dyDescent="0.25">
      <c r="A13" s="2" t="str">
        <f>IF(LEN('A créer'!C13)=0,"","*FN")</f>
        <v>*FN</v>
      </c>
      <c r="B13" s="3" t="str">
        <f>IF(LEN('A créer'!C13)=0,"","\E")</f>
        <v>\E</v>
      </c>
      <c r="C13" s="2" t="str">
        <f>IF(LEN('A créer'!C13)=0,"","Tab")</f>
        <v>Tab</v>
      </c>
      <c r="D13" s="7" t="str">
        <f>IF(LEN('A créer'!C13)=0,"",'A créer'!A13)</f>
        <v>0474</v>
      </c>
      <c r="E13" s="2" t="str">
        <f>IF(LEN('A créer'!C13)=0,"","Tab")</f>
        <v>Tab</v>
      </c>
      <c r="F13" s="7">
        <f>IF(LEN('A créer'!C13)=0,"",0)</f>
        <v>0</v>
      </c>
      <c r="G13" s="2" t="str">
        <f>IF(LEN('A créer'!C13)=0,"","Tab")</f>
        <v>Tab</v>
      </c>
      <c r="H13" s="7" t="str">
        <f>IF(LEN('A créer'!C13)=0,"","ZZZ")</f>
        <v>ZZZ</v>
      </c>
      <c r="I13" s="7" t="str">
        <f>IF(LEN('A créer'!C13)=0,"","0")</f>
        <v>0</v>
      </c>
      <c r="J13" s="2" t="str">
        <f>IF(LEN('A créer'!C13)=0,"","Tab")</f>
        <v>Tab</v>
      </c>
      <c r="K13" s="7" t="str">
        <f>IF(LEN('A créer'!C13)=0,"","ZZZZZZ")</f>
        <v>ZZZZZZ</v>
      </c>
      <c r="L13" s="7" t="str">
        <f>IF(LEN('A créer'!C13)=0,"","0")</f>
        <v>0</v>
      </c>
      <c r="M13" s="2" t="str">
        <f>IF(LEN('A créer'!C13)=0,"","Tab")</f>
        <v>Tab</v>
      </c>
      <c r="N13" s="7" t="str">
        <f>IF(LEN('A créer'!C13)=0,"","ZZZZZ")</f>
        <v>ZZZZZ</v>
      </c>
      <c r="O13" s="7" t="str">
        <f>IF(LEN('A créer'!C13)=0,"",CONCATENATE('A créer'!B13,'A créer'!A13))</f>
        <v>DMS0474</v>
      </c>
      <c r="P13" s="2" t="str">
        <f>IF(LEN('A créer'!C13)=0,"","Tab")</f>
        <v>Tab</v>
      </c>
      <c r="Q13" s="7" t="str">
        <f>IF(LEN('A créer'!C13)=0,"","0")</f>
        <v>0</v>
      </c>
      <c r="R13" s="2" t="str">
        <f>IF(LEN('A créer'!C13)=0,"","Tab")</f>
        <v>Tab</v>
      </c>
      <c r="S13" s="7" t="str">
        <f>IF(LEN('A créer'!C13)=0,"","ZZZZZZZZZZ")</f>
        <v>ZZZZZZZZZZ</v>
      </c>
      <c r="T13" s="7" t="str">
        <f>IF(LEN('A créer'!C13)=0,"","0")</f>
        <v>0</v>
      </c>
      <c r="U13" s="2" t="str">
        <f>IF(LEN('A créer'!C13)=0,"","Tab")</f>
        <v>Tab</v>
      </c>
      <c r="V13" s="7" t="str">
        <f>IF(LEN('A créer'!C13)=0,"","ZZZZZZZZZZ")</f>
        <v>ZZZZZZZZZZ</v>
      </c>
      <c r="W13" s="7" t="str">
        <f>IF(LEN('A créer'!C13)=0,"","0")</f>
        <v>0</v>
      </c>
      <c r="X13" s="2" t="str">
        <f>IF(LEN('A créer'!C13)=0,"","Tab")</f>
        <v>Tab</v>
      </c>
      <c r="Y13" s="7" t="str">
        <f>IF(LEN('A créer'!C13)=0,"","ZZZZZZZZZZZZZZZ")</f>
        <v>ZZZZZZZZZZZZZZZ</v>
      </c>
      <c r="Z13" s="7" t="str">
        <f>IF(LEN('A créer'!C13)=0,"","0")</f>
        <v>0</v>
      </c>
      <c r="AA13" s="2" t="str">
        <f>IF(LEN('A créer'!C13)=0,"","Tab")</f>
        <v>Tab</v>
      </c>
      <c r="AB13" s="7" t="str">
        <f>IF(LEN('A créer'!C13)=0,"","ZZZ")</f>
        <v>ZZZ</v>
      </c>
      <c r="AC13" s="7" t="str">
        <f>IF(LEN('A créer'!C13)=0,"","0")</f>
        <v>0</v>
      </c>
      <c r="AD13" s="2" t="str">
        <f>IF(LEN('A créer'!C13)=0,"","Tab")</f>
        <v>Tab</v>
      </c>
      <c r="AE13" s="7" t="str">
        <f>IF(LEN('A créer'!C13)=0,"","ZZZZZZZZZZ")</f>
        <v>ZZZZZZZZZZ</v>
      </c>
      <c r="AF13" s="7" t="str">
        <f>IF(LEN('A créer'!C13)=0,"","0")</f>
        <v>0</v>
      </c>
      <c r="AG13" s="2" t="str">
        <f>IF(LEN('A créer'!C13)=0,"","Tab")</f>
        <v>Tab</v>
      </c>
      <c r="AH13" s="7" t="str">
        <f>IF(LEN('A créer'!C13)=0,"","ZZZZZZZZZZ")</f>
        <v>ZZZZZZZZZZ</v>
      </c>
      <c r="AI13" s="7" t="str">
        <f>IF(LEN('A créer'!C13)=0,"","0")</f>
        <v>0</v>
      </c>
      <c r="AJ13" s="2" t="str">
        <f>IF(LEN('A créer'!C13)=0,"","Tab")</f>
        <v>Tab</v>
      </c>
      <c r="AK13" s="7" t="str">
        <f>IF(LEN('A créer'!C13)=0,"","ZZZZZZZZZZ")</f>
        <v>ZZZZZZZZZZ</v>
      </c>
      <c r="AL13" s="2" t="str">
        <f>IF(LEN('A créer'!C13)=0,"","ENT")</f>
        <v>ENT</v>
      </c>
      <c r="AM13" s="2" t="str">
        <f>IF(LEN('A créer'!C13)=0,"","*SAVE")</f>
        <v>*SAVE</v>
      </c>
      <c r="AN13" s="2" t="str">
        <f>IF(OR('A créer'!D13="Oui",LEN('A créer'!D13)=0,LEN('A créer'!C13)=0),"","*FN")</f>
        <v>*FN</v>
      </c>
      <c r="AO13" s="3" t="str">
        <f>IF(OR('A créer'!D13="Oui",LEN('A créer'!D13)=0,LEN('A créer'!C13)=0),"","\E")</f>
        <v>\E</v>
      </c>
      <c r="AP13" s="2" t="str">
        <f>IF(OR('A créer'!D13="Oui",LEN('A créer'!D13)=0,LEN('A créer'!C13)=0),"","TAB")</f>
        <v>TAB</v>
      </c>
      <c r="AQ13" s="7" t="str">
        <f>IF(OR('A créer'!D13="Oui",LEN('A créer'!D13)=0,LEN('A créer'!C13)=0),"",'A créer'!A13)</f>
        <v>0474</v>
      </c>
      <c r="AR13" s="2" t="str">
        <f>IF(OR('A créer'!D13="Oui",LEN('A créer'!D13)=0,LEN('A créer'!C13)=0),"","TAB")</f>
        <v>TAB</v>
      </c>
      <c r="AS13" s="7" t="str">
        <f>IF(OR('A créer'!D13="Oui",LEN('A créer'!D13)=0,LEN('A créer'!C13)=0),"","0")</f>
        <v>0</v>
      </c>
      <c r="AT13" s="2" t="str">
        <f>IF(OR('A créer'!D13="Oui",LEN('A créer'!D13)=0,LEN('A créer'!C13)=0),"","TAB")</f>
        <v>TAB</v>
      </c>
      <c r="AU13" s="7" t="str">
        <f>IF(OR('A créer'!D13="Oui",LEN('A créer'!D13)=0,LEN('A créer'!C13)=0),"","ZZZ")</f>
        <v>ZZZ</v>
      </c>
      <c r="AV13" s="7" t="str">
        <f>IF(OR('A créer'!D13="Oui",LEN('A créer'!D13)=0,LEN('A créer'!C13)=0),"","0")</f>
        <v>0</v>
      </c>
      <c r="AW13" s="2" t="str">
        <f>IF(OR('A créer'!D13="Oui",LEN('A créer'!D13)=0,LEN('A créer'!C13)=0),"","TAB")</f>
        <v>TAB</v>
      </c>
      <c r="AX13" s="7" t="str">
        <f>IF(OR('A créer'!D13="Oui",LEN('A créer'!D13)=0,LEN('A créer'!C13)=0),"","ZZZZZZ")</f>
        <v>ZZZZZZ</v>
      </c>
      <c r="AY13" s="7" t="str">
        <f>IF(OR('A créer'!D13="Oui",LEN('A créer'!D13)=0,LEN('A créer'!C13)=0),"","0")</f>
        <v>0</v>
      </c>
      <c r="AZ13" s="2" t="str">
        <f>IF(OR('A créer'!D13="Oui",LEN('A créer'!D13)=0,LEN('A créer'!C13)=0),"","TAB")</f>
        <v>TAB</v>
      </c>
      <c r="BA13" s="7" t="str">
        <f>IF(OR('A créer'!D13="Oui",LEN('A créer'!D13)=0,LEN('A créer'!C13)=0),"","ZZZZZ")</f>
        <v>ZZZZZ</v>
      </c>
      <c r="BB13" s="7" t="str">
        <f>IF(OR('A créer'!D13="Oui",LEN('A créer'!D13)=0,LEN('A créer'!C13)=0),"",CONCATENATE("XXX",'A créer'!A13))</f>
        <v>XXX0474</v>
      </c>
      <c r="BC13" s="2" t="str">
        <f>IF(OR('A créer'!D13="Oui",LEN('A créer'!D13)=0,LEN('A créer'!C13)=0),"","TAB")</f>
        <v>TAB</v>
      </c>
      <c r="BD13" s="7" t="str">
        <f>IF(OR('A créer'!D13="Oui",LEN('A créer'!D13)=0,LEN('A créer'!C13)=0),"","0")</f>
        <v>0</v>
      </c>
      <c r="BE13" s="2" t="str">
        <f>IF(OR('A créer'!D13="Oui",LEN('A créer'!D13)=0,LEN('A créer'!C13)=0),"","TAB")</f>
        <v>TAB</v>
      </c>
      <c r="BF13" s="7" t="str">
        <f>IF(OR('A créer'!D13="Oui",LEN('A créer'!D13)=0,LEN('A créer'!C13)=0),"","ZZZZZZZZZZ")</f>
        <v>ZZZZZZZZZZ</v>
      </c>
      <c r="BG13" s="7" t="str">
        <f>IF(OR('A créer'!D13="Oui",LEN('A créer'!D13)=0,LEN('A créer'!C13)=0),"","0")</f>
        <v>0</v>
      </c>
      <c r="BH13" s="2" t="str">
        <f>IF(OR('A créer'!D13="Oui",LEN('A créer'!D13)=0,LEN('A créer'!C13)=0),"","TAB")</f>
        <v>TAB</v>
      </c>
      <c r="BI13" s="7" t="str">
        <f>IF(OR('A créer'!D13="Oui",LEN('A créer'!D13)=0,LEN('A créer'!C13)=0),"","ZZZZZZZZZZ")</f>
        <v>ZZZZZZZZZZ</v>
      </c>
      <c r="BJ13" s="7" t="str">
        <f>IF(OR('A créer'!D13="Oui",LEN('A créer'!D13)=0,LEN('A créer'!C13)=0),"","0")</f>
        <v>0</v>
      </c>
      <c r="BK13" s="2" t="str">
        <f>IF(OR('A créer'!D13="Oui",LEN('A créer'!D13)=0,LEN('A créer'!C13)=0),"","TAB")</f>
        <v>TAB</v>
      </c>
      <c r="BL13" s="7" t="str">
        <f>IF(OR('A créer'!D13="Oui",LEN('A créer'!D13)=0,LEN('A créer'!C13)=0),"","ZZZZZZZZZZZZZZZ")</f>
        <v>ZZZZZZZZZZZZZZZ</v>
      </c>
      <c r="BM13" s="7" t="str">
        <f>IF(OR('A créer'!D13="Oui",LEN('A créer'!D13)=0,LEN('A créer'!C13)=0),"","0")</f>
        <v>0</v>
      </c>
      <c r="BN13" s="2" t="str">
        <f>IF(OR('A créer'!D13="Oui",LEN('A créer'!D13)=0,LEN('A créer'!C13)=0),"","TAB")</f>
        <v>TAB</v>
      </c>
      <c r="BO13" s="7" t="str">
        <f>IF(OR('A créer'!D13="Oui",LEN('A créer'!D13)=0,LEN('A créer'!C13)=0),"","ZZZ")</f>
        <v>ZZZ</v>
      </c>
      <c r="BP13" s="7" t="str">
        <f>IF(OR('A créer'!D13="Oui",LEN('A créer'!D13)=0,LEN('A créer'!C13)=0),"","0")</f>
        <v>0</v>
      </c>
      <c r="BQ13" s="2" t="str">
        <f>IF(OR('A créer'!D13="Oui",LEN('A créer'!D13)=0,LEN('A créer'!C13)=0),"","TAB")</f>
        <v>TAB</v>
      </c>
      <c r="BR13" s="7" t="str">
        <f>IF(OR('A créer'!D13="Oui",LEN('A créer'!D13)=0,LEN('A créer'!C13)=0),"","ZZZZZZZZZZ")</f>
        <v>ZZZZZZZZZZ</v>
      </c>
      <c r="BS13" s="7" t="str">
        <f>IF(OR('A créer'!D13="Oui",LEN('A créer'!D13)=0,LEN('A créer'!C13)=0),"","0")</f>
        <v>0</v>
      </c>
      <c r="BT13" s="2" t="str">
        <f>IF(OR('A créer'!D13="Oui",LEN('A créer'!D13)=0,LEN('A créer'!C13)=0),"","TAB")</f>
        <v>TAB</v>
      </c>
      <c r="BU13" s="7" t="str">
        <f>IF(OR('A créer'!D13="Oui",LEN('A créer'!D13)=0,LEN('A créer'!C13)=0),"","ZZZZZZZZZZ")</f>
        <v>ZZZZZZZZZZ</v>
      </c>
      <c r="BV13" s="7" t="str">
        <f>IF(OR('A créer'!D13="Oui",LEN('A créer'!D13)=0,LEN('A créer'!C13)=0),"","0")</f>
        <v>0</v>
      </c>
      <c r="BW13" s="2" t="str">
        <f>IF(OR('A créer'!D13="Oui",LEN('A créer'!D13)=0,LEN('A créer'!C13)=0),"","TAB")</f>
        <v>TAB</v>
      </c>
      <c r="BX13" s="7" t="str">
        <f>IF(OR('A créer'!D13="Oui",LEN('A créer'!D13)=0,LEN('A créer'!C13)=0),"","ZZZZZZZZZZ")</f>
        <v>ZZZZZZZZZZ</v>
      </c>
      <c r="BY13" s="2" t="str">
        <f>IF(OR('A créer'!D13="Oui",LEN('A créer'!D13)=0,LEN('A créer'!C13)=0),"","ENT")</f>
        <v>ENT</v>
      </c>
      <c r="BZ13" s="2" t="str">
        <f>IF(OR('A créer'!D13="Oui",LEN('A créer'!D13)=0,LEN('A créer'!C13)=0),"","*SAVE")</f>
        <v>*SAVE</v>
      </c>
    </row>
    <row r="14" spans="1:78" x14ac:dyDescent="0.25">
      <c r="A14" s="2" t="str">
        <f>IF(LEN('A créer'!C14)=0,"","*FN")</f>
        <v>*FN</v>
      </c>
      <c r="B14" s="3" t="str">
        <f>IF(LEN('A créer'!C14)=0,"","\E")</f>
        <v>\E</v>
      </c>
      <c r="C14" s="2" t="str">
        <f>IF(LEN('A créer'!C14)=0,"","Tab")</f>
        <v>Tab</v>
      </c>
      <c r="D14" s="7" t="str">
        <f>IF(LEN('A créer'!C14)=0,"",'A créer'!A14)</f>
        <v>0470</v>
      </c>
      <c r="E14" s="2" t="str">
        <f>IF(LEN('A créer'!C14)=0,"","Tab")</f>
        <v>Tab</v>
      </c>
      <c r="F14" s="7">
        <f>IF(LEN('A créer'!C14)=0,"",0)</f>
        <v>0</v>
      </c>
      <c r="G14" s="2" t="str">
        <f>IF(LEN('A créer'!C14)=0,"","Tab")</f>
        <v>Tab</v>
      </c>
      <c r="H14" s="7" t="str">
        <f>IF(LEN('A créer'!C14)=0,"","ZZZ")</f>
        <v>ZZZ</v>
      </c>
      <c r="I14" s="7" t="str">
        <f>IF(LEN('A créer'!C14)=0,"","0")</f>
        <v>0</v>
      </c>
      <c r="J14" s="2" t="str">
        <f>IF(LEN('A créer'!C14)=0,"","Tab")</f>
        <v>Tab</v>
      </c>
      <c r="K14" s="7" t="str">
        <f>IF(LEN('A créer'!C14)=0,"","ZZZZZZ")</f>
        <v>ZZZZZZ</v>
      </c>
      <c r="L14" s="7" t="str">
        <f>IF(LEN('A créer'!C14)=0,"","0")</f>
        <v>0</v>
      </c>
      <c r="M14" s="2" t="str">
        <f>IF(LEN('A créer'!C14)=0,"","Tab")</f>
        <v>Tab</v>
      </c>
      <c r="N14" s="7" t="str">
        <f>IF(LEN('A créer'!C14)=0,"","ZZZZZ")</f>
        <v>ZZZZZ</v>
      </c>
      <c r="O14" s="7" t="str">
        <f>IF(LEN('A créer'!C14)=0,"",CONCATENATE('A créer'!B14,'A créer'!A14))</f>
        <v>DNA0470</v>
      </c>
      <c r="P14" s="2" t="str">
        <f>IF(LEN('A créer'!C14)=0,"","Tab")</f>
        <v>Tab</v>
      </c>
      <c r="Q14" s="7" t="str">
        <f>IF(LEN('A créer'!C14)=0,"","0")</f>
        <v>0</v>
      </c>
      <c r="R14" s="2" t="str">
        <f>IF(LEN('A créer'!C14)=0,"","Tab")</f>
        <v>Tab</v>
      </c>
      <c r="S14" s="7" t="str">
        <f>IF(LEN('A créer'!C14)=0,"","ZZZZZZZZZZ")</f>
        <v>ZZZZZZZZZZ</v>
      </c>
      <c r="T14" s="7" t="str">
        <f>IF(LEN('A créer'!C14)=0,"","0")</f>
        <v>0</v>
      </c>
      <c r="U14" s="2" t="str">
        <f>IF(LEN('A créer'!C14)=0,"","Tab")</f>
        <v>Tab</v>
      </c>
      <c r="V14" s="7" t="str">
        <f>IF(LEN('A créer'!C14)=0,"","ZZZZZZZZZZ")</f>
        <v>ZZZZZZZZZZ</v>
      </c>
      <c r="W14" s="7" t="str">
        <f>IF(LEN('A créer'!C14)=0,"","0")</f>
        <v>0</v>
      </c>
      <c r="X14" s="2" t="str">
        <f>IF(LEN('A créer'!C14)=0,"","Tab")</f>
        <v>Tab</v>
      </c>
      <c r="Y14" s="7" t="str">
        <f>IF(LEN('A créer'!C14)=0,"","ZZZZZZZZZZZZZZZ")</f>
        <v>ZZZZZZZZZZZZZZZ</v>
      </c>
      <c r="Z14" s="7" t="str">
        <f>IF(LEN('A créer'!C14)=0,"","0")</f>
        <v>0</v>
      </c>
      <c r="AA14" s="2" t="str">
        <f>IF(LEN('A créer'!C14)=0,"","Tab")</f>
        <v>Tab</v>
      </c>
      <c r="AB14" s="7" t="str">
        <f>IF(LEN('A créer'!C14)=0,"","ZZZ")</f>
        <v>ZZZ</v>
      </c>
      <c r="AC14" s="7" t="str">
        <f>IF(LEN('A créer'!C14)=0,"","0")</f>
        <v>0</v>
      </c>
      <c r="AD14" s="2" t="str">
        <f>IF(LEN('A créer'!C14)=0,"","Tab")</f>
        <v>Tab</v>
      </c>
      <c r="AE14" s="7" t="str">
        <f>IF(LEN('A créer'!C14)=0,"","ZZZZZZZZZZ")</f>
        <v>ZZZZZZZZZZ</v>
      </c>
      <c r="AF14" s="7" t="str">
        <f>IF(LEN('A créer'!C14)=0,"","0")</f>
        <v>0</v>
      </c>
      <c r="AG14" s="2" t="str">
        <f>IF(LEN('A créer'!C14)=0,"","Tab")</f>
        <v>Tab</v>
      </c>
      <c r="AH14" s="7" t="str">
        <f>IF(LEN('A créer'!C14)=0,"","ZZZZZZZZZZ")</f>
        <v>ZZZZZZZZZZ</v>
      </c>
      <c r="AI14" s="7" t="str">
        <f>IF(LEN('A créer'!C14)=0,"","0")</f>
        <v>0</v>
      </c>
      <c r="AJ14" s="2" t="str">
        <f>IF(LEN('A créer'!C14)=0,"","Tab")</f>
        <v>Tab</v>
      </c>
      <c r="AK14" s="7" t="str">
        <f>IF(LEN('A créer'!C14)=0,"","ZZZZZZZZZZ")</f>
        <v>ZZZZZZZZZZ</v>
      </c>
      <c r="AL14" s="2" t="str">
        <f>IF(LEN('A créer'!C14)=0,"","ENT")</f>
        <v>ENT</v>
      </c>
      <c r="AM14" s="2" t="str">
        <f>IF(LEN('A créer'!C14)=0,"","*SAVE")</f>
        <v>*SAVE</v>
      </c>
      <c r="AN14" s="2" t="str">
        <f>IF(OR('A créer'!D14="Oui",LEN('A créer'!D14)=0,LEN('A créer'!C14)=0),"","*FN")</f>
        <v>*FN</v>
      </c>
      <c r="AO14" s="3" t="str">
        <f>IF(OR('A créer'!D14="Oui",LEN('A créer'!D14)=0,LEN('A créer'!C14)=0),"","\E")</f>
        <v>\E</v>
      </c>
      <c r="AP14" s="2" t="str">
        <f>IF(OR('A créer'!D14="Oui",LEN('A créer'!D14)=0,LEN('A créer'!C14)=0),"","TAB")</f>
        <v>TAB</v>
      </c>
      <c r="AQ14" s="7" t="str">
        <f>IF(OR('A créer'!D14="Oui",LEN('A créer'!D14)=0,LEN('A créer'!C14)=0),"",'A créer'!A14)</f>
        <v>0470</v>
      </c>
      <c r="AR14" s="2" t="str">
        <f>IF(OR('A créer'!D14="Oui",LEN('A créer'!D14)=0,LEN('A créer'!C14)=0),"","TAB")</f>
        <v>TAB</v>
      </c>
      <c r="AS14" s="7" t="str">
        <f>IF(OR('A créer'!D14="Oui",LEN('A créer'!D14)=0,LEN('A créer'!C14)=0),"","0")</f>
        <v>0</v>
      </c>
      <c r="AT14" s="2" t="str">
        <f>IF(OR('A créer'!D14="Oui",LEN('A créer'!D14)=0,LEN('A créer'!C14)=0),"","TAB")</f>
        <v>TAB</v>
      </c>
      <c r="AU14" s="7" t="str">
        <f>IF(OR('A créer'!D14="Oui",LEN('A créer'!D14)=0,LEN('A créer'!C14)=0),"","ZZZ")</f>
        <v>ZZZ</v>
      </c>
      <c r="AV14" s="7" t="str">
        <f>IF(OR('A créer'!D14="Oui",LEN('A créer'!D14)=0,LEN('A créer'!C14)=0),"","0")</f>
        <v>0</v>
      </c>
      <c r="AW14" s="2" t="str">
        <f>IF(OR('A créer'!D14="Oui",LEN('A créer'!D14)=0,LEN('A créer'!C14)=0),"","TAB")</f>
        <v>TAB</v>
      </c>
      <c r="AX14" s="7" t="str">
        <f>IF(OR('A créer'!D14="Oui",LEN('A créer'!D14)=0,LEN('A créer'!C14)=0),"","ZZZZZZ")</f>
        <v>ZZZZZZ</v>
      </c>
      <c r="AY14" s="7" t="str">
        <f>IF(OR('A créer'!D14="Oui",LEN('A créer'!D14)=0,LEN('A créer'!C14)=0),"","0")</f>
        <v>0</v>
      </c>
      <c r="AZ14" s="2" t="str">
        <f>IF(OR('A créer'!D14="Oui",LEN('A créer'!D14)=0,LEN('A créer'!C14)=0),"","TAB")</f>
        <v>TAB</v>
      </c>
      <c r="BA14" s="7" t="str">
        <f>IF(OR('A créer'!D14="Oui",LEN('A créer'!D14)=0,LEN('A créer'!C14)=0),"","ZZZZZ")</f>
        <v>ZZZZZ</v>
      </c>
      <c r="BB14" s="7" t="str">
        <f>IF(OR('A créer'!D14="Oui",LEN('A créer'!D14)=0,LEN('A créer'!C14)=0),"",CONCATENATE("XXX",'A créer'!A14))</f>
        <v>XXX0470</v>
      </c>
      <c r="BC14" s="2" t="str">
        <f>IF(OR('A créer'!D14="Oui",LEN('A créer'!D14)=0,LEN('A créer'!C14)=0),"","TAB")</f>
        <v>TAB</v>
      </c>
      <c r="BD14" s="7" t="str">
        <f>IF(OR('A créer'!D14="Oui",LEN('A créer'!D14)=0,LEN('A créer'!C14)=0),"","0")</f>
        <v>0</v>
      </c>
      <c r="BE14" s="2" t="str">
        <f>IF(OR('A créer'!D14="Oui",LEN('A créer'!D14)=0,LEN('A créer'!C14)=0),"","TAB")</f>
        <v>TAB</v>
      </c>
      <c r="BF14" s="7" t="str">
        <f>IF(OR('A créer'!D14="Oui",LEN('A créer'!D14)=0,LEN('A créer'!C14)=0),"","ZZZZZZZZZZ")</f>
        <v>ZZZZZZZZZZ</v>
      </c>
      <c r="BG14" s="7" t="str">
        <f>IF(OR('A créer'!D14="Oui",LEN('A créer'!D14)=0,LEN('A créer'!C14)=0),"","0")</f>
        <v>0</v>
      </c>
      <c r="BH14" s="2" t="str">
        <f>IF(OR('A créer'!D14="Oui",LEN('A créer'!D14)=0,LEN('A créer'!C14)=0),"","TAB")</f>
        <v>TAB</v>
      </c>
      <c r="BI14" s="7" t="str">
        <f>IF(OR('A créer'!D14="Oui",LEN('A créer'!D14)=0,LEN('A créer'!C14)=0),"","ZZZZZZZZZZ")</f>
        <v>ZZZZZZZZZZ</v>
      </c>
      <c r="BJ14" s="7" t="str">
        <f>IF(OR('A créer'!D14="Oui",LEN('A créer'!D14)=0,LEN('A créer'!C14)=0),"","0")</f>
        <v>0</v>
      </c>
      <c r="BK14" s="2" t="str">
        <f>IF(OR('A créer'!D14="Oui",LEN('A créer'!D14)=0,LEN('A créer'!C14)=0),"","TAB")</f>
        <v>TAB</v>
      </c>
      <c r="BL14" s="7" t="str">
        <f>IF(OR('A créer'!D14="Oui",LEN('A créer'!D14)=0,LEN('A créer'!C14)=0),"","ZZZZZZZZZZZZZZZ")</f>
        <v>ZZZZZZZZZZZZZZZ</v>
      </c>
      <c r="BM14" s="7" t="str">
        <f>IF(OR('A créer'!D14="Oui",LEN('A créer'!D14)=0,LEN('A créer'!C14)=0),"","0")</f>
        <v>0</v>
      </c>
      <c r="BN14" s="2" t="str">
        <f>IF(OR('A créer'!D14="Oui",LEN('A créer'!D14)=0,LEN('A créer'!C14)=0),"","TAB")</f>
        <v>TAB</v>
      </c>
      <c r="BO14" s="7" t="str">
        <f>IF(OR('A créer'!D14="Oui",LEN('A créer'!D14)=0,LEN('A créer'!C14)=0),"","ZZZ")</f>
        <v>ZZZ</v>
      </c>
      <c r="BP14" s="7" t="str">
        <f>IF(OR('A créer'!D14="Oui",LEN('A créer'!D14)=0,LEN('A créer'!C14)=0),"","0")</f>
        <v>0</v>
      </c>
      <c r="BQ14" s="2" t="str">
        <f>IF(OR('A créer'!D14="Oui",LEN('A créer'!D14)=0,LEN('A créer'!C14)=0),"","TAB")</f>
        <v>TAB</v>
      </c>
      <c r="BR14" s="7" t="str">
        <f>IF(OR('A créer'!D14="Oui",LEN('A créer'!D14)=0,LEN('A créer'!C14)=0),"","ZZZZZZZZZZ")</f>
        <v>ZZZZZZZZZZ</v>
      </c>
      <c r="BS14" s="7" t="str">
        <f>IF(OR('A créer'!D14="Oui",LEN('A créer'!D14)=0,LEN('A créer'!C14)=0),"","0")</f>
        <v>0</v>
      </c>
      <c r="BT14" s="2" t="str">
        <f>IF(OR('A créer'!D14="Oui",LEN('A créer'!D14)=0,LEN('A créer'!C14)=0),"","TAB")</f>
        <v>TAB</v>
      </c>
      <c r="BU14" s="7" t="str">
        <f>IF(OR('A créer'!D14="Oui",LEN('A créer'!D14)=0,LEN('A créer'!C14)=0),"","ZZZZZZZZZZ")</f>
        <v>ZZZZZZZZZZ</v>
      </c>
      <c r="BV14" s="7" t="str">
        <f>IF(OR('A créer'!D14="Oui",LEN('A créer'!D14)=0,LEN('A créer'!C14)=0),"","0")</f>
        <v>0</v>
      </c>
      <c r="BW14" s="2" t="str">
        <f>IF(OR('A créer'!D14="Oui",LEN('A créer'!D14)=0,LEN('A créer'!C14)=0),"","TAB")</f>
        <v>TAB</v>
      </c>
      <c r="BX14" s="7" t="str">
        <f>IF(OR('A créer'!D14="Oui",LEN('A créer'!D14)=0,LEN('A créer'!C14)=0),"","ZZZZZZZZZZ")</f>
        <v>ZZZZZZZZZZ</v>
      </c>
      <c r="BY14" s="2" t="str">
        <f>IF(OR('A créer'!D14="Oui",LEN('A créer'!D14)=0,LEN('A créer'!C14)=0),"","ENT")</f>
        <v>ENT</v>
      </c>
      <c r="BZ14" s="2" t="str">
        <f>IF(OR('A créer'!D14="Oui",LEN('A créer'!D14)=0,LEN('A créer'!C14)=0),"","*SAVE")</f>
        <v>*SAVE</v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7" t="str">
        <f>IF(LEN('A créer'!C15)=0,"",'A créer'!A15)</f>
        <v/>
      </c>
      <c r="E15" s="2" t="str">
        <f>IF(LEN('A créer'!C15)=0,"","Tab")</f>
        <v/>
      </c>
      <c r="F15" s="7" t="str">
        <f>IF(LEN('A créer'!C15)=0,"",0)</f>
        <v/>
      </c>
      <c r="G15" s="2" t="str">
        <f>IF(LEN('A créer'!C15)=0,"","Tab")</f>
        <v/>
      </c>
      <c r="H15" s="7" t="str">
        <f>IF(LEN('A créer'!C15)=0,"","ZZZ")</f>
        <v/>
      </c>
      <c r="I15" s="7" t="str">
        <f>IF(LEN('A créer'!C15)=0,"","0")</f>
        <v/>
      </c>
      <c r="J15" s="2" t="str">
        <f>IF(LEN('A créer'!C15)=0,"","Tab")</f>
        <v/>
      </c>
      <c r="K15" s="7" t="str">
        <f>IF(LEN('A créer'!C15)=0,"","ZZZZZZ")</f>
        <v/>
      </c>
      <c r="L15" s="7" t="str">
        <f>IF(LEN('A créer'!C15)=0,"","0")</f>
        <v/>
      </c>
      <c r="M15" s="2" t="str">
        <f>IF(LEN('A créer'!C15)=0,"","Tab")</f>
        <v/>
      </c>
      <c r="N15" s="7" t="str">
        <f>IF(LEN('A créer'!C15)=0,"","ZZZZZ")</f>
        <v/>
      </c>
      <c r="O15" s="7" t="str">
        <f>IF(LEN('A créer'!C15)=0,"",CONCATENATE('A créer'!B15,'A créer'!A15))</f>
        <v/>
      </c>
      <c r="P15" s="2" t="str">
        <f>IF(LEN('A créer'!C15)=0,"","Tab")</f>
        <v/>
      </c>
      <c r="Q15" s="7" t="str">
        <f>IF(LEN('A créer'!C15)=0,"","0")</f>
        <v/>
      </c>
      <c r="R15" s="2" t="str">
        <f>IF(LEN('A créer'!C15)=0,"","Tab")</f>
        <v/>
      </c>
      <c r="S15" s="7" t="str">
        <f>IF(LEN('A créer'!C15)=0,"","ZZZZZZZZZZ")</f>
        <v/>
      </c>
      <c r="T15" s="7" t="str">
        <f>IF(LEN('A créer'!C15)=0,"","0")</f>
        <v/>
      </c>
      <c r="U15" s="2" t="str">
        <f>IF(LEN('A créer'!C15)=0,"","Tab")</f>
        <v/>
      </c>
      <c r="V15" s="7" t="str">
        <f>IF(LEN('A créer'!C15)=0,"","ZZZZZZZZZZ")</f>
        <v/>
      </c>
      <c r="W15" s="7" t="str">
        <f>IF(LEN('A créer'!C15)=0,"","0")</f>
        <v/>
      </c>
      <c r="X15" s="2" t="str">
        <f>IF(LEN('A créer'!C15)=0,"","Tab")</f>
        <v/>
      </c>
      <c r="Y15" s="7" t="str">
        <f>IF(LEN('A créer'!C15)=0,"","ZZZZZZZZZZZZZZZ")</f>
        <v/>
      </c>
      <c r="Z15" s="7" t="str">
        <f>IF(LEN('A créer'!C15)=0,"","0")</f>
        <v/>
      </c>
      <c r="AA15" s="2" t="str">
        <f>IF(LEN('A créer'!C15)=0,"","Tab")</f>
        <v/>
      </c>
      <c r="AB15" s="7" t="str">
        <f>IF(LEN('A créer'!C15)=0,"","ZZZ")</f>
        <v/>
      </c>
      <c r="AC15" s="7" t="str">
        <f>IF(LEN('A créer'!C15)=0,"","0")</f>
        <v/>
      </c>
      <c r="AD15" s="2" t="str">
        <f>IF(LEN('A créer'!C15)=0,"","Tab")</f>
        <v/>
      </c>
      <c r="AE15" s="7" t="str">
        <f>IF(LEN('A créer'!C15)=0,"","ZZZZZZZZZZ")</f>
        <v/>
      </c>
      <c r="AF15" s="7" t="str">
        <f>IF(LEN('A créer'!C15)=0,"","0")</f>
        <v/>
      </c>
      <c r="AG15" s="2" t="str">
        <f>IF(LEN('A créer'!C15)=0,"","Tab")</f>
        <v/>
      </c>
      <c r="AH15" s="7" t="str">
        <f>IF(LEN('A créer'!C15)=0,"","ZZZZZZZZZZ")</f>
        <v/>
      </c>
      <c r="AI15" s="7" t="str">
        <f>IF(LEN('A créer'!C15)=0,"","0")</f>
        <v/>
      </c>
      <c r="AJ15" s="2" t="str">
        <f>IF(LEN('A créer'!C15)=0,"","Tab")</f>
        <v/>
      </c>
      <c r="AK15" s="7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7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7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7" t="str">
        <f>IF(OR('A créer'!D15="Oui",LEN('A créer'!D15)=0,LEN('A créer'!C15)=0),"","ZZZ")</f>
        <v/>
      </c>
      <c r="AV15" s="7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7" t="str">
        <f>IF(OR('A créer'!D15="Oui",LEN('A créer'!D15)=0,LEN('A créer'!C15)=0),"","ZZZZZZ")</f>
        <v/>
      </c>
      <c r="AY15" s="7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7" t="str">
        <f>IF(OR('A créer'!D15="Oui",LEN('A créer'!D15)=0,LEN('A créer'!C15)=0),"","ZZZZZ")</f>
        <v/>
      </c>
      <c r="BB15" s="7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7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7" t="str">
        <f>IF(OR('A créer'!D15="Oui",LEN('A créer'!D15)=0,LEN('A créer'!C15)=0),"","ZZZZZZZZZZ")</f>
        <v/>
      </c>
      <c r="BG15" s="7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7" t="str">
        <f>IF(OR('A créer'!D15="Oui",LEN('A créer'!D15)=0,LEN('A créer'!C15)=0),"","ZZZZZZZZZZ")</f>
        <v/>
      </c>
      <c r="BJ15" s="7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7" t="str">
        <f>IF(OR('A créer'!D15="Oui",LEN('A créer'!D15)=0,LEN('A créer'!C15)=0),"","ZZZZZZZZZZZZZZZ")</f>
        <v/>
      </c>
      <c r="BM15" s="7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7" t="str">
        <f>IF(OR('A créer'!D15="Oui",LEN('A créer'!D15)=0,LEN('A créer'!C15)=0),"","ZZZ")</f>
        <v/>
      </c>
      <c r="BP15" s="7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7" t="str">
        <f>IF(OR('A créer'!D15="Oui",LEN('A créer'!D15)=0,LEN('A créer'!C15)=0),"","ZZZZZZZZZZ")</f>
        <v/>
      </c>
      <c r="BS15" s="7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7" t="str">
        <f>IF(OR('A créer'!D15="Oui",LEN('A créer'!D15)=0,LEN('A créer'!C15)=0),"","ZZZZZZZZZZ")</f>
        <v/>
      </c>
      <c r="BV15" s="7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7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7" t="str">
        <f>IF(LEN('A créer'!C16)=0,"",'A créer'!A16)</f>
        <v/>
      </c>
      <c r="E16" s="2" t="str">
        <f>IF(LEN('A créer'!C16)=0,"","Tab")</f>
        <v/>
      </c>
      <c r="F16" s="7" t="str">
        <f>IF(LEN('A créer'!C16)=0,"",0)</f>
        <v/>
      </c>
      <c r="G16" s="2" t="str">
        <f>IF(LEN('A créer'!C16)=0,"","Tab")</f>
        <v/>
      </c>
      <c r="H16" s="7" t="str">
        <f>IF(LEN('A créer'!C16)=0,"","ZZZ")</f>
        <v/>
      </c>
      <c r="I16" s="7" t="str">
        <f>IF(LEN('A créer'!C16)=0,"","0")</f>
        <v/>
      </c>
      <c r="J16" s="2" t="str">
        <f>IF(LEN('A créer'!C16)=0,"","Tab")</f>
        <v/>
      </c>
      <c r="K16" s="7" t="str">
        <f>IF(LEN('A créer'!C16)=0,"","ZZZZZZ")</f>
        <v/>
      </c>
      <c r="L16" s="7" t="str">
        <f>IF(LEN('A créer'!C16)=0,"","0")</f>
        <v/>
      </c>
      <c r="M16" s="2" t="str">
        <f>IF(LEN('A créer'!C16)=0,"","Tab")</f>
        <v/>
      </c>
      <c r="N16" s="7" t="str">
        <f>IF(LEN('A créer'!C16)=0,"","ZZZZZ")</f>
        <v/>
      </c>
      <c r="O16" s="7" t="str">
        <f>IF(LEN('A créer'!C16)=0,"",CONCATENATE('A créer'!B16,'A créer'!A16))</f>
        <v/>
      </c>
      <c r="P16" s="2" t="str">
        <f>IF(LEN('A créer'!C16)=0,"","Tab")</f>
        <v/>
      </c>
      <c r="Q16" s="7" t="str">
        <f>IF(LEN('A créer'!C16)=0,"","0")</f>
        <v/>
      </c>
      <c r="R16" s="2" t="str">
        <f>IF(LEN('A créer'!C16)=0,"","Tab")</f>
        <v/>
      </c>
      <c r="S16" s="7" t="str">
        <f>IF(LEN('A créer'!C16)=0,"","ZZZZZZZZZZ")</f>
        <v/>
      </c>
      <c r="T16" s="7" t="str">
        <f>IF(LEN('A créer'!C16)=0,"","0")</f>
        <v/>
      </c>
      <c r="U16" s="2" t="str">
        <f>IF(LEN('A créer'!C16)=0,"","Tab")</f>
        <v/>
      </c>
      <c r="V16" s="7" t="str">
        <f>IF(LEN('A créer'!C16)=0,"","ZZZZZZZZZZ")</f>
        <v/>
      </c>
      <c r="W16" s="7" t="str">
        <f>IF(LEN('A créer'!C16)=0,"","0")</f>
        <v/>
      </c>
      <c r="X16" s="2" t="str">
        <f>IF(LEN('A créer'!C16)=0,"","Tab")</f>
        <v/>
      </c>
      <c r="Y16" s="7" t="str">
        <f>IF(LEN('A créer'!C16)=0,"","ZZZZZZZZZZZZZZZ")</f>
        <v/>
      </c>
      <c r="Z16" s="7" t="str">
        <f>IF(LEN('A créer'!C16)=0,"","0")</f>
        <v/>
      </c>
      <c r="AA16" s="2" t="str">
        <f>IF(LEN('A créer'!C16)=0,"","Tab")</f>
        <v/>
      </c>
      <c r="AB16" s="7" t="str">
        <f>IF(LEN('A créer'!C16)=0,"","ZZZ")</f>
        <v/>
      </c>
      <c r="AC16" s="7" t="str">
        <f>IF(LEN('A créer'!C16)=0,"","0")</f>
        <v/>
      </c>
      <c r="AD16" s="2" t="str">
        <f>IF(LEN('A créer'!C16)=0,"","Tab")</f>
        <v/>
      </c>
      <c r="AE16" s="7" t="str">
        <f>IF(LEN('A créer'!C16)=0,"","ZZZZZZZZZZ")</f>
        <v/>
      </c>
      <c r="AF16" s="7" t="str">
        <f>IF(LEN('A créer'!C16)=0,"","0")</f>
        <v/>
      </c>
      <c r="AG16" s="2" t="str">
        <f>IF(LEN('A créer'!C16)=0,"","Tab")</f>
        <v/>
      </c>
      <c r="AH16" s="7" t="str">
        <f>IF(LEN('A créer'!C16)=0,"","ZZZZZZZZZZ")</f>
        <v/>
      </c>
      <c r="AI16" s="7" t="str">
        <f>IF(LEN('A créer'!C16)=0,"","0")</f>
        <v/>
      </c>
      <c r="AJ16" s="2" t="str">
        <f>IF(LEN('A créer'!C16)=0,"","Tab")</f>
        <v/>
      </c>
      <c r="AK16" s="7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7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7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7" t="str">
        <f>IF(OR('A créer'!D16="Oui",LEN('A créer'!D16)=0,LEN('A créer'!C16)=0),"","ZZZ")</f>
        <v/>
      </c>
      <c r="AV16" s="7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7" t="str">
        <f>IF(OR('A créer'!D16="Oui",LEN('A créer'!D16)=0,LEN('A créer'!C16)=0),"","ZZZZZZ")</f>
        <v/>
      </c>
      <c r="AY16" s="7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7" t="str">
        <f>IF(OR('A créer'!D16="Oui",LEN('A créer'!D16)=0,LEN('A créer'!C16)=0),"","ZZZZZ")</f>
        <v/>
      </c>
      <c r="BB16" s="7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7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7" t="str">
        <f>IF(OR('A créer'!D16="Oui",LEN('A créer'!D16)=0,LEN('A créer'!C16)=0),"","ZZZZZZZZZZ")</f>
        <v/>
      </c>
      <c r="BG16" s="7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7" t="str">
        <f>IF(OR('A créer'!D16="Oui",LEN('A créer'!D16)=0,LEN('A créer'!C16)=0),"","ZZZZZZZZZZ")</f>
        <v/>
      </c>
      <c r="BJ16" s="7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7" t="str">
        <f>IF(OR('A créer'!D16="Oui",LEN('A créer'!D16)=0,LEN('A créer'!C16)=0),"","ZZZZZZZZZZZZZZZ")</f>
        <v/>
      </c>
      <c r="BM16" s="7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7" t="str">
        <f>IF(OR('A créer'!D16="Oui",LEN('A créer'!D16)=0,LEN('A créer'!C16)=0),"","ZZZ")</f>
        <v/>
      </c>
      <c r="BP16" s="7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7" t="str">
        <f>IF(OR('A créer'!D16="Oui",LEN('A créer'!D16)=0,LEN('A créer'!C16)=0),"","ZZZZZZZZZZ")</f>
        <v/>
      </c>
      <c r="BS16" s="7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7" t="str">
        <f>IF(OR('A créer'!D16="Oui",LEN('A créer'!D16)=0,LEN('A créer'!C16)=0),"","ZZZZZZZZZZ")</f>
        <v/>
      </c>
      <c r="BV16" s="7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7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7" t="str">
        <f>IF(LEN('A créer'!C17)=0,"",'A créer'!A17)</f>
        <v/>
      </c>
      <c r="E17" s="2" t="str">
        <f>IF(LEN('A créer'!C17)=0,"","Tab")</f>
        <v/>
      </c>
      <c r="F17" s="7" t="str">
        <f>IF(LEN('A créer'!C17)=0,"",0)</f>
        <v/>
      </c>
      <c r="G17" s="2" t="str">
        <f>IF(LEN('A créer'!C17)=0,"","Tab")</f>
        <v/>
      </c>
      <c r="H17" s="7" t="str">
        <f>IF(LEN('A créer'!C17)=0,"","ZZZ")</f>
        <v/>
      </c>
      <c r="I17" s="7" t="str">
        <f>IF(LEN('A créer'!C17)=0,"","0")</f>
        <v/>
      </c>
      <c r="J17" s="2" t="str">
        <f>IF(LEN('A créer'!C17)=0,"","Tab")</f>
        <v/>
      </c>
      <c r="K17" s="7" t="str">
        <f>IF(LEN('A créer'!C17)=0,"","ZZZZZZ")</f>
        <v/>
      </c>
      <c r="L17" s="7" t="str">
        <f>IF(LEN('A créer'!C17)=0,"","0")</f>
        <v/>
      </c>
      <c r="M17" s="2" t="str">
        <f>IF(LEN('A créer'!C17)=0,"","Tab")</f>
        <v/>
      </c>
      <c r="N17" s="7" t="str">
        <f>IF(LEN('A créer'!C17)=0,"","ZZZZZ")</f>
        <v/>
      </c>
      <c r="O17" s="7" t="str">
        <f>IF(LEN('A créer'!C17)=0,"",CONCATENATE('A créer'!B17,'A créer'!A17))</f>
        <v/>
      </c>
      <c r="P17" s="2" t="str">
        <f>IF(LEN('A créer'!C17)=0,"","Tab")</f>
        <v/>
      </c>
      <c r="Q17" s="7" t="str">
        <f>IF(LEN('A créer'!C17)=0,"","0")</f>
        <v/>
      </c>
      <c r="R17" s="2" t="str">
        <f>IF(LEN('A créer'!C17)=0,"","Tab")</f>
        <v/>
      </c>
      <c r="S17" s="7" t="str">
        <f>IF(LEN('A créer'!C17)=0,"","ZZZZZZZZZZ")</f>
        <v/>
      </c>
      <c r="T17" s="7" t="str">
        <f>IF(LEN('A créer'!C17)=0,"","0")</f>
        <v/>
      </c>
      <c r="U17" s="2" t="str">
        <f>IF(LEN('A créer'!C17)=0,"","Tab")</f>
        <v/>
      </c>
      <c r="V17" s="7" t="str">
        <f>IF(LEN('A créer'!C17)=0,"","ZZZZZZZZZZ")</f>
        <v/>
      </c>
      <c r="W17" s="7" t="str">
        <f>IF(LEN('A créer'!C17)=0,"","0")</f>
        <v/>
      </c>
      <c r="X17" s="2" t="str">
        <f>IF(LEN('A créer'!C17)=0,"","Tab")</f>
        <v/>
      </c>
      <c r="Y17" s="7" t="str">
        <f>IF(LEN('A créer'!C17)=0,"","ZZZZZZZZZZZZZZZ")</f>
        <v/>
      </c>
      <c r="Z17" s="7" t="str">
        <f>IF(LEN('A créer'!C17)=0,"","0")</f>
        <v/>
      </c>
      <c r="AA17" s="2" t="str">
        <f>IF(LEN('A créer'!C17)=0,"","Tab")</f>
        <v/>
      </c>
      <c r="AB17" s="7" t="str">
        <f>IF(LEN('A créer'!C17)=0,"","ZZZ")</f>
        <v/>
      </c>
      <c r="AC17" s="7" t="str">
        <f>IF(LEN('A créer'!C17)=0,"","0")</f>
        <v/>
      </c>
      <c r="AD17" s="2" t="str">
        <f>IF(LEN('A créer'!C17)=0,"","Tab")</f>
        <v/>
      </c>
      <c r="AE17" s="7" t="str">
        <f>IF(LEN('A créer'!C17)=0,"","ZZZZZZZZZZ")</f>
        <v/>
      </c>
      <c r="AF17" s="7" t="str">
        <f>IF(LEN('A créer'!C17)=0,"","0")</f>
        <v/>
      </c>
      <c r="AG17" s="2" t="str">
        <f>IF(LEN('A créer'!C17)=0,"","Tab")</f>
        <v/>
      </c>
      <c r="AH17" s="7" t="str">
        <f>IF(LEN('A créer'!C17)=0,"","ZZZZZZZZZZ")</f>
        <v/>
      </c>
      <c r="AI17" s="7" t="str">
        <f>IF(LEN('A créer'!C17)=0,"","0")</f>
        <v/>
      </c>
      <c r="AJ17" s="2" t="str">
        <f>IF(LEN('A créer'!C17)=0,"","Tab")</f>
        <v/>
      </c>
      <c r="AK17" s="7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7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7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7" t="str">
        <f>IF(OR('A créer'!D17="Oui",LEN('A créer'!D17)=0,LEN('A créer'!C17)=0),"","ZZZ")</f>
        <v/>
      </c>
      <c r="AV17" s="7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7" t="str">
        <f>IF(OR('A créer'!D17="Oui",LEN('A créer'!D17)=0,LEN('A créer'!C17)=0),"","ZZZZZZ")</f>
        <v/>
      </c>
      <c r="AY17" s="7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7" t="str">
        <f>IF(OR('A créer'!D17="Oui",LEN('A créer'!D17)=0,LEN('A créer'!C17)=0),"","ZZZZZ")</f>
        <v/>
      </c>
      <c r="BB17" s="7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7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7" t="str">
        <f>IF(OR('A créer'!D17="Oui",LEN('A créer'!D17)=0,LEN('A créer'!C17)=0),"","ZZZZZZZZZZ")</f>
        <v/>
      </c>
      <c r="BG17" s="7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7" t="str">
        <f>IF(OR('A créer'!D17="Oui",LEN('A créer'!D17)=0,LEN('A créer'!C17)=0),"","ZZZZZZZZZZ")</f>
        <v/>
      </c>
      <c r="BJ17" s="7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7" t="str">
        <f>IF(OR('A créer'!D17="Oui",LEN('A créer'!D17)=0,LEN('A créer'!C17)=0),"","ZZZZZZZZZZZZZZZ")</f>
        <v/>
      </c>
      <c r="BM17" s="7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7" t="str">
        <f>IF(OR('A créer'!D17="Oui",LEN('A créer'!D17)=0,LEN('A créer'!C17)=0),"","ZZZ")</f>
        <v/>
      </c>
      <c r="BP17" s="7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7" t="str">
        <f>IF(OR('A créer'!D17="Oui",LEN('A créer'!D17)=0,LEN('A créer'!C17)=0),"","ZZZZZZZZZZ")</f>
        <v/>
      </c>
      <c r="BS17" s="7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7" t="str">
        <f>IF(OR('A créer'!D17="Oui",LEN('A créer'!D17)=0,LEN('A créer'!C17)=0),"","ZZZZZZZZZZ")</f>
        <v/>
      </c>
      <c r="BV17" s="7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7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7" t="str">
        <f>IF(LEN('A créer'!C18)=0,"",'A créer'!A18)</f>
        <v/>
      </c>
      <c r="E18" s="2" t="str">
        <f>IF(LEN('A créer'!C18)=0,"","Tab")</f>
        <v/>
      </c>
      <c r="F18" s="7" t="str">
        <f>IF(LEN('A créer'!C18)=0,"",0)</f>
        <v/>
      </c>
      <c r="G18" s="2" t="str">
        <f>IF(LEN('A créer'!C18)=0,"","Tab")</f>
        <v/>
      </c>
      <c r="H18" s="7" t="str">
        <f>IF(LEN('A créer'!C18)=0,"","ZZZ")</f>
        <v/>
      </c>
      <c r="I18" s="7" t="str">
        <f>IF(LEN('A créer'!C18)=0,"","0")</f>
        <v/>
      </c>
      <c r="J18" s="2" t="str">
        <f>IF(LEN('A créer'!C18)=0,"","Tab")</f>
        <v/>
      </c>
      <c r="K18" s="7" t="str">
        <f>IF(LEN('A créer'!C18)=0,"","ZZZZZZ")</f>
        <v/>
      </c>
      <c r="L18" s="7" t="str">
        <f>IF(LEN('A créer'!C18)=0,"","0")</f>
        <v/>
      </c>
      <c r="M18" s="2" t="str">
        <f>IF(LEN('A créer'!C18)=0,"","Tab")</f>
        <v/>
      </c>
      <c r="N18" s="7" t="str">
        <f>IF(LEN('A créer'!C18)=0,"","ZZZZZ")</f>
        <v/>
      </c>
      <c r="O18" s="7" t="str">
        <f>IF(LEN('A créer'!C18)=0,"",CONCATENATE('A créer'!B18,'A créer'!A18))</f>
        <v/>
      </c>
      <c r="P18" s="2" t="str">
        <f>IF(LEN('A créer'!C18)=0,"","Tab")</f>
        <v/>
      </c>
      <c r="Q18" s="7" t="str">
        <f>IF(LEN('A créer'!C18)=0,"","0")</f>
        <v/>
      </c>
      <c r="R18" s="2" t="str">
        <f>IF(LEN('A créer'!C18)=0,"","Tab")</f>
        <v/>
      </c>
      <c r="S18" s="7" t="str">
        <f>IF(LEN('A créer'!C18)=0,"","ZZZZZZZZZZ")</f>
        <v/>
      </c>
      <c r="T18" s="7" t="str">
        <f>IF(LEN('A créer'!C18)=0,"","0")</f>
        <v/>
      </c>
      <c r="U18" s="2" t="str">
        <f>IF(LEN('A créer'!C18)=0,"","Tab")</f>
        <v/>
      </c>
      <c r="V18" s="7" t="str">
        <f>IF(LEN('A créer'!C18)=0,"","ZZZZZZZZZZ")</f>
        <v/>
      </c>
      <c r="W18" s="7" t="str">
        <f>IF(LEN('A créer'!C18)=0,"","0")</f>
        <v/>
      </c>
      <c r="X18" s="2" t="str">
        <f>IF(LEN('A créer'!C18)=0,"","Tab")</f>
        <v/>
      </c>
      <c r="Y18" s="7" t="str">
        <f>IF(LEN('A créer'!C18)=0,"","ZZZZZZZZZZZZZZZ")</f>
        <v/>
      </c>
      <c r="Z18" s="7" t="str">
        <f>IF(LEN('A créer'!C18)=0,"","0")</f>
        <v/>
      </c>
      <c r="AA18" s="2" t="str">
        <f>IF(LEN('A créer'!C18)=0,"","Tab")</f>
        <v/>
      </c>
      <c r="AB18" s="7" t="str">
        <f>IF(LEN('A créer'!C18)=0,"","ZZZ")</f>
        <v/>
      </c>
      <c r="AC18" s="7" t="str">
        <f>IF(LEN('A créer'!C18)=0,"","0")</f>
        <v/>
      </c>
      <c r="AD18" s="2" t="str">
        <f>IF(LEN('A créer'!C18)=0,"","Tab")</f>
        <v/>
      </c>
      <c r="AE18" s="7" t="str">
        <f>IF(LEN('A créer'!C18)=0,"","ZZZZZZZZZZ")</f>
        <v/>
      </c>
      <c r="AF18" s="7" t="str">
        <f>IF(LEN('A créer'!C18)=0,"","0")</f>
        <v/>
      </c>
      <c r="AG18" s="2" t="str">
        <f>IF(LEN('A créer'!C18)=0,"","Tab")</f>
        <v/>
      </c>
      <c r="AH18" s="7" t="str">
        <f>IF(LEN('A créer'!C18)=0,"","ZZZZZZZZZZ")</f>
        <v/>
      </c>
      <c r="AI18" s="7" t="str">
        <f>IF(LEN('A créer'!C18)=0,"","0")</f>
        <v/>
      </c>
      <c r="AJ18" s="2" t="str">
        <f>IF(LEN('A créer'!C18)=0,"","Tab")</f>
        <v/>
      </c>
      <c r="AK18" s="7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7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7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7" t="str">
        <f>IF(OR('A créer'!D18="Oui",LEN('A créer'!D18)=0,LEN('A créer'!C18)=0),"","ZZZ")</f>
        <v/>
      </c>
      <c r="AV18" s="7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7" t="str">
        <f>IF(OR('A créer'!D18="Oui",LEN('A créer'!D18)=0,LEN('A créer'!C18)=0),"","ZZZZZZ")</f>
        <v/>
      </c>
      <c r="AY18" s="7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7" t="str">
        <f>IF(OR('A créer'!D18="Oui",LEN('A créer'!D18)=0,LEN('A créer'!C18)=0),"","ZZZZZ")</f>
        <v/>
      </c>
      <c r="BB18" s="7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7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7" t="str">
        <f>IF(OR('A créer'!D18="Oui",LEN('A créer'!D18)=0,LEN('A créer'!C18)=0),"","ZZZZZZZZZZ")</f>
        <v/>
      </c>
      <c r="BG18" s="7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7" t="str">
        <f>IF(OR('A créer'!D18="Oui",LEN('A créer'!D18)=0,LEN('A créer'!C18)=0),"","ZZZZZZZZZZ")</f>
        <v/>
      </c>
      <c r="BJ18" s="7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7" t="str">
        <f>IF(OR('A créer'!D18="Oui",LEN('A créer'!D18)=0,LEN('A créer'!C18)=0),"","ZZZZZZZZZZZZZZZ")</f>
        <v/>
      </c>
      <c r="BM18" s="7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7" t="str">
        <f>IF(OR('A créer'!D18="Oui",LEN('A créer'!D18)=0,LEN('A créer'!C18)=0),"","ZZZ")</f>
        <v/>
      </c>
      <c r="BP18" s="7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7" t="str">
        <f>IF(OR('A créer'!D18="Oui",LEN('A créer'!D18)=0,LEN('A créer'!C18)=0),"","ZZZZZZZZZZ")</f>
        <v/>
      </c>
      <c r="BS18" s="7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7" t="str">
        <f>IF(OR('A créer'!D18="Oui",LEN('A créer'!D18)=0,LEN('A créer'!C18)=0),"","ZZZZZZZZZZ")</f>
        <v/>
      </c>
      <c r="BV18" s="7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7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7" t="str">
        <f>IF(LEN('A créer'!C19)=0,"",'A créer'!A19)</f>
        <v/>
      </c>
      <c r="E19" s="2" t="str">
        <f>IF(LEN('A créer'!C19)=0,"","Tab")</f>
        <v/>
      </c>
      <c r="F19" s="7" t="str">
        <f>IF(LEN('A créer'!C19)=0,"",0)</f>
        <v/>
      </c>
      <c r="G19" s="2" t="str">
        <f>IF(LEN('A créer'!C19)=0,"","Tab")</f>
        <v/>
      </c>
      <c r="H19" s="7" t="str">
        <f>IF(LEN('A créer'!C19)=0,"","ZZZ")</f>
        <v/>
      </c>
      <c r="I19" s="7" t="str">
        <f>IF(LEN('A créer'!C19)=0,"","0")</f>
        <v/>
      </c>
      <c r="J19" s="2" t="str">
        <f>IF(LEN('A créer'!C19)=0,"","Tab")</f>
        <v/>
      </c>
      <c r="K19" s="7" t="str">
        <f>IF(LEN('A créer'!C19)=0,"","ZZZZZZ")</f>
        <v/>
      </c>
      <c r="L19" s="7" t="str">
        <f>IF(LEN('A créer'!C19)=0,"","0")</f>
        <v/>
      </c>
      <c r="M19" s="2" t="str">
        <f>IF(LEN('A créer'!C19)=0,"","Tab")</f>
        <v/>
      </c>
      <c r="N19" s="7" t="str">
        <f>IF(LEN('A créer'!C19)=0,"","ZZZZZ")</f>
        <v/>
      </c>
      <c r="O19" s="7" t="str">
        <f>IF(LEN('A créer'!C19)=0,"",CONCATENATE('A créer'!B19,'A créer'!A19))</f>
        <v/>
      </c>
      <c r="P19" s="2" t="str">
        <f>IF(LEN('A créer'!C19)=0,"","Tab")</f>
        <v/>
      </c>
      <c r="Q19" s="7" t="str">
        <f>IF(LEN('A créer'!C19)=0,"","0")</f>
        <v/>
      </c>
      <c r="R19" s="2" t="str">
        <f>IF(LEN('A créer'!C19)=0,"","Tab")</f>
        <v/>
      </c>
      <c r="S19" s="7" t="str">
        <f>IF(LEN('A créer'!C19)=0,"","ZZZZZZZZZZ")</f>
        <v/>
      </c>
      <c r="T19" s="7" t="str">
        <f>IF(LEN('A créer'!C19)=0,"","0")</f>
        <v/>
      </c>
      <c r="U19" s="2" t="str">
        <f>IF(LEN('A créer'!C19)=0,"","Tab")</f>
        <v/>
      </c>
      <c r="V19" s="7" t="str">
        <f>IF(LEN('A créer'!C19)=0,"","ZZZZZZZZZZ")</f>
        <v/>
      </c>
      <c r="W19" s="7" t="str">
        <f>IF(LEN('A créer'!C19)=0,"","0")</f>
        <v/>
      </c>
      <c r="X19" s="2" t="str">
        <f>IF(LEN('A créer'!C19)=0,"","Tab")</f>
        <v/>
      </c>
      <c r="Y19" s="7" t="str">
        <f>IF(LEN('A créer'!C19)=0,"","ZZZZZZZZZZZZZZZ")</f>
        <v/>
      </c>
      <c r="Z19" s="7" t="str">
        <f>IF(LEN('A créer'!C19)=0,"","0")</f>
        <v/>
      </c>
      <c r="AA19" s="2" t="str">
        <f>IF(LEN('A créer'!C19)=0,"","Tab")</f>
        <v/>
      </c>
      <c r="AB19" s="7" t="str">
        <f>IF(LEN('A créer'!C19)=0,"","ZZZ")</f>
        <v/>
      </c>
      <c r="AC19" s="7" t="str">
        <f>IF(LEN('A créer'!C19)=0,"","0")</f>
        <v/>
      </c>
      <c r="AD19" s="2" t="str">
        <f>IF(LEN('A créer'!C19)=0,"","Tab")</f>
        <v/>
      </c>
      <c r="AE19" s="7" t="str">
        <f>IF(LEN('A créer'!C19)=0,"","ZZZZZZZZZZ")</f>
        <v/>
      </c>
      <c r="AF19" s="7" t="str">
        <f>IF(LEN('A créer'!C19)=0,"","0")</f>
        <v/>
      </c>
      <c r="AG19" s="2" t="str">
        <f>IF(LEN('A créer'!C19)=0,"","Tab")</f>
        <v/>
      </c>
      <c r="AH19" s="7" t="str">
        <f>IF(LEN('A créer'!C19)=0,"","ZZZZZZZZZZ")</f>
        <v/>
      </c>
      <c r="AI19" s="7" t="str">
        <f>IF(LEN('A créer'!C19)=0,"","0")</f>
        <v/>
      </c>
      <c r="AJ19" s="2" t="str">
        <f>IF(LEN('A créer'!C19)=0,"","Tab")</f>
        <v/>
      </c>
      <c r="AK19" s="7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7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7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7" t="str">
        <f>IF(OR('A créer'!D19="Oui",LEN('A créer'!D19)=0,LEN('A créer'!C19)=0),"","ZZZ")</f>
        <v/>
      </c>
      <c r="AV19" s="7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7" t="str">
        <f>IF(OR('A créer'!D19="Oui",LEN('A créer'!D19)=0,LEN('A créer'!C19)=0),"","ZZZZZZ")</f>
        <v/>
      </c>
      <c r="AY19" s="7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7" t="str">
        <f>IF(OR('A créer'!D19="Oui",LEN('A créer'!D19)=0,LEN('A créer'!C19)=0),"","ZZZZZ")</f>
        <v/>
      </c>
      <c r="BB19" s="7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7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7" t="str">
        <f>IF(OR('A créer'!D19="Oui",LEN('A créer'!D19)=0,LEN('A créer'!C19)=0),"","ZZZZZZZZZZ")</f>
        <v/>
      </c>
      <c r="BG19" s="7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7" t="str">
        <f>IF(OR('A créer'!D19="Oui",LEN('A créer'!D19)=0,LEN('A créer'!C19)=0),"","ZZZZZZZZZZ")</f>
        <v/>
      </c>
      <c r="BJ19" s="7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7" t="str">
        <f>IF(OR('A créer'!D19="Oui",LEN('A créer'!D19)=0,LEN('A créer'!C19)=0),"","ZZZZZZZZZZZZZZZ")</f>
        <v/>
      </c>
      <c r="BM19" s="7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7" t="str">
        <f>IF(OR('A créer'!D19="Oui",LEN('A créer'!D19)=0,LEN('A créer'!C19)=0),"","ZZZ")</f>
        <v/>
      </c>
      <c r="BP19" s="7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7" t="str">
        <f>IF(OR('A créer'!D19="Oui",LEN('A créer'!D19)=0,LEN('A créer'!C19)=0),"","ZZZZZZZZZZ")</f>
        <v/>
      </c>
      <c r="BS19" s="7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7" t="str">
        <f>IF(OR('A créer'!D19="Oui",LEN('A créer'!D19)=0,LEN('A créer'!C19)=0),"","ZZZZZZZZZZ")</f>
        <v/>
      </c>
      <c r="BV19" s="7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7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7" t="str">
        <f>IF(LEN('A créer'!C20)=0,"",'A créer'!A20)</f>
        <v/>
      </c>
      <c r="E20" s="2" t="str">
        <f>IF(LEN('A créer'!C20)=0,"","Tab")</f>
        <v/>
      </c>
      <c r="F20" s="7" t="str">
        <f>IF(LEN('A créer'!C20)=0,"",0)</f>
        <v/>
      </c>
      <c r="G20" s="2" t="str">
        <f>IF(LEN('A créer'!C20)=0,"","Tab")</f>
        <v/>
      </c>
      <c r="H20" s="7" t="str">
        <f>IF(LEN('A créer'!C20)=0,"","ZZZ")</f>
        <v/>
      </c>
      <c r="I20" s="7" t="str">
        <f>IF(LEN('A créer'!C20)=0,"","0")</f>
        <v/>
      </c>
      <c r="J20" s="2" t="str">
        <f>IF(LEN('A créer'!C20)=0,"","Tab")</f>
        <v/>
      </c>
      <c r="K20" s="7" t="str">
        <f>IF(LEN('A créer'!C20)=0,"","ZZZZZZ")</f>
        <v/>
      </c>
      <c r="L20" s="7" t="str">
        <f>IF(LEN('A créer'!C20)=0,"","0")</f>
        <v/>
      </c>
      <c r="M20" s="2" t="str">
        <f>IF(LEN('A créer'!C20)=0,"","Tab")</f>
        <v/>
      </c>
      <c r="N20" s="7" t="str">
        <f>IF(LEN('A créer'!C20)=0,"","ZZZZZ")</f>
        <v/>
      </c>
      <c r="O20" s="7" t="str">
        <f>IF(LEN('A créer'!C20)=0,"",CONCATENATE('A créer'!B20,'A créer'!A20))</f>
        <v/>
      </c>
      <c r="P20" s="2" t="str">
        <f>IF(LEN('A créer'!C20)=0,"","Tab")</f>
        <v/>
      </c>
      <c r="Q20" s="7" t="str">
        <f>IF(LEN('A créer'!C20)=0,"","0")</f>
        <v/>
      </c>
      <c r="R20" s="2" t="str">
        <f>IF(LEN('A créer'!C20)=0,"","Tab")</f>
        <v/>
      </c>
      <c r="S20" s="7" t="str">
        <f>IF(LEN('A créer'!C20)=0,"","ZZZZZZZZZZ")</f>
        <v/>
      </c>
      <c r="T20" s="7" t="str">
        <f>IF(LEN('A créer'!C20)=0,"","0")</f>
        <v/>
      </c>
      <c r="U20" s="2" t="str">
        <f>IF(LEN('A créer'!C20)=0,"","Tab")</f>
        <v/>
      </c>
      <c r="V20" s="7" t="str">
        <f>IF(LEN('A créer'!C20)=0,"","ZZZZZZZZZZ")</f>
        <v/>
      </c>
      <c r="W20" s="7" t="str">
        <f>IF(LEN('A créer'!C20)=0,"","0")</f>
        <v/>
      </c>
      <c r="X20" s="2" t="str">
        <f>IF(LEN('A créer'!C20)=0,"","Tab")</f>
        <v/>
      </c>
      <c r="Y20" s="7" t="str">
        <f>IF(LEN('A créer'!C20)=0,"","ZZZZZZZZZZZZZZZ")</f>
        <v/>
      </c>
      <c r="Z20" s="7" t="str">
        <f>IF(LEN('A créer'!C20)=0,"","0")</f>
        <v/>
      </c>
      <c r="AA20" s="2" t="str">
        <f>IF(LEN('A créer'!C20)=0,"","Tab")</f>
        <v/>
      </c>
      <c r="AB20" s="7" t="str">
        <f>IF(LEN('A créer'!C20)=0,"","ZZZ")</f>
        <v/>
      </c>
      <c r="AC20" s="7" t="str">
        <f>IF(LEN('A créer'!C20)=0,"","0")</f>
        <v/>
      </c>
      <c r="AD20" s="2" t="str">
        <f>IF(LEN('A créer'!C20)=0,"","Tab")</f>
        <v/>
      </c>
      <c r="AE20" s="7" t="str">
        <f>IF(LEN('A créer'!C20)=0,"","ZZZZZZZZZZ")</f>
        <v/>
      </c>
      <c r="AF20" s="7" t="str">
        <f>IF(LEN('A créer'!C20)=0,"","0")</f>
        <v/>
      </c>
      <c r="AG20" s="2" t="str">
        <f>IF(LEN('A créer'!C20)=0,"","Tab")</f>
        <v/>
      </c>
      <c r="AH20" s="7" t="str">
        <f>IF(LEN('A créer'!C20)=0,"","ZZZZZZZZZZ")</f>
        <v/>
      </c>
      <c r="AI20" s="7" t="str">
        <f>IF(LEN('A créer'!C20)=0,"","0")</f>
        <v/>
      </c>
      <c r="AJ20" s="2" t="str">
        <f>IF(LEN('A créer'!C20)=0,"","Tab")</f>
        <v/>
      </c>
      <c r="AK20" s="7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7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7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7" t="str">
        <f>IF(OR('A créer'!D20="Oui",LEN('A créer'!D20)=0,LEN('A créer'!C20)=0),"","ZZZ")</f>
        <v/>
      </c>
      <c r="AV20" s="7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7" t="str">
        <f>IF(OR('A créer'!D20="Oui",LEN('A créer'!D20)=0,LEN('A créer'!C20)=0),"","ZZZZZZ")</f>
        <v/>
      </c>
      <c r="AY20" s="7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7" t="str">
        <f>IF(OR('A créer'!D20="Oui",LEN('A créer'!D20)=0,LEN('A créer'!C20)=0),"","ZZZZZ")</f>
        <v/>
      </c>
      <c r="BB20" s="7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7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7" t="str">
        <f>IF(OR('A créer'!D20="Oui",LEN('A créer'!D20)=0,LEN('A créer'!C20)=0),"","ZZZZZZZZZZ")</f>
        <v/>
      </c>
      <c r="BG20" s="7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7" t="str">
        <f>IF(OR('A créer'!D20="Oui",LEN('A créer'!D20)=0,LEN('A créer'!C20)=0),"","ZZZZZZZZZZ")</f>
        <v/>
      </c>
      <c r="BJ20" s="7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7" t="str">
        <f>IF(OR('A créer'!D20="Oui",LEN('A créer'!D20)=0,LEN('A créer'!C20)=0),"","ZZZZZZZZZZZZZZZ")</f>
        <v/>
      </c>
      <c r="BM20" s="7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7" t="str">
        <f>IF(OR('A créer'!D20="Oui",LEN('A créer'!D20)=0,LEN('A créer'!C20)=0),"","ZZZ")</f>
        <v/>
      </c>
      <c r="BP20" s="7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7" t="str">
        <f>IF(OR('A créer'!D20="Oui",LEN('A créer'!D20)=0,LEN('A créer'!C20)=0),"","ZZZZZZZZZZ")</f>
        <v/>
      </c>
      <c r="BS20" s="7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7" t="str">
        <f>IF(OR('A créer'!D20="Oui",LEN('A créer'!D20)=0,LEN('A créer'!C20)=0),"","ZZZZZZZZZZ")</f>
        <v/>
      </c>
      <c r="BV20" s="7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7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7" t="str">
        <f>IF(LEN('A créer'!C21)=0,"",'A créer'!A21)</f>
        <v/>
      </c>
      <c r="E21" s="2" t="str">
        <f>IF(LEN('A créer'!C21)=0,"","Tab")</f>
        <v/>
      </c>
      <c r="F21" s="7" t="str">
        <f>IF(LEN('A créer'!C21)=0,"",0)</f>
        <v/>
      </c>
      <c r="G21" s="2" t="str">
        <f>IF(LEN('A créer'!C21)=0,"","Tab")</f>
        <v/>
      </c>
      <c r="H21" s="7" t="str">
        <f>IF(LEN('A créer'!C21)=0,"","ZZZ")</f>
        <v/>
      </c>
      <c r="I21" s="7" t="str">
        <f>IF(LEN('A créer'!C21)=0,"","0")</f>
        <v/>
      </c>
      <c r="J21" s="2" t="str">
        <f>IF(LEN('A créer'!C21)=0,"","Tab")</f>
        <v/>
      </c>
      <c r="K21" s="7" t="str">
        <f>IF(LEN('A créer'!C21)=0,"","ZZZZZZ")</f>
        <v/>
      </c>
      <c r="L21" s="7" t="str">
        <f>IF(LEN('A créer'!C21)=0,"","0")</f>
        <v/>
      </c>
      <c r="M21" s="2" t="str">
        <f>IF(LEN('A créer'!C21)=0,"","Tab")</f>
        <v/>
      </c>
      <c r="N21" s="7" t="str">
        <f>IF(LEN('A créer'!C21)=0,"","ZZZZZ")</f>
        <v/>
      </c>
      <c r="O21" s="7" t="str">
        <f>IF(LEN('A créer'!C21)=0,"",CONCATENATE('A créer'!B21,'A créer'!A21))</f>
        <v/>
      </c>
      <c r="P21" s="2" t="str">
        <f>IF(LEN('A créer'!C21)=0,"","Tab")</f>
        <v/>
      </c>
      <c r="Q21" s="7" t="str">
        <f>IF(LEN('A créer'!C21)=0,"","0")</f>
        <v/>
      </c>
      <c r="R21" s="2" t="str">
        <f>IF(LEN('A créer'!C21)=0,"","Tab")</f>
        <v/>
      </c>
      <c r="S21" s="7" t="str">
        <f>IF(LEN('A créer'!C21)=0,"","ZZZZZZZZZZ")</f>
        <v/>
      </c>
      <c r="T21" s="7" t="str">
        <f>IF(LEN('A créer'!C21)=0,"","0")</f>
        <v/>
      </c>
      <c r="U21" s="2" t="str">
        <f>IF(LEN('A créer'!C21)=0,"","Tab")</f>
        <v/>
      </c>
      <c r="V21" s="7" t="str">
        <f>IF(LEN('A créer'!C21)=0,"","ZZZZZZZZZZ")</f>
        <v/>
      </c>
      <c r="W21" s="7" t="str">
        <f>IF(LEN('A créer'!C21)=0,"","0")</f>
        <v/>
      </c>
      <c r="X21" s="2" t="str">
        <f>IF(LEN('A créer'!C21)=0,"","Tab")</f>
        <v/>
      </c>
      <c r="Y21" s="7" t="str">
        <f>IF(LEN('A créer'!C21)=0,"","ZZZZZZZZZZZZZZZ")</f>
        <v/>
      </c>
      <c r="Z21" s="7" t="str">
        <f>IF(LEN('A créer'!C21)=0,"","0")</f>
        <v/>
      </c>
      <c r="AA21" s="2" t="str">
        <f>IF(LEN('A créer'!C21)=0,"","Tab")</f>
        <v/>
      </c>
      <c r="AB21" s="7" t="str">
        <f>IF(LEN('A créer'!C21)=0,"","ZZZ")</f>
        <v/>
      </c>
      <c r="AC21" s="7" t="str">
        <f>IF(LEN('A créer'!C21)=0,"","0")</f>
        <v/>
      </c>
      <c r="AD21" s="2" t="str">
        <f>IF(LEN('A créer'!C21)=0,"","Tab")</f>
        <v/>
      </c>
      <c r="AE21" s="7" t="str">
        <f>IF(LEN('A créer'!C21)=0,"","ZZZZZZZZZZ")</f>
        <v/>
      </c>
      <c r="AF21" s="7" t="str">
        <f>IF(LEN('A créer'!C21)=0,"","0")</f>
        <v/>
      </c>
      <c r="AG21" s="2" t="str">
        <f>IF(LEN('A créer'!C21)=0,"","Tab")</f>
        <v/>
      </c>
      <c r="AH21" s="7" t="str">
        <f>IF(LEN('A créer'!C21)=0,"","ZZZZZZZZZZ")</f>
        <v/>
      </c>
      <c r="AI21" s="7" t="str">
        <f>IF(LEN('A créer'!C21)=0,"","0")</f>
        <v/>
      </c>
      <c r="AJ21" s="2" t="str">
        <f>IF(LEN('A créer'!C21)=0,"","Tab")</f>
        <v/>
      </c>
      <c r="AK21" s="7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7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7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7" t="str">
        <f>IF(OR('A créer'!D21="Oui",LEN('A créer'!D21)=0,LEN('A créer'!C21)=0),"","ZZZ")</f>
        <v/>
      </c>
      <c r="AV21" s="7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7" t="str">
        <f>IF(OR('A créer'!D21="Oui",LEN('A créer'!D21)=0,LEN('A créer'!C21)=0),"","ZZZZZZ")</f>
        <v/>
      </c>
      <c r="AY21" s="7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7" t="str">
        <f>IF(OR('A créer'!D21="Oui",LEN('A créer'!D21)=0,LEN('A créer'!C21)=0),"","ZZZZZ")</f>
        <v/>
      </c>
      <c r="BB21" s="7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7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7" t="str">
        <f>IF(OR('A créer'!D21="Oui",LEN('A créer'!D21)=0,LEN('A créer'!C21)=0),"","ZZZZZZZZZZ")</f>
        <v/>
      </c>
      <c r="BG21" s="7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7" t="str">
        <f>IF(OR('A créer'!D21="Oui",LEN('A créer'!D21)=0,LEN('A créer'!C21)=0),"","ZZZZZZZZZZ")</f>
        <v/>
      </c>
      <c r="BJ21" s="7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7" t="str">
        <f>IF(OR('A créer'!D21="Oui",LEN('A créer'!D21)=0,LEN('A créer'!C21)=0),"","ZZZZZZZZZZZZZZZ")</f>
        <v/>
      </c>
      <c r="BM21" s="7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7" t="str">
        <f>IF(OR('A créer'!D21="Oui",LEN('A créer'!D21)=0,LEN('A créer'!C21)=0),"","ZZZ")</f>
        <v/>
      </c>
      <c r="BP21" s="7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7" t="str">
        <f>IF(OR('A créer'!D21="Oui",LEN('A créer'!D21)=0,LEN('A créer'!C21)=0),"","ZZZZZZZZZZ")</f>
        <v/>
      </c>
      <c r="BS21" s="7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7" t="str">
        <f>IF(OR('A créer'!D21="Oui",LEN('A créer'!D21)=0,LEN('A créer'!C21)=0),"","ZZZZZZZZZZ")</f>
        <v/>
      </c>
      <c r="BV21" s="7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7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7" t="str">
        <f>IF(LEN('A créer'!C22)=0,"",'A créer'!A22)</f>
        <v/>
      </c>
      <c r="E22" s="2" t="str">
        <f>IF(LEN('A créer'!C22)=0,"","Tab")</f>
        <v/>
      </c>
      <c r="F22" s="7" t="str">
        <f>IF(LEN('A créer'!C22)=0,"",0)</f>
        <v/>
      </c>
      <c r="G22" s="2" t="str">
        <f>IF(LEN('A créer'!C22)=0,"","Tab")</f>
        <v/>
      </c>
      <c r="H22" s="7" t="str">
        <f>IF(LEN('A créer'!C22)=0,"","ZZZ")</f>
        <v/>
      </c>
      <c r="I22" s="7" t="str">
        <f>IF(LEN('A créer'!C22)=0,"","0")</f>
        <v/>
      </c>
      <c r="J22" s="2" t="str">
        <f>IF(LEN('A créer'!C22)=0,"","Tab")</f>
        <v/>
      </c>
      <c r="K22" s="7" t="str">
        <f>IF(LEN('A créer'!C22)=0,"","ZZZZZZ")</f>
        <v/>
      </c>
      <c r="L22" s="7" t="str">
        <f>IF(LEN('A créer'!C22)=0,"","0")</f>
        <v/>
      </c>
      <c r="M22" s="2" t="str">
        <f>IF(LEN('A créer'!C22)=0,"","Tab")</f>
        <v/>
      </c>
      <c r="N22" s="7" t="str">
        <f>IF(LEN('A créer'!C22)=0,"","ZZZZZ")</f>
        <v/>
      </c>
      <c r="O22" s="7" t="str">
        <f>IF(LEN('A créer'!C22)=0,"",CONCATENATE('A créer'!B22,'A créer'!A22))</f>
        <v/>
      </c>
      <c r="P22" s="2" t="str">
        <f>IF(LEN('A créer'!C22)=0,"","Tab")</f>
        <v/>
      </c>
      <c r="Q22" s="7" t="str">
        <f>IF(LEN('A créer'!C22)=0,"","0")</f>
        <v/>
      </c>
      <c r="R22" s="2" t="str">
        <f>IF(LEN('A créer'!C22)=0,"","Tab")</f>
        <v/>
      </c>
      <c r="S22" s="7" t="str">
        <f>IF(LEN('A créer'!C22)=0,"","ZZZZZZZZZZ")</f>
        <v/>
      </c>
      <c r="T22" s="7" t="str">
        <f>IF(LEN('A créer'!C22)=0,"","0")</f>
        <v/>
      </c>
      <c r="U22" s="2" t="str">
        <f>IF(LEN('A créer'!C22)=0,"","Tab")</f>
        <v/>
      </c>
      <c r="V22" s="7" t="str">
        <f>IF(LEN('A créer'!C22)=0,"","ZZZZZZZZZZ")</f>
        <v/>
      </c>
      <c r="W22" s="7" t="str">
        <f>IF(LEN('A créer'!C22)=0,"","0")</f>
        <v/>
      </c>
      <c r="X22" s="2" t="str">
        <f>IF(LEN('A créer'!C22)=0,"","Tab")</f>
        <v/>
      </c>
      <c r="Y22" s="7" t="str">
        <f>IF(LEN('A créer'!C22)=0,"","ZZZZZZZZZZZZZZZ")</f>
        <v/>
      </c>
      <c r="Z22" s="7" t="str">
        <f>IF(LEN('A créer'!C22)=0,"","0")</f>
        <v/>
      </c>
      <c r="AA22" s="2" t="str">
        <f>IF(LEN('A créer'!C22)=0,"","Tab")</f>
        <v/>
      </c>
      <c r="AB22" s="7" t="str">
        <f>IF(LEN('A créer'!C22)=0,"","ZZZ")</f>
        <v/>
      </c>
      <c r="AC22" s="7" t="str">
        <f>IF(LEN('A créer'!C22)=0,"","0")</f>
        <v/>
      </c>
      <c r="AD22" s="2" t="str">
        <f>IF(LEN('A créer'!C22)=0,"","Tab")</f>
        <v/>
      </c>
      <c r="AE22" s="7" t="str">
        <f>IF(LEN('A créer'!C22)=0,"","ZZZZZZZZZZ")</f>
        <v/>
      </c>
      <c r="AF22" s="7" t="str">
        <f>IF(LEN('A créer'!C22)=0,"","0")</f>
        <v/>
      </c>
      <c r="AG22" s="2" t="str">
        <f>IF(LEN('A créer'!C22)=0,"","Tab")</f>
        <v/>
      </c>
      <c r="AH22" s="7" t="str">
        <f>IF(LEN('A créer'!C22)=0,"","ZZZZZZZZZZ")</f>
        <v/>
      </c>
      <c r="AI22" s="7" t="str">
        <f>IF(LEN('A créer'!C22)=0,"","0")</f>
        <v/>
      </c>
      <c r="AJ22" s="2" t="str">
        <f>IF(LEN('A créer'!C22)=0,"","Tab")</f>
        <v/>
      </c>
      <c r="AK22" s="7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7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7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7" t="str">
        <f>IF(OR('A créer'!D22="Oui",LEN('A créer'!D22)=0,LEN('A créer'!C22)=0),"","ZZZ")</f>
        <v/>
      </c>
      <c r="AV22" s="7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7" t="str">
        <f>IF(OR('A créer'!D22="Oui",LEN('A créer'!D22)=0,LEN('A créer'!C22)=0),"","ZZZZZZ")</f>
        <v/>
      </c>
      <c r="AY22" s="7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7" t="str">
        <f>IF(OR('A créer'!D22="Oui",LEN('A créer'!D22)=0,LEN('A créer'!C22)=0),"","ZZZZZ")</f>
        <v/>
      </c>
      <c r="BB22" s="7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7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7" t="str">
        <f>IF(OR('A créer'!D22="Oui",LEN('A créer'!D22)=0,LEN('A créer'!C22)=0),"","ZZZZZZZZZZ")</f>
        <v/>
      </c>
      <c r="BG22" s="7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7" t="str">
        <f>IF(OR('A créer'!D22="Oui",LEN('A créer'!D22)=0,LEN('A créer'!C22)=0),"","ZZZZZZZZZZ")</f>
        <v/>
      </c>
      <c r="BJ22" s="7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7" t="str">
        <f>IF(OR('A créer'!D22="Oui",LEN('A créer'!D22)=0,LEN('A créer'!C22)=0),"","ZZZZZZZZZZZZZZZ")</f>
        <v/>
      </c>
      <c r="BM22" s="7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7" t="str">
        <f>IF(OR('A créer'!D22="Oui",LEN('A créer'!D22)=0,LEN('A créer'!C22)=0),"","ZZZ")</f>
        <v/>
      </c>
      <c r="BP22" s="7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7" t="str">
        <f>IF(OR('A créer'!D22="Oui",LEN('A créer'!D22)=0,LEN('A créer'!C22)=0),"","ZZZZZZZZZZ")</f>
        <v/>
      </c>
      <c r="BS22" s="7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7" t="str">
        <f>IF(OR('A créer'!D22="Oui",LEN('A créer'!D22)=0,LEN('A créer'!C22)=0),"","ZZZZZZZZZZ")</f>
        <v/>
      </c>
      <c r="BV22" s="7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7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7" t="str">
        <f>IF(LEN('A créer'!C23)=0,"",'A créer'!A23)</f>
        <v/>
      </c>
      <c r="E23" s="2" t="str">
        <f>IF(LEN('A créer'!C23)=0,"","Tab")</f>
        <v/>
      </c>
      <c r="F23" s="7" t="str">
        <f>IF(LEN('A créer'!C23)=0,"",0)</f>
        <v/>
      </c>
      <c r="G23" s="2" t="str">
        <f>IF(LEN('A créer'!C23)=0,"","Tab")</f>
        <v/>
      </c>
      <c r="H23" s="7" t="str">
        <f>IF(LEN('A créer'!C23)=0,"","ZZZ")</f>
        <v/>
      </c>
      <c r="I23" s="7" t="str">
        <f>IF(LEN('A créer'!C23)=0,"","0")</f>
        <v/>
      </c>
      <c r="J23" s="2" t="str">
        <f>IF(LEN('A créer'!C23)=0,"","Tab")</f>
        <v/>
      </c>
      <c r="K23" s="7" t="str">
        <f>IF(LEN('A créer'!C23)=0,"","ZZZZZZ")</f>
        <v/>
      </c>
      <c r="L23" s="7" t="str">
        <f>IF(LEN('A créer'!C23)=0,"","0")</f>
        <v/>
      </c>
      <c r="M23" s="2" t="str">
        <f>IF(LEN('A créer'!C23)=0,"","Tab")</f>
        <v/>
      </c>
      <c r="N23" s="7" t="str">
        <f>IF(LEN('A créer'!C23)=0,"","ZZZZZ")</f>
        <v/>
      </c>
      <c r="O23" s="7" t="str">
        <f>IF(LEN('A créer'!C23)=0,"",CONCATENATE('A créer'!B23,'A créer'!A23))</f>
        <v/>
      </c>
      <c r="P23" s="2" t="str">
        <f>IF(LEN('A créer'!C23)=0,"","Tab")</f>
        <v/>
      </c>
      <c r="Q23" s="7" t="str">
        <f>IF(LEN('A créer'!C23)=0,"","0")</f>
        <v/>
      </c>
      <c r="R23" s="2" t="str">
        <f>IF(LEN('A créer'!C23)=0,"","Tab")</f>
        <v/>
      </c>
      <c r="S23" s="7" t="str">
        <f>IF(LEN('A créer'!C23)=0,"","ZZZZZZZZZZ")</f>
        <v/>
      </c>
      <c r="T23" s="7" t="str">
        <f>IF(LEN('A créer'!C23)=0,"","0")</f>
        <v/>
      </c>
      <c r="U23" s="2" t="str">
        <f>IF(LEN('A créer'!C23)=0,"","Tab")</f>
        <v/>
      </c>
      <c r="V23" s="7" t="str">
        <f>IF(LEN('A créer'!C23)=0,"","ZZZZZZZZZZ")</f>
        <v/>
      </c>
      <c r="W23" s="7" t="str">
        <f>IF(LEN('A créer'!C23)=0,"","0")</f>
        <v/>
      </c>
      <c r="X23" s="2" t="str">
        <f>IF(LEN('A créer'!C23)=0,"","Tab")</f>
        <v/>
      </c>
      <c r="Y23" s="7" t="str">
        <f>IF(LEN('A créer'!C23)=0,"","ZZZZZZZZZZZZZZZ")</f>
        <v/>
      </c>
      <c r="Z23" s="7" t="str">
        <f>IF(LEN('A créer'!C23)=0,"","0")</f>
        <v/>
      </c>
      <c r="AA23" s="2" t="str">
        <f>IF(LEN('A créer'!C23)=0,"","Tab")</f>
        <v/>
      </c>
      <c r="AB23" s="7" t="str">
        <f>IF(LEN('A créer'!C23)=0,"","ZZZ")</f>
        <v/>
      </c>
      <c r="AC23" s="7" t="str">
        <f>IF(LEN('A créer'!C23)=0,"","0")</f>
        <v/>
      </c>
      <c r="AD23" s="2" t="str">
        <f>IF(LEN('A créer'!C23)=0,"","Tab")</f>
        <v/>
      </c>
      <c r="AE23" s="7" t="str">
        <f>IF(LEN('A créer'!C23)=0,"","ZZZZZZZZZZ")</f>
        <v/>
      </c>
      <c r="AF23" s="7" t="str">
        <f>IF(LEN('A créer'!C23)=0,"","0")</f>
        <v/>
      </c>
      <c r="AG23" s="2" t="str">
        <f>IF(LEN('A créer'!C23)=0,"","Tab")</f>
        <v/>
      </c>
      <c r="AH23" s="7" t="str">
        <f>IF(LEN('A créer'!C23)=0,"","ZZZZZZZZZZ")</f>
        <v/>
      </c>
      <c r="AI23" s="7" t="str">
        <f>IF(LEN('A créer'!C23)=0,"","0")</f>
        <v/>
      </c>
      <c r="AJ23" s="2" t="str">
        <f>IF(LEN('A créer'!C23)=0,"","Tab")</f>
        <v/>
      </c>
      <c r="AK23" s="7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7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7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7" t="str">
        <f>IF(OR('A créer'!D23="Oui",LEN('A créer'!D23)=0,LEN('A créer'!C23)=0),"","ZZZ")</f>
        <v/>
      </c>
      <c r="AV23" s="7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7" t="str">
        <f>IF(OR('A créer'!D23="Oui",LEN('A créer'!D23)=0,LEN('A créer'!C23)=0),"","ZZZZZZ")</f>
        <v/>
      </c>
      <c r="AY23" s="7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7" t="str">
        <f>IF(OR('A créer'!D23="Oui",LEN('A créer'!D23)=0,LEN('A créer'!C23)=0),"","ZZZZZ")</f>
        <v/>
      </c>
      <c r="BB23" s="7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7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7" t="str">
        <f>IF(OR('A créer'!D23="Oui",LEN('A créer'!D23)=0,LEN('A créer'!C23)=0),"","ZZZZZZZZZZ")</f>
        <v/>
      </c>
      <c r="BG23" s="7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7" t="str">
        <f>IF(OR('A créer'!D23="Oui",LEN('A créer'!D23)=0,LEN('A créer'!C23)=0),"","ZZZZZZZZZZ")</f>
        <v/>
      </c>
      <c r="BJ23" s="7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7" t="str">
        <f>IF(OR('A créer'!D23="Oui",LEN('A créer'!D23)=0,LEN('A créer'!C23)=0),"","ZZZZZZZZZZZZZZZ")</f>
        <v/>
      </c>
      <c r="BM23" s="7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7" t="str">
        <f>IF(OR('A créer'!D23="Oui",LEN('A créer'!D23)=0,LEN('A créer'!C23)=0),"","ZZZ")</f>
        <v/>
      </c>
      <c r="BP23" s="7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7" t="str">
        <f>IF(OR('A créer'!D23="Oui",LEN('A créer'!D23)=0,LEN('A créer'!C23)=0),"","ZZZZZZZZZZ")</f>
        <v/>
      </c>
      <c r="BS23" s="7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7" t="str">
        <f>IF(OR('A créer'!D23="Oui",LEN('A créer'!D23)=0,LEN('A créer'!C23)=0),"","ZZZZZZZZZZ")</f>
        <v/>
      </c>
      <c r="BV23" s="7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7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7" t="str">
        <f>IF(LEN('A créer'!C24)=0,"",'A créer'!A24)</f>
        <v/>
      </c>
      <c r="E24" s="2" t="str">
        <f>IF(LEN('A créer'!C24)=0,"","Tab")</f>
        <v/>
      </c>
      <c r="F24" s="7" t="str">
        <f>IF(LEN('A créer'!C24)=0,"",0)</f>
        <v/>
      </c>
      <c r="G24" s="2" t="str">
        <f>IF(LEN('A créer'!C24)=0,"","Tab")</f>
        <v/>
      </c>
      <c r="H24" s="7" t="str">
        <f>IF(LEN('A créer'!C24)=0,"","ZZZ")</f>
        <v/>
      </c>
      <c r="I24" s="7" t="str">
        <f>IF(LEN('A créer'!C24)=0,"","0")</f>
        <v/>
      </c>
      <c r="J24" s="2" t="str">
        <f>IF(LEN('A créer'!C24)=0,"","Tab")</f>
        <v/>
      </c>
      <c r="K24" s="7" t="str">
        <f>IF(LEN('A créer'!C24)=0,"","ZZZZZZ")</f>
        <v/>
      </c>
      <c r="L24" s="7" t="str">
        <f>IF(LEN('A créer'!C24)=0,"","0")</f>
        <v/>
      </c>
      <c r="M24" s="2" t="str">
        <f>IF(LEN('A créer'!C24)=0,"","Tab")</f>
        <v/>
      </c>
      <c r="N24" s="7" t="str">
        <f>IF(LEN('A créer'!C24)=0,"","ZZZZZ")</f>
        <v/>
      </c>
      <c r="O24" s="7" t="str">
        <f>IF(LEN('A créer'!C24)=0,"",CONCATENATE('A créer'!B24,'A créer'!A24))</f>
        <v/>
      </c>
      <c r="P24" s="2" t="str">
        <f>IF(LEN('A créer'!C24)=0,"","Tab")</f>
        <v/>
      </c>
      <c r="Q24" s="7" t="str">
        <f>IF(LEN('A créer'!C24)=0,"","0")</f>
        <v/>
      </c>
      <c r="R24" s="2" t="str">
        <f>IF(LEN('A créer'!C24)=0,"","Tab")</f>
        <v/>
      </c>
      <c r="S24" s="7" t="str">
        <f>IF(LEN('A créer'!C24)=0,"","ZZZZZZZZZZ")</f>
        <v/>
      </c>
      <c r="T24" s="7" t="str">
        <f>IF(LEN('A créer'!C24)=0,"","0")</f>
        <v/>
      </c>
      <c r="U24" s="2" t="str">
        <f>IF(LEN('A créer'!C24)=0,"","Tab")</f>
        <v/>
      </c>
      <c r="V24" s="7" t="str">
        <f>IF(LEN('A créer'!C24)=0,"","ZZZZZZZZZZ")</f>
        <v/>
      </c>
      <c r="W24" s="7" t="str">
        <f>IF(LEN('A créer'!C24)=0,"","0")</f>
        <v/>
      </c>
      <c r="X24" s="2" t="str">
        <f>IF(LEN('A créer'!C24)=0,"","Tab")</f>
        <v/>
      </c>
      <c r="Y24" s="7" t="str">
        <f>IF(LEN('A créer'!C24)=0,"","ZZZZZZZZZZZZZZZ")</f>
        <v/>
      </c>
      <c r="Z24" s="7" t="str">
        <f>IF(LEN('A créer'!C24)=0,"","0")</f>
        <v/>
      </c>
      <c r="AA24" s="2" t="str">
        <f>IF(LEN('A créer'!C24)=0,"","Tab")</f>
        <v/>
      </c>
      <c r="AB24" s="7" t="str">
        <f>IF(LEN('A créer'!C24)=0,"","ZZZ")</f>
        <v/>
      </c>
      <c r="AC24" s="7" t="str">
        <f>IF(LEN('A créer'!C24)=0,"","0")</f>
        <v/>
      </c>
      <c r="AD24" s="2" t="str">
        <f>IF(LEN('A créer'!C24)=0,"","Tab")</f>
        <v/>
      </c>
      <c r="AE24" s="7" t="str">
        <f>IF(LEN('A créer'!C24)=0,"","ZZZZZZZZZZ")</f>
        <v/>
      </c>
      <c r="AF24" s="7" t="str">
        <f>IF(LEN('A créer'!C24)=0,"","0")</f>
        <v/>
      </c>
      <c r="AG24" s="2" t="str">
        <f>IF(LEN('A créer'!C24)=0,"","Tab")</f>
        <v/>
      </c>
      <c r="AH24" s="7" t="str">
        <f>IF(LEN('A créer'!C24)=0,"","ZZZZZZZZZZ")</f>
        <v/>
      </c>
      <c r="AI24" s="7" t="str">
        <f>IF(LEN('A créer'!C24)=0,"","0")</f>
        <v/>
      </c>
      <c r="AJ24" s="2" t="str">
        <f>IF(LEN('A créer'!C24)=0,"","Tab")</f>
        <v/>
      </c>
      <c r="AK24" s="7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7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7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7" t="str">
        <f>IF(OR('A créer'!D24="Oui",LEN('A créer'!D24)=0,LEN('A créer'!C24)=0),"","ZZZ")</f>
        <v/>
      </c>
      <c r="AV24" s="7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7" t="str">
        <f>IF(OR('A créer'!D24="Oui",LEN('A créer'!D24)=0,LEN('A créer'!C24)=0),"","ZZZZZZ")</f>
        <v/>
      </c>
      <c r="AY24" s="7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7" t="str">
        <f>IF(OR('A créer'!D24="Oui",LEN('A créer'!D24)=0,LEN('A créer'!C24)=0),"","ZZZZZ")</f>
        <v/>
      </c>
      <c r="BB24" s="7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7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7" t="str">
        <f>IF(OR('A créer'!D24="Oui",LEN('A créer'!D24)=0,LEN('A créer'!C24)=0),"","ZZZZZZZZZZ")</f>
        <v/>
      </c>
      <c r="BG24" s="7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7" t="str">
        <f>IF(OR('A créer'!D24="Oui",LEN('A créer'!D24)=0,LEN('A créer'!C24)=0),"","ZZZZZZZZZZ")</f>
        <v/>
      </c>
      <c r="BJ24" s="7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7" t="str">
        <f>IF(OR('A créer'!D24="Oui",LEN('A créer'!D24)=0,LEN('A créer'!C24)=0),"","ZZZZZZZZZZZZZZZ")</f>
        <v/>
      </c>
      <c r="BM24" s="7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7" t="str">
        <f>IF(OR('A créer'!D24="Oui",LEN('A créer'!D24)=0,LEN('A créer'!C24)=0),"","ZZZ")</f>
        <v/>
      </c>
      <c r="BP24" s="7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7" t="str">
        <f>IF(OR('A créer'!D24="Oui",LEN('A créer'!D24)=0,LEN('A créer'!C24)=0),"","ZZZZZZZZZZ")</f>
        <v/>
      </c>
      <c r="BS24" s="7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7" t="str">
        <f>IF(OR('A créer'!D24="Oui",LEN('A créer'!D24)=0,LEN('A créer'!C24)=0),"","ZZZZZZZZZZ")</f>
        <v/>
      </c>
      <c r="BV24" s="7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7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7" t="str">
        <f>IF(LEN('A créer'!C25)=0,"",'A créer'!A25)</f>
        <v/>
      </c>
      <c r="E25" s="2" t="str">
        <f>IF(LEN('A créer'!C25)=0,"","Tab")</f>
        <v/>
      </c>
      <c r="F25" s="7" t="str">
        <f>IF(LEN('A créer'!C25)=0,"",0)</f>
        <v/>
      </c>
      <c r="G25" s="2" t="str">
        <f>IF(LEN('A créer'!C25)=0,"","Tab")</f>
        <v/>
      </c>
      <c r="H25" s="7" t="str">
        <f>IF(LEN('A créer'!C25)=0,"","ZZZ")</f>
        <v/>
      </c>
      <c r="I25" s="7" t="str">
        <f>IF(LEN('A créer'!C25)=0,"","0")</f>
        <v/>
      </c>
      <c r="J25" s="2" t="str">
        <f>IF(LEN('A créer'!C25)=0,"","Tab")</f>
        <v/>
      </c>
      <c r="K25" s="7" t="str">
        <f>IF(LEN('A créer'!C25)=0,"","ZZZZZZ")</f>
        <v/>
      </c>
      <c r="L25" s="7" t="str">
        <f>IF(LEN('A créer'!C25)=0,"","0")</f>
        <v/>
      </c>
      <c r="M25" s="2" t="str">
        <f>IF(LEN('A créer'!C25)=0,"","Tab")</f>
        <v/>
      </c>
      <c r="N25" s="7" t="str">
        <f>IF(LEN('A créer'!C25)=0,"","ZZZZZ")</f>
        <v/>
      </c>
      <c r="O25" s="7" t="str">
        <f>IF(LEN('A créer'!C25)=0,"",CONCATENATE('A créer'!B25,'A créer'!A25))</f>
        <v/>
      </c>
      <c r="P25" s="2" t="str">
        <f>IF(LEN('A créer'!C25)=0,"","Tab")</f>
        <v/>
      </c>
      <c r="Q25" s="7" t="str">
        <f>IF(LEN('A créer'!C25)=0,"","0")</f>
        <v/>
      </c>
      <c r="R25" s="2" t="str">
        <f>IF(LEN('A créer'!C25)=0,"","Tab")</f>
        <v/>
      </c>
      <c r="S25" s="7" t="str">
        <f>IF(LEN('A créer'!C25)=0,"","ZZZZZZZZZZ")</f>
        <v/>
      </c>
      <c r="T25" s="7" t="str">
        <f>IF(LEN('A créer'!C25)=0,"","0")</f>
        <v/>
      </c>
      <c r="U25" s="2" t="str">
        <f>IF(LEN('A créer'!C25)=0,"","Tab")</f>
        <v/>
      </c>
      <c r="V25" s="7" t="str">
        <f>IF(LEN('A créer'!C25)=0,"","ZZZZZZZZZZ")</f>
        <v/>
      </c>
      <c r="W25" s="7" t="str">
        <f>IF(LEN('A créer'!C25)=0,"","0")</f>
        <v/>
      </c>
      <c r="X25" s="2" t="str">
        <f>IF(LEN('A créer'!C25)=0,"","Tab")</f>
        <v/>
      </c>
      <c r="Y25" s="7" t="str">
        <f>IF(LEN('A créer'!C25)=0,"","ZZZZZZZZZZZZZZZ")</f>
        <v/>
      </c>
      <c r="Z25" s="7" t="str">
        <f>IF(LEN('A créer'!C25)=0,"","0")</f>
        <v/>
      </c>
      <c r="AA25" s="2" t="str">
        <f>IF(LEN('A créer'!C25)=0,"","Tab")</f>
        <v/>
      </c>
      <c r="AB25" s="7" t="str">
        <f>IF(LEN('A créer'!C25)=0,"","ZZZ")</f>
        <v/>
      </c>
      <c r="AC25" s="7" t="str">
        <f>IF(LEN('A créer'!C25)=0,"","0")</f>
        <v/>
      </c>
      <c r="AD25" s="2" t="str">
        <f>IF(LEN('A créer'!C25)=0,"","Tab")</f>
        <v/>
      </c>
      <c r="AE25" s="7" t="str">
        <f>IF(LEN('A créer'!C25)=0,"","ZZZZZZZZZZ")</f>
        <v/>
      </c>
      <c r="AF25" s="7" t="str">
        <f>IF(LEN('A créer'!C25)=0,"","0")</f>
        <v/>
      </c>
      <c r="AG25" s="2" t="str">
        <f>IF(LEN('A créer'!C25)=0,"","Tab")</f>
        <v/>
      </c>
      <c r="AH25" s="7" t="str">
        <f>IF(LEN('A créer'!C25)=0,"","ZZZZZZZZZZ")</f>
        <v/>
      </c>
      <c r="AI25" s="7" t="str">
        <f>IF(LEN('A créer'!C25)=0,"","0")</f>
        <v/>
      </c>
      <c r="AJ25" s="2" t="str">
        <f>IF(LEN('A créer'!C25)=0,"","Tab")</f>
        <v/>
      </c>
      <c r="AK25" s="7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7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7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7" t="str">
        <f>IF(OR('A créer'!D25="Oui",LEN('A créer'!D25)=0,LEN('A créer'!C25)=0),"","ZZZ")</f>
        <v/>
      </c>
      <c r="AV25" s="7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7" t="str">
        <f>IF(OR('A créer'!D25="Oui",LEN('A créer'!D25)=0,LEN('A créer'!C25)=0),"","ZZZZZZ")</f>
        <v/>
      </c>
      <c r="AY25" s="7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7" t="str">
        <f>IF(OR('A créer'!D25="Oui",LEN('A créer'!D25)=0,LEN('A créer'!C25)=0),"","ZZZZZ")</f>
        <v/>
      </c>
      <c r="BB25" s="7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7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7" t="str">
        <f>IF(OR('A créer'!D25="Oui",LEN('A créer'!D25)=0,LEN('A créer'!C25)=0),"","ZZZZZZZZZZ")</f>
        <v/>
      </c>
      <c r="BG25" s="7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7" t="str">
        <f>IF(OR('A créer'!D25="Oui",LEN('A créer'!D25)=0,LEN('A créer'!C25)=0),"","ZZZZZZZZZZ")</f>
        <v/>
      </c>
      <c r="BJ25" s="7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7" t="str">
        <f>IF(OR('A créer'!D25="Oui",LEN('A créer'!D25)=0,LEN('A créer'!C25)=0),"","ZZZZZZZZZZZZZZZ")</f>
        <v/>
      </c>
      <c r="BM25" s="7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7" t="str">
        <f>IF(OR('A créer'!D25="Oui",LEN('A créer'!D25)=0,LEN('A créer'!C25)=0),"","ZZZ")</f>
        <v/>
      </c>
      <c r="BP25" s="7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7" t="str">
        <f>IF(OR('A créer'!D25="Oui",LEN('A créer'!D25)=0,LEN('A créer'!C25)=0),"","ZZZZZZZZZZ")</f>
        <v/>
      </c>
      <c r="BS25" s="7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7" t="str">
        <f>IF(OR('A créer'!D25="Oui",LEN('A créer'!D25)=0,LEN('A créer'!C25)=0),"","ZZZZZZZZZZ")</f>
        <v/>
      </c>
      <c r="BV25" s="7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7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7" t="str">
        <f>IF(LEN('A créer'!C26)=0,"",'A créer'!A26)</f>
        <v/>
      </c>
      <c r="E26" s="2" t="str">
        <f>IF(LEN('A créer'!C26)=0,"","Tab")</f>
        <v/>
      </c>
      <c r="F26" s="7" t="str">
        <f>IF(LEN('A créer'!C26)=0,"",0)</f>
        <v/>
      </c>
      <c r="G26" s="2" t="str">
        <f>IF(LEN('A créer'!C26)=0,"","Tab")</f>
        <v/>
      </c>
      <c r="H26" s="7" t="str">
        <f>IF(LEN('A créer'!C26)=0,"","ZZZ")</f>
        <v/>
      </c>
      <c r="I26" s="7" t="str">
        <f>IF(LEN('A créer'!C26)=0,"","0")</f>
        <v/>
      </c>
      <c r="J26" s="2" t="str">
        <f>IF(LEN('A créer'!C26)=0,"","Tab")</f>
        <v/>
      </c>
      <c r="K26" s="7" t="str">
        <f>IF(LEN('A créer'!C26)=0,"","ZZZZZZ")</f>
        <v/>
      </c>
      <c r="L26" s="7" t="str">
        <f>IF(LEN('A créer'!C26)=0,"","0")</f>
        <v/>
      </c>
      <c r="M26" s="2" t="str">
        <f>IF(LEN('A créer'!C26)=0,"","Tab")</f>
        <v/>
      </c>
      <c r="N26" s="7" t="str">
        <f>IF(LEN('A créer'!C26)=0,"","ZZZZZ")</f>
        <v/>
      </c>
      <c r="O26" s="7" t="str">
        <f>IF(LEN('A créer'!C26)=0,"",CONCATENATE('A créer'!B26,'A créer'!A26))</f>
        <v/>
      </c>
      <c r="P26" s="2" t="str">
        <f>IF(LEN('A créer'!C26)=0,"","Tab")</f>
        <v/>
      </c>
      <c r="Q26" s="7" t="str">
        <f>IF(LEN('A créer'!C26)=0,"","0")</f>
        <v/>
      </c>
      <c r="R26" s="2" t="str">
        <f>IF(LEN('A créer'!C26)=0,"","Tab")</f>
        <v/>
      </c>
      <c r="S26" s="7" t="str">
        <f>IF(LEN('A créer'!C26)=0,"","ZZZZZZZZZZ")</f>
        <v/>
      </c>
      <c r="T26" s="7" t="str">
        <f>IF(LEN('A créer'!C26)=0,"","0")</f>
        <v/>
      </c>
      <c r="U26" s="2" t="str">
        <f>IF(LEN('A créer'!C26)=0,"","Tab")</f>
        <v/>
      </c>
      <c r="V26" s="7" t="str">
        <f>IF(LEN('A créer'!C26)=0,"","ZZZZZZZZZZ")</f>
        <v/>
      </c>
      <c r="W26" s="7" t="str">
        <f>IF(LEN('A créer'!C26)=0,"","0")</f>
        <v/>
      </c>
      <c r="X26" s="2" t="str">
        <f>IF(LEN('A créer'!C26)=0,"","Tab")</f>
        <v/>
      </c>
      <c r="Y26" s="7" t="str">
        <f>IF(LEN('A créer'!C26)=0,"","ZZZZZZZZZZZZZZZ")</f>
        <v/>
      </c>
      <c r="Z26" s="7" t="str">
        <f>IF(LEN('A créer'!C26)=0,"","0")</f>
        <v/>
      </c>
      <c r="AA26" s="2" t="str">
        <f>IF(LEN('A créer'!C26)=0,"","Tab")</f>
        <v/>
      </c>
      <c r="AB26" s="7" t="str">
        <f>IF(LEN('A créer'!C26)=0,"","ZZZ")</f>
        <v/>
      </c>
      <c r="AC26" s="7" t="str">
        <f>IF(LEN('A créer'!C26)=0,"","0")</f>
        <v/>
      </c>
      <c r="AD26" s="2" t="str">
        <f>IF(LEN('A créer'!C26)=0,"","Tab")</f>
        <v/>
      </c>
      <c r="AE26" s="7" t="str">
        <f>IF(LEN('A créer'!C26)=0,"","ZZZZZZZZZZ")</f>
        <v/>
      </c>
      <c r="AF26" s="7" t="str">
        <f>IF(LEN('A créer'!C26)=0,"","0")</f>
        <v/>
      </c>
      <c r="AG26" s="2" t="str">
        <f>IF(LEN('A créer'!C26)=0,"","Tab")</f>
        <v/>
      </c>
      <c r="AH26" s="7" t="str">
        <f>IF(LEN('A créer'!C26)=0,"","ZZZZZZZZZZ")</f>
        <v/>
      </c>
      <c r="AI26" s="7" t="str">
        <f>IF(LEN('A créer'!C26)=0,"","0")</f>
        <v/>
      </c>
      <c r="AJ26" s="2" t="str">
        <f>IF(LEN('A créer'!C26)=0,"","Tab")</f>
        <v/>
      </c>
      <c r="AK26" s="7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7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7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7" t="str">
        <f>IF(OR('A créer'!D26="Oui",LEN('A créer'!D26)=0,LEN('A créer'!C26)=0),"","ZZZ")</f>
        <v/>
      </c>
      <c r="AV26" s="7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7" t="str">
        <f>IF(OR('A créer'!D26="Oui",LEN('A créer'!D26)=0,LEN('A créer'!C26)=0),"","ZZZZZZ")</f>
        <v/>
      </c>
      <c r="AY26" s="7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7" t="str">
        <f>IF(OR('A créer'!D26="Oui",LEN('A créer'!D26)=0,LEN('A créer'!C26)=0),"","ZZZZZ")</f>
        <v/>
      </c>
      <c r="BB26" s="7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7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7" t="str">
        <f>IF(OR('A créer'!D26="Oui",LEN('A créer'!D26)=0,LEN('A créer'!C26)=0),"","ZZZZZZZZZZ")</f>
        <v/>
      </c>
      <c r="BG26" s="7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7" t="str">
        <f>IF(OR('A créer'!D26="Oui",LEN('A créer'!D26)=0,LEN('A créer'!C26)=0),"","ZZZZZZZZZZ")</f>
        <v/>
      </c>
      <c r="BJ26" s="7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7" t="str">
        <f>IF(OR('A créer'!D26="Oui",LEN('A créer'!D26)=0,LEN('A créer'!C26)=0),"","ZZZZZZZZZZZZZZZ")</f>
        <v/>
      </c>
      <c r="BM26" s="7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7" t="str">
        <f>IF(OR('A créer'!D26="Oui",LEN('A créer'!D26)=0,LEN('A créer'!C26)=0),"","ZZZ")</f>
        <v/>
      </c>
      <c r="BP26" s="7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7" t="str">
        <f>IF(OR('A créer'!D26="Oui",LEN('A créer'!D26)=0,LEN('A créer'!C26)=0),"","ZZZZZZZZZZ")</f>
        <v/>
      </c>
      <c r="BS26" s="7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7" t="str">
        <f>IF(OR('A créer'!D26="Oui",LEN('A créer'!D26)=0,LEN('A créer'!C26)=0),"","ZZZZZZZZZZ")</f>
        <v/>
      </c>
      <c r="BV26" s="7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7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7" t="str">
        <f>IF(LEN('A créer'!C27)=0,"",'A créer'!A27)</f>
        <v/>
      </c>
      <c r="E27" s="2" t="str">
        <f>IF(LEN('A créer'!C27)=0,"","Tab")</f>
        <v/>
      </c>
      <c r="F27" s="7" t="str">
        <f>IF(LEN('A créer'!C27)=0,"",0)</f>
        <v/>
      </c>
      <c r="G27" s="2" t="str">
        <f>IF(LEN('A créer'!C27)=0,"","Tab")</f>
        <v/>
      </c>
      <c r="H27" s="7" t="str">
        <f>IF(LEN('A créer'!C27)=0,"","ZZZ")</f>
        <v/>
      </c>
      <c r="I27" s="7" t="str">
        <f>IF(LEN('A créer'!C27)=0,"","0")</f>
        <v/>
      </c>
      <c r="J27" s="2" t="str">
        <f>IF(LEN('A créer'!C27)=0,"","Tab")</f>
        <v/>
      </c>
      <c r="K27" s="7" t="str">
        <f>IF(LEN('A créer'!C27)=0,"","ZZZZZZ")</f>
        <v/>
      </c>
      <c r="L27" s="7" t="str">
        <f>IF(LEN('A créer'!C27)=0,"","0")</f>
        <v/>
      </c>
      <c r="M27" s="2" t="str">
        <f>IF(LEN('A créer'!C27)=0,"","Tab")</f>
        <v/>
      </c>
      <c r="N27" s="7" t="str">
        <f>IF(LEN('A créer'!C27)=0,"","ZZZZZ")</f>
        <v/>
      </c>
      <c r="O27" s="7" t="str">
        <f>IF(LEN('A créer'!C27)=0,"",CONCATENATE('A créer'!B27,'A créer'!A27))</f>
        <v/>
      </c>
      <c r="P27" s="2" t="str">
        <f>IF(LEN('A créer'!C27)=0,"","Tab")</f>
        <v/>
      </c>
      <c r="Q27" s="7" t="str">
        <f>IF(LEN('A créer'!C27)=0,"","0")</f>
        <v/>
      </c>
      <c r="R27" s="2" t="str">
        <f>IF(LEN('A créer'!C27)=0,"","Tab")</f>
        <v/>
      </c>
      <c r="S27" s="7" t="str">
        <f>IF(LEN('A créer'!C27)=0,"","ZZZZZZZZZZ")</f>
        <v/>
      </c>
      <c r="T27" s="7" t="str">
        <f>IF(LEN('A créer'!C27)=0,"","0")</f>
        <v/>
      </c>
      <c r="U27" s="2" t="str">
        <f>IF(LEN('A créer'!C27)=0,"","Tab")</f>
        <v/>
      </c>
      <c r="V27" s="7" t="str">
        <f>IF(LEN('A créer'!C27)=0,"","ZZZZZZZZZZ")</f>
        <v/>
      </c>
      <c r="W27" s="7" t="str">
        <f>IF(LEN('A créer'!C27)=0,"","0")</f>
        <v/>
      </c>
      <c r="X27" s="2" t="str">
        <f>IF(LEN('A créer'!C27)=0,"","Tab")</f>
        <v/>
      </c>
      <c r="Y27" s="7" t="str">
        <f>IF(LEN('A créer'!C27)=0,"","ZZZZZZZZZZZZZZZ")</f>
        <v/>
      </c>
      <c r="Z27" s="7" t="str">
        <f>IF(LEN('A créer'!C27)=0,"","0")</f>
        <v/>
      </c>
      <c r="AA27" s="2" t="str">
        <f>IF(LEN('A créer'!C27)=0,"","Tab")</f>
        <v/>
      </c>
      <c r="AB27" s="7" t="str">
        <f>IF(LEN('A créer'!C27)=0,"","ZZZ")</f>
        <v/>
      </c>
      <c r="AC27" s="7" t="str">
        <f>IF(LEN('A créer'!C27)=0,"","0")</f>
        <v/>
      </c>
      <c r="AD27" s="2" t="str">
        <f>IF(LEN('A créer'!C27)=0,"","Tab")</f>
        <v/>
      </c>
      <c r="AE27" s="7" t="str">
        <f>IF(LEN('A créer'!C27)=0,"","ZZZZZZZZZZ")</f>
        <v/>
      </c>
      <c r="AF27" s="7" t="str">
        <f>IF(LEN('A créer'!C27)=0,"","0")</f>
        <v/>
      </c>
      <c r="AG27" s="2" t="str">
        <f>IF(LEN('A créer'!C27)=0,"","Tab")</f>
        <v/>
      </c>
      <c r="AH27" s="7" t="str">
        <f>IF(LEN('A créer'!C27)=0,"","ZZZZZZZZZZ")</f>
        <v/>
      </c>
      <c r="AI27" s="7" t="str">
        <f>IF(LEN('A créer'!C27)=0,"","0")</f>
        <v/>
      </c>
      <c r="AJ27" s="2" t="str">
        <f>IF(LEN('A créer'!C27)=0,"","Tab")</f>
        <v/>
      </c>
      <c r="AK27" s="7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7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7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7" t="str">
        <f>IF(OR('A créer'!D27="Oui",LEN('A créer'!D27)=0,LEN('A créer'!C27)=0),"","ZZZ")</f>
        <v/>
      </c>
      <c r="AV27" s="7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7" t="str">
        <f>IF(OR('A créer'!D27="Oui",LEN('A créer'!D27)=0,LEN('A créer'!C27)=0),"","ZZZZZZ")</f>
        <v/>
      </c>
      <c r="AY27" s="7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7" t="str">
        <f>IF(OR('A créer'!D27="Oui",LEN('A créer'!D27)=0,LEN('A créer'!C27)=0),"","ZZZZZ")</f>
        <v/>
      </c>
      <c r="BB27" s="7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7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7" t="str">
        <f>IF(OR('A créer'!D27="Oui",LEN('A créer'!D27)=0,LEN('A créer'!C27)=0),"","ZZZZZZZZZZ")</f>
        <v/>
      </c>
      <c r="BG27" s="7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7" t="str">
        <f>IF(OR('A créer'!D27="Oui",LEN('A créer'!D27)=0,LEN('A créer'!C27)=0),"","ZZZZZZZZZZ")</f>
        <v/>
      </c>
      <c r="BJ27" s="7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7" t="str">
        <f>IF(OR('A créer'!D27="Oui",LEN('A créer'!D27)=0,LEN('A créer'!C27)=0),"","ZZZZZZZZZZZZZZZ")</f>
        <v/>
      </c>
      <c r="BM27" s="7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7" t="str">
        <f>IF(OR('A créer'!D27="Oui",LEN('A créer'!D27)=0,LEN('A créer'!C27)=0),"","ZZZ")</f>
        <v/>
      </c>
      <c r="BP27" s="7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7" t="str">
        <f>IF(OR('A créer'!D27="Oui",LEN('A créer'!D27)=0,LEN('A créer'!C27)=0),"","ZZZZZZZZZZ")</f>
        <v/>
      </c>
      <c r="BS27" s="7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7" t="str">
        <f>IF(OR('A créer'!D27="Oui",LEN('A créer'!D27)=0,LEN('A créer'!C27)=0),"","ZZZZZZZZZZ")</f>
        <v/>
      </c>
      <c r="BV27" s="7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7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7" t="str">
        <f>IF(LEN('A créer'!C28)=0,"",'A créer'!A28)</f>
        <v/>
      </c>
      <c r="E28" s="2" t="str">
        <f>IF(LEN('A créer'!C28)=0,"","Tab")</f>
        <v/>
      </c>
      <c r="F28" s="7" t="str">
        <f>IF(LEN('A créer'!C28)=0,"",0)</f>
        <v/>
      </c>
      <c r="G28" s="2" t="str">
        <f>IF(LEN('A créer'!C28)=0,"","Tab")</f>
        <v/>
      </c>
      <c r="H28" s="7" t="str">
        <f>IF(LEN('A créer'!C28)=0,"","ZZZ")</f>
        <v/>
      </c>
      <c r="I28" s="7" t="str">
        <f>IF(LEN('A créer'!C28)=0,"","0")</f>
        <v/>
      </c>
      <c r="J28" s="2" t="str">
        <f>IF(LEN('A créer'!C28)=0,"","Tab")</f>
        <v/>
      </c>
      <c r="K28" s="7" t="str">
        <f>IF(LEN('A créer'!C28)=0,"","ZZZZZZ")</f>
        <v/>
      </c>
      <c r="L28" s="7" t="str">
        <f>IF(LEN('A créer'!C28)=0,"","0")</f>
        <v/>
      </c>
      <c r="M28" s="2" t="str">
        <f>IF(LEN('A créer'!C28)=0,"","Tab")</f>
        <v/>
      </c>
      <c r="N28" s="7" t="str">
        <f>IF(LEN('A créer'!C28)=0,"","ZZZZZ")</f>
        <v/>
      </c>
      <c r="O28" s="7" t="str">
        <f>IF(LEN('A créer'!C28)=0,"",CONCATENATE('A créer'!B28,'A créer'!A28))</f>
        <v/>
      </c>
      <c r="P28" s="2" t="str">
        <f>IF(LEN('A créer'!C28)=0,"","Tab")</f>
        <v/>
      </c>
      <c r="Q28" s="7" t="str">
        <f>IF(LEN('A créer'!C28)=0,"","0")</f>
        <v/>
      </c>
      <c r="R28" s="2" t="str">
        <f>IF(LEN('A créer'!C28)=0,"","Tab")</f>
        <v/>
      </c>
      <c r="S28" s="7" t="str">
        <f>IF(LEN('A créer'!C28)=0,"","ZZZZZZZZZZ")</f>
        <v/>
      </c>
      <c r="T28" s="7" t="str">
        <f>IF(LEN('A créer'!C28)=0,"","0")</f>
        <v/>
      </c>
      <c r="U28" s="2" t="str">
        <f>IF(LEN('A créer'!C28)=0,"","Tab")</f>
        <v/>
      </c>
      <c r="V28" s="7" t="str">
        <f>IF(LEN('A créer'!C28)=0,"","ZZZZZZZZZZ")</f>
        <v/>
      </c>
      <c r="W28" s="7" t="str">
        <f>IF(LEN('A créer'!C28)=0,"","0")</f>
        <v/>
      </c>
      <c r="X28" s="2" t="str">
        <f>IF(LEN('A créer'!C28)=0,"","Tab")</f>
        <v/>
      </c>
      <c r="Y28" s="7" t="str">
        <f>IF(LEN('A créer'!C28)=0,"","ZZZZZZZZZZZZZZZ")</f>
        <v/>
      </c>
      <c r="Z28" s="7" t="str">
        <f>IF(LEN('A créer'!C28)=0,"","0")</f>
        <v/>
      </c>
      <c r="AA28" s="2" t="str">
        <f>IF(LEN('A créer'!C28)=0,"","Tab")</f>
        <v/>
      </c>
      <c r="AB28" s="7" t="str">
        <f>IF(LEN('A créer'!C28)=0,"","ZZZ")</f>
        <v/>
      </c>
      <c r="AC28" s="7" t="str">
        <f>IF(LEN('A créer'!C28)=0,"","0")</f>
        <v/>
      </c>
      <c r="AD28" s="2" t="str">
        <f>IF(LEN('A créer'!C28)=0,"","Tab")</f>
        <v/>
      </c>
      <c r="AE28" s="7" t="str">
        <f>IF(LEN('A créer'!C28)=0,"","ZZZZZZZZZZ")</f>
        <v/>
      </c>
      <c r="AF28" s="7" t="str">
        <f>IF(LEN('A créer'!C28)=0,"","0")</f>
        <v/>
      </c>
      <c r="AG28" s="2" t="str">
        <f>IF(LEN('A créer'!C28)=0,"","Tab")</f>
        <v/>
      </c>
      <c r="AH28" s="7" t="str">
        <f>IF(LEN('A créer'!C28)=0,"","ZZZZZZZZZZ")</f>
        <v/>
      </c>
      <c r="AI28" s="7" t="str">
        <f>IF(LEN('A créer'!C28)=0,"","0")</f>
        <v/>
      </c>
      <c r="AJ28" s="2" t="str">
        <f>IF(LEN('A créer'!C28)=0,"","Tab")</f>
        <v/>
      </c>
      <c r="AK28" s="7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7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7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7" t="str">
        <f>IF(OR('A créer'!D28="Oui",LEN('A créer'!D28)=0,LEN('A créer'!C28)=0),"","ZZZ")</f>
        <v/>
      </c>
      <c r="AV28" s="7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7" t="str">
        <f>IF(OR('A créer'!D28="Oui",LEN('A créer'!D28)=0,LEN('A créer'!C28)=0),"","ZZZZZZ")</f>
        <v/>
      </c>
      <c r="AY28" s="7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7" t="str">
        <f>IF(OR('A créer'!D28="Oui",LEN('A créer'!D28)=0,LEN('A créer'!C28)=0),"","ZZZZZ")</f>
        <v/>
      </c>
      <c r="BB28" s="7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7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7" t="str">
        <f>IF(OR('A créer'!D28="Oui",LEN('A créer'!D28)=0,LEN('A créer'!C28)=0),"","ZZZZZZZZZZ")</f>
        <v/>
      </c>
      <c r="BG28" s="7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7" t="str">
        <f>IF(OR('A créer'!D28="Oui",LEN('A créer'!D28)=0,LEN('A créer'!C28)=0),"","ZZZZZZZZZZ")</f>
        <v/>
      </c>
      <c r="BJ28" s="7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7" t="str">
        <f>IF(OR('A créer'!D28="Oui",LEN('A créer'!D28)=0,LEN('A créer'!C28)=0),"","ZZZZZZZZZZZZZZZ")</f>
        <v/>
      </c>
      <c r="BM28" s="7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7" t="str">
        <f>IF(OR('A créer'!D28="Oui",LEN('A créer'!D28)=0,LEN('A créer'!C28)=0),"","ZZZ")</f>
        <v/>
      </c>
      <c r="BP28" s="7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7" t="str">
        <f>IF(OR('A créer'!D28="Oui",LEN('A créer'!D28)=0,LEN('A créer'!C28)=0),"","ZZZZZZZZZZ")</f>
        <v/>
      </c>
      <c r="BS28" s="7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7" t="str">
        <f>IF(OR('A créer'!D28="Oui",LEN('A créer'!D28)=0,LEN('A créer'!C28)=0),"","ZZZZZZZZZZ")</f>
        <v/>
      </c>
      <c r="BV28" s="7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7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7" t="str">
        <f>IF(LEN('A créer'!C29)=0,"",'A créer'!A29)</f>
        <v/>
      </c>
      <c r="E29" s="2" t="str">
        <f>IF(LEN('A créer'!C29)=0,"","Tab")</f>
        <v/>
      </c>
      <c r="F29" s="7" t="str">
        <f>IF(LEN('A créer'!C29)=0,"",0)</f>
        <v/>
      </c>
      <c r="G29" s="2" t="str">
        <f>IF(LEN('A créer'!C29)=0,"","Tab")</f>
        <v/>
      </c>
      <c r="H29" s="7" t="str">
        <f>IF(LEN('A créer'!C29)=0,"","ZZZ")</f>
        <v/>
      </c>
      <c r="I29" s="7" t="str">
        <f>IF(LEN('A créer'!C29)=0,"","0")</f>
        <v/>
      </c>
      <c r="J29" s="2" t="str">
        <f>IF(LEN('A créer'!C29)=0,"","Tab")</f>
        <v/>
      </c>
      <c r="K29" s="7" t="str">
        <f>IF(LEN('A créer'!C29)=0,"","ZZZZZZ")</f>
        <v/>
      </c>
      <c r="L29" s="7" t="str">
        <f>IF(LEN('A créer'!C29)=0,"","0")</f>
        <v/>
      </c>
      <c r="M29" s="2" t="str">
        <f>IF(LEN('A créer'!C29)=0,"","Tab")</f>
        <v/>
      </c>
      <c r="N29" s="7" t="str">
        <f>IF(LEN('A créer'!C29)=0,"","ZZZZZ")</f>
        <v/>
      </c>
      <c r="O29" s="7" t="str">
        <f>IF(LEN('A créer'!C29)=0,"",CONCATENATE('A créer'!B29,'A créer'!A29))</f>
        <v/>
      </c>
      <c r="P29" s="2" t="str">
        <f>IF(LEN('A créer'!C29)=0,"","Tab")</f>
        <v/>
      </c>
      <c r="Q29" s="7" t="str">
        <f>IF(LEN('A créer'!C29)=0,"","0")</f>
        <v/>
      </c>
      <c r="R29" s="2" t="str">
        <f>IF(LEN('A créer'!C29)=0,"","Tab")</f>
        <v/>
      </c>
      <c r="S29" s="7" t="str">
        <f>IF(LEN('A créer'!C29)=0,"","ZZZZZZZZZZ")</f>
        <v/>
      </c>
      <c r="T29" s="7" t="str">
        <f>IF(LEN('A créer'!C29)=0,"","0")</f>
        <v/>
      </c>
      <c r="U29" s="2" t="str">
        <f>IF(LEN('A créer'!C29)=0,"","Tab")</f>
        <v/>
      </c>
      <c r="V29" s="7" t="str">
        <f>IF(LEN('A créer'!C29)=0,"","ZZZZZZZZZZ")</f>
        <v/>
      </c>
      <c r="W29" s="7" t="str">
        <f>IF(LEN('A créer'!C29)=0,"","0")</f>
        <v/>
      </c>
      <c r="X29" s="2" t="str">
        <f>IF(LEN('A créer'!C29)=0,"","Tab")</f>
        <v/>
      </c>
      <c r="Y29" s="7" t="str">
        <f>IF(LEN('A créer'!C29)=0,"","ZZZZZZZZZZZZZZZ")</f>
        <v/>
      </c>
      <c r="Z29" s="7" t="str">
        <f>IF(LEN('A créer'!C29)=0,"","0")</f>
        <v/>
      </c>
      <c r="AA29" s="2" t="str">
        <f>IF(LEN('A créer'!C29)=0,"","Tab")</f>
        <v/>
      </c>
      <c r="AB29" s="7" t="str">
        <f>IF(LEN('A créer'!C29)=0,"","ZZZ")</f>
        <v/>
      </c>
      <c r="AC29" s="7" t="str">
        <f>IF(LEN('A créer'!C29)=0,"","0")</f>
        <v/>
      </c>
      <c r="AD29" s="2" t="str">
        <f>IF(LEN('A créer'!C29)=0,"","Tab")</f>
        <v/>
      </c>
      <c r="AE29" s="7" t="str">
        <f>IF(LEN('A créer'!C29)=0,"","ZZZZZZZZZZ")</f>
        <v/>
      </c>
      <c r="AF29" s="7" t="str">
        <f>IF(LEN('A créer'!C29)=0,"","0")</f>
        <v/>
      </c>
      <c r="AG29" s="2" t="str">
        <f>IF(LEN('A créer'!C29)=0,"","Tab")</f>
        <v/>
      </c>
      <c r="AH29" s="7" t="str">
        <f>IF(LEN('A créer'!C29)=0,"","ZZZZZZZZZZ")</f>
        <v/>
      </c>
      <c r="AI29" s="7" t="str">
        <f>IF(LEN('A créer'!C29)=0,"","0")</f>
        <v/>
      </c>
      <c r="AJ29" s="2" t="str">
        <f>IF(LEN('A créer'!C29)=0,"","Tab")</f>
        <v/>
      </c>
      <c r="AK29" s="7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7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7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7" t="str">
        <f>IF(OR('A créer'!D29="Oui",LEN('A créer'!D29)=0,LEN('A créer'!C29)=0),"","ZZZ")</f>
        <v/>
      </c>
      <c r="AV29" s="7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7" t="str">
        <f>IF(OR('A créer'!D29="Oui",LEN('A créer'!D29)=0,LEN('A créer'!C29)=0),"","ZZZZZZ")</f>
        <v/>
      </c>
      <c r="AY29" s="7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7" t="str">
        <f>IF(OR('A créer'!D29="Oui",LEN('A créer'!D29)=0,LEN('A créer'!C29)=0),"","ZZZZZ")</f>
        <v/>
      </c>
      <c r="BB29" s="7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7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7" t="str">
        <f>IF(OR('A créer'!D29="Oui",LEN('A créer'!D29)=0,LEN('A créer'!C29)=0),"","ZZZZZZZZZZ")</f>
        <v/>
      </c>
      <c r="BG29" s="7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7" t="str">
        <f>IF(OR('A créer'!D29="Oui",LEN('A créer'!D29)=0,LEN('A créer'!C29)=0),"","ZZZZZZZZZZ")</f>
        <v/>
      </c>
      <c r="BJ29" s="7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7" t="str">
        <f>IF(OR('A créer'!D29="Oui",LEN('A créer'!D29)=0,LEN('A créer'!C29)=0),"","ZZZZZZZZZZZZZZZ")</f>
        <v/>
      </c>
      <c r="BM29" s="7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7" t="str">
        <f>IF(OR('A créer'!D29="Oui",LEN('A créer'!D29)=0,LEN('A créer'!C29)=0),"","ZZZ")</f>
        <v/>
      </c>
      <c r="BP29" s="7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7" t="str">
        <f>IF(OR('A créer'!D29="Oui",LEN('A créer'!D29)=0,LEN('A créer'!C29)=0),"","ZZZZZZZZZZ")</f>
        <v/>
      </c>
      <c r="BS29" s="7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7" t="str">
        <f>IF(OR('A créer'!D29="Oui",LEN('A créer'!D29)=0,LEN('A créer'!C29)=0),"","ZZZZZZZZZZ")</f>
        <v/>
      </c>
      <c r="BV29" s="7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7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7" t="str">
        <f>IF(LEN('A créer'!C30)=0,"",'A créer'!A30)</f>
        <v/>
      </c>
      <c r="E30" s="2" t="str">
        <f>IF(LEN('A créer'!C30)=0,"","Tab")</f>
        <v/>
      </c>
      <c r="F30" s="7" t="str">
        <f>IF(LEN('A créer'!C30)=0,"",0)</f>
        <v/>
      </c>
      <c r="G30" s="2" t="str">
        <f>IF(LEN('A créer'!C30)=0,"","Tab")</f>
        <v/>
      </c>
      <c r="H30" s="7" t="str">
        <f>IF(LEN('A créer'!C30)=0,"","ZZZ")</f>
        <v/>
      </c>
      <c r="I30" s="7" t="str">
        <f>IF(LEN('A créer'!C30)=0,"","0")</f>
        <v/>
      </c>
      <c r="J30" s="2" t="str">
        <f>IF(LEN('A créer'!C30)=0,"","Tab")</f>
        <v/>
      </c>
      <c r="K30" s="7" t="str">
        <f>IF(LEN('A créer'!C30)=0,"","ZZZZZZ")</f>
        <v/>
      </c>
      <c r="L30" s="7" t="str">
        <f>IF(LEN('A créer'!C30)=0,"","0")</f>
        <v/>
      </c>
      <c r="M30" s="2" t="str">
        <f>IF(LEN('A créer'!C30)=0,"","Tab")</f>
        <v/>
      </c>
      <c r="N30" s="7" t="str">
        <f>IF(LEN('A créer'!C30)=0,"","ZZZZZ")</f>
        <v/>
      </c>
      <c r="O30" s="7" t="str">
        <f>IF(LEN('A créer'!C30)=0,"",CONCATENATE('A créer'!B30,'A créer'!A30))</f>
        <v/>
      </c>
      <c r="P30" s="2" t="str">
        <f>IF(LEN('A créer'!C30)=0,"","Tab")</f>
        <v/>
      </c>
      <c r="Q30" s="7" t="str">
        <f>IF(LEN('A créer'!C30)=0,"","0")</f>
        <v/>
      </c>
      <c r="R30" s="2" t="str">
        <f>IF(LEN('A créer'!C30)=0,"","Tab")</f>
        <v/>
      </c>
      <c r="S30" s="7" t="str">
        <f>IF(LEN('A créer'!C30)=0,"","ZZZZZZZZZZ")</f>
        <v/>
      </c>
      <c r="T30" s="7" t="str">
        <f>IF(LEN('A créer'!C30)=0,"","0")</f>
        <v/>
      </c>
      <c r="U30" s="2" t="str">
        <f>IF(LEN('A créer'!C30)=0,"","Tab")</f>
        <v/>
      </c>
      <c r="V30" s="7" t="str">
        <f>IF(LEN('A créer'!C30)=0,"","ZZZZZZZZZZ")</f>
        <v/>
      </c>
      <c r="W30" s="7" t="str">
        <f>IF(LEN('A créer'!C30)=0,"","0")</f>
        <v/>
      </c>
      <c r="X30" s="2" t="str">
        <f>IF(LEN('A créer'!C30)=0,"","Tab")</f>
        <v/>
      </c>
      <c r="Y30" s="7" t="str">
        <f>IF(LEN('A créer'!C30)=0,"","ZZZZZZZZZZZZZZZ")</f>
        <v/>
      </c>
      <c r="Z30" s="7" t="str">
        <f>IF(LEN('A créer'!C30)=0,"","0")</f>
        <v/>
      </c>
      <c r="AA30" s="2" t="str">
        <f>IF(LEN('A créer'!C30)=0,"","Tab")</f>
        <v/>
      </c>
      <c r="AB30" s="7" t="str">
        <f>IF(LEN('A créer'!C30)=0,"","ZZZ")</f>
        <v/>
      </c>
      <c r="AC30" s="7" t="str">
        <f>IF(LEN('A créer'!C30)=0,"","0")</f>
        <v/>
      </c>
      <c r="AD30" s="2" t="str">
        <f>IF(LEN('A créer'!C30)=0,"","Tab")</f>
        <v/>
      </c>
      <c r="AE30" s="7" t="str">
        <f>IF(LEN('A créer'!C30)=0,"","ZZZZZZZZZZ")</f>
        <v/>
      </c>
      <c r="AF30" s="7" t="str">
        <f>IF(LEN('A créer'!C30)=0,"","0")</f>
        <v/>
      </c>
      <c r="AG30" s="2" t="str">
        <f>IF(LEN('A créer'!C30)=0,"","Tab")</f>
        <v/>
      </c>
      <c r="AH30" s="7" t="str">
        <f>IF(LEN('A créer'!C30)=0,"","ZZZZZZZZZZ")</f>
        <v/>
      </c>
      <c r="AI30" s="7" t="str">
        <f>IF(LEN('A créer'!C30)=0,"","0")</f>
        <v/>
      </c>
      <c r="AJ30" s="2" t="str">
        <f>IF(LEN('A créer'!C30)=0,"","Tab")</f>
        <v/>
      </c>
      <c r="AK30" s="7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7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7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7" t="str">
        <f>IF(OR('A créer'!D30="Oui",LEN('A créer'!D30)=0,LEN('A créer'!C30)=0),"","ZZZ")</f>
        <v/>
      </c>
      <c r="AV30" s="7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7" t="str">
        <f>IF(OR('A créer'!D30="Oui",LEN('A créer'!D30)=0,LEN('A créer'!C30)=0),"","ZZZZZZ")</f>
        <v/>
      </c>
      <c r="AY30" s="7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7" t="str">
        <f>IF(OR('A créer'!D30="Oui",LEN('A créer'!D30)=0,LEN('A créer'!C30)=0),"","ZZZZZ")</f>
        <v/>
      </c>
      <c r="BB30" s="7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7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7" t="str">
        <f>IF(OR('A créer'!D30="Oui",LEN('A créer'!D30)=0,LEN('A créer'!C30)=0),"","ZZZZZZZZZZ")</f>
        <v/>
      </c>
      <c r="BG30" s="7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7" t="str">
        <f>IF(OR('A créer'!D30="Oui",LEN('A créer'!D30)=0,LEN('A créer'!C30)=0),"","ZZZZZZZZZZ")</f>
        <v/>
      </c>
      <c r="BJ30" s="7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7" t="str">
        <f>IF(OR('A créer'!D30="Oui",LEN('A créer'!D30)=0,LEN('A créer'!C30)=0),"","ZZZZZZZZZZZZZZZ")</f>
        <v/>
      </c>
      <c r="BM30" s="7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7" t="str">
        <f>IF(OR('A créer'!D30="Oui",LEN('A créer'!D30)=0,LEN('A créer'!C30)=0),"","ZZZ")</f>
        <v/>
      </c>
      <c r="BP30" s="7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7" t="str">
        <f>IF(OR('A créer'!D30="Oui",LEN('A créer'!D30)=0,LEN('A créer'!C30)=0),"","ZZZZZZZZZZ")</f>
        <v/>
      </c>
      <c r="BS30" s="7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7" t="str">
        <f>IF(OR('A créer'!D30="Oui",LEN('A créer'!D30)=0,LEN('A créer'!C30)=0),"","ZZZZZZZZZZ")</f>
        <v/>
      </c>
      <c r="BV30" s="7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7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7" t="str">
        <f>IF(LEN('A créer'!C31)=0,"",'A créer'!A31)</f>
        <v/>
      </c>
      <c r="E31" s="2" t="str">
        <f>IF(LEN('A créer'!C31)=0,"","Tab")</f>
        <v/>
      </c>
      <c r="F31" s="7" t="str">
        <f>IF(LEN('A créer'!C31)=0,"",0)</f>
        <v/>
      </c>
      <c r="G31" s="2" t="str">
        <f>IF(LEN('A créer'!C31)=0,"","Tab")</f>
        <v/>
      </c>
      <c r="H31" s="7" t="str">
        <f>IF(LEN('A créer'!C31)=0,"","ZZZ")</f>
        <v/>
      </c>
      <c r="I31" s="7" t="str">
        <f>IF(LEN('A créer'!C31)=0,"","0")</f>
        <v/>
      </c>
      <c r="J31" s="2" t="str">
        <f>IF(LEN('A créer'!C31)=0,"","Tab")</f>
        <v/>
      </c>
      <c r="K31" s="7" t="str">
        <f>IF(LEN('A créer'!C31)=0,"","ZZZZZZ")</f>
        <v/>
      </c>
      <c r="L31" s="7" t="str">
        <f>IF(LEN('A créer'!C31)=0,"","0")</f>
        <v/>
      </c>
      <c r="M31" s="2" t="str">
        <f>IF(LEN('A créer'!C31)=0,"","Tab")</f>
        <v/>
      </c>
      <c r="N31" s="7" t="str">
        <f>IF(LEN('A créer'!C31)=0,"","ZZZZZ")</f>
        <v/>
      </c>
      <c r="O31" s="7" t="str">
        <f>IF(LEN('A créer'!C31)=0,"",CONCATENATE('A créer'!B31,'A créer'!A31))</f>
        <v/>
      </c>
      <c r="P31" s="2" t="str">
        <f>IF(LEN('A créer'!C31)=0,"","Tab")</f>
        <v/>
      </c>
      <c r="Q31" s="7" t="str">
        <f>IF(LEN('A créer'!C31)=0,"","0")</f>
        <v/>
      </c>
      <c r="R31" s="2" t="str">
        <f>IF(LEN('A créer'!C31)=0,"","Tab")</f>
        <v/>
      </c>
      <c r="S31" s="7" t="str">
        <f>IF(LEN('A créer'!C31)=0,"","ZZZZZZZZZZ")</f>
        <v/>
      </c>
      <c r="T31" s="7" t="str">
        <f>IF(LEN('A créer'!C31)=0,"","0")</f>
        <v/>
      </c>
      <c r="U31" s="2" t="str">
        <f>IF(LEN('A créer'!C31)=0,"","Tab")</f>
        <v/>
      </c>
      <c r="V31" s="7" t="str">
        <f>IF(LEN('A créer'!C31)=0,"","ZZZZZZZZZZ")</f>
        <v/>
      </c>
      <c r="W31" s="7" t="str">
        <f>IF(LEN('A créer'!C31)=0,"","0")</f>
        <v/>
      </c>
      <c r="X31" s="2" t="str">
        <f>IF(LEN('A créer'!C31)=0,"","Tab")</f>
        <v/>
      </c>
      <c r="Y31" s="7" t="str">
        <f>IF(LEN('A créer'!C31)=0,"","ZZZZZZZZZZZZZZZ")</f>
        <v/>
      </c>
      <c r="Z31" s="7" t="str">
        <f>IF(LEN('A créer'!C31)=0,"","0")</f>
        <v/>
      </c>
      <c r="AA31" s="2" t="str">
        <f>IF(LEN('A créer'!C31)=0,"","Tab")</f>
        <v/>
      </c>
      <c r="AB31" s="7" t="str">
        <f>IF(LEN('A créer'!C31)=0,"","ZZZ")</f>
        <v/>
      </c>
      <c r="AC31" s="7" t="str">
        <f>IF(LEN('A créer'!C31)=0,"","0")</f>
        <v/>
      </c>
      <c r="AD31" s="2" t="str">
        <f>IF(LEN('A créer'!C31)=0,"","Tab")</f>
        <v/>
      </c>
      <c r="AE31" s="7" t="str">
        <f>IF(LEN('A créer'!C31)=0,"","ZZZZZZZZZZ")</f>
        <v/>
      </c>
      <c r="AF31" s="7" t="str">
        <f>IF(LEN('A créer'!C31)=0,"","0")</f>
        <v/>
      </c>
      <c r="AG31" s="2" t="str">
        <f>IF(LEN('A créer'!C31)=0,"","Tab")</f>
        <v/>
      </c>
      <c r="AH31" s="7" t="str">
        <f>IF(LEN('A créer'!C31)=0,"","ZZZZZZZZZZ")</f>
        <v/>
      </c>
      <c r="AI31" s="7" t="str">
        <f>IF(LEN('A créer'!C31)=0,"","0")</f>
        <v/>
      </c>
      <c r="AJ31" s="2" t="str">
        <f>IF(LEN('A créer'!C31)=0,"","Tab")</f>
        <v/>
      </c>
      <c r="AK31" s="7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7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7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7" t="str">
        <f>IF(OR('A créer'!D31="Oui",LEN('A créer'!D31)=0,LEN('A créer'!C31)=0),"","ZZZ")</f>
        <v/>
      </c>
      <c r="AV31" s="7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7" t="str">
        <f>IF(OR('A créer'!D31="Oui",LEN('A créer'!D31)=0,LEN('A créer'!C31)=0),"","ZZZZZZ")</f>
        <v/>
      </c>
      <c r="AY31" s="7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7" t="str">
        <f>IF(OR('A créer'!D31="Oui",LEN('A créer'!D31)=0,LEN('A créer'!C31)=0),"","ZZZZZ")</f>
        <v/>
      </c>
      <c r="BB31" s="7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7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7" t="str">
        <f>IF(OR('A créer'!D31="Oui",LEN('A créer'!D31)=0,LEN('A créer'!C31)=0),"","ZZZZZZZZZZ")</f>
        <v/>
      </c>
      <c r="BG31" s="7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7" t="str">
        <f>IF(OR('A créer'!D31="Oui",LEN('A créer'!D31)=0,LEN('A créer'!C31)=0),"","ZZZZZZZZZZ")</f>
        <v/>
      </c>
      <c r="BJ31" s="7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7" t="str">
        <f>IF(OR('A créer'!D31="Oui",LEN('A créer'!D31)=0,LEN('A créer'!C31)=0),"","ZZZZZZZZZZZZZZZ")</f>
        <v/>
      </c>
      <c r="BM31" s="7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7" t="str">
        <f>IF(OR('A créer'!D31="Oui",LEN('A créer'!D31)=0,LEN('A créer'!C31)=0),"","ZZZ")</f>
        <v/>
      </c>
      <c r="BP31" s="7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7" t="str">
        <f>IF(OR('A créer'!D31="Oui",LEN('A créer'!D31)=0,LEN('A créer'!C31)=0),"","ZZZZZZZZZZ")</f>
        <v/>
      </c>
      <c r="BS31" s="7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7" t="str">
        <f>IF(OR('A créer'!D31="Oui",LEN('A créer'!D31)=0,LEN('A créer'!C31)=0),"","ZZZZZZZZZZ")</f>
        <v/>
      </c>
      <c r="BV31" s="7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7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A14" sqref="A14:AM14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6.5703125" bestFit="1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0443</v>
      </c>
      <c r="E2" s="2" t="str">
        <f>IF(LEN('A créer'!C2)=0,"","Tab")</f>
        <v>Tab</v>
      </c>
      <c r="F2" t="str">
        <f>IF(LEN('A créer'!C2)=0,"",'A créer'!B2)</f>
        <v>DOS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0444</v>
      </c>
      <c r="E3" s="2" t="str">
        <f>IF(LEN('A créer'!C3)=0,"","Tab")</f>
        <v>Tab</v>
      </c>
      <c r="F3" t="str">
        <f>IF(LEN('A créer'!C3)=0,"",'A créer'!B3)</f>
        <v>DOS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7" t="str">
        <f>IF(LEN('A créer'!C3)=0,"","ZZZZZ")</f>
        <v>ZZZZZ</v>
      </c>
      <c r="N3" s="7">
        <f>IF(LEN('A créer'!C3)=0,"",0)</f>
        <v>0</v>
      </c>
      <c r="O3" s="2" t="str">
        <f>IF(LEN('A créer'!C3)=0,"","Tab")</f>
        <v>Tab</v>
      </c>
      <c r="P3" s="7" t="str">
        <f>IF(LEN('A créer'!C3)=0,"","ZZZZZZZ")</f>
        <v>ZZZZZZZ</v>
      </c>
      <c r="Q3" s="7">
        <f>IF(LEN('A créer'!C3)=0,"",0)</f>
        <v>0</v>
      </c>
      <c r="R3" s="2" t="str">
        <f>IF(LEN('A créer'!C3)=0,"","Tab")</f>
        <v>Tab</v>
      </c>
      <c r="S3" s="7" t="str">
        <f>IF(LEN('A créer'!C3)=0,"","ZZZZZZZZZZ")</f>
        <v>ZZZZZZZZZZ</v>
      </c>
      <c r="T3" s="7">
        <f>IF(LEN('A créer'!C3)=0,"",0)</f>
        <v>0</v>
      </c>
      <c r="U3" s="2" t="str">
        <f>IF(LEN('A créer'!C3)=0,"","Tab")</f>
        <v>Tab</v>
      </c>
      <c r="V3" s="7" t="str">
        <f>IF(LEN('A créer'!C3)=0,"","ZZZZZZZZZZ")</f>
        <v>ZZZZZZZZZZ</v>
      </c>
      <c r="W3" s="7">
        <f>IF(LEN('A créer'!C3)=0,"",0)</f>
        <v>0</v>
      </c>
      <c r="X3" s="2" t="str">
        <f>IF(LEN('A créer'!C3)=0,"","Tab")</f>
        <v>Tab</v>
      </c>
      <c r="Y3" s="7" t="str">
        <f>IF(LEN('A créer'!C3)=0,"","ZZZZZZZZZZZZZZZ")</f>
        <v>ZZZZZZZZZZZZZZZ</v>
      </c>
      <c r="Z3" s="7">
        <f>IF(LEN('A créer'!C3)=0,"",0)</f>
        <v>0</v>
      </c>
      <c r="AA3" s="2" t="str">
        <f>IF(LEN('A créer'!C3)=0,"","Tab")</f>
        <v>Tab</v>
      </c>
      <c r="AB3" s="7" t="str">
        <f>IF(LEN('A créer'!C3)=0,"","ZZZ")</f>
        <v>ZZZ</v>
      </c>
      <c r="AC3" s="7">
        <f>IF(LEN('A créer'!C3)=0,"",0)</f>
        <v>0</v>
      </c>
      <c r="AD3" s="2" t="str">
        <f>IF(LEN('A créer'!C3)=0,"","Tab")</f>
        <v>Tab</v>
      </c>
      <c r="AE3" s="7" t="str">
        <f>IF(LEN('A créer'!C3)=0,"","ZZZZZZZZZZ")</f>
        <v>ZZZZZZZZZZ</v>
      </c>
      <c r="AF3" s="7">
        <f>IF(LEN('A créer'!C3)=0,"",0)</f>
        <v>0</v>
      </c>
      <c r="AG3" s="2" t="str">
        <f>IF(LEN('A créer'!C3)=0,"","Tab")</f>
        <v>Tab</v>
      </c>
      <c r="AH3" s="7" t="str">
        <f>IF(LEN('A créer'!C3)=0,"","ZZZZZZZZZZ")</f>
        <v>ZZZZZZZZZZ</v>
      </c>
      <c r="AI3" s="7">
        <f>IF(LEN('A créer'!C3)=0,"",0)</f>
        <v>0</v>
      </c>
      <c r="AJ3" s="2" t="str">
        <f>IF(LEN('A créer'!C3)=0,"","Tab")</f>
        <v>Tab</v>
      </c>
      <c r="AK3" s="7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2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0446</v>
      </c>
      <c r="E4" s="2" t="str">
        <f>IF(LEN('A créer'!C4)=0,"","Tab")</f>
        <v>Tab</v>
      </c>
      <c r="F4" t="str">
        <f>IF(LEN('A créer'!C4)=0,"",'A créer'!B4)</f>
        <v>DOS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7" t="str">
        <f>IF(LEN('A créer'!C4)=0,"","ZZZZZ")</f>
        <v>ZZZZZ</v>
      </c>
      <c r="N4" s="7">
        <f>IF(LEN('A créer'!C4)=0,"",0)</f>
        <v>0</v>
      </c>
      <c r="O4" s="2" t="str">
        <f>IF(LEN('A créer'!C4)=0,"","Tab")</f>
        <v>Tab</v>
      </c>
      <c r="P4" s="7" t="str">
        <f>IF(LEN('A créer'!C4)=0,"","ZZZZZZZ")</f>
        <v>ZZZZZZZ</v>
      </c>
      <c r="Q4" s="7">
        <f>IF(LEN('A créer'!C4)=0,"",0)</f>
        <v>0</v>
      </c>
      <c r="R4" s="2" t="str">
        <f>IF(LEN('A créer'!C4)=0,"","Tab")</f>
        <v>Tab</v>
      </c>
      <c r="S4" s="7" t="str">
        <f>IF(LEN('A créer'!C4)=0,"","ZZZZZZZZZZ")</f>
        <v>ZZZZZZZZZZ</v>
      </c>
      <c r="T4" s="7">
        <f>IF(LEN('A créer'!C4)=0,"",0)</f>
        <v>0</v>
      </c>
      <c r="U4" s="2" t="str">
        <f>IF(LEN('A créer'!C4)=0,"","Tab")</f>
        <v>Tab</v>
      </c>
      <c r="V4" s="7" t="str">
        <f>IF(LEN('A créer'!C4)=0,"","ZZZZZZZZZZ")</f>
        <v>ZZZZZZZZZZ</v>
      </c>
      <c r="W4" s="7">
        <f>IF(LEN('A créer'!C4)=0,"",0)</f>
        <v>0</v>
      </c>
      <c r="X4" s="2" t="str">
        <f>IF(LEN('A créer'!C4)=0,"","Tab")</f>
        <v>Tab</v>
      </c>
      <c r="Y4" s="7" t="str">
        <f>IF(LEN('A créer'!C4)=0,"","ZZZZZZZZZZZZZZZ")</f>
        <v>ZZZZZZZZZZZZZZZ</v>
      </c>
      <c r="Z4" s="7">
        <f>IF(LEN('A créer'!C4)=0,"",0)</f>
        <v>0</v>
      </c>
      <c r="AA4" s="2" t="str">
        <f>IF(LEN('A créer'!C4)=0,"","Tab")</f>
        <v>Tab</v>
      </c>
      <c r="AB4" s="7" t="str">
        <f>IF(LEN('A créer'!C4)=0,"","ZZZ")</f>
        <v>ZZZ</v>
      </c>
      <c r="AC4" s="7">
        <f>IF(LEN('A créer'!C4)=0,"",0)</f>
        <v>0</v>
      </c>
      <c r="AD4" s="2" t="str">
        <f>IF(LEN('A créer'!C4)=0,"","Tab")</f>
        <v>Tab</v>
      </c>
      <c r="AE4" s="7" t="str">
        <f>IF(LEN('A créer'!C4)=0,"","ZZZZZZZZZZ")</f>
        <v>ZZZZZZZZZZ</v>
      </c>
      <c r="AF4" s="7">
        <f>IF(LEN('A créer'!C4)=0,"",0)</f>
        <v>0</v>
      </c>
      <c r="AG4" s="2" t="str">
        <f>IF(LEN('A créer'!C4)=0,"","Tab")</f>
        <v>Tab</v>
      </c>
      <c r="AH4" s="7" t="str">
        <f>IF(LEN('A créer'!C4)=0,"","ZZZZZZZZZZ")</f>
        <v>ZZZZZZZZZZ</v>
      </c>
      <c r="AI4" s="7">
        <f>IF(LEN('A créer'!C4)=0,"",0)</f>
        <v>0</v>
      </c>
      <c r="AJ4" s="2" t="str">
        <f>IF(LEN('A créer'!C4)=0,"","Tab")</f>
        <v>Tab</v>
      </c>
      <c r="AK4" s="7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25">
      <c r="A5" s="2" t="str">
        <f>IF(LEN('A créer'!C5)=0,"","*FN")</f>
        <v>*FN</v>
      </c>
      <c r="B5" s="3" t="str">
        <f>IF(LEN('A créer'!C5)=0,"","\I")</f>
        <v>\I</v>
      </c>
      <c r="C5" s="2" t="str">
        <f>IF(LEN('A créer'!C5)=0,"","Tab")</f>
        <v>Tab</v>
      </c>
      <c r="D5" t="str">
        <f>IF(LEN('A créer'!C5)=0,"",'A créer'!A5)</f>
        <v>0449</v>
      </c>
      <c r="E5" s="2" t="str">
        <f>IF(LEN('A créer'!C5)=0,"","Tab")</f>
        <v>Tab</v>
      </c>
      <c r="F5" t="str">
        <f>IF(LEN('A créer'!C5)=0,"",'A créer'!B5)</f>
        <v>DOS</v>
      </c>
      <c r="G5" s="2" t="str">
        <f>IF(LEN('A créer'!C5)=0,"","Tab")</f>
        <v>Tab</v>
      </c>
      <c r="H5">
        <f>IF(LEN('A créer'!C5)=0,"",0)</f>
        <v>0</v>
      </c>
      <c r="I5" s="2" t="str">
        <f>IF(LEN('A créer'!C5)=0,"","Tab")</f>
        <v>Tab</v>
      </c>
      <c r="J5" t="str">
        <f>IF(LEN('A créer'!C5)=0,"","ZZZZZZ")</f>
        <v>ZZZZZZ</v>
      </c>
      <c r="K5">
        <f>IF(LEN('A créer'!C5)=0,"",0)</f>
        <v>0</v>
      </c>
      <c r="L5" s="2" t="str">
        <f>IF(LEN('A créer'!C5)=0,"","Tab")</f>
        <v>Tab</v>
      </c>
      <c r="M5" s="7" t="str">
        <f>IF(LEN('A créer'!C5)=0,"","ZZZZZ")</f>
        <v>ZZZZZ</v>
      </c>
      <c r="N5" s="7">
        <f>IF(LEN('A créer'!C5)=0,"",0)</f>
        <v>0</v>
      </c>
      <c r="O5" s="2" t="str">
        <f>IF(LEN('A créer'!C5)=0,"","Tab")</f>
        <v>Tab</v>
      </c>
      <c r="P5" s="7" t="str">
        <f>IF(LEN('A créer'!C5)=0,"","ZZZZZZZ")</f>
        <v>ZZZZZZZ</v>
      </c>
      <c r="Q5" s="7">
        <f>IF(LEN('A créer'!C5)=0,"",0)</f>
        <v>0</v>
      </c>
      <c r="R5" s="2" t="str">
        <f>IF(LEN('A créer'!C5)=0,"","Tab")</f>
        <v>Tab</v>
      </c>
      <c r="S5" s="7" t="str">
        <f>IF(LEN('A créer'!C5)=0,"","ZZZZZZZZZZ")</f>
        <v>ZZZZZZZZZZ</v>
      </c>
      <c r="T5" s="7">
        <f>IF(LEN('A créer'!C5)=0,"",0)</f>
        <v>0</v>
      </c>
      <c r="U5" s="2" t="str">
        <f>IF(LEN('A créer'!C5)=0,"","Tab")</f>
        <v>Tab</v>
      </c>
      <c r="V5" s="7" t="str">
        <f>IF(LEN('A créer'!C5)=0,"","ZZZZZZZZZZ")</f>
        <v>ZZZZZZZZZZ</v>
      </c>
      <c r="W5" s="7">
        <f>IF(LEN('A créer'!C5)=0,"",0)</f>
        <v>0</v>
      </c>
      <c r="X5" s="2" t="str">
        <f>IF(LEN('A créer'!C5)=0,"","Tab")</f>
        <v>Tab</v>
      </c>
      <c r="Y5" s="7" t="str">
        <f>IF(LEN('A créer'!C5)=0,"","ZZZZZZZZZZZZZZZ")</f>
        <v>ZZZZZZZZZZZZZZZ</v>
      </c>
      <c r="Z5" s="7">
        <f>IF(LEN('A créer'!C5)=0,"",0)</f>
        <v>0</v>
      </c>
      <c r="AA5" s="2" t="str">
        <f>IF(LEN('A créer'!C5)=0,"","Tab")</f>
        <v>Tab</v>
      </c>
      <c r="AB5" s="7" t="str">
        <f>IF(LEN('A créer'!C5)=0,"","ZZZ")</f>
        <v>ZZZ</v>
      </c>
      <c r="AC5" s="7">
        <f>IF(LEN('A créer'!C5)=0,"",0)</f>
        <v>0</v>
      </c>
      <c r="AD5" s="2" t="str">
        <f>IF(LEN('A créer'!C5)=0,"","Tab")</f>
        <v>Tab</v>
      </c>
      <c r="AE5" s="7" t="str">
        <f>IF(LEN('A créer'!C5)=0,"","ZZZZZZZZZZ")</f>
        <v>ZZZZZZZZZZ</v>
      </c>
      <c r="AF5" s="7">
        <f>IF(LEN('A créer'!C5)=0,"",0)</f>
        <v>0</v>
      </c>
      <c r="AG5" s="2" t="str">
        <f>IF(LEN('A créer'!C5)=0,"","Tab")</f>
        <v>Tab</v>
      </c>
      <c r="AH5" s="7" t="str">
        <f>IF(LEN('A créer'!C5)=0,"","ZZZZZZZZZZ")</f>
        <v>ZZZZZZZZZZ</v>
      </c>
      <c r="AI5" s="7">
        <f>IF(LEN('A créer'!C5)=0,"",0)</f>
        <v>0</v>
      </c>
      <c r="AJ5" s="2" t="str">
        <f>IF(LEN('A créer'!C5)=0,"","Tab")</f>
        <v>Tab</v>
      </c>
      <c r="AK5" s="7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</row>
    <row r="6" spans="1:39" x14ac:dyDescent="0.2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0450</v>
      </c>
      <c r="E6" s="2" t="str">
        <f>IF(LEN('A créer'!C6)=0,"","Tab")</f>
        <v>Tab</v>
      </c>
      <c r="F6" t="str">
        <f>IF(LEN('A créer'!C6)=0,"",'A créer'!B6)</f>
        <v>DOS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7" t="str">
        <f>IF(LEN('A créer'!C6)=0,"","ZZZZZ")</f>
        <v>ZZZZZ</v>
      </c>
      <c r="N6" s="7">
        <f>IF(LEN('A créer'!C6)=0,"",0)</f>
        <v>0</v>
      </c>
      <c r="O6" s="2" t="str">
        <f>IF(LEN('A créer'!C6)=0,"","Tab")</f>
        <v>Tab</v>
      </c>
      <c r="P6" s="7" t="str">
        <f>IF(LEN('A créer'!C6)=0,"","ZZZZZZZ")</f>
        <v>ZZZZZZZ</v>
      </c>
      <c r="Q6" s="7">
        <f>IF(LEN('A créer'!C6)=0,"",0)</f>
        <v>0</v>
      </c>
      <c r="R6" s="2" t="str">
        <f>IF(LEN('A créer'!C6)=0,"","Tab")</f>
        <v>Tab</v>
      </c>
      <c r="S6" s="7" t="str">
        <f>IF(LEN('A créer'!C6)=0,"","ZZZZZZZZZZ")</f>
        <v>ZZZZZZZZZZ</v>
      </c>
      <c r="T6" s="7">
        <f>IF(LEN('A créer'!C6)=0,"",0)</f>
        <v>0</v>
      </c>
      <c r="U6" s="2" t="str">
        <f>IF(LEN('A créer'!C6)=0,"","Tab")</f>
        <v>Tab</v>
      </c>
      <c r="V6" s="7" t="str">
        <f>IF(LEN('A créer'!C6)=0,"","ZZZZZZZZZZ")</f>
        <v>ZZZZZZZZZZ</v>
      </c>
      <c r="W6" s="7">
        <f>IF(LEN('A créer'!C6)=0,"",0)</f>
        <v>0</v>
      </c>
      <c r="X6" s="2" t="str">
        <f>IF(LEN('A créer'!C6)=0,"","Tab")</f>
        <v>Tab</v>
      </c>
      <c r="Y6" s="7" t="str">
        <f>IF(LEN('A créer'!C6)=0,"","ZZZZZZZZZZZZZZZ")</f>
        <v>ZZZZZZZZZZZZZZZ</v>
      </c>
      <c r="Z6" s="7">
        <f>IF(LEN('A créer'!C6)=0,"",0)</f>
        <v>0</v>
      </c>
      <c r="AA6" s="2" t="str">
        <f>IF(LEN('A créer'!C6)=0,"","Tab")</f>
        <v>Tab</v>
      </c>
      <c r="AB6" s="7" t="str">
        <f>IF(LEN('A créer'!C6)=0,"","ZZZ")</f>
        <v>ZZZ</v>
      </c>
      <c r="AC6" s="7">
        <f>IF(LEN('A créer'!C6)=0,"",0)</f>
        <v>0</v>
      </c>
      <c r="AD6" s="2" t="str">
        <f>IF(LEN('A créer'!C6)=0,"","Tab")</f>
        <v>Tab</v>
      </c>
      <c r="AE6" s="7" t="str">
        <f>IF(LEN('A créer'!C6)=0,"","ZZZZZZZZZZ")</f>
        <v>ZZZZZZZZZZ</v>
      </c>
      <c r="AF6" s="7">
        <f>IF(LEN('A créer'!C6)=0,"",0)</f>
        <v>0</v>
      </c>
      <c r="AG6" s="2" t="str">
        <f>IF(LEN('A créer'!C6)=0,"","Tab")</f>
        <v>Tab</v>
      </c>
      <c r="AH6" s="7" t="str">
        <f>IF(LEN('A créer'!C6)=0,"","ZZZZZZZZZZ")</f>
        <v>ZZZZZZZZZZ</v>
      </c>
      <c r="AI6" s="7">
        <f>IF(LEN('A créer'!C6)=0,"",0)</f>
        <v>0</v>
      </c>
      <c r="AJ6" s="2" t="str">
        <f>IF(LEN('A créer'!C6)=0,"","Tab")</f>
        <v>Tab</v>
      </c>
      <c r="AK6" s="7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2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0454</v>
      </c>
      <c r="E7" s="2" t="str">
        <f>IF(LEN('A créer'!C7)=0,"","Tab")</f>
        <v>Tab</v>
      </c>
      <c r="F7" t="str">
        <f>IF(LEN('A créer'!C7)=0,"",'A créer'!B7)</f>
        <v>DOS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7" t="str">
        <f>IF(LEN('A créer'!C7)=0,"","ZZZZZ")</f>
        <v>ZZZZZ</v>
      </c>
      <c r="N7" s="7">
        <f>IF(LEN('A créer'!C7)=0,"",0)</f>
        <v>0</v>
      </c>
      <c r="O7" s="2" t="str">
        <f>IF(LEN('A créer'!C7)=0,"","Tab")</f>
        <v>Tab</v>
      </c>
      <c r="P7" s="7" t="str">
        <f>IF(LEN('A créer'!C7)=0,"","ZZZZZZZ")</f>
        <v>ZZZZZZZ</v>
      </c>
      <c r="Q7" s="7">
        <f>IF(LEN('A créer'!C7)=0,"",0)</f>
        <v>0</v>
      </c>
      <c r="R7" s="2" t="str">
        <f>IF(LEN('A créer'!C7)=0,"","Tab")</f>
        <v>Tab</v>
      </c>
      <c r="S7" s="7" t="str">
        <f>IF(LEN('A créer'!C7)=0,"","ZZZZZZZZZZ")</f>
        <v>ZZZZZZZZZZ</v>
      </c>
      <c r="T7" s="7">
        <f>IF(LEN('A créer'!C7)=0,"",0)</f>
        <v>0</v>
      </c>
      <c r="U7" s="2" t="str">
        <f>IF(LEN('A créer'!C7)=0,"","Tab")</f>
        <v>Tab</v>
      </c>
      <c r="V7" s="7" t="str">
        <f>IF(LEN('A créer'!C7)=0,"","ZZZZZZZZZZ")</f>
        <v>ZZZZZZZZZZ</v>
      </c>
      <c r="W7" s="7">
        <f>IF(LEN('A créer'!C7)=0,"",0)</f>
        <v>0</v>
      </c>
      <c r="X7" s="2" t="str">
        <f>IF(LEN('A créer'!C7)=0,"","Tab")</f>
        <v>Tab</v>
      </c>
      <c r="Y7" s="7" t="str">
        <f>IF(LEN('A créer'!C7)=0,"","ZZZZZZZZZZZZZZZ")</f>
        <v>ZZZZZZZZZZZZZZZ</v>
      </c>
      <c r="Z7" s="7">
        <f>IF(LEN('A créer'!C7)=0,"",0)</f>
        <v>0</v>
      </c>
      <c r="AA7" s="2" t="str">
        <f>IF(LEN('A créer'!C7)=0,"","Tab")</f>
        <v>Tab</v>
      </c>
      <c r="AB7" s="7" t="str">
        <f>IF(LEN('A créer'!C7)=0,"","ZZZ")</f>
        <v>ZZZ</v>
      </c>
      <c r="AC7" s="7">
        <f>IF(LEN('A créer'!C7)=0,"",0)</f>
        <v>0</v>
      </c>
      <c r="AD7" s="2" t="str">
        <f>IF(LEN('A créer'!C7)=0,"","Tab")</f>
        <v>Tab</v>
      </c>
      <c r="AE7" s="7" t="str">
        <f>IF(LEN('A créer'!C7)=0,"","ZZZZZZZZZZ")</f>
        <v>ZZZZZZZZZZ</v>
      </c>
      <c r="AF7" s="7">
        <f>IF(LEN('A créer'!C7)=0,"",0)</f>
        <v>0</v>
      </c>
      <c r="AG7" s="2" t="str">
        <f>IF(LEN('A créer'!C7)=0,"","Tab")</f>
        <v>Tab</v>
      </c>
      <c r="AH7" s="7" t="str">
        <f>IF(LEN('A créer'!C7)=0,"","ZZZZZZZZZZ")</f>
        <v>ZZZZZZZZZZ</v>
      </c>
      <c r="AI7" s="7">
        <f>IF(LEN('A créer'!C7)=0,"",0)</f>
        <v>0</v>
      </c>
      <c r="AJ7" s="2" t="str">
        <f>IF(LEN('A créer'!C7)=0,"","Tab")</f>
        <v>Tab</v>
      </c>
      <c r="AK7" s="7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25">
      <c r="A8" s="2" t="str">
        <f>IF(LEN('A créer'!C8)=0,"","*FN")</f>
        <v>*FN</v>
      </c>
      <c r="B8" s="3" t="str">
        <f>IF(LEN('A créer'!C8)=0,"","\I")</f>
        <v>\I</v>
      </c>
      <c r="C8" s="2" t="str">
        <f>IF(LEN('A créer'!C8)=0,"","Tab")</f>
        <v>Tab</v>
      </c>
      <c r="D8" t="str">
        <f>IF(LEN('A créer'!C8)=0,"",'A créer'!A8)</f>
        <v>0455</v>
      </c>
      <c r="E8" s="2" t="str">
        <f>IF(LEN('A créer'!C8)=0,"","Tab")</f>
        <v>Tab</v>
      </c>
      <c r="F8" t="str">
        <f>IF(LEN('A créer'!C8)=0,"",'A créer'!B8)</f>
        <v>DOS</v>
      </c>
      <c r="G8" s="2" t="str">
        <f>IF(LEN('A créer'!C8)=0,"","Tab")</f>
        <v>Tab</v>
      </c>
      <c r="H8">
        <f>IF(LEN('A créer'!C8)=0,"",0)</f>
        <v>0</v>
      </c>
      <c r="I8" s="2" t="str">
        <f>IF(LEN('A créer'!C8)=0,"","Tab")</f>
        <v>Tab</v>
      </c>
      <c r="J8" t="str">
        <f>IF(LEN('A créer'!C8)=0,"","ZZZZZZ")</f>
        <v>ZZZZZZ</v>
      </c>
      <c r="K8">
        <f>IF(LEN('A créer'!C8)=0,"",0)</f>
        <v>0</v>
      </c>
      <c r="L8" s="2" t="str">
        <f>IF(LEN('A créer'!C8)=0,"","Tab")</f>
        <v>Tab</v>
      </c>
      <c r="M8" s="7" t="str">
        <f>IF(LEN('A créer'!C8)=0,"","ZZZZZ")</f>
        <v>ZZZZZ</v>
      </c>
      <c r="N8" s="7">
        <f>IF(LEN('A créer'!C8)=0,"",0)</f>
        <v>0</v>
      </c>
      <c r="O8" s="2" t="str">
        <f>IF(LEN('A créer'!C8)=0,"","Tab")</f>
        <v>Tab</v>
      </c>
      <c r="P8" s="7" t="str">
        <f>IF(LEN('A créer'!C8)=0,"","ZZZZZZZ")</f>
        <v>ZZZZZZZ</v>
      </c>
      <c r="Q8" s="7">
        <f>IF(LEN('A créer'!C8)=0,"",0)</f>
        <v>0</v>
      </c>
      <c r="R8" s="2" t="str">
        <f>IF(LEN('A créer'!C8)=0,"","Tab")</f>
        <v>Tab</v>
      </c>
      <c r="S8" s="7" t="str">
        <f>IF(LEN('A créer'!C8)=0,"","ZZZZZZZZZZ")</f>
        <v>ZZZZZZZZZZ</v>
      </c>
      <c r="T8" s="7">
        <f>IF(LEN('A créer'!C8)=0,"",0)</f>
        <v>0</v>
      </c>
      <c r="U8" s="2" t="str">
        <f>IF(LEN('A créer'!C8)=0,"","Tab")</f>
        <v>Tab</v>
      </c>
      <c r="V8" s="7" t="str">
        <f>IF(LEN('A créer'!C8)=0,"","ZZZZZZZZZZ")</f>
        <v>ZZZZZZZZZZ</v>
      </c>
      <c r="W8" s="7">
        <f>IF(LEN('A créer'!C8)=0,"",0)</f>
        <v>0</v>
      </c>
      <c r="X8" s="2" t="str">
        <f>IF(LEN('A créer'!C8)=0,"","Tab")</f>
        <v>Tab</v>
      </c>
      <c r="Y8" s="7" t="str">
        <f>IF(LEN('A créer'!C8)=0,"","ZZZZZZZZZZZZZZZ")</f>
        <v>ZZZZZZZZZZZZZZZ</v>
      </c>
      <c r="Z8" s="7">
        <f>IF(LEN('A créer'!C8)=0,"",0)</f>
        <v>0</v>
      </c>
      <c r="AA8" s="2" t="str">
        <f>IF(LEN('A créer'!C8)=0,"","Tab")</f>
        <v>Tab</v>
      </c>
      <c r="AB8" s="7" t="str">
        <f>IF(LEN('A créer'!C8)=0,"","ZZZ")</f>
        <v>ZZZ</v>
      </c>
      <c r="AC8" s="7">
        <f>IF(LEN('A créer'!C8)=0,"",0)</f>
        <v>0</v>
      </c>
      <c r="AD8" s="2" t="str">
        <f>IF(LEN('A créer'!C8)=0,"","Tab")</f>
        <v>Tab</v>
      </c>
      <c r="AE8" s="7" t="str">
        <f>IF(LEN('A créer'!C8)=0,"","ZZZZZZZZZZ")</f>
        <v>ZZZZZZZZZZ</v>
      </c>
      <c r="AF8" s="7">
        <f>IF(LEN('A créer'!C8)=0,"",0)</f>
        <v>0</v>
      </c>
      <c r="AG8" s="2" t="str">
        <f>IF(LEN('A créer'!C8)=0,"","Tab")</f>
        <v>Tab</v>
      </c>
      <c r="AH8" s="7" t="str">
        <f>IF(LEN('A créer'!C8)=0,"","ZZZZZZZZZZ")</f>
        <v>ZZZZZZZZZZ</v>
      </c>
      <c r="AI8" s="7">
        <f>IF(LEN('A créer'!C8)=0,"",0)</f>
        <v>0</v>
      </c>
      <c r="AJ8" s="2" t="str">
        <f>IF(LEN('A créer'!C8)=0,"","Tab")</f>
        <v>Tab</v>
      </c>
      <c r="AK8" s="7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</row>
    <row r="9" spans="1:39" x14ac:dyDescent="0.25">
      <c r="A9" s="2" t="str">
        <f>IF(LEN('A créer'!C9)=0,"","*FN")</f>
        <v>*FN</v>
      </c>
      <c r="B9" s="3" t="str">
        <f>IF(LEN('A créer'!C9)=0,"","\I")</f>
        <v>\I</v>
      </c>
      <c r="C9" s="2" t="str">
        <f>IF(LEN('A créer'!C9)=0,"","Tab")</f>
        <v>Tab</v>
      </c>
      <c r="D9" t="str">
        <f>IF(LEN('A créer'!C9)=0,"",'A créer'!A9)</f>
        <v>0456</v>
      </c>
      <c r="E9" s="2" t="str">
        <f>IF(LEN('A créer'!C9)=0,"","Tab")</f>
        <v>Tab</v>
      </c>
      <c r="F9" t="str">
        <f>IF(LEN('A créer'!C9)=0,"",'A créer'!B9)</f>
        <v>DOS</v>
      </c>
      <c r="G9" s="2" t="str">
        <f>IF(LEN('A créer'!C9)=0,"","Tab")</f>
        <v>Tab</v>
      </c>
      <c r="H9">
        <f>IF(LEN('A créer'!C9)=0,"",0)</f>
        <v>0</v>
      </c>
      <c r="I9" s="2" t="str">
        <f>IF(LEN('A créer'!C9)=0,"","Tab")</f>
        <v>Tab</v>
      </c>
      <c r="J9" t="str">
        <f>IF(LEN('A créer'!C9)=0,"","ZZZZZZ")</f>
        <v>ZZZZZZ</v>
      </c>
      <c r="K9">
        <f>IF(LEN('A créer'!C9)=0,"",0)</f>
        <v>0</v>
      </c>
      <c r="L9" s="2" t="str">
        <f>IF(LEN('A créer'!C9)=0,"","Tab")</f>
        <v>Tab</v>
      </c>
      <c r="M9" s="7" t="str">
        <f>IF(LEN('A créer'!C9)=0,"","ZZZZZ")</f>
        <v>ZZZZZ</v>
      </c>
      <c r="N9" s="7">
        <f>IF(LEN('A créer'!C9)=0,"",0)</f>
        <v>0</v>
      </c>
      <c r="O9" s="2" t="str">
        <f>IF(LEN('A créer'!C9)=0,"","Tab")</f>
        <v>Tab</v>
      </c>
      <c r="P9" s="7" t="str">
        <f>IF(LEN('A créer'!C9)=0,"","ZZZZZZZ")</f>
        <v>ZZZZZZZ</v>
      </c>
      <c r="Q9" s="7">
        <f>IF(LEN('A créer'!C9)=0,"",0)</f>
        <v>0</v>
      </c>
      <c r="R9" s="2" t="str">
        <f>IF(LEN('A créer'!C9)=0,"","Tab")</f>
        <v>Tab</v>
      </c>
      <c r="S9" s="7" t="str">
        <f>IF(LEN('A créer'!C9)=0,"","ZZZZZZZZZZ")</f>
        <v>ZZZZZZZZZZ</v>
      </c>
      <c r="T9" s="7">
        <f>IF(LEN('A créer'!C9)=0,"",0)</f>
        <v>0</v>
      </c>
      <c r="U9" s="2" t="str">
        <f>IF(LEN('A créer'!C9)=0,"","Tab")</f>
        <v>Tab</v>
      </c>
      <c r="V9" s="7" t="str">
        <f>IF(LEN('A créer'!C9)=0,"","ZZZZZZZZZZ")</f>
        <v>ZZZZZZZZZZ</v>
      </c>
      <c r="W9" s="7">
        <f>IF(LEN('A créer'!C9)=0,"",0)</f>
        <v>0</v>
      </c>
      <c r="X9" s="2" t="str">
        <f>IF(LEN('A créer'!C9)=0,"","Tab")</f>
        <v>Tab</v>
      </c>
      <c r="Y9" s="7" t="str">
        <f>IF(LEN('A créer'!C9)=0,"","ZZZZZZZZZZZZZZZ")</f>
        <v>ZZZZZZZZZZZZZZZ</v>
      </c>
      <c r="Z9" s="7">
        <f>IF(LEN('A créer'!C9)=0,"",0)</f>
        <v>0</v>
      </c>
      <c r="AA9" s="2" t="str">
        <f>IF(LEN('A créer'!C9)=0,"","Tab")</f>
        <v>Tab</v>
      </c>
      <c r="AB9" s="7" t="str">
        <f>IF(LEN('A créer'!C9)=0,"","ZZZ")</f>
        <v>ZZZ</v>
      </c>
      <c r="AC9" s="7">
        <f>IF(LEN('A créer'!C9)=0,"",0)</f>
        <v>0</v>
      </c>
      <c r="AD9" s="2" t="str">
        <f>IF(LEN('A créer'!C9)=0,"","Tab")</f>
        <v>Tab</v>
      </c>
      <c r="AE9" s="7" t="str">
        <f>IF(LEN('A créer'!C9)=0,"","ZZZZZZZZZZ")</f>
        <v>ZZZZZZZZZZ</v>
      </c>
      <c r="AF9" s="7">
        <f>IF(LEN('A créer'!C9)=0,"",0)</f>
        <v>0</v>
      </c>
      <c r="AG9" s="2" t="str">
        <f>IF(LEN('A créer'!C9)=0,"","Tab")</f>
        <v>Tab</v>
      </c>
      <c r="AH9" s="7" t="str">
        <f>IF(LEN('A créer'!C9)=0,"","ZZZZZZZZZZ")</f>
        <v>ZZZZZZZZZZ</v>
      </c>
      <c r="AI9" s="7">
        <f>IF(LEN('A créer'!C9)=0,"",0)</f>
        <v>0</v>
      </c>
      <c r="AJ9" s="2" t="str">
        <f>IF(LEN('A créer'!C9)=0,"","Tab")</f>
        <v>Tab</v>
      </c>
      <c r="AK9" s="7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</row>
    <row r="10" spans="1:39" x14ac:dyDescent="0.25">
      <c r="A10" s="2" t="str">
        <f>IF(LEN('A créer'!C10)=0,"","*FN")</f>
        <v>*FN</v>
      </c>
      <c r="B10" s="3" t="str">
        <f>IF(LEN('A créer'!C10)=0,"","\I")</f>
        <v>\I</v>
      </c>
      <c r="C10" s="2" t="str">
        <f>IF(LEN('A créer'!C10)=0,"","Tab")</f>
        <v>Tab</v>
      </c>
      <c r="D10" t="str">
        <f>IF(LEN('A créer'!C10)=0,"",'A créer'!A10)</f>
        <v>0453</v>
      </c>
      <c r="E10" s="2" t="str">
        <f>IF(LEN('A créer'!C10)=0,"","Tab")</f>
        <v>Tab</v>
      </c>
      <c r="F10" t="str">
        <f>IF(LEN('A créer'!C10)=0,"",'A créer'!B10)</f>
        <v>DRW</v>
      </c>
      <c r="G10" s="2" t="str">
        <f>IF(LEN('A créer'!C10)=0,"","Tab")</f>
        <v>Tab</v>
      </c>
      <c r="H10">
        <f>IF(LEN('A créer'!C10)=0,"",0)</f>
        <v>0</v>
      </c>
      <c r="I10" s="2" t="str">
        <f>IF(LEN('A créer'!C10)=0,"","Tab")</f>
        <v>Tab</v>
      </c>
      <c r="J10" t="str">
        <f>IF(LEN('A créer'!C10)=0,"","ZZZZZZ")</f>
        <v>ZZZZZZ</v>
      </c>
      <c r="K10">
        <f>IF(LEN('A créer'!C10)=0,"",0)</f>
        <v>0</v>
      </c>
      <c r="L10" s="2" t="str">
        <f>IF(LEN('A créer'!C10)=0,"","Tab")</f>
        <v>Tab</v>
      </c>
      <c r="M10" s="7" t="str">
        <f>IF(LEN('A créer'!C10)=0,"","ZZZZZ")</f>
        <v>ZZZZZ</v>
      </c>
      <c r="N10" s="7">
        <f>IF(LEN('A créer'!C10)=0,"",0)</f>
        <v>0</v>
      </c>
      <c r="O10" s="2" t="str">
        <f>IF(LEN('A créer'!C10)=0,"","Tab")</f>
        <v>Tab</v>
      </c>
      <c r="P10" s="7" t="str">
        <f>IF(LEN('A créer'!C10)=0,"","ZZZZZZZ")</f>
        <v>ZZZZZZZ</v>
      </c>
      <c r="Q10" s="7">
        <f>IF(LEN('A créer'!C10)=0,"",0)</f>
        <v>0</v>
      </c>
      <c r="R10" s="2" t="str">
        <f>IF(LEN('A créer'!C10)=0,"","Tab")</f>
        <v>Tab</v>
      </c>
      <c r="S10" s="7" t="str">
        <f>IF(LEN('A créer'!C10)=0,"","ZZZZZZZZZZ")</f>
        <v>ZZZZZZZZZZ</v>
      </c>
      <c r="T10" s="7">
        <f>IF(LEN('A créer'!C10)=0,"",0)</f>
        <v>0</v>
      </c>
      <c r="U10" s="2" t="str">
        <f>IF(LEN('A créer'!C10)=0,"","Tab")</f>
        <v>Tab</v>
      </c>
      <c r="V10" s="7" t="str">
        <f>IF(LEN('A créer'!C10)=0,"","ZZZZZZZZZZ")</f>
        <v>ZZZZZZZZZZ</v>
      </c>
      <c r="W10" s="7">
        <f>IF(LEN('A créer'!C10)=0,"",0)</f>
        <v>0</v>
      </c>
      <c r="X10" s="2" t="str">
        <f>IF(LEN('A créer'!C10)=0,"","Tab")</f>
        <v>Tab</v>
      </c>
      <c r="Y10" s="7" t="str">
        <f>IF(LEN('A créer'!C10)=0,"","ZZZZZZZZZZZZZZZ")</f>
        <v>ZZZZZZZZZZZZZZZ</v>
      </c>
      <c r="Z10" s="7">
        <f>IF(LEN('A créer'!C10)=0,"",0)</f>
        <v>0</v>
      </c>
      <c r="AA10" s="2" t="str">
        <f>IF(LEN('A créer'!C10)=0,"","Tab")</f>
        <v>Tab</v>
      </c>
      <c r="AB10" s="7" t="str">
        <f>IF(LEN('A créer'!C10)=0,"","ZZZ")</f>
        <v>ZZZ</v>
      </c>
      <c r="AC10" s="7">
        <f>IF(LEN('A créer'!C10)=0,"",0)</f>
        <v>0</v>
      </c>
      <c r="AD10" s="2" t="str">
        <f>IF(LEN('A créer'!C10)=0,"","Tab")</f>
        <v>Tab</v>
      </c>
      <c r="AE10" s="7" t="str">
        <f>IF(LEN('A créer'!C10)=0,"","ZZZZZZZZZZ")</f>
        <v>ZZZZZZZZZZ</v>
      </c>
      <c r="AF10" s="7">
        <f>IF(LEN('A créer'!C10)=0,"",0)</f>
        <v>0</v>
      </c>
      <c r="AG10" s="2" t="str">
        <f>IF(LEN('A créer'!C10)=0,"","Tab")</f>
        <v>Tab</v>
      </c>
      <c r="AH10" s="7" t="str">
        <f>IF(LEN('A créer'!C10)=0,"","ZZZZZZZZZZ")</f>
        <v>ZZZZZZZZZZ</v>
      </c>
      <c r="AI10" s="7">
        <f>IF(LEN('A créer'!C10)=0,"",0)</f>
        <v>0</v>
      </c>
      <c r="AJ10" s="2" t="str">
        <f>IF(LEN('A créer'!C10)=0,"","Tab")</f>
        <v>Tab</v>
      </c>
      <c r="AK10" s="7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</row>
    <row r="11" spans="1:39" x14ac:dyDescent="0.25">
      <c r="A11" s="2" t="str">
        <f>IF(LEN('A créer'!C11)=0,"","*FN")</f>
        <v>*FN</v>
      </c>
      <c r="B11" s="3" t="str">
        <f>IF(LEN('A créer'!C11)=0,"","\I")</f>
        <v>\I</v>
      </c>
      <c r="C11" s="2" t="str">
        <f>IF(LEN('A créer'!C11)=0,"","Tab")</f>
        <v>Tab</v>
      </c>
      <c r="D11" t="str">
        <f>IF(LEN('A créer'!C11)=0,"",'A créer'!A11)</f>
        <v>0457</v>
      </c>
      <c r="E11" s="2" t="str">
        <f>IF(LEN('A créer'!C11)=0,"","Tab")</f>
        <v>Tab</v>
      </c>
      <c r="F11" t="str">
        <f>IF(LEN('A créer'!C11)=0,"",'A créer'!B11)</f>
        <v>DOS</v>
      </c>
      <c r="G11" s="2" t="str">
        <f>IF(LEN('A créer'!C11)=0,"","Tab")</f>
        <v>Tab</v>
      </c>
      <c r="H11">
        <f>IF(LEN('A créer'!C11)=0,"",0)</f>
        <v>0</v>
      </c>
      <c r="I11" s="2" t="str">
        <f>IF(LEN('A créer'!C11)=0,"","Tab")</f>
        <v>Tab</v>
      </c>
      <c r="J11" t="str">
        <f>IF(LEN('A créer'!C11)=0,"","ZZZZZZ")</f>
        <v>ZZZZZZ</v>
      </c>
      <c r="K11">
        <f>IF(LEN('A créer'!C11)=0,"",0)</f>
        <v>0</v>
      </c>
      <c r="L11" s="2" t="str">
        <f>IF(LEN('A créer'!C11)=0,"","Tab")</f>
        <v>Tab</v>
      </c>
      <c r="M11" s="7" t="str">
        <f>IF(LEN('A créer'!C11)=0,"","ZZZZZ")</f>
        <v>ZZZZZ</v>
      </c>
      <c r="N11" s="7">
        <f>IF(LEN('A créer'!C11)=0,"",0)</f>
        <v>0</v>
      </c>
      <c r="O11" s="2" t="str">
        <f>IF(LEN('A créer'!C11)=0,"","Tab")</f>
        <v>Tab</v>
      </c>
      <c r="P11" s="7" t="str">
        <f>IF(LEN('A créer'!C11)=0,"","ZZZZZZZ")</f>
        <v>ZZZZZZZ</v>
      </c>
      <c r="Q11" s="7">
        <f>IF(LEN('A créer'!C11)=0,"",0)</f>
        <v>0</v>
      </c>
      <c r="R11" s="2" t="str">
        <f>IF(LEN('A créer'!C11)=0,"","Tab")</f>
        <v>Tab</v>
      </c>
      <c r="S11" s="7" t="str">
        <f>IF(LEN('A créer'!C11)=0,"","ZZZZZZZZZZ")</f>
        <v>ZZZZZZZZZZ</v>
      </c>
      <c r="T11" s="7">
        <f>IF(LEN('A créer'!C11)=0,"",0)</f>
        <v>0</v>
      </c>
      <c r="U11" s="2" t="str">
        <f>IF(LEN('A créer'!C11)=0,"","Tab")</f>
        <v>Tab</v>
      </c>
      <c r="V11" s="7" t="str">
        <f>IF(LEN('A créer'!C11)=0,"","ZZZZZZZZZZ")</f>
        <v>ZZZZZZZZZZ</v>
      </c>
      <c r="W11" s="7">
        <f>IF(LEN('A créer'!C11)=0,"",0)</f>
        <v>0</v>
      </c>
      <c r="X11" s="2" t="str">
        <f>IF(LEN('A créer'!C11)=0,"","Tab")</f>
        <v>Tab</v>
      </c>
      <c r="Y11" s="7" t="str">
        <f>IF(LEN('A créer'!C11)=0,"","ZZZZZZZZZZZZZZZ")</f>
        <v>ZZZZZZZZZZZZZZZ</v>
      </c>
      <c r="Z11" s="7">
        <f>IF(LEN('A créer'!C11)=0,"",0)</f>
        <v>0</v>
      </c>
      <c r="AA11" s="2" t="str">
        <f>IF(LEN('A créer'!C11)=0,"","Tab")</f>
        <v>Tab</v>
      </c>
      <c r="AB11" s="7" t="str">
        <f>IF(LEN('A créer'!C11)=0,"","ZZZ")</f>
        <v>ZZZ</v>
      </c>
      <c r="AC11" s="7">
        <f>IF(LEN('A créer'!C11)=0,"",0)</f>
        <v>0</v>
      </c>
      <c r="AD11" s="2" t="str">
        <f>IF(LEN('A créer'!C11)=0,"","Tab")</f>
        <v>Tab</v>
      </c>
      <c r="AE11" s="7" t="str">
        <f>IF(LEN('A créer'!C11)=0,"","ZZZZZZZZZZ")</f>
        <v>ZZZZZZZZZZ</v>
      </c>
      <c r="AF11" s="7">
        <f>IF(LEN('A créer'!C11)=0,"",0)</f>
        <v>0</v>
      </c>
      <c r="AG11" s="2" t="str">
        <f>IF(LEN('A créer'!C11)=0,"","Tab")</f>
        <v>Tab</v>
      </c>
      <c r="AH11" s="7" t="str">
        <f>IF(LEN('A créer'!C11)=0,"","ZZZZZZZZZZ")</f>
        <v>ZZZZZZZZZZ</v>
      </c>
      <c r="AI11" s="7">
        <f>IF(LEN('A créer'!C11)=0,"",0)</f>
        <v>0</v>
      </c>
      <c r="AJ11" s="2" t="str">
        <f>IF(LEN('A créer'!C11)=0,"","Tab")</f>
        <v>Tab</v>
      </c>
      <c r="AK11" s="7" t="str">
        <f>IF(LEN('A créer'!C11)=0,"","ZZZZZZZZZZ")</f>
        <v>ZZZZZZZZZZ</v>
      </c>
      <c r="AL11" s="2" t="str">
        <f>IF(LEN('A créer'!C11)=0,"","ENT")</f>
        <v>ENT</v>
      </c>
      <c r="AM11" s="2" t="str">
        <f>IF(LEN('A créer'!C11)=0,"","*SAVE")</f>
        <v>*SAVE</v>
      </c>
    </row>
    <row r="12" spans="1:39" x14ac:dyDescent="0.25">
      <c r="A12" s="2" t="str">
        <f>IF(LEN('A créer'!C12)=0,"","*FN")</f>
        <v>*FN</v>
      </c>
      <c r="B12" s="3" t="str">
        <f>IF(LEN('A créer'!C12)=0,"","\I")</f>
        <v>\I</v>
      </c>
      <c r="C12" s="2" t="str">
        <f>IF(LEN('A créer'!C12)=0,"","Tab")</f>
        <v>Tab</v>
      </c>
      <c r="D12" t="str">
        <f>IF(LEN('A créer'!C12)=0,"",'A créer'!A12)</f>
        <v>0473</v>
      </c>
      <c r="E12" s="2" t="str">
        <f>IF(LEN('A créer'!C12)=0,"","Tab")</f>
        <v>Tab</v>
      </c>
      <c r="F12" t="str">
        <f>IF(LEN('A créer'!C12)=0,"",'A créer'!B12)</f>
        <v>DOS</v>
      </c>
      <c r="G12" s="2" t="str">
        <f>IF(LEN('A créer'!C12)=0,"","Tab")</f>
        <v>Tab</v>
      </c>
      <c r="H12">
        <f>IF(LEN('A créer'!C12)=0,"",0)</f>
        <v>0</v>
      </c>
      <c r="I12" s="2" t="str">
        <f>IF(LEN('A créer'!C12)=0,"","Tab")</f>
        <v>Tab</v>
      </c>
      <c r="J12" t="str">
        <f>IF(LEN('A créer'!C12)=0,"","ZZZZZZ")</f>
        <v>ZZZZZZ</v>
      </c>
      <c r="K12">
        <f>IF(LEN('A créer'!C12)=0,"",0)</f>
        <v>0</v>
      </c>
      <c r="L12" s="2" t="str">
        <f>IF(LEN('A créer'!C12)=0,"","Tab")</f>
        <v>Tab</v>
      </c>
      <c r="M12" s="7" t="str">
        <f>IF(LEN('A créer'!C12)=0,"","ZZZZZ")</f>
        <v>ZZZZZ</v>
      </c>
      <c r="N12" s="7">
        <f>IF(LEN('A créer'!C12)=0,"",0)</f>
        <v>0</v>
      </c>
      <c r="O12" s="2" t="str">
        <f>IF(LEN('A créer'!C12)=0,"","Tab")</f>
        <v>Tab</v>
      </c>
      <c r="P12" s="7" t="str">
        <f>IF(LEN('A créer'!C12)=0,"","ZZZZZZZ")</f>
        <v>ZZZZZZZ</v>
      </c>
      <c r="Q12" s="7">
        <f>IF(LEN('A créer'!C12)=0,"",0)</f>
        <v>0</v>
      </c>
      <c r="R12" s="2" t="str">
        <f>IF(LEN('A créer'!C12)=0,"","Tab")</f>
        <v>Tab</v>
      </c>
      <c r="S12" s="7" t="str">
        <f>IF(LEN('A créer'!C12)=0,"","ZZZZZZZZZZ")</f>
        <v>ZZZZZZZZZZ</v>
      </c>
      <c r="T12" s="7">
        <f>IF(LEN('A créer'!C12)=0,"",0)</f>
        <v>0</v>
      </c>
      <c r="U12" s="2" t="str">
        <f>IF(LEN('A créer'!C12)=0,"","Tab")</f>
        <v>Tab</v>
      </c>
      <c r="V12" s="7" t="str">
        <f>IF(LEN('A créer'!C12)=0,"","ZZZZZZZZZZ")</f>
        <v>ZZZZZZZZZZ</v>
      </c>
      <c r="W12" s="7">
        <f>IF(LEN('A créer'!C12)=0,"",0)</f>
        <v>0</v>
      </c>
      <c r="X12" s="2" t="str">
        <f>IF(LEN('A créer'!C12)=0,"","Tab")</f>
        <v>Tab</v>
      </c>
      <c r="Y12" s="7" t="str">
        <f>IF(LEN('A créer'!C12)=0,"","ZZZZZZZZZZZZZZZ")</f>
        <v>ZZZZZZZZZZZZZZZ</v>
      </c>
      <c r="Z12" s="7">
        <f>IF(LEN('A créer'!C12)=0,"",0)</f>
        <v>0</v>
      </c>
      <c r="AA12" s="2" t="str">
        <f>IF(LEN('A créer'!C12)=0,"","Tab")</f>
        <v>Tab</v>
      </c>
      <c r="AB12" s="7" t="str">
        <f>IF(LEN('A créer'!C12)=0,"","ZZZ")</f>
        <v>ZZZ</v>
      </c>
      <c r="AC12" s="7">
        <f>IF(LEN('A créer'!C12)=0,"",0)</f>
        <v>0</v>
      </c>
      <c r="AD12" s="2" t="str">
        <f>IF(LEN('A créer'!C12)=0,"","Tab")</f>
        <v>Tab</v>
      </c>
      <c r="AE12" s="7" t="str">
        <f>IF(LEN('A créer'!C12)=0,"","ZZZZZZZZZZ")</f>
        <v>ZZZZZZZZZZ</v>
      </c>
      <c r="AF12" s="7">
        <f>IF(LEN('A créer'!C12)=0,"",0)</f>
        <v>0</v>
      </c>
      <c r="AG12" s="2" t="str">
        <f>IF(LEN('A créer'!C12)=0,"","Tab")</f>
        <v>Tab</v>
      </c>
      <c r="AH12" s="7" t="str">
        <f>IF(LEN('A créer'!C12)=0,"","ZZZZZZZZZZ")</f>
        <v>ZZZZZZZZZZ</v>
      </c>
      <c r="AI12" s="7">
        <f>IF(LEN('A créer'!C12)=0,"",0)</f>
        <v>0</v>
      </c>
      <c r="AJ12" s="2" t="str">
        <f>IF(LEN('A créer'!C12)=0,"","Tab")</f>
        <v>Tab</v>
      </c>
      <c r="AK12" s="7" t="str">
        <f>IF(LEN('A créer'!C12)=0,"","ZZZZZZZZZZ")</f>
        <v>ZZZZZZZZZZ</v>
      </c>
      <c r="AL12" s="2" t="str">
        <f>IF(LEN('A créer'!C12)=0,"","ENT")</f>
        <v>ENT</v>
      </c>
      <c r="AM12" s="2" t="str">
        <f>IF(LEN('A créer'!C12)=0,"","*SAVE")</f>
        <v>*SAVE</v>
      </c>
    </row>
    <row r="13" spans="1:39" x14ac:dyDescent="0.25">
      <c r="A13" s="2" t="str">
        <f>IF(LEN('A créer'!C13)=0,"","*FN")</f>
        <v>*FN</v>
      </c>
      <c r="B13" s="3" t="str">
        <f>IF(LEN('A créer'!C13)=0,"","\I")</f>
        <v>\I</v>
      </c>
      <c r="C13" s="2" t="str">
        <f>IF(LEN('A créer'!C13)=0,"","Tab")</f>
        <v>Tab</v>
      </c>
      <c r="D13" t="str">
        <f>IF(LEN('A créer'!C13)=0,"",'A créer'!A13)</f>
        <v>0474</v>
      </c>
      <c r="E13" s="2" t="str">
        <f>IF(LEN('A créer'!C13)=0,"","Tab")</f>
        <v>Tab</v>
      </c>
      <c r="F13" t="str">
        <f>IF(LEN('A créer'!C13)=0,"",'A créer'!B13)</f>
        <v>DMS</v>
      </c>
      <c r="G13" s="2" t="str">
        <f>IF(LEN('A créer'!C13)=0,"","Tab")</f>
        <v>Tab</v>
      </c>
      <c r="H13">
        <f>IF(LEN('A créer'!C13)=0,"",0)</f>
        <v>0</v>
      </c>
      <c r="I13" s="2" t="str">
        <f>IF(LEN('A créer'!C13)=0,"","Tab")</f>
        <v>Tab</v>
      </c>
      <c r="J13" t="str">
        <f>IF(LEN('A créer'!C13)=0,"","ZZZZZZ")</f>
        <v>ZZZZZZ</v>
      </c>
      <c r="K13">
        <f>IF(LEN('A créer'!C13)=0,"",0)</f>
        <v>0</v>
      </c>
      <c r="L13" s="2" t="str">
        <f>IF(LEN('A créer'!C13)=0,"","Tab")</f>
        <v>Tab</v>
      </c>
      <c r="M13" s="7" t="str">
        <f>IF(LEN('A créer'!C13)=0,"","ZZZZZ")</f>
        <v>ZZZZZ</v>
      </c>
      <c r="N13" s="7">
        <f>IF(LEN('A créer'!C13)=0,"",0)</f>
        <v>0</v>
      </c>
      <c r="O13" s="2" t="str">
        <f>IF(LEN('A créer'!C13)=0,"","Tab")</f>
        <v>Tab</v>
      </c>
      <c r="P13" s="7" t="str">
        <f>IF(LEN('A créer'!C13)=0,"","ZZZZZZZ")</f>
        <v>ZZZZZZZ</v>
      </c>
      <c r="Q13" s="7">
        <f>IF(LEN('A créer'!C13)=0,"",0)</f>
        <v>0</v>
      </c>
      <c r="R13" s="2" t="str">
        <f>IF(LEN('A créer'!C13)=0,"","Tab")</f>
        <v>Tab</v>
      </c>
      <c r="S13" s="7" t="str">
        <f>IF(LEN('A créer'!C13)=0,"","ZZZZZZZZZZ")</f>
        <v>ZZZZZZZZZZ</v>
      </c>
      <c r="T13" s="7">
        <f>IF(LEN('A créer'!C13)=0,"",0)</f>
        <v>0</v>
      </c>
      <c r="U13" s="2" t="str">
        <f>IF(LEN('A créer'!C13)=0,"","Tab")</f>
        <v>Tab</v>
      </c>
      <c r="V13" s="7" t="str">
        <f>IF(LEN('A créer'!C13)=0,"","ZZZZZZZZZZ")</f>
        <v>ZZZZZZZZZZ</v>
      </c>
      <c r="W13" s="7">
        <f>IF(LEN('A créer'!C13)=0,"",0)</f>
        <v>0</v>
      </c>
      <c r="X13" s="2" t="str">
        <f>IF(LEN('A créer'!C13)=0,"","Tab")</f>
        <v>Tab</v>
      </c>
      <c r="Y13" s="7" t="str">
        <f>IF(LEN('A créer'!C13)=0,"","ZZZZZZZZZZZZZZZ")</f>
        <v>ZZZZZZZZZZZZZZZ</v>
      </c>
      <c r="Z13" s="7">
        <f>IF(LEN('A créer'!C13)=0,"",0)</f>
        <v>0</v>
      </c>
      <c r="AA13" s="2" t="str">
        <f>IF(LEN('A créer'!C13)=0,"","Tab")</f>
        <v>Tab</v>
      </c>
      <c r="AB13" s="7" t="str">
        <f>IF(LEN('A créer'!C13)=0,"","ZZZ")</f>
        <v>ZZZ</v>
      </c>
      <c r="AC13" s="7">
        <f>IF(LEN('A créer'!C13)=0,"",0)</f>
        <v>0</v>
      </c>
      <c r="AD13" s="2" t="str">
        <f>IF(LEN('A créer'!C13)=0,"","Tab")</f>
        <v>Tab</v>
      </c>
      <c r="AE13" s="7" t="str">
        <f>IF(LEN('A créer'!C13)=0,"","ZZZZZZZZZZ")</f>
        <v>ZZZZZZZZZZ</v>
      </c>
      <c r="AF13" s="7">
        <f>IF(LEN('A créer'!C13)=0,"",0)</f>
        <v>0</v>
      </c>
      <c r="AG13" s="2" t="str">
        <f>IF(LEN('A créer'!C13)=0,"","Tab")</f>
        <v>Tab</v>
      </c>
      <c r="AH13" s="7" t="str">
        <f>IF(LEN('A créer'!C13)=0,"","ZZZZZZZZZZ")</f>
        <v>ZZZZZZZZZZ</v>
      </c>
      <c r="AI13" s="7">
        <f>IF(LEN('A créer'!C13)=0,"",0)</f>
        <v>0</v>
      </c>
      <c r="AJ13" s="2" t="str">
        <f>IF(LEN('A créer'!C13)=0,"","Tab")</f>
        <v>Tab</v>
      </c>
      <c r="AK13" s="7" t="str">
        <f>IF(LEN('A créer'!C13)=0,"","ZZZZZZZZZZ")</f>
        <v>ZZZZZZZZZZ</v>
      </c>
      <c r="AL13" s="2" t="str">
        <f>IF(LEN('A créer'!C13)=0,"","ENT")</f>
        <v>ENT</v>
      </c>
      <c r="AM13" s="2" t="str">
        <f>IF(LEN('A créer'!C13)=0,"","*SAVE")</f>
        <v>*SAVE</v>
      </c>
    </row>
    <row r="14" spans="1:39" x14ac:dyDescent="0.25">
      <c r="A14" s="2" t="str">
        <f>IF(LEN('A créer'!C14)=0,"","*FN")</f>
        <v>*FN</v>
      </c>
      <c r="B14" s="3" t="str">
        <f>IF(LEN('A créer'!C14)=0,"","\I")</f>
        <v>\I</v>
      </c>
      <c r="C14" s="2" t="str">
        <f>IF(LEN('A créer'!C14)=0,"","Tab")</f>
        <v>Tab</v>
      </c>
      <c r="D14" t="str">
        <f>IF(LEN('A créer'!C14)=0,"",'A créer'!A14)</f>
        <v>0470</v>
      </c>
      <c r="E14" s="2" t="str">
        <f>IF(LEN('A créer'!C14)=0,"","Tab")</f>
        <v>Tab</v>
      </c>
      <c r="F14" t="str">
        <f>IF(LEN('A créer'!C14)=0,"",'A créer'!B14)</f>
        <v>DNA</v>
      </c>
      <c r="G14" s="2" t="str">
        <f>IF(LEN('A créer'!C14)=0,"","Tab")</f>
        <v>Tab</v>
      </c>
      <c r="H14">
        <f>IF(LEN('A créer'!C14)=0,"",0)</f>
        <v>0</v>
      </c>
      <c r="I14" s="2" t="str">
        <f>IF(LEN('A créer'!C14)=0,"","Tab")</f>
        <v>Tab</v>
      </c>
      <c r="J14" t="str">
        <f>IF(LEN('A créer'!C14)=0,"","ZZZZZZ")</f>
        <v>ZZZZZZ</v>
      </c>
      <c r="K14">
        <f>IF(LEN('A créer'!C14)=0,"",0)</f>
        <v>0</v>
      </c>
      <c r="L14" s="2" t="str">
        <f>IF(LEN('A créer'!C14)=0,"","Tab")</f>
        <v>Tab</v>
      </c>
      <c r="M14" s="7" t="str">
        <f>IF(LEN('A créer'!C14)=0,"","ZZZZZ")</f>
        <v>ZZZZZ</v>
      </c>
      <c r="N14" s="7">
        <f>IF(LEN('A créer'!C14)=0,"",0)</f>
        <v>0</v>
      </c>
      <c r="O14" s="2" t="str">
        <f>IF(LEN('A créer'!C14)=0,"","Tab")</f>
        <v>Tab</v>
      </c>
      <c r="P14" s="7" t="str">
        <f>IF(LEN('A créer'!C14)=0,"","ZZZZZZZ")</f>
        <v>ZZZZZZZ</v>
      </c>
      <c r="Q14" s="7">
        <f>IF(LEN('A créer'!C14)=0,"",0)</f>
        <v>0</v>
      </c>
      <c r="R14" s="2" t="str">
        <f>IF(LEN('A créer'!C14)=0,"","Tab")</f>
        <v>Tab</v>
      </c>
      <c r="S14" s="7" t="str">
        <f>IF(LEN('A créer'!C14)=0,"","ZZZZZZZZZZ")</f>
        <v>ZZZZZZZZZZ</v>
      </c>
      <c r="T14" s="7">
        <f>IF(LEN('A créer'!C14)=0,"",0)</f>
        <v>0</v>
      </c>
      <c r="U14" s="2" t="str">
        <f>IF(LEN('A créer'!C14)=0,"","Tab")</f>
        <v>Tab</v>
      </c>
      <c r="V14" s="7" t="str">
        <f>IF(LEN('A créer'!C14)=0,"","ZZZZZZZZZZ")</f>
        <v>ZZZZZZZZZZ</v>
      </c>
      <c r="W14" s="7">
        <f>IF(LEN('A créer'!C14)=0,"",0)</f>
        <v>0</v>
      </c>
      <c r="X14" s="2" t="str">
        <f>IF(LEN('A créer'!C14)=0,"","Tab")</f>
        <v>Tab</v>
      </c>
      <c r="Y14" s="7" t="str">
        <f>IF(LEN('A créer'!C14)=0,"","ZZZZZZZZZZZZZZZ")</f>
        <v>ZZZZZZZZZZZZZZZ</v>
      </c>
      <c r="Z14" s="7">
        <f>IF(LEN('A créer'!C14)=0,"",0)</f>
        <v>0</v>
      </c>
      <c r="AA14" s="2" t="str">
        <f>IF(LEN('A créer'!C14)=0,"","Tab")</f>
        <v>Tab</v>
      </c>
      <c r="AB14" s="7" t="str">
        <f>IF(LEN('A créer'!C14)=0,"","ZZZ")</f>
        <v>ZZZ</v>
      </c>
      <c r="AC14" s="7">
        <f>IF(LEN('A créer'!C14)=0,"",0)</f>
        <v>0</v>
      </c>
      <c r="AD14" s="2" t="str">
        <f>IF(LEN('A créer'!C14)=0,"","Tab")</f>
        <v>Tab</v>
      </c>
      <c r="AE14" s="7" t="str">
        <f>IF(LEN('A créer'!C14)=0,"","ZZZZZZZZZZ")</f>
        <v>ZZZZZZZZZZ</v>
      </c>
      <c r="AF14" s="7">
        <f>IF(LEN('A créer'!C14)=0,"",0)</f>
        <v>0</v>
      </c>
      <c r="AG14" s="2" t="str">
        <f>IF(LEN('A créer'!C14)=0,"","Tab")</f>
        <v>Tab</v>
      </c>
      <c r="AH14" s="7" t="str">
        <f>IF(LEN('A créer'!C14)=0,"","ZZZZZZZZZZ")</f>
        <v>ZZZZZZZZZZ</v>
      </c>
      <c r="AI14" s="7">
        <f>IF(LEN('A créer'!C14)=0,"",0)</f>
        <v>0</v>
      </c>
      <c r="AJ14" s="2" t="str">
        <f>IF(LEN('A créer'!C14)=0,"","Tab")</f>
        <v>Tab</v>
      </c>
      <c r="AK14" s="7" t="str">
        <f>IF(LEN('A créer'!C14)=0,"","ZZZZZZZZZZ")</f>
        <v>ZZZZZZZZZZ</v>
      </c>
      <c r="AL14" s="2" t="str">
        <f>IF(LEN('A créer'!C14)=0,"","ENT")</f>
        <v>ENT</v>
      </c>
      <c r="AM14" s="2" t="str">
        <f>IF(LEN('A créer'!C14)=0,"","*SAVE")</f>
        <v>*SAVE</v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7" t="str">
        <f>IF(LEN('A créer'!C15)=0,"","ZZZZZ")</f>
        <v/>
      </c>
      <c r="N15" s="7" t="str">
        <f>IF(LEN('A créer'!C15)=0,"",0)</f>
        <v/>
      </c>
      <c r="O15" s="2" t="str">
        <f>IF(LEN('A créer'!C15)=0,"","Tab")</f>
        <v/>
      </c>
      <c r="P15" s="7" t="str">
        <f>IF(LEN('A créer'!C15)=0,"","ZZZZZZZ")</f>
        <v/>
      </c>
      <c r="Q15" s="7" t="str">
        <f>IF(LEN('A créer'!C15)=0,"",0)</f>
        <v/>
      </c>
      <c r="R15" s="2" t="str">
        <f>IF(LEN('A créer'!C15)=0,"","Tab")</f>
        <v/>
      </c>
      <c r="S15" s="7" t="str">
        <f>IF(LEN('A créer'!C15)=0,"","ZZZZZZZZZZ")</f>
        <v/>
      </c>
      <c r="T15" s="7" t="str">
        <f>IF(LEN('A créer'!C15)=0,"",0)</f>
        <v/>
      </c>
      <c r="U15" s="2" t="str">
        <f>IF(LEN('A créer'!C15)=0,"","Tab")</f>
        <v/>
      </c>
      <c r="V15" s="7" t="str">
        <f>IF(LEN('A créer'!C15)=0,"","ZZZZZZZZZZ")</f>
        <v/>
      </c>
      <c r="W15" s="7" t="str">
        <f>IF(LEN('A créer'!C15)=0,"",0)</f>
        <v/>
      </c>
      <c r="X15" s="2" t="str">
        <f>IF(LEN('A créer'!C15)=0,"","Tab")</f>
        <v/>
      </c>
      <c r="Y15" s="7" t="str">
        <f>IF(LEN('A créer'!C15)=0,"","ZZZZZZZZZZZZZZZ")</f>
        <v/>
      </c>
      <c r="Z15" s="7" t="str">
        <f>IF(LEN('A créer'!C15)=0,"",0)</f>
        <v/>
      </c>
      <c r="AA15" s="2" t="str">
        <f>IF(LEN('A créer'!C15)=0,"","Tab")</f>
        <v/>
      </c>
      <c r="AB15" s="7" t="str">
        <f>IF(LEN('A créer'!C15)=0,"","ZZZ")</f>
        <v/>
      </c>
      <c r="AC15" s="7" t="str">
        <f>IF(LEN('A créer'!C15)=0,"",0)</f>
        <v/>
      </c>
      <c r="AD15" s="2" t="str">
        <f>IF(LEN('A créer'!C15)=0,"","Tab")</f>
        <v/>
      </c>
      <c r="AE15" s="7" t="str">
        <f>IF(LEN('A créer'!C15)=0,"","ZZZZZZZZZZ")</f>
        <v/>
      </c>
      <c r="AF15" s="7" t="str">
        <f>IF(LEN('A créer'!C15)=0,"",0)</f>
        <v/>
      </c>
      <c r="AG15" s="2" t="str">
        <f>IF(LEN('A créer'!C15)=0,"","Tab")</f>
        <v/>
      </c>
      <c r="AH15" s="7" t="str">
        <f>IF(LEN('A créer'!C15)=0,"","ZZZZZZZZZZ")</f>
        <v/>
      </c>
      <c r="AI15" s="7" t="str">
        <f>IF(LEN('A créer'!C15)=0,"",0)</f>
        <v/>
      </c>
      <c r="AJ15" s="2" t="str">
        <f>IF(LEN('A créer'!C15)=0,"","Tab")</f>
        <v/>
      </c>
      <c r="AK15" s="7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7" t="str">
        <f>IF(LEN('A créer'!C16)=0,"","ZZZZZ")</f>
        <v/>
      </c>
      <c r="N16" s="7" t="str">
        <f>IF(LEN('A créer'!C16)=0,"",0)</f>
        <v/>
      </c>
      <c r="O16" s="2" t="str">
        <f>IF(LEN('A créer'!C16)=0,"","Tab")</f>
        <v/>
      </c>
      <c r="P16" s="7" t="str">
        <f>IF(LEN('A créer'!C16)=0,"","ZZZZZZZ")</f>
        <v/>
      </c>
      <c r="Q16" s="7" t="str">
        <f>IF(LEN('A créer'!C16)=0,"",0)</f>
        <v/>
      </c>
      <c r="R16" s="2" t="str">
        <f>IF(LEN('A créer'!C16)=0,"","Tab")</f>
        <v/>
      </c>
      <c r="S16" s="7" t="str">
        <f>IF(LEN('A créer'!C16)=0,"","ZZZZZZZZZZ")</f>
        <v/>
      </c>
      <c r="T16" s="7" t="str">
        <f>IF(LEN('A créer'!C16)=0,"",0)</f>
        <v/>
      </c>
      <c r="U16" s="2" t="str">
        <f>IF(LEN('A créer'!C16)=0,"","Tab")</f>
        <v/>
      </c>
      <c r="V16" s="7" t="str">
        <f>IF(LEN('A créer'!C16)=0,"","ZZZZZZZZZZ")</f>
        <v/>
      </c>
      <c r="W16" s="7" t="str">
        <f>IF(LEN('A créer'!C16)=0,"",0)</f>
        <v/>
      </c>
      <c r="X16" s="2" t="str">
        <f>IF(LEN('A créer'!C16)=0,"","Tab")</f>
        <v/>
      </c>
      <c r="Y16" s="7" t="str">
        <f>IF(LEN('A créer'!C16)=0,"","ZZZZZZZZZZZZZZZ")</f>
        <v/>
      </c>
      <c r="Z16" s="7" t="str">
        <f>IF(LEN('A créer'!C16)=0,"",0)</f>
        <v/>
      </c>
      <c r="AA16" s="2" t="str">
        <f>IF(LEN('A créer'!C16)=0,"","Tab")</f>
        <v/>
      </c>
      <c r="AB16" s="7" t="str">
        <f>IF(LEN('A créer'!C16)=0,"","ZZZ")</f>
        <v/>
      </c>
      <c r="AC16" s="7" t="str">
        <f>IF(LEN('A créer'!C16)=0,"",0)</f>
        <v/>
      </c>
      <c r="AD16" s="2" t="str">
        <f>IF(LEN('A créer'!C16)=0,"","Tab")</f>
        <v/>
      </c>
      <c r="AE16" s="7" t="str">
        <f>IF(LEN('A créer'!C16)=0,"","ZZZZZZZZZZ")</f>
        <v/>
      </c>
      <c r="AF16" s="7" t="str">
        <f>IF(LEN('A créer'!C16)=0,"",0)</f>
        <v/>
      </c>
      <c r="AG16" s="2" t="str">
        <f>IF(LEN('A créer'!C16)=0,"","Tab")</f>
        <v/>
      </c>
      <c r="AH16" s="7" t="str">
        <f>IF(LEN('A créer'!C16)=0,"","ZZZZZZZZZZ")</f>
        <v/>
      </c>
      <c r="AI16" s="7" t="str">
        <f>IF(LEN('A créer'!C16)=0,"",0)</f>
        <v/>
      </c>
      <c r="AJ16" s="2" t="str">
        <f>IF(LEN('A créer'!C16)=0,"","Tab")</f>
        <v/>
      </c>
      <c r="AK16" s="7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7" t="str">
        <f>IF(LEN('A créer'!C17)=0,"","ZZZZZ")</f>
        <v/>
      </c>
      <c r="N17" s="7" t="str">
        <f>IF(LEN('A créer'!C17)=0,"",0)</f>
        <v/>
      </c>
      <c r="O17" s="2" t="str">
        <f>IF(LEN('A créer'!C17)=0,"","Tab")</f>
        <v/>
      </c>
      <c r="P17" s="7" t="str">
        <f>IF(LEN('A créer'!C17)=0,"","ZZZZZZZ")</f>
        <v/>
      </c>
      <c r="Q17" s="7" t="str">
        <f>IF(LEN('A créer'!C17)=0,"",0)</f>
        <v/>
      </c>
      <c r="R17" s="2" t="str">
        <f>IF(LEN('A créer'!C17)=0,"","Tab")</f>
        <v/>
      </c>
      <c r="S17" s="7" t="str">
        <f>IF(LEN('A créer'!C17)=0,"","ZZZZZZZZZZ")</f>
        <v/>
      </c>
      <c r="T17" s="7" t="str">
        <f>IF(LEN('A créer'!C17)=0,"",0)</f>
        <v/>
      </c>
      <c r="U17" s="2" t="str">
        <f>IF(LEN('A créer'!C17)=0,"","Tab")</f>
        <v/>
      </c>
      <c r="V17" s="7" t="str">
        <f>IF(LEN('A créer'!C17)=0,"","ZZZZZZZZZZ")</f>
        <v/>
      </c>
      <c r="W17" s="7" t="str">
        <f>IF(LEN('A créer'!C17)=0,"",0)</f>
        <v/>
      </c>
      <c r="X17" s="2" t="str">
        <f>IF(LEN('A créer'!C17)=0,"","Tab")</f>
        <v/>
      </c>
      <c r="Y17" s="7" t="str">
        <f>IF(LEN('A créer'!C17)=0,"","ZZZZZZZZZZZZZZZ")</f>
        <v/>
      </c>
      <c r="Z17" s="7" t="str">
        <f>IF(LEN('A créer'!C17)=0,"",0)</f>
        <v/>
      </c>
      <c r="AA17" s="2" t="str">
        <f>IF(LEN('A créer'!C17)=0,"","Tab")</f>
        <v/>
      </c>
      <c r="AB17" s="7" t="str">
        <f>IF(LEN('A créer'!C17)=0,"","ZZZ")</f>
        <v/>
      </c>
      <c r="AC17" s="7" t="str">
        <f>IF(LEN('A créer'!C17)=0,"",0)</f>
        <v/>
      </c>
      <c r="AD17" s="2" t="str">
        <f>IF(LEN('A créer'!C17)=0,"","Tab")</f>
        <v/>
      </c>
      <c r="AE17" s="7" t="str">
        <f>IF(LEN('A créer'!C17)=0,"","ZZZZZZZZZZ")</f>
        <v/>
      </c>
      <c r="AF17" s="7" t="str">
        <f>IF(LEN('A créer'!C17)=0,"",0)</f>
        <v/>
      </c>
      <c r="AG17" s="2" t="str">
        <f>IF(LEN('A créer'!C17)=0,"","Tab")</f>
        <v/>
      </c>
      <c r="AH17" s="7" t="str">
        <f>IF(LEN('A créer'!C17)=0,"","ZZZZZZZZZZ")</f>
        <v/>
      </c>
      <c r="AI17" s="7" t="str">
        <f>IF(LEN('A créer'!C17)=0,"",0)</f>
        <v/>
      </c>
      <c r="AJ17" s="2" t="str">
        <f>IF(LEN('A créer'!C17)=0,"","Tab")</f>
        <v/>
      </c>
      <c r="AK17" s="7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7" t="str">
        <f>IF(LEN('A créer'!C18)=0,"","ZZZZZ")</f>
        <v/>
      </c>
      <c r="N18" s="7" t="str">
        <f>IF(LEN('A créer'!C18)=0,"",0)</f>
        <v/>
      </c>
      <c r="O18" s="2" t="str">
        <f>IF(LEN('A créer'!C18)=0,"","Tab")</f>
        <v/>
      </c>
      <c r="P18" s="7" t="str">
        <f>IF(LEN('A créer'!C18)=0,"","ZZZZZZZ")</f>
        <v/>
      </c>
      <c r="Q18" s="7" t="str">
        <f>IF(LEN('A créer'!C18)=0,"",0)</f>
        <v/>
      </c>
      <c r="R18" s="2" t="str">
        <f>IF(LEN('A créer'!C18)=0,"","Tab")</f>
        <v/>
      </c>
      <c r="S18" s="7" t="str">
        <f>IF(LEN('A créer'!C18)=0,"","ZZZZZZZZZZ")</f>
        <v/>
      </c>
      <c r="T18" s="7" t="str">
        <f>IF(LEN('A créer'!C18)=0,"",0)</f>
        <v/>
      </c>
      <c r="U18" s="2" t="str">
        <f>IF(LEN('A créer'!C18)=0,"","Tab")</f>
        <v/>
      </c>
      <c r="V18" s="7" t="str">
        <f>IF(LEN('A créer'!C18)=0,"","ZZZZZZZZZZ")</f>
        <v/>
      </c>
      <c r="W18" s="7" t="str">
        <f>IF(LEN('A créer'!C18)=0,"",0)</f>
        <v/>
      </c>
      <c r="X18" s="2" t="str">
        <f>IF(LEN('A créer'!C18)=0,"","Tab")</f>
        <v/>
      </c>
      <c r="Y18" s="7" t="str">
        <f>IF(LEN('A créer'!C18)=0,"","ZZZZZZZZZZZZZZZ")</f>
        <v/>
      </c>
      <c r="Z18" s="7" t="str">
        <f>IF(LEN('A créer'!C18)=0,"",0)</f>
        <v/>
      </c>
      <c r="AA18" s="2" t="str">
        <f>IF(LEN('A créer'!C18)=0,"","Tab")</f>
        <v/>
      </c>
      <c r="AB18" s="7" t="str">
        <f>IF(LEN('A créer'!C18)=0,"","ZZZ")</f>
        <v/>
      </c>
      <c r="AC18" s="7" t="str">
        <f>IF(LEN('A créer'!C18)=0,"",0)</f>
        <v/>
      </c>
      <c r="AD18" s="2" t="str">
        <f>IF(LEN('A créer'!C18)=0,"","Tab")</f>
        <v/>
      </c>
      <c r="AE18" s="7" t="str">
        <f>IF(LEN('A créer'!C18)=0,"","ZZZZZZZZZZ")</f>
        <v/>
      </c>
      <c r="AF18" s="7" t="str">
        <f>IF(LEN('A créer'!C18)=0,"",0)</f>
        <v/>
      </c>
      <c r="AG18" s="2" t="str">
        <f>IF(LEN('A créer'!C18)=0,"","Tab")</f>
        <v/>
      </c>
      <c r="AH18" s="7" t="str">
        <f>IF(LEN('A créer'!C18)=0,"","ZZZZZZZZZZ")</f>
        <v/>
      </c>
      <c r="AI18" s="7" t="str">
        <f>IF(LEN('A créer'!C18)=0,"",0)</f>
        <v/>
      </c>
      <c r="AJ18" s="2" t="str">
        <f>IF(LEN('A créer'!C18)=0,"","Tab")</f>
        <v/>
      </c>
      <c r="AK18" s="7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7" t="str">
        <f>IF(LEN('A créer'!C19)=0,"","ZZZZZ")</f>
        <v/>
      </c>
      <c r="N19" s="7" t="str">
        <f>IF(LEN('A créer'!C19)=0,"",0)</f>
        <v/>
      </c>
      <c r="O19" s="2" t="str">
        <f>IF(LEN('A créer'!C19)=0,"","Tab")</f>
        <v/>
      </c>
      <c r="P19" s="7" t="str">
        <f>IF(LEN('A créer'!C19)=0,"","ZZZZZZZ")</f>
        <v/>
      </c>
      <c r="Q19" s="7" t="str">
        <f>IF(LEN('A créer'!C19)=0,"",0)</f>
        <v/>
      </c>
      <c r="R19" s="2" t="str">
        <f>IF(LEN('A créer'!C19)=0,"","Tab")</f>
        <v/>
      </c>
      <c r="S19" s="7" t="str">
        <f>IF(LEN('A créer'!C19)=0,"","ZZZZZZZZZZ")</f>
        <v/>
      </c>
      <c r="T19" s="7" t="str">
        <f>IF(LEN('A créer'!C19)=0,"",0)</f>
        <v/>
      </c>
      <c r="U19" s="2" t="str">
        <f>IF(LEN('A créer'!C19)=0,"","Tab")</f>
        <v/>
      </c>
      <c r="V19" s="7" t="str">
        <f>IF(LEN('A créer'!C19)=0,"","ZZZZZZZZZZ")</f>
        <v/>
      </c>
      <c r="W19" s="7" t="str">
        <f>IF(LEN('A créer'!C19)=0,"",0)</f>
        <v/>
      </c>
      <c r="X19" s="2" t="str">
        <f>IF(LEN('A créer'!C19)=0,"","Tab")</f>
        <v/>
      </c>
      <c r="Y19" s="7" t="str">
        <f>IF(LEN('A créer'!C19)=0,"","ZZZZZZZZZZZZZZZ")</f>
        <v/>
      </c>
      <c r="Z19" s="7" t="str">
        <f>IF(LEN('A créer'!C19)=0,"",0)</f>
        <v/>
      </c>
      <c r="AA19" s="2" t="str">
        <f>IF(LEN('A créer'!C19)=0,"","Tab")</f>
        <v/>
      </c>
      <c r="AB19" s="7" t="str">
        <f>IF(LEN('A créer'!C19)=0,"","ZZZ")</f>
        <v/>
      </c>
      <c r="AC19" s="7" t="str">
        <f>IF(LEN('A créer'!C19)=0,"",0)</f>
        <v/>
      </c>
      <c r="AD19" s="2" t="str">
        <f>IF(LEN('A créer'!C19)=0,"","Tab")</f>
        <v/>
      </c>
      <c r="AE19" s="7" t="str">
        <f>IF(LEN('A créer'!C19)=0,"","ZZZZZZZZZZ")</f>
        <v/>
      </c>
      <c r="AF19" s="7" t="str">
        <f>IF(LEN('A créer'!C19)=0,"",0)</f>
        <v/>
      </c>
      <c r="AG19" s="2" t="str">
        <f>IF(LEN('A créer'!C19)=0,"","Tab")</f>
        <v/>
      </c>
      <c r="AH19" s="7" t="str">
        <f>IF(LEN('A créer'!C19)=0,"","ZZZZZZZZZZ")</f>
        <v/>
      </c>
      <c r="AI19" s="7" t="str">
        <f>IF(LEN('A créer'!C19)=0,"",0)</f>
        <v/>
      </c>
      <c r="AJ19" s="2" t="str">
        <f>IF(LEN('A créer'!C19)=0,"","Tab")</f>
        <v/>
      </c>
      <c r="AK19" s="7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7" t="str">
        <f>IF(LEN('A créer'!C20)=0,"","ZZZZZ")</f>
        <v/>
      </c>
      <c r="N20" s="7" t="str">
        <f>IF(LEN('A créer'!C20)=0,"",0)</f>
        <v/>
      </c>
      <c r="O20" s="2" t="str">
        <f>IF(LEN('A créer'!C20)=0,"","Tab")</f>
        <v/>
      </c>
      <c r="P20" s="7" t="str">
        <f>IF(LEN('A créer'!C20)=0,"","ZZZZZZZ")</f>
        <v/>
      </c>
      <c r="Q20" s="7" t="str">
        <f>IF(LEN('A créer'!C20)=0,"",0)</f>
        <v/>
      </c>
      <c r="R20" s="2" t="str">
        <f>IF(LEN('A créer'!C20)=0,"","Tab")</f>
        <v/>
      </c>
      <c r="S20" s="7" t="str">
        <f>IF(LEN('A créer'!C20)=0,"","ZZZZZZZZZZ")</f>
        <v/>
      </c>
      <c r="T20" s="7" t="str">
        <f>IF(LEN('A créer'!C20)=0,"",0)</f>
        <v/>
      </c>
      <c r="U20" s="2" t="str">
        <f>IF(LEN('A créer'!C20)=0,"","Tab")</f>
        <v/>
      </c>
      <c r="V20" s="7" t="str">
        <f>IF(LEN('A créer'!C20)=0,"","ZZZZZZZZZZ")</f>
        <v/>
      </c>
      <c r="W20" s="7" t="str">
        <f>IF(LEN('A créer'!C20)=0,"",0)</f>
        <v/>
      </c>
      <c r="X20" s="2" t="str">
        <f>IF(LEN('A créer'!C20)=0,"","Tab")</f>
        <v/>
      </c>
      <c r="Y20" s="7" t="str">
        <f>IF(LEN('A créer'!C20)=0,"","ZZZZZZZZZZZZZZZ")</f>
        <v/>
      </c>
      <c r="Z20" s="7" t="str">
        <f>IF(LEN('A créer'!C20)=0,"",0)</f>
        <v/>
      </c>
      <c r="AA20" s="2" t="str">
        <f>IF(LEN('A créer'!C20)=0,"","Tab")</f>
        <v/>
      </c>
      <c r="AB20" s="7" t="str">
        <f>IF(LEN('A créer'!C20)=0,"","ZZZ")</f>
        <v/>
      </c>
      <c r="AC20" s="7" t="str">
        <f>IF(LEN('A créer'!C20)=0,"",0)</f>
        <v/>
      </c>
      <c r="AD20" s="2" t="str">
        <f>IF(LEN('A créer'!C20)=0,"","Tab")</f>
        <v/>
      </c>
      <c r="AE20" s="7" t="str">
        <f>IF(LEN('A créer'!C20)=0,"","ZZZZZZZZZZ")</f>
        <v/>
      </c>
      <c r="AF20" s="7" t="str">
        <f>IF(LEN('A créer'!C20)=0,"",0)</f>
        <v/>
      </c>
      <c r="AG20" s="2" t="str">
        <f>IF(LEN('A créer'!C20)=0,"","Tab")</f>
        <v/>
      </c>
      <c r="AH20" s="7" t="str">
        <f>IF(LEN('A créer'!C20)=0,"","ZZZZZZZZZZ")</f>
        <v/>
      </c>
      <c r="AI20" s="7" t="str">
        <f>IF(LEN('A créer'!C20)=0,"",0)</f>
        <v/>
      </c>
      <c r="AJ20" s="2" t="str">
        <f>IF(LEN('A créer'!C20)=0,"","Tab")</f>
        <v/>
      </c>
      <c r="AK20" s="7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7" t="str">
        <f>IF(LEN('A créer'!C21)=0,"","ZZZZZ")</f>
        <v/>
      </c>
      <c r="N21" s="7" t="str">
        <f>IF(LEN('A créer'!C21)=0,"",0)</f>
        <v/>
      </c>
      <c r="O21" s="2" t="str">
        <f>IF(LEN('A créer'!C21)=0,"","Tab")</f>
        <v/>
      </c>
      <c r="P21" s="7" t="str">
        <f>IF(LEN('A créer'!C21)=0,"","ZZZZZZZ")</f>
        <v/>
      </c>
      <c r="Q21" s="7" t="str">
        <f>IF(LEN('A créer'!C21)=0,"",0)</f>
        <v/>
      </c>
      <c r="R21" s="2" t="str">
        <f>IF(LEN('A créer'!C21)=0,"","Tab")</f>
        <v/>
      </c>
      <c r="S21" s="7" t="str">
        <f>IF(LEN('A créer'!C21)=0,"","ZZZZZZZZZZ")</f>
        <v/>
      </c>
      <c r="T21" s="7" t="str">
        <f>IF(LEN('A créer'!C21)=0,"",0)</f>
        <v/>
      </c>
      <c r="U21" s="2" t="str">
        <f>IF(LEN('A créer'!C21)=0,"","Tab")</f>
        <v/>
      </c>
      <c r="V21" s="7" t="str">
        <f>IF(LEN('A créer'!C21)=0,"","ZZZZZZZZZZ")</f>
        <v/>
      </c>
      <c r="W21" s="7" t="str">
        <f>IF(LEN('A créer'!C21)=0,"",0)</f>
        <v/>
      </c>
      <c r="X21" s="2" t="str">
        <f>IF(LEN('A créer'!C21)=0,"","Tab")</f>
        <v/>
      </c>
      <c r="Y21" s="7" t="str">
        <f>IF(LEN('A créer'!C21)=0,"","ZZZZZZZZZZZZZZZ")</f>
        <v/>
      </c>
      <c r="Z21" s="7" t="str">
        <f>IF(LEN('A créer'!C21)=0,"",0)</f>
        <v/>
      </c>
      <c r="AA21" s="2" t="str">
        <f>IF(LEN('A créer'!C21)=0,"","Tab")</f>
        <v/>
      </c>
      <c r="AB21" s="7" t="str">
        <f>IF(LEN('A créer'!C21)=0,"","ZZZ")</f>
        <v/>
      </c>
      <c r="AC21" s="7" t="str">
        <f>IF(LEN('A créer'!C21)=0,"",0)</f>
        <v/>
      </c>
      <c r="AD21" s="2" t="str">
        <f>IF(LEN('A créer'!C21)=0,"","Tab")</f>
        <v/>
      </c>
      <c r="AE21" s="7" t="str">
        <f>IF(LEN('A créer'!C21)=0,"","ZZZZZZZZZZ")</f>
        <v/>
      </c>
      <c r="AF21" s="7" t="str">
        <f>IF(LEN('A créer'!C21)=0,"",0)</f>
        <v/>
      </c>
      <c r="AG21" s="2" t="str">
        <f>IF(LEN('A créer'!C21)=0,"","Tab")</f>
        <v/>
      </c>
      <c r="AH21" s="7" t="str">
        <f>IF(LEN('A créer'!C21)=0,"","ZZZZZZZZZZ")</f>
        <v/>
      </c>
      <c r="AI21" s="7" t="str">
        <f>IF(LEN('A créer'!C21)=0,"",0)</f>
        <v/>
      </c>
      <c r="AJ21" s="2" t="str">
        <f>IF(LEN('A créer'!C21)=0,"","Tab")</f>
        <v/>
      </c>
      <c r="AK21" s="7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7" t="str">
        <f>IF(LEN('A créer'!C22)=0,"","ZZZZZ")</f>
        <v/>
      </c>
      <c r="N22" s="7" t="str">
        <f>IF(LEN('A créer'!C22)=0,"",0)</f>
        <v/>
      </c>
      <c r="O22" s="2" t="str">
        <f>IF(LEN('A créer'!C22)=0,"","Tab")</f>
        <v/>
      </c>
      <c r="P22" s="7" t="str">
        <f>IF(LEN('A créer'!C22)=0,"","ZZZZZZZ")</f>
        <v/>
      </c>
      <c r="Q22" s="7" t="str">
        <f>IF(LEN('A créer'!C22)=0,"",0)</f>
        <v/>
      </c>
      <c r="R22" s="2" t="str">
        <f>IF(LEN('A créer'!C22)=0,"","Tab")</f>
        <v/>
      </c>
      <c r="S22" s="7" t="str">
        <f>IF(LEN('A créer'!C22)=0,"","ZZZZZZZZZZ")</f>
        <v/>
      </c>
      <c r="T22" s="7" t="str">
        <f>IF(LEN('A créer'!C22)=0,"",0)</f>
        <v/>
      </c>
      <c r="U22" s="2" t="str">
        <f>IF(LEN('A créer'!C22)=0,"","Tab")</f>
        <v/>
      </c>
      <c r="V22" s="7" t="str">
        <f>IF(LEN('A créer'!C22)=0,"","ZZZZZZZZZZ")</f>
        <v/>
      </c>
      <c r="W22" s="7" t="str">
        <f>IF(LEN('A créer'!C22)=0,"",0)</f>
        <v/>
      </c>
      <c r="X22" s="2" t="str">
        <f>IF(LEN('A créer'!C22)=0,"","Tab")</f>
        <v/>
      </c>
      <c r="Y22" s="7" t="str">
        <f>IF(LEN('A créer'!C22)=0,"","ZZZZZZZZZZZZZZZ")</f>
        <v/>
      </c>
      <c r="Z22" s="7" t="str">
        <f>IF(LEN('A créer'!C22)=0,"",0)</f>
        <v/>
      </c>
      <c r="AA22" s="2" t="str">
        <f>IF(LEN('A créer'!C22)=0,"","Tab")</f>
        <v/>
      </c>
      <c r="AB22" s="7" t="str">
        <f>IF(LEN('A créer'!C22)=0,"","ZZZ")</f>
        <v/>
      </c>
      <c r="AC22" s="7" t="str">
        <f>IF(LEN('A créer'!C22)=0,"",0)</f>
        <v/>
      </c>
      <c r="AD22" s="2" t="str">
        <f>IF(LEN('A créer'!C22)=0,"","Tab")</f>
        <v/>
      </c>
      <c r="AE22" s="7" t="str">
        <f>IF(LEN('A créer'!C22)=0,"","ZZZZZZZZZZ")</f>
        <v/>
      </c>
      <c r="AF22" s="7" t="str">
        <f>IF(LEN('A créer'!C22)=0,"",0)</f>
        <v/>
      </c>
      <c r="AG22" s="2" t="str">
        <f>IF(LEN('A créer'!C22)=0,"","Tab")</f>
        <v/>
      </c>
      <c r="AH22" s="7" t="str">
        <f>IF(LEN('A créer'!C22)=0,"","ZZZZZZZZZZ")</f>
        <v/>
      </c>
      <c r="AI22" s="7" t="str">
        <f>IF(LEN('A créer'!C22)=0,"",0)</f>
        <v/>
      </c>
      <c r="AJ22" s="2" t="str">
        <f>IF(LEN('A créer'!C22)=0,"","Tab")</f>
        <v/>
      </c>
      <c r="AK22" s="7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7" t="str">
        <f>IF(LEN('A créer'!C23)=0,"","ZZZZZ")</f>
        <v/>
      </c>
      <c r="N23" s="7" t="str">
        <f>IF(LEN('A créer'!C23)=0,"",0)</f>
        <v/>
      </c>
      <c r="O23" s="2" t="str">
        <f>IF(LEN('A créer'!C23)=0,"","Tab")</f>
        <v/>
      </c>
      <c r="P23" s="7" t="str">
        <f>IF(LEN('A créer'!C23)=0,"","ZZZZZZZ")</f>
        <v/>
      </c>
      <c r="Q23" s="7" t="str">
        <f>IF(LEN('A créer'!C23)=0,"",0)</f>
        <v/>
      </c>
      <c r="R23" s="2" t="str">
        <f>IF(LEN('A créer'!C23)=0,"","Tab")</f>
        <v/>
      </c>
      <c r="S23" s="7" t="str">
        <f>IF(LEN('A créer'!C23)=0,"","ZZZZZZZZZZ")</f>
        <v/>
      </c>
      <c r="T23" s="7" t="str">
        <f>IF(LEN('A créer'!C23)=0,"",0)</f>
        <v/>
      </c>
      <c r="U23" s="2" t="str">
        <f>IF(LEN('A créer'!C23)=0,"","Tab")</f>
        <v/>
      </c>
      <c r="V23" s="7" t="str">
        <f>IF(LEN('A créer'!C23)=0,"","ZZZZZZZZZZ")</f>
        <v/>
      </c>
      <c r="W23" s="7" t="str">
        <f>IF(LEN('A créer'!C23)=0,"",0)</f>
        <v/>
      </c>
      <c r="X23" s="2" t="str">
        <f>IF(LEN('A créer'!C23)=0,"","Tab")</f>
        <v/>
      </c>
      <c r="Y23" s="7" t="str">
        <f>IF(LEN('A créer'!C23)=0,"","ZZZZZZZZZZZZZZZ")</f>
        <v/>
      </c>
      <c r="Z23" s="7" t="str">
        <f>IF(LEN('A créer'!C23)=0,"",0)</f>
        <v/>
      </c>
      <c r="AA23" s="2" t="str">
        <f>IF(LEN('A créer'!C23)=0,"","Tab")</f>
        <v/>
      </c>
      <c r="AB23" s="7" t="str">
        <f>IF(LEN('A créer'!C23)=0,"","ZZZ")</f>
        <v/>
      </c>
      <c r="AC23" s="7" t="str">
        <f>IF(LEN('A créer'!C23)=0,"",0)</f>
        <v/>
      </c>
      <c r="AD23" s="2" t="str">
        <f>IF(LEN('A créer'!C23)=0,"","Tab")</f>
        <v/>
      </c>
      <c r="AE23" s="7" t="str">
        <f>IF(LEN('A créer'!C23)=0,"","ZZZZZZZZZZ")</f>
        <v/>
      </c>
      <c r="AF23" s="7" t="str">
        <f>IF(LEN('A créer'!C23)=0,"",0)</f>
        <v/>
      </c>
      <c r="AG23" s="2" t="str">
        <f>IF(LEN('A créer'!C23)=0,"","Tab")</f>
        <v/>
      </c>
      <c r="AH23" s="7" t="str">
        <f>IF(LEN('A créer'!C23)=0,"","ZZZZZZZZZZ")</f>
        <v/>
      </c>
      <c r="AI23" s="7" t="str">
        <f>IF(LEN('A créer'!C23)=0,"",0)</f>
        <v/>
      </c>
      <c r="AJ23" s="2" t="str">
        <f>IF(LEN('A créer'!C23)=0,"","Tab")</f>
        <v/>
      </c>
      <c r="AK23" s="7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7" t="str">
        <f>IF(LEN('A créer'!C24)=0,"","ZZZZZ")</f>
        <v/>
      </c>
      <c r="N24" s="7" t="str">
        <f>IF(LEN('A créer'!C24)=0,"",0)</f>
        <v/>
      </c>
      <c r="O24" s="2" t="str">
        <f>IF(LEN('A créer'!C24)=0,"","Tab")</f>
        <v/>
      </c>
      <c r="P24" s="7" t="str">
        <f>IF(LEN('A créer'!C24)=0,"","ZZZZZZZ")</f>
        <v/>
      </c>
      <c r="Q24" s="7" t="str">
        <f>IF(LEN('A créer'!C24)=0,"",0)</f>
        <v/>
      </c>
      <c r="R24" s="2" t="str">
        <f>IF(LEN('A créer'!C24)=0,"","Tab")</f>
        <v/>
      </c>
      <c r="S24" s="7" t="str">
        <f>IF(LEN('A créer'!C24)=0,"","ZZZZZZZZZZ")</f>
        <v/>
      </c>
      <c r="T24" s="7" t="str">
        <f>IF(LEN('A créer'!C24)=0,"",0)</f>
        <v/>
      </c>
      <c r="U24" s="2" t="str">
        <f>IF(LEN('A créer'!C24)=0,"","Tab")</f>
        <v/>
      </c>
      <c r="V24" s="7" t="str">
        <f>IF(LEN('A créer'!C24)=0,"","ZZZZZZZZZZ")</f>
        <v/>
      </c>
      <c r="W24" s="7" t="str">
        <f>IF(LEN('A créer'!C24)=0,"",0)</f>
        <v/>
      </c>
      <c r="X24" s="2" t="str">
        <f>IF(LEN('A créer'!C24)=0,"","Tab")</f>
        <v/>
      </c>
      <c r="Y24" s="7" t="str">
        <f>IF(LEN('A créer'!C24)=0,"","ZZZZZZZZZZZZZZZ")</f>
        <v/>
      </c>
      <c r="Z24" s="7" t="str">
        <f>IF(LEN('A créer'!C24)=0,"",0)</f>
        <v/>
      </c>
      <c r="AA24" s="2" t="str">
        <f>IF(LEN('A créer'!C24)=0,"","Tab")</f>
        <v/>
      </c>
      <c r="AB24" s="7" t="str">
        <f>IF(LEN('A créer'!C24)=0,"","ZZZ")</f>
        <v/>
      </c>
      <c r="AC24" s="7" t="str">
        <f>IF(LEN('A créer'!C24)=0,"",0)</f>
        <v/>
      </c>
      <c r="AD24" s="2" t="str">
        <f>IF(LEN('A créer'!C24)=0,"","Tab")</f>
        <v/>
      </c>
      <c r="AE24" s="7" t="str">
        <f>IF(LEN('A créer'!C24)=0,"","ZZZZZZZZZZ")</f>
        <v/>
      </c>
      <c r="AF24" s="7" t="str">
        <f>IF(LEN('A créer'!C24)=0,"",0)</f>
        <v/>
      </c>
      <c r="AG24" s="2" t="str">
        <f>IF(LEN('A créer'!C24)=0,"","Tab")</f>
        <v/>
      </c>
      <c r="AH24" s="7" t="str">
        <f>IF(LEN('A créer'!C24)=0,"","ZZZZZZZZZZ")</f>
        <v/>
      </c>
      <c r="AI24" s="7" t="str">
        <f>IF(LEN('A créer'!C24)=0,"",0)</f>
        <v/>
      </c>
      <c r="AJ24" s="2" t="str">
        <f>IF(LEN('A créer'!C24)=0,"","Tab")</f>
        <v/>
      </c>
      <c r="AK24" s="7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7" t="str">
        <f>IF(LEN('A créer'!C25)=0,"","ZZZZZ")</f>
        <v/>
      </c>
      <c r="N25" s="7" t="str">
        <f>IF(LEN('A créer'!C25)=0,"",0)</f>
        <v/>
      </c>
      <c r="O25" s="2" t="str">
        <f>IF(LEN('A créer'!C25)=0,"","Tab")</f>
        <v/>
      </c>
      <c r="P25" s="7" t="str">
        <f>IF(LEN('A créer'!C25)=0,"","ZZZZZZZ")</f>
        <v/>
      </c>
      <c r="Q25" s="7" t="str">
        <f>IF(LEN('A créer'!C25)=0,"",0)</f>
        <v/>
      </c>
      <c r="R25" s="2" t="str">
        <f>IF(LEN('A créer'!C25)=0,"","Tab")</f>
        <v/>
      </c>
      <c r="S25" s="7" t="str">
        <f>IF(LEN('A créer'!C25)=0,"","ZZZZZZZZZZ")</f>
        <v/>
      </c>
      <c r="T25" s="7" t="str">
        <f>IF(LEN('A créer'!C25)=0,"",0)</f>
        <v/>
      </c>
      <c r="U25" s="2" t="str">
        <f>IF(LEN('A créer'!C25)=0,"","Tab")</f>
        <v/>
      </c>
      <c r="V25" s="7" t="str">
        <f>IF(LEN('A créer'!C25)=0,"","ZZZZZZZZZZ")</f>
        <v/>
      </c>
      <c r="W25" s="7" t="str">
        <f>IF(LEN('A créer'!C25)=0,"",0)</f>
        <v/>
      </c>
      <c r="X25" s="2" t="str">
        <f>IF(LEN('A créer'!C25)=0,"","Tab")</f>
        <v/>
      </c>
      <c r="Y25" s="7" t="str">
        <f>IF(LEN('A créer'!C25)=0,"","ZZZZZZZZZZZZZZZ")</f>
        <v/>
      </c>
      <c r="Z25" s="7" t="str">
        <f>IF(LEN('A créer'!C25)=0,"",0)</f>
        <v/>
      </c>
      <c r="AA25" s="2" t="str">
        <f>IF(LEN('A créer'!C25)=0,"","Tab")</f>
        <v/>
      </c>
      <c r="AB25" s="7" t="str">
        <f>IF(LEN('A créer'!C25)=0,"","ZZZ")</f>
        <v/>
      </c>
      <c r="AC25" s="7" t="str">
        <f>IF(LEN('A créer'!C25)=0,"",0)</f>
        <v/>
      </c>
      <c r="AD25" s="2" t="str">
        <f>IF(LEN('A créer'!C25)=0,"","Tab")</f>
        <v/>
      </c>
      <c r="AE25" s="7" t="str">
        <f>IF(LEN('A créer'!C25)=0,"","ZZZZZZZZZZ")</f>
        <v/>
      </c>
      <c r="AF25" s="7" t="str">
        <f>IF(LEN('A créer'!C25)=0,"",0)</f>
        <v/>
      </c>
      <c r="AG25" s="2" t="str">
        <f>IF(LEN('A créer'!C25)=0,"","Tab")</f>
        <v/>
      </c>
      <c r="AH25" s="7" t="str">
        <f>IF(LEN('A créer'!C25)=0,"","ZZZZZZZZZZ")</f>
        <v/>
      </c>
      <c r="AI25" s="7" t="str">
        <f>IF(LEN('A créer'!C25)=0,"",0)</f>
        <v/>
      </c>
      <c r="AJ25" s="2" t="str">
        <f>IF(LEN('A créer'!C25)=0,"","Tab")</f>
        <v/>
      </c>
      <c r="AK25" s="7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7" t="str">
        <f>IF(LEN('A créer'!C26)=0,"","ZZZZZ")</f>
        <v/>
      </c>
      <c r="N26" s="7" t="str">
        <f>IF(LEN('A créer'!C26)=0,"",0)</f>
        <v/>
      </c>
      <c r="O26" s="2" t="str">
        <f>IF(LEN('A créer'!C26)=0,"","Tab")</f>
        <v/>
      </c>
      <c r="P26" s="7" t="str">
        <f>IF(LEN('A créer'!C26)=0,"","ZZZZZZZ")</f>
        <v/>
      </c>
      <c r="Q26" s="7" t="str">
        <f>IF(LEN('A créer'!C26)=0,"",0)</f>
        <v/>
      </c>
      <c r="R26" s="2" t="str">
        <f>IF(LEN('A créer'!C26)=0,"","Tab")</f>
        <v/>
      </c>
      <c r="S26" s="7" t="str">
        <f>IF(LEN('A créer'!C26)=0,"","ZZZZZZZZZZ")</f>
        <v/>
      </c>
      <c r="T26" s="7" t="str">
        <f>IF(LEN('A créer'!C26)=0,"",0)</f>
        <v/>
      </c>
      <c r="U26" s="2" t="str">
        <f>IF(LEN('A créer'!C26)=0,"","Tab")</f>
        <v/>
      </c>
      <c r="V26" s="7" t="str">
        <f>IF(LEN('A créer'!C26)=0,"","ZZZZZZZZZZ")</f>
        <v/>
      </c>
      <c r="W26" s="7" t="str">
        <f>IF(LEN('A créer'!C26)=0,"",0)</f>
        <v/>
      </c>
      <c r="X26" s="2" t="str">
        <f>IF(LEN('A créer'!C26)=0,"","Tab")</f>
        <v/>
      </c>
      <c r="Y26" s="7" t="str">
        <f>IF(LEN('A créer'!C26)=0,"","ZZZZZZZZZZZZZZZ")</f>
        <v/>
      </c>
      <c r="Z26" s="7" t="str">
        <f>IF(LEN('A créer'!C26)=0,"",0)</f>
        <v/>
      </c>
      <c r="AA26" s="2" t="str">
        <f>IF(LEN('A créer'!C26)=0,"","Tab")</f>
        <v/>
      </c>
      <c r="AB26" s="7" t="str">
        <f>IF(LEN('A créer'!C26)=0,"","ZZZ")</f>
        <v/>
      </c>
      <c r="AC26" s="7" t="str">
        <f>IF(LEN('A créer'!C26)=0,"",0)</f>
        <v/>
      </c>
      <c r="AD26" s="2" t="str">
        <f>IF(LEN('A créer'!C26)=0,"","Tab")</f>
        <v/>
      </c>
      <c r="AE26" s="7" t="str">
        <f>IF(LEN('A créer'!C26)=0,"","ZZZZZZZZZZ")</f>
        <v/>
      </c>
      <c r="AF26" s="7" t="str">
        <f>IF(LEN('A créer'!C26)=0,"",0)</f>
        <v/>
      </c>
      <c r="AG26" s="2" t="str">
        <f>IF(LEN('A créer'!C26)=0,"","Tab")</f>
        <v/>
      </c>
      <c r="AH26" s="7" t="str">
        <f>IF(LEN('A créer'!C26)=0,"","ZZZZZZZZZZ")</f>
        <v/>
      </c>
      <c r="AI26" s="7" t="str">
        <f>IF(LEN('A créer'!C26)=0,"",0)</f>
        <v/>
      </c>
      <c r="AJ26" s="2" t="str">
        <f>IF(LEN('A créer'!C26)=0,"","Tab")</f>
        <v/>
      </c>
      <c r="AK26" s="7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7" t="str">
        <f>IF(LEN('A créer'!C27)=0,"","ZZZZZ")</f>
        <v/>
      </c>
      <c r="N27" s="7" t="str">
        <f>IF(LEN('A créer'!C27)=0,"",0)</f>
        <v/>
      </c>
      <c r="O27" s="2" t="str">
        <f>IF(LEN('A créer'!C27)=0,"","Tab")</f>
        <v/>
      </c>
      <c r="P27" s="7" t="str">
        <f>IF(LEN('A créer'!C27)=0,"","ZZZZZZZ")</f>
        <v/>
      </c>
      <c r="Q27" s="7" t="str">
        <f>IF(LEN('A créer'!C27)=0,"",0)</f>
        <v/>
      </c>
      <c r="R27" s="2" t="str">
        <f>IF(LEN('A créer'!C27)=0,"","Tab")</f>
        <v/>
      </c>
      <c r="S27" s="7" t="str">
        <f>IF(LEN('A créer'!C27)=0,"","ZZZZZZZZZZ")</f>
        <v/>
      </c>
      <c r="T27" s="7" t="str">
        <f>IF(LEN('A créer'!C27)=0,"",0)</f>
        <v/>
      </c>
      <c r="U27" s="2" t="str">
        <f>IF(LEN('A créer'!C27)=0,"","Tab")</f>
        <v/>
      </c>
      <c r="V27" s="7" t="str">
        <f>IF(LEN('A créer'!C27)=0,"","ZZZZZZZZZZ")</f>
        <v/>
      </c>
      <c r="W27" s="7" t="str">
        <f>IF(LEN('A créer'!C27)=0,"",0)</f>
        <v/>
      </c>
      <c r="X27" s="2" t="str">
        <f>IF(LEN('A créer'!C27)=0,"","Tab")</f>
        <v/>
      </c>
      <c r="Y27" s="7" t="str">
        <f>IF(LEN('A créer'!C27)=0,"","ZZZZZZZZZZZZZZZ")</f>
        <v/>
      </c>
      <c r="Z27" s="7" t="str">
        <f>IF(LEN('A créer'!C27)=0,"",0)</f>
        <v/>
      </c>
      <c r="AA27" s="2" t="str">
        <f>IF(LEN('A créer'!C27)=0,"","Tab")</f>
        <v/>
      </c>
      <c r="AB27" s="7" t="str">
        <f>IF(LEN('A créer'!C27)=0,"","ZZZ")</f>
        <v/>
      </c>
      <c r="AC27" s="7" t="str">
        <f>IF(LEN('A créer'!C27)=0,"",0)</f>
        <v/>
      </c>
      <c r="AD27" s="2" t="str">
        <f>IF(LEN('A créer'!C27)=0,"","Tab")</f>
        <v/>
      </c>
      <c r="AE27" s="7" t="str">
        <f>IF(LEN('A créer'!C27)=0,"","ZZZZZZZZZZ")</f>
        <v/>
      </c>
      <c r="AF27" s="7" t="str">
        <f>IF(LEN('A créer'!C27)=0,"",0)</f>
        <v/>
      </c>
      <c r="AG27" s="2" t="str">
        <f>IF(LEN('A créer'!C27)=0,"","Tab")</f>
        <v/>
      </c>
      <c r="AH27" s="7" t="str">
        <f>IF(LEN('A créer'!C27)=0,"","ZZZZZZZZZZ")</f>
        <v/>
      </c>
      <c r="AI27" s="7" t="str">
        <f>IF(LEN('A créer'!C27)=0,"",0)</f>
        <v/>
      </c>
      <c r="AJ27" s="2" t="str">
        <f>IF(LEN('A créer'!C27)=0,"","Tab")</f>
        <v/>
      </c>
      <c r="AK27" s="7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7" t="str">
        <f>IF(LEN('A créer'!C28)=0,"","ZZZZZ")</f>
        <v/>
      </c>
      <c r="N28" s="7" t="str">
        <f>IF(LEN('A créer'!C28)=0,"",0)</f>
        <v/>
      </c>
      <c r="O28" s="2" t="str">
        <f>IF(LEN('A créer'!C28)=0,"","Tab")</f>
        <v/>
      </c>
      <c r="P28" s="7" t="str">
        <f>IF(LEN('A créer'!C28)=0,"","ZZZZZZZ")</f>
        <v/>
      </c>
      <c r="Q28" s="7" t="str">
        <f>IF(LEN('A créer'!C28)=0,"",0)</f>
        <v/>
      </c>
      <c r="R28" s="2" t="str">
        <f>IF(LEN('A créer'!C28)=0,"","Tab")</f>
        <v/>
      </c>
      <c r="S28" s="7" t="str">
        <f>IF(LEN('A créer'!C28)=0,"","ZZZZZZZZZZ")</f>
        <v/>
      </c>
      <c r="T28" s="7" t="str">
        <f>IF(LEN('A créer'!C28)=0,"",0)</f>
        <v/>
      </c>
      <c r="U28" s="2" t="str">
        <f>IF(LEN('A créer'!C28)=0,"","Tab")</f>
        <v/>
      </c>
      <c r="V28" s="7" t="str">
        <f>IF(LEN('A créer'!C28)=0,"","ZZZZZZZZZZ")</f>
        <v/>
      </c>
      <c r="W28" s="7" t="str">
        <f>IF(LEN('A créer'!C28)=0,"",0)</f>
        <v/>
      </c>
      <c r="X28" s="2" t="str">
        <f>IF(LEN('A créer'!C28)=0,"","Tab")</f>
        <v/>
      </c>
      <c r="Y28" s="7" t="str">
        <f>IF(LEN('A créer'!C28)=0,"","ZZZZZZZZZZZZZZZ")</f>
        <v/>
      </c>
      <c r="Z28" s="7" t="str">
        <f>IF(LEN('A créer'!C28)=0,"",0)</f>
        <v/>
      </c>
      <c r="AA28" s="2" t="str">
        <f>IF(LEN('A créer'!C28)=0,"","Tab")</f>
        <v/>
      </c>
      <c r="AB28" s="7" t="str">
        <f>IF(LEN('A créer'!C28)=0,"","ZZZ")</f>
        <v/>
      </c>
      <c r="AC28" s="7" t="str">
        <f>IF(LEN('A créer'!C28)=0,"",0)</f>
        <v/>
      </c>
      <c r="AD28" s="2" t="str">
        <f>IF(LEN('A créer'!C28)=0,"","Tab")</f>
        <v/>
      </c>
      <c r="AE28" s="7" t="str">
        <f>IF(LEN('A créer'!C28)=0,"","ZZZZZZZZZZ")</f>
        <v/>
      </c>
      <c r="AF28" s="7" t="str">
        <f>IF(LEN('A créer'!C28)=0,"",0)</f>
        <v/>
      </c>
      <c r="AG28" s="2" t="str">
        <f>IF(LEN('A créer'!C28)=0,"","Tab")</f>
        <v/>
      </c>
      <c r="AH28" s="7" t="str">
        <f>IF(LEN('A créer'!C28)=0,"","ZZZZZZZZZZ")</f>
        <v/>
      </c>
      <c r="AI28" s="7" t="str">
        <f>IF(LEN('A créer'!C28)=0,"",0)</f>
        <v/>
      </c>
      <c r="AJ28" s="2" t="str">
        <f>IF(LEN('A créer'!C28)=0,"","Tab")</f>
        <v/>
      </c>
      <c r="AK28" s="7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7" t="str">
        <f>IF(LEN('A créer'!C29)=0,"","ZZZZZ")</f>
        <v/>
      </c>
      <c r="N29" s="7" t="str">
        <f>IF(LEN('A créer'!C29)=0,"",0)</f>
        <v/>
      </c>
      <c r="O29" s="2" t="str">
        <f>IF(LEN('A créer'!C29)=0,"","Tab")</f>
        <v/>
      </c>
      <c r="P29" s="7" t="str">
        <f>IF(LEN('A créer'!C29)=0,"","ZZZZZZZ")</f>
        <v/>
      </c>
      <c r="Q29" s="7" t="str">
        <f>IF(LEN('A créer'!C29)=0,"",0)</f>
        <v/>
      </c>
      <c r="R29" s="2" t="str">
        <f>IF(LEN('A créer'!C29)=0,"","Tab")</f>
        <v/>
      </c>
      <c r="S29" s="7" t="str">
        <f>IF(LEN('A créer'!C29)=0,"","ZZZZZZZZZZ")</f>
        <v/>
      </c>
      <c r="T29" s="7" t="str">
        <f>IF(LEN('A créer'!C29)=0,"",0)</f>
        <v/>
      </c>
      <c r="U29" s="2" t="str">
        <f>IF(LEN('A créer'!C29)=0,"","Tab")</f>
        <v/>
      </c>
      <c r="V29" s="7" t="str">
        <f>IF(LEN('A créer'!C29)=0,"","ZZZZZZZZZZ")</f>
        <v/>
      </c>
      <c r="W29" s="7" t="str">
        <f>IF(LEN('A créer'!C29)=0,"",0)</f>
        <v/>
      </c>
      <c r="X29" s="2" t="str">
        <f>IF(LEN('A créer'!C29)=0,"","Tab")</f>
        <v/>
      </c>
      <c r="Y29" s="7" t="str">
        <f>IF(LEN('A créer'!C29)=0,"","ZZZZZZZZZZZZZZZ")</f>
        <v/>
      </c>
      <c r="Z29" s="7" t="str">
        <f>IF(LEN('A créer'!C29)=0,"",0)</f>
        <v/>
      </c>
      <c r="AA29" s="2" t="str">
        <f>IF(LEN('A créer'!C29)=0,"","Tab")</f>
        <v/>
      </c>
      <c r="AB29" s="7" t="str">
        <f>IF(LEN('A créer'!C29)=0,"","ZZZ")</f>
        <v/>
      </c>
      <c r="AC29" s="7" t="str">
        <f>IF(LEN('A créer'!C29)=0,"",0)</f>
        <v/>
      </c>
      <c r="AD29" s="2" t="str">
        <f>IF(LEN('A créer'!C29)=0,"","Tab")</f>
        <v/>
      </c>
      <c r="AE29" s="7" t="str">
        <f>IF(LEN('A créer'!C29)=0,"","ZZZZZZZZZZ")</f>
        <v/>
      </c>
      <c r="AF29" s="7" t="str">
        <f>IF(LEN('A créer'!C29)=0,"",0)</f>
        <v/>
      </c>
      <c r="AG29" s="2" t="str">
        <f>IF(LEN('A créer'!C29)=0,"","Tab")</f>
        <v/>
      </c>
      <c r="AH29" s="7" t="str">
        <f>IF(LEN('A créer'!C29)=0,"","ZZZZZZZZZZ")</f>
        <v/>
      </c>
      <c r="AI29" s="7" t="str">
        <f>IF(LEN('A créer'!C29)=0,"",0)</f>
        <v/>
      </c>
      <c r="AJ29" s="2" t="str">
        <f>IF(LEN('A créer'!C29)=0,"","Tab")</f>
        <v/>
      </c>
      <c r="AK29" s="7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7" t="str">
        <f>IF(LEN('A créer'!C30)=0,"","ZZZZZ")</f>
        <v/>
      </c>
      <c r="N30" s="7" t="str">
        <f>IF(LEN('A créer'!C30)=0,"",0)</f>
        <v/>
      </c>
      <c r="O30" s="2" t="str">
        <f>IF(LEN('A créer'!C30)=0,"","Tab")</f>
        <v/>
      </c>
      <c r="P30" s="7" t="str">
        <f>IF(LEN('A créer'!C30)=0,"","ZZZZZZZ")</f>
        <v/>
      </c>
      <c r="Q30" s="7" t="str">
        <f>IF(LEN('A créer'!C30)=0,"",0)</f>
        <v/>
      </c>
      <c r="R30" s="2" t="str">
        <f>IF(LEN('A créer'!C30)=0,"","Tab")</f>
        <v/>
      </c>
      <c r="S30" s="7" t="str">
        <f>IF(LEN('A créer'!C30)=0,"","ZZZZZZZZZZ")</f>
        <v/>
      </c>
      <c r="T30" s="7" t="str">
        <f>IF(LEN('A créer'!C30)=0,"",0)</f>
        <v/>
      </c>
      <c r="U30" s="2" t="str">
        <f>IF(LEN('A créer'!C30)=0,"","Tab")</f>
        <v/>
      </c>
      <c r="V30" s="7" t="str">
        <f>IF(LEN('A créer'!C30)=0,"","ZZZZZZZZZZ")</f>
        <v/>
      </c>
      <c r="W30" s="7" t="str">
        <f>IF(LEN('A créer'!C30)=0,"",0)</f>
        <v/>
      </c>
      <c r="X30" s="2" t="str">
        <f>IF(LEN('A créer'!C30)=0,"","Tab")</f>
        <v/>
      </c>
      <c r="Y30" s="7" t="str">
        <f>IF(LEN('A créer'!C30)=0,"","ZZZZZZZZZZZZZZZ")</f>
        <v/>
      </c>
      <c r="Z30" s="7" t="str">
        <f>IF(LEN('A créer'!C30)=0,"",0)</f>
        <v/>
      </c>
      <c r="AA30" s="2" t="str">
        <f>IF(LEN('A créer'!C30)=0,"","Tab")</f>
        <v/>
      </c>
      <c r="AB30" s="7" t="str">
        <f>IF(LEN('A créer'!C30)=0,"","ZZZ")</f>
        <v/>
      </c>
      <c r="AC30" s="7" t="str">
        <f>IF(LEN('A créer'!C30)=0,"",0)</f>
        <v/>
      </c>
      <c r="AD30" s="2" t="str">
        <f>IF(LEN('A créer'!C30)=0,"","Tab")</f>
        <v/>
      </c>
      <c r="AE30" s="7" t="str">
        <f>IF(LEN('A créer'!C30)=0,"","ZZZZZZZZZZ")</f>
        <v/>
      </c>
      <c r="AF30" s="7" t="str">
        <f>IF(LEN('A créer'!C30)=0,"",0)</f>
        <v/>
      </c>
      <c r="AG30" s="2" t="str">
        <f>IF(LEN('A créer'!C30)=0,"","Tab")</f>
        <v/>
      </c>
      <c r="AH30" s="7" t="str">
        <f>IF(LEN('A créer'!C30)=0,"","ZZZZZZZZZZ")</f>
        <v/>
      </c>
      <c r="AI30" s="7" t="str">
        <f>IF(LEN('A créer'!C30)=0,"",0)</f>
        <v/>
      </c>
      <c r="AJ30" s="2" t="str">
        <f>IF(LEN('A créer'!C30)=0,"","Tab")</f>
        <v/>
      </c>
      <c r="AK30" s="7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="80" zoomScaleNormal="80" workbookViewId="0">
      <pane xSplit="1" ySplit="1" topLeftCell="R2" activePane="bottomRight" state="frozenSplit"/>
      <selection activeCell="G1" sqref="G1"/>
      <selection pane="topRight"/>
      <selection pane="bottomLeft" activeCell="A2" sqref="A2"/>
      <selection pane="bottomRight" activeCell="A14" sqref="A14:AU14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2.285156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10" max="10" width="6.5703125" customWidth="1"/>
    <col min="11" max="11" width="4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6" style="4" bestFit="1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165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165</v>
      </c>
      <c r="AN1" s="2" t="s">
        <v>165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SVD 114</v>
      </c>
      <c r="D2" s="2" t="str">
        <f>IF(OR('A créer'!D2="Oui",LEN('A créer'!D2)=0),"","Tab")</f>
        <v>Tab</v>
      </c>
      <c r="E2" t="str">
        <f>IF(OR('A créer'!D2="Oui",LEN('A créer'!D2)=0),"",'A créer'!C2)</f>
        <v>SOCIETE VALMY DEFENSE 114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33, Place des Corolles - TOUR EUROPE - TSA 12345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92099</v>
      </c>
      <c r="M2" t="str">
        <f>IF(OR('A créer'!D2="Oui",LEN('A créer'!D2)=0),"",'A créer'!L2)</f>
        <v>PARIS LA DEFENSE CEDEX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DOS0443</v>
      </c>
      <c r="T2" s="2" t="str">
        <f>IF(LEN('A créer'!D2)=0,"","Tab")</f>
        <v>Tab</v>
      </c>
      <c r="U2" s="7" t="str">
        <f>IF('A créer'!F2="Oui",'A créer'!C2,IF(LEN('A créer'!F2)=0,"",CONCATENATE('A créer'!C2," (",'A créer'!M2,")")))</f>
        <v>SOCIETE VALMY DEFENSE 114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33, Place des Corolles - TOUR EUROPE - TSA 12345</v>
      </c>
      <c r="Z2" s="2" t="str">
        <f>IF(LEN('A créer'!D2)=0,"","Tab")</f>
        <v>Tab</v>
      </c>
      <c r="AA2" s="4" t="str">
        <f>IF('A créer'!F2="Oui","",IF(LEN('A créer'!F2)=0,"",'A créer'!O2))</f>
        <v/>
      </c>
      <c r="AB2" s="2" t="str">
        <f>IF(LEN('A créer'!D2)=0,"","Tab")</f>
        <v>Tab</v>
      </c>
      <c r="AC2" s="4" t="str">
        <f>IF('A créer'!F2="Oui","",IF(LEN('A créer'!F2)=0,"","contactfournisseur@csp.dalkia.fr"))</f>
        <v/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/>
      </c>
      <c r="AG2" s="2" t="str">
        <f>IF(LEN('A créer'!D2)=0,"","Tab")</f>
        <v>Tab</v>
      </c>
      <c r="AH2" s="4">
        <f>IF('A créer'!F2="Oui",'A créer'!K2,IF(LEN('A créer'!F2)=0,"",""))</f>
        <v>92099</v>
      </c>
      <c r="AI2" s="2" t="str">
        <f>IF(OR(LEN('A créer'!D2)=0,LEN(AH2)&gt;0),"","Tab")</f>
        <v/>
      </c>
      <c r="AJ2" t="str">
        <f>IF('A créer'!F2="Oui",'A créer'!L2,IF(LEN('A créer'!F2)=0,"","NOUVELLE ADRESSE FACTURATION"))</f>
        <v>PARIS LA DEFENSE CEDEX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DOS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>*FN</v>
      </c>
      <c r="B3" s="2" t="str">
        <f>IF(OR('A créer'!D3="Oui",LEN('A créer'!D3)=0),"","Tab")</f>
        <v>Tab</v>
      </c>
      <c r="C3" s="7" t="str">
        <f>IF(OR('A créer'!D3="Oui",LEN('A créer'!D3)=0),"",'A créer'!I3)</f>
        <v>SVD 115</v>
      </c>
      <c r="D3" s="2" t="str">
        <f>IF(OR('A créer'!D3="Oui",LEN('A créer'!D3)=0),"","Tab")</f>
        <v>Tab</v>
      </c>
      <c r="E3" s="7" t="str">
        <f>IF(OR('A créer'!D3="Oui",LEN('A créer'!D3)=0),"",'A créer'!C3)</f>
        <v>SOCIETE VALMY DEFENSE 115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créer'!D3)=0),"","Tab")</f>
        <v>Tab</v>
      </c>
      <c r="I3" s="7" t="str">
        <f>IF(OR('A créer'!D3="Oui",LEN('A créer'!D3)=0),"",'A créer'!J3)</f>
        <v>33, Place des Corolles - TOUR EUROPE - TSA 12345</v>
      </c>
      <c r="J3" s="2" t="str">
        <f>IF(OR('A créer'!D3="Oui",LEN('A créer'!D3)=0),"","Tab 4")</f>
        <v>Tab 4</v>
      </c>
      <c r="K3" s="2" t="str">
        <f>IF(OR('A créer'!D3="Oui",LEN('A créer'!D3)=0),"","Tab")</f>
        <v>Tab</v>
      </c>
      <c r="L3" s="7">
        <f>IF(OR('A créer'!D3="Oui",LEN('A créer'!D3)=0),"",'A créer'!K3)</f>
        <v>92099</v>
      </c>
      <c r="M3" s="7" t="str">
        <f>IF(OR('A créer'!D3="Oui",LEN('A créer'!D3)=0),"",'A créer'!L3)</f>
        <v>PARIS LA DEFENSE CEDEX</v>
      </c>
      <c r="N3" s="2" t="str">
        <f>IF(OR('A créer'!D3="Oui",LEN('A créer'!D3)=0),"","Tab")</f>
        <v>Tab</v>
      </c>
      <c r="O3" s="2" t="str">
        <f>IF(OR('A créer'!D3="Oui",LEN('A créer'!D3)=0),"","ENT")</f>
        <v>ENT</v>
      </c>
      <c r="P3" s="2" t="str">
        <f>IF(OR('A créer'!D3="Oui",LEN('A créer'!D3)=0),"","*SAVE")</f>
        <v>*SAVE</v>
      </c>
      <c r="Q3" s="2" t="str">
        <f>IF(LEN('A créer'!D3)=0,"","*FN")</f>
        <v>*FN</v>
      </c>
      <c r="R3" s="2" t="str">
        <f>IF(LEN('A créer'!D3)=0,"","Tab")</f>
        <v>Tab</v>
      </c>
      <c r="S3" s="7" t="str">
        <f>IF(LEN('A créer'!D3)=0,"",CONCATENATE('A créer'!B3,'A créer'!A3))</f>
        <v>DOS0444</v>
      </c>
      <c r="T3" s="2" t="s">
        <v>4</v>
      </c>
      <c r="U3" s="7" t="str">
        <f>IF('A créer'!F3="Oui",'A créer'!C3,IF(LEN('A créer'!F3)=0,"",CONCATENATE('A créer'!C3," (",'A créer'!M3,")")))</f>
        <v>SOCIETE VALMY DEFENSE 115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7" t="str">
        <f>IF('A créer'!F3="Oui",'A créer'!J3,IF(LEN('A créer'!F3)=0,"",'A créer'!N3))</f>
        <v>33, Place des Corolles - TOUR EUROPE - TSA 12345</v>
      </c>
      <c r="Z3" s="2" t="str">
        <f>IF(LEN('A créer'!D3)=0,"","Tab")</f>
        <v>Tab</v>
      </c>
      <c r="AA3" s="4" t="str">
        <f>IF('A créer'!F3="Oui","",IF(LEN('A créer'!F3)=0,"",'A créer'!O3))</f>
        <v/>
      </c>
      <c r="AB3" s="2" t="str">
        <f>IF(LEN('A créer'!D3)=0,"","Tab")</f>
        <v>Tab</v>
      </c>
      <c r="AC3" s="4" t="str">
        <f>IF('A créer'!F3="Oui","",IF(LEN('A créer'!F3)=0,"","contactfournisseur@csp.dalkia.fr"))</f>
        <v/>
      </c>
      <c r="AD3" s="2" t="str">
        <f>IF(LEN('A créer'!D3)=0,"","Tab")</f>
        <v>Tab</v>
      </c>
      <c r="AE3" s="2" t="str">
        <f>IF(LEN('A créer'!D3)=0,"","Tab")</f>
        <v>Tab</v>
      </c>
      <c r="AF3" s="7" t="str">
        <f>IF('A créer'!F3="Oui","",IF(LEN('A créer'!F3)=0,"","ATTENTION adresse UNIQUEMENT pour la comptabilité fournisseurs"))</f>
        <v/>
      </c>
      <c r="AG3" s="2" t="str">
        <f>IF(LEN('A créer'!D3)=0,"","Tab")</f>
        <v>Tab</v>
      </c>
      <c r="AH3" s="4">
        <f>IF('A créer'!F3="Oui",'A créer'!K3,IF(LEN('A créer'!F3)=0,"",""))</f>
        <v>92099</v>
      </c>
      <c r="AI3" s="2" t="str">
        <f>IF(OR(LEN('A créer'!D3)=0,LEN(AH3)&gt;0),"","Tab")</f>
        <v/>
      </c>
      <c r="AJ3" s="7" t="str">
        <f>IF('A créer'!F3="Oui",'A créer'!L3,IF(LEN('A créer'!F3)=0,"","NOUVELLE ADRESSE FACTURATION"))</f>
        <v>PARIS LA DEFENSE CEDEX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>DOS</v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25">
      <c r="A4" s="2" t="str">
        <f>IF(OR('A créer'!D4="Oui",LEN('A créer'!D4)=0),"","*FN")</f>
        <v>*FN</v>
      </c>
      <c r="B4" s="2" t="str">
        <f>IF(OR('A créer'!D4="Oui",LEN('A créer'!D4)=0),"","Tab")</f>
        <v>Tab</v>
      </c>
      <c r="C4" s="7" t="str">
        <f>IF(OR('A créer'!D4="Oui",LEN('A créer'!D4)=0),"",'A créer'!I4)</f>
        <v>SVD 116</v>
      </c>
      <c r="D4" s="2" t="str">
        <f>IF(OR('A créer'!D4="Oui",LEN('A créer'!D4)=0),"","Tab")</f>
        <v>Tab</v>
      </c>
      <c r="E4" s="7" t="str">
        <f>IF(OR('A créer'!D4="Oui",LEN('A créer'!D4)=0),"",'A créer'!C4)</f>
        <v>SOCIETE VALMY DEFENSE 116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créer'!D4)=0),"","Tab")</f>
        <v>Tab</v>
      </c>
      <c r="I4" s="7" t="str">
        <f>IF(OR('A créer'!D4="Oui",LEN('A créer'!D4)=0),"",'A créer'!J4)</f>
        <v>33, Place des Corolles - TOUR EUROPE - TSA 12345</v>
      </c>
      <c r="J4" s="2" t="str">
        <f>IF(OR('A créer'!D4="Oui",LEN('A créer'!D4)=0),"","Tab 4")</f>
        <v>Tab 4</v>
      </c>
      <c r="K4" s="2" t="str">
        <f>IF(OR('A créer'!D4="Oui",LEN('A créer'!D4)=0),"","Tab")</f>
        <v>Tab</v>
      </c>
      <c r="L4" s="7">
        <f>IF(OR('A créer'!D4="Oui",LEN('A créer'!D4)=0),"",'A créer'!K4)</f>
        <v>92099</v>
      </c>
      <c r="M4" s="7" t="str">
        <f>IF(OR('A créer'!D4="Oui",LEN('A créer'!D4)=0),"",'A créer'!L4)</f>
        <v>PARIS LA DEFENSE CEDEX</v>
      </c>
      <c r="N4" s="2" t="str">
        <f>IF(OR('A créer'!D4="Oui",LEN('A créer'!D4)=0),"","Tab")</f>
        <v>Tab</v>
      </c>
      <c r="O4" s="2" t="str">
        <f>IF(OR('A créer'!D4="Oui",LEN('A créer'!D4)=0),"","ENT")</f>
        <v>ENT</v>
      </c>
      <c r="P4" s="2" t="str">
        <f>IF(OR('A créer'!D4="Oui",LEN('A créer'!D4)=0),"","*SAVE")</f>
        <v>*SAVE</v>
      </c>
      <c r="Q4" s="2" t="str">
        <f>IF(LEN('A créer'!D4)=0,"","*FN")</f>
        <v>*FN</v>
      </c>
      <c r="R4" s="2" t="str">
        <f>IF(LEN('A créer'!D4)=0,"","Tab")</f>
        <v>Tab</v>
      </c>
      <c r="S4" s="7" t="str">
        <f>IF(LEN('A créer'!D4)=0,"",CONCATENATE('A créer'!B4,'A créer'!A4))</f>
        <v>DOS0446</v>
      </c>
      <c r="T4" s="2" t="s">
        <v>4</v>
      </c>
      <c r="U4" s="7" t="str">
        <f>IF('A créer'!F4="Oui",'A créer'!C4,IF(LEN('A créer'!F4)=0,"",CONCATENATE('A créer'!C4," (",'A créer'!M4,")")))</f>
        <v>SOCIETE VALMY DEFENSE 116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7" t="str">
        <f>IF('A créer'!F4="Oui",'A créer'!J4,IF(LEN('A créer'!F4)=0,"",'A créer'!N4))</f>
        <v>33, Place des Corolles - TOUR EUROPE - TSA 12345</v>
      </c>
      <c r="Z4" s="2" t="str">
        <f>IF(LEN('A créer'!D4)=0,"","Tab")</f>
        <v>Tab</v>
      </c>
      <c r="AA4" s="4" t="str">
        <f>IF('A créer'!F4="Oui","",IF(LEN('A créer'!F4)=0,"",'A créer'!O4))</f>
        <v/>
      </c>
      <c r="AB4" s="2" t="str">
        <f>IF(LEN('A créer'!D4)=0,"","Tab")</f>
        <v>Tab</v>
      </c>
      <c r="AC4" s="4" t="str">
        <f>IF('A créer'!F4="Oui","",IF(LEN('A créer'!F4)=0,"","contactfournisseur@csp.dalkia.fr"))</f>
        <v/>
      </c>
      <c r="AD4" s="2" t="str">
        <f>IF(LEN('A créer'!D4)=0,"","Tab")</f>
        <v>Tab</v>
      </c>
      <c r="AE4" s="2" t="str">
        <f>IF(LEN('A créer'!D4)=0,"","Tab")</f>
        <v>Tab</v>
      </c>
      <c r="AF4" s="7" t="str">
        <f>IF('A créer'!F4="Oui","",IF(LEN('A créer'!F4)=0,"","ATTENTION adresse UNIQUEMENT pour la comptabilité fournisseurs"))</f>
        <v/>
      </c>
      <c r="AG4" s="2" t="str">
        <f>IF(LEN('A créer'!D4)=0,"","Tab")</f>
        <v>Tab</v>
      </c>
      <c r="AH4" s="4">
        <f>IF('A créer'!F4="Oui",'A créer'!K4,IF(LEN('A créer'!F4)=0,"",""))</f>
        <v>92099</v>
      </c>
      <c r="AI4" s="2" t="str">
        <f>IF(OR(LEN('A créer'!D4)=0,LEN(AH4)&gt;0),"","Tab")</f>
        <v/>
      </c>
      <c r="AJ4" s="7" t="str">
        <f>IF('A créer'!F4="Oui",'A créer'!L4,IF(LEN('A créer'!F4)=0,"","NOUVELLE ADRESSE FACTURATION"))</f>
        <v>PARIS LA DEFENSE CEDEX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>DOS</v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25">
      <c r="A5" s="2" t="str">
        <f>IF(OR('A créer'!D5="Oui",LEN('A créer'!D5)=0),"","*FN")</f>
        <v>*FN</v>
      </c>
      <c r="B5" s="2" t="str">
        <f>IF(OR('A créer'!D5="Oui",LEN('A créer'!D5)=0),"","Tab")</f>
        <v>Tab</v>
      </c>
      <c r="C5" s="7" t="str">
        <f>IF(OR('A créer'!D5="Oui",LEN('A créer'!D5)=0),"",'A créer'!I5)</f>
        <v>SVD 117</v>
      </c>
      <c r="D5" s="2" t="str">
        <f>IF(OR('A créer'!D5="Oui",LEN('A créer'!D5)=0),"","Tab")</f>
        <v>Tab</v>
      </c>
      <c r="E5" s="7" t="str">
        <f>IF(OR('A créer'!D5="Oui",LEN('A créer'!D5)=0),"",'A créer'!C5)</f>
        <v>SOCIETE VALMY DEFENSE 117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créer'!D5)=0),"","Tab")</f>
        <v>Tab</v>
      </c>
      <c r="I5" s="7" t="str">
        <f>IF(OR('A créer'!D5="Oui",LEN('A créer'!D5)=0),"",'A créer'!J5)</f>
        <v>33, Place des Corolles - TOUR EUROPE - TSA 12345</v>
      </c>
      <c r="J5" s="2" t="str">
        <f>IF(OR('A créer'!D5="Oui",LEN('A créer'!D5)=0),"","Tab 4")</f>
        <v>Tab 4</v>
      </c>
      <c r="K5" s="2" t="str">
        <f>IF(OR('A créer'!D5="Oui",LEN('A créer'!D5)=0),"","Tab")</f>
        <v>Tab</v>
      </c>
      <c r="L5" s="7">
        <f>IF(OR('A créer'!D5="Oui",LEN('A créer'!D5)=0),"",'A créer'!K5)</f>
        <v>92099</v>
      </c>
      <c r="M5" s="7" t="str">
        <f>IF(OR('A créer'!D5="Oui",LEN('A créer'!D5)=0),"",'A créer'!L5)</f>
        <v>PARIS LA DEFENSE CEDEX</v>
      </c>
      <c r="N5" s="2" t="str">
        <f>IF(OR('A créer'!D5="Oui",LEN('A créer'!D5)=0),"","Tab")</f>
        <v>Tab</v>
      </c>
      <c r="O5" s="2" t="str">
        <f>IF(OR('A créer'!D5="Oui",LEN('A créer'!D5)=0),"","ENT")</f>
        <v>ENT</v>
      </c>
      <c r="P5" s="2" t="str">
        <f>IF(OR('A créer'!D5="Oui",LEN('A créer'!D5)=0),"","*SAVE")</f>
        <v>*SAVE</v>
      </c>
      <c r="Q5" s="2" t="str">
        <f>IF(LEN('A créer'!D5)=0,"","*FN")</f>
        <v>*FN</v>
      </c>
      <c r="R5" s="2" t="str">
        <f>IF(LEN('A créer'!D5)=0,"","Tab")</f>
        <v>Tab</v>
      </c>
      <c r="S5" s="7" t="str">
        <f>IF(LEN('A créer'!D5)=0,"",CONCATENATE('A créer'!B5,'A créer'!A5))</f>
        <v>DOS0449</v>
      </c>
      <c r="T5" s="2" t="s">
        <v>4</v>
      </c>
      <c r="U5" s="7" t="str">
        <f>IF('A créer'!F5="Oui",'A créer'!C5,IF(LEN('A créer'!F5)=0,"",CONCATENATE('A créer'!C5," (",'A créer'!M5,")")))</f>
        <v>SOCIETE VALMY DEFENSE 117</v>
      </c>
      <c r="V5" s="2" t="str">
        <f>IF(LEN('A créer'!D5)=0,"","Tab")</f>
        <v>Tab</v>
      </c>
      <c r="W5" s="2" t="str">
        <f>IF(LEN('A créer'!D5)=0,"","Tab")</f>
        <v>Tab</v>
      </c>
      <c r="X5" s="2" t="str">
        <f>IF(LEN('A créer'!D5)=0,"","Tab")</f>
        <v>Tab</v>
      </c>
      <c r="Y5" s="7" t="str">
        <f>IF('A créer'!F5="Oui",'A créer'!J5,IF(LEN('A créer'!F5)=0,"",'A créer'!N5))</f>
        <v>33, Place des Corolles - TOUR EUROPE - TSA 12345</v>
      </c>
      <c r="Z5" s="2" t="str">
        <f>IF(LEN('A créer'!D5)=0,"","Tab")</f>
        <v>Tab</v>
      </c>
      <c r="AA5" s="4" t="str">
        <f>IF('A créer'!F5="Oui","",IF(LEN('A créer'!F5)=0,"",'A créer'!O5))</f>
        <v/>
      </c>
      <c r="AB5" s="2" t="str">
        <f>IF(LEN('A créer'!D5)=0,"","Tab")</f>
        <v>Tab</v>
      </c>
      <c r="AC5" s="4" t="str">
        <f>IF('A créer'!F5="Oui","",IF(LEN('A créer'!F5)=0,"","contactfournisseur@csp.dalkia.fr"))</f>
        <v/>
      </c>
      <c r="AD5" s="2" t="str">
        <f>IF(LEN('A créer'!D5)=0,"","Tab")</f>
        <v>Tab</v>
      </c>
      <c r="AE5" s="2" t="str">
        <f>IF(LEN('A créer'!D5)=0,"","Tab")</f>
        <v>Tab</v>
      </c>
      <c r="AF5" s="7" t="str">
        <f>IF('A créer'!F5="Oui","",IF(LEN('A créer'!F5)=0,"","ATTENTION adresse UNIQUEMENT pour la comptabilité fournisseurs"))</f>
        <v/>
      </c>
      <c r="AG5" s="2" t="str">
        <f>IF(LEN('A créer'!D5)=0,"","Tab")</f>
        <v>Tab</v>
      </c>
      <c r="AH5" s="4">
        <f>IF('A créer'!F5="Oui",'A créer'!K5,IF(LEN('A créer'!F5)=0,"",""))</f>
        <v>92099</v>
      </c>
      <c r="AI5" s="2" t="str">
        <f>IF(OR(LEN('A créer'!D5)=0,LEN(AH5)&gt;0),"","Tab")</f>
        <v/>
      </c>
      <c r="AJ5" s="7" t="str">
        <f>IF('A créer'!F5="Oui",'A créer'!L5,IF(LEN('A créer'!F5)=0,"","NOUVELLE ADRESSE FACTURATION"))</f>
        <v>PARIS LA DEFENSE CEDEX</v>
      </c>
      <c r="AK5" s="2" t="str">
        <f>IF(LEN('A créer'!D5)=0,"","Tab")</f>
        <v>Tab</v>
      </c>
      <c r="AL5" s="2" t="str">
        <f>IF(LEN('A créer'!D5)=0,"","ENT")</f>
        <v>ENT</v>
      </c>
      <c r="AM5" s="2" t="str">
        <f>IF(LEN('A créer'!D5)=0,"","Tab 4")</f>
        <v>Tab 4</v>
      </c>
      <c r="AN5" s="2" t="str">
        <f>IF(LEN('A créer'!D5)=0,"","Tab 4")</f>
        <v>Tab 4</v>
      </c>
      <c r="AO5" s="2" t="str">
        <f>IF(LEN('A créer'!D5)=0,"","Tab")</f>
        <v>Tab</v>
      </c>
      <c r="AP5" s="2" t="str">
        <f>IF(LEN('A créer'!D5)=0,"","Tab")</f>
        <v>Tab</v>
      </c>
      <c r="AQ5" s="2" t="str">
        <f>IF(LEN('A créer'!D5)=0,"","Tab")</f>
        <v>Tab</v>
      </c>
      <c r="AR5" s="4" t="str">
        <f>IF(OR('A créer'!D5="Oui",LEN('A créer'!D5)=0),"",IF(LEN('A créer'!F5)=0,"",'A créer'!B5))</f>
        <v>DOS</v>
      </c>
      <c r="AS5" s="2" t="str">
        <f>IF(LEN('A créer'!D5)=0,"","Tab")</f>
        <v>Tab</v>
      </c>
      <c r="AT5" s="2" t="str">
        <f>IF(LEN('A créer'!D5)=0,"","ENT")</f>
        <v>ENT</v>
      </c>
      <c r="AU5" s="2" t="str">
        <f>IF(LEN('A créer'!D5)=0,"","*SAVE")</f>
        <v>*SAVE</v>
      </c>
    </row>
    <row r="6" spans="1:47" x14ac:dyDescent="0.25">
      <c r="A6" s="2" t="str">
        <f>IF(OR('A créer'!D6="Oui",LEN('A créer'!D6)=0),"","*FN")</f>
        <v>*FN</v>
      </c>
      <c r="B6" s="2" t="str">
        <f>IF(OR('A créer'!D6="Oui",LEN('A créer'!D6)=0),"","Tab")</f>
        <v>Tab</v>
      </c>
      <c r="C6" s="7" t="str">
        <f>IF(OR('A créer'!D6="Oui",LEN('A créer'!D6)=0),"",'A créer'!I6)</f>
        <v>SVD 118</v>
      </c>
      <c r="D6" s="2" t="str">
        <f>IF(OR('A créer'!D6="Oui",LEN('A créer'!D6)=0),"","Tab")</f>
        <v>Tab</v>
      </c>
      <c r="E6" s="7" t="str">
        <f>IF(OR('A créer'!D6="Oui",LEN('A créer'!D6)=0),"",'A créer'!C6)</f>
        <v>SOCIETE VALMY DEFENSE 118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créer'!D6)=0),"","Tab")</f>
        <v>Tab</v>
      </c>
      <c r="I6" s="7" t="str">
        <f>IF(OR('A créer'!D6="Oui",LEN('A créer'!D6)=0),"",'A créer'!J6)</f>
        <v>33, Place des Corolles - TOUR EUROPE - TSA 12345</v>
      </c>
      <c r="J6" s="2" t="str">
        <f>IF(OR('A créer'!D6="Oui",LEN('A créer'!D6)=0),"","Tab 4")</f>
        <v>Tab 4</v>
      </c>
      <c r="K6" s="2" t="str">
        <f>IF(OR('A créer'!D6="Oui",LEN('A créer'!D6)=0),"","Tab")</f>
        <v>Tab</v>
      </c>
      <c r="L6" s="7">
        <f>IF(OR('A créer'!D6="Oui",LEN('A créer'!D6)=0),"",'A créer'!K6)</f>
        <v>92099</v>
      </c>
      <c r="M6" s="7" t="str">
        <f>IF(OR('A créer'!D6="Oui",LEN('A créer'!D6)=0),"",'A créer'!L6)</f>
        <v>PARIS LA DEFENSE CEDEX</v>
      </c>
      <c r="N6" s="2" t="str">
        <f>IF(OR('A créer'!D6="Oui",LEN('A créer'!D6)=0),"","Tab")</f>
        <v>Tab</v>
      </c>
      <c r="O6" s="2" t="str">
        <f>IF(OR('A créer'!D6="Oui",LEN('A créer'!D6)=0),"","ENT")</f>
        <v>ENT</v>
      </c>
      <c r="P6" s="2" t="str">
        <f>IF(OR('A créer'!D6="Oui",LEN('A créer'!D6)=0),"","*SAVE")</f>
        <v>*SAVE</v>
      </c>
      <c r="Q6" s="2" t="str">
        <f>IF(LEN('A créer'!D6)=0,"","*FN")</f>
        <v>*FN</v>
      </c>
      <c r="R6" s="2" t="str">
        <f>IF(LEN('A créer'!D6)=0,"","Tab")</f>
        <v>Tab</v>
      </c>
      <c r="S6" s="7" t="str">
        <f>IF(LEN('A créer'!D6)=0,"",CONCATENATE('A créer'!B6,'A créer'!A6))</f>
        <v>DOS0450</v>
      </c>
      <c r="T6" s="2" t="s">
        <v>4</v>
      </c>
      <c r="U6" s="7" t="str">
        <f>IF('A créer'!F6="Oui",'A créer'!C6,IF(LEN('A créer'!F6)=0,"",CONCATENATE('A créer'!C6," (",'A créer'!M6,")")))</f>
        <v>SOCIETE VALMY DEFENSE 118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7" t="str">
        <f>IF('A créer'!F6="Oui",'A créer'!J6,IF(LEN('A créer'!F6)=0,"",'A créer'!N6))</f>
        <v>33, Place des Corolles - TOUR EUROPE - TSA 12345</v>
      </c>
      <c r="Z6" s="2" t="str">
        <f>IF(LEN('A créer'!D6)=0,"","Tab")</f>
        <v>Tab</v>
      </c>
      <c r="AA6" s="4" t="str">
        <f>IF('A créer'!F6="Oui","",IF(LEN('A créer'!F6)=0,"",'A créer'!O6))</f>
        <v/>
      </c>
      <c r="AB6" s="2" t="str">
        <f>IF(LEN('A créer'!D6)=0,"","Tab")</f>
        <v>Tab</v>
      </c>
      <c r="AC6" s="4" t="str">
        <f>IF('A créer'!F6="Oui","",IF(LEN('A créer'!F6)=0,"","contactfournisseur@csp.dalkia.fr"))</f>
        <v/>
      </c>
      <c r="AD6" s="2" t="str">
        <f>IF(LEN('A créer'!D6)=0,"","Tab")</f>
        <v>Tab</v>
      </c>
      <c r="AE6" s="2" t="str">
        <f>IF(LEN('A créer'!D6)=0,"","Tab")</f>
        <v>Tab</v>
      </c>
      <c r="AF6" s="7" t="str">
        <f>IF('A créer'!F6="Oui","",IF(LEN('A créer'!F6)=0,"","ATTENTION adresse UNIQUEMENT pour la comptabilité fournisseurs"))</f>
        <v/>
      </c>
      <c r="AG6" s="2" t="str">
        <f>IF(LEN('A créer'!D6)=0,"","Tab")</f>
        <v>Tab</v>
      </c>
      <c r="AH6" s="4">
        <f>IF('A créer'!F6="Oui",'A créer'!K6,IF(LEN('A créer'!F6)=0,"",""))</f>
        <v>92099</v>
      </c>
      <c r="AI6" s="2" t="str">
        <f>IF(OR(LEN('A créer'!D6)=0,LEN(AH6)&gt;0),"","Tab")</f>
        <v/>
      </c>
      <c r="AJ6" s="7" t="str">
        <f>IF('A créer'!F6="Oui",'A créer'!L6,IF(LEN('A créer'!F6)=0,"","NOUVELLE ADRESSE FACTURATION"))</f>
        <v>PARIS LA DEFENSE CEDEX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>DOS</v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25">
      <c r="A7" s="2" t="str">
        <f>IF(OR('A créer'!D7="Oui",LEN('A créer'!D7)=0),"","*FN")</f>
        <v>*FN</v>
      </c>
      <c r="B7" s="2" t="str">
        <f>IF(OR('A créer'!D7="Oui",LEN('A créer'!D7)=0),"","Tab")</f>
        <v>Tab</v>
      </c>
      <c r="C7" s="7" t="str">
        <f>IF(OR('A créer'!D7="Oui",LEN('A créer'!D7)=0),"",'A créer'!I7)</f>
        <v>SVD 120</v>
      </c>
      <c r="D7" s="2" t="str">
        <f>IF(OR('A créer'!D7="Oui",LEN('A créer'!D7)=0),"","Tab")</f>
        <v>Tab</v>
      </c>
      <c r="E7" s="7" t="str">
        <f>IF(OR('A créer'!D7="Oui",LEN('A créer'!D7)=0),"",'A créer'!C7)</f>
        <v>SOCIETE VALMY DEFENSE 120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créer'!D7)=0),"","Tab")</f>
        <v>Tab</v>
      </c>
      <c r="I7" s="7" t="str">
        <f>IF(OR('A créer'!D7="Oui",LEN('A créer'!D7)=0),"",'A créer'!J7)</f>
        <v>33, Place des Corolles - TOUR EUROPE - TSA 12345</v>
      </c>
      <c r="J7" s="2" t="str">
        <f>IF(OR('A créer'!D7="Oui",LEN('A créer'!D7)=0),"","Tab 4")</f>
        <v>Tab 4</v>
      </c>
      <c r="K7" s="2" t="str">
        <f>IF(OR('A créer'!D7="Oui",LEN('A créer'!D7)=0),"","Tab")</f>
        <v>Tab</v>
      </c>
      <c r="L7" s="7">
        <f>IF(OR('A créer'!D7="Oui",LEN('A créer'!D7)=0),"",'A créer'!K7)</f>
        <v>92099</v>
      </c>
      <c r="M7" s="7" t="str">
        <f>IF(OR('A créer'!D7="Oui",LEN('A créer'!D7)=0),"",'A créer'!L7)</f>
        <v>PARIS LA DEFENSE CEDEX</v>
      </c>
      <c r="N7" s="2" t="str">
        <f>IF(OR('A créer'!D7="Oui",LEN('A créer'!D7)=0),"","Tab")</f>
        <v>Tab</v>
      </c>
      <c r="O7" s="2" t="str">
        <f>IF(OR('A créer'!D7="Oui",LEN('A créer'!D7)=0),"","ENT")</f>
        <v>ENT</v>
      </c>
      <c r="P7" s="2" t="str">
        <f>IF(OR('A créer'!D7="Oui",LEN('A créer'!D7)=0),"","*SAVE")</f>
        <v>*SAVE</v>
      </c>
      <c r="Q7" s="2" t="str">
        <f>IF(LEN('A créer'!D7)=0,"","*FN")</f>
        <v>*FN</v>
      </c>
      <c r="R7" s="2" t="str">
        <f>IF(LEN('A créer'!D7)=0,"","Tab")</f>
        <v>Tab</v>
      </c>
      <c r="S7" s="7" t="str">
        <f>IF(LEN('A créer'!D7)=0,"",CONCATENATE('A créer'!B7,'A créer'!A7))</f>
        <v>DOS0454</v>
      </c>
      <c r="T7" s="2" t="s">
        <v>4</v>
      </c>
      <c r="U7" s="7" t="str">
        <f>IF('A créer'!F7="Oui",'A créer'!C7,IF(LEN('A créer'!F7)=0,"",CONCATENATE('A créer'!C7," (",'A créer'!M7,")")))</f>
        <v>SOCIETE VALMY DEFENSE 120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7" t="str">
        <f>IF('A créer'!F7="Oui",'A créer'!J7,IF(LEN('A créer'!F7)=0,"",'A créer'!N7))</f>
        <v>33, Place des Corolles - TOUR EUROPE - TSA 12345</v>
      </c>
      <c r="Z7" s="2" t="str">
        <f>IF(LEN('A créer'!D7)=0,"","Tab")</f>
        <v>Tab</v>
      </c>
      <c r="AA7" s="4" t="str">
        <f>IF('A créer'!F7="Oui","",IF(LEN('A créer'!F7)=0,"",'A créer'!O7))</f>
        <v/>
      </c>
      <c r="AB7" s="2" t="str">
        <f>IF(LEN('A créer'!D7)=0,"","Tab")</f>
        <v>Tab</v>
      </c>
      <c r="AC7" s="4" t="str">
        <f>IF('A créer'!F7="Oui","",IF(LEN('A créer'!F7)=0,"","contactfournisseur@csp.dalkia.fr"))</f>
        <v/>
      </c>
      <c r="AD7" s="2" t="str">
        <f>IF(LEN('A créer'!D7)=0,"","Tab")</f>
        <v>Tab</v>
      </c>
      <c r="AE7" s="2" t="str">
        <f>IF(LEN('A créer'!D7)=0,"","Tab")</f>
        <v>Tab</v>
      </c>
      <c r="AF7" s="7" t="str">
        <f>IF('A créer'!F7="Oui","",IF(LEN('A créer'!F7)=0,"","ATTENTION adresse UNIQUEMENT pour la comptabilité fournisseurs"))</f>
        <v/>
      </c>
      <c r="AG7" s="2" t="str">
        <f>IF(LEN('A créer'!D7)=0,"","Tab")</f>
        <v>Tab</v>
      </c>
      <c r="AH7" s="4">
        <f>IF('A créer'!F7="Oui",'A créer'!K7,IF(LEN('A créer'!F7)=0,"",""))</f>
        <v>92099</v>
      </c>
      <c r="AI7" s="2" t="str">
        <f>IF(OR(LEN('A créer'!D7)=0,LEN(AH7)&gt;0),"","Tab")</f>
        <v/>
      </c>
      <c r="AJ7" s="7" t="str">
        <f>IF('A créer'!F7="Oui",'A créer'!L7,IF(LEN('A créer'!F7)=0,"","NOUVELLE ADRESSE FACTURATION"))</f>
        <v>PARIS LA DEFENSE CEDEX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>DOS</v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25">
      <c r="A8" s="2" t="str">
        <f>IF(OR('A créer'!D8="Oui",LEN('A créer'!D8)=0),"","*FN")</f>
        <v>*FN</v>
      </c>
      <c r="B8" s="2" t="str">
        <f>IF(OR('A créer'!D8="Oui",LEN('A créer'!D8)=0),"","Tab")</f>
        <v>Tab</v>
      </c>
      <c r="C8" s="7" t="str">
        <f>IF(OR('A créer'!D8="Oui",LEN('A créer'!D8)=0),"",'A créer'!I8)</f>
        <v>SVD 121</v>
      </c>
      <c r="D8" s="2" t="str">
        <f>IF(OR('A créer'!D8="Oui",LEN('A créer'!D8)=0),"","Tab")</f>
        <v>Tab</v>
      </c>
      <c r="E8" s="7" t="str">
        <f>IF(OR('A créer'!D8="Oui",LEN('A créer'!D8)=0),"",'A créer'!C8)</f>
        <v>SOCIETE VALMY DEFENSE 121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créer'!D8)=0),"","Tab")</f>
        <v>Tab</v>
      </c>
      <c r="I8" s="7" t="str">
        <f>IF(OR('A créer'!D8="Oui",LEN('A créer'!D8)=0),"",'A créer'!J8)</f>
        <v>33, Place des Corolles - TOUR EUROPE - TSA 12345</v>
      </c>
      <c r="J8" s="2" t="str">
        <f>IF(OR('A créer'!D8="Oui",LEN('A créer'!D8)=0),"","Tab 4")</f>
        <v>Tab 4</v>
      </c>
      <c r="K8" s="2" t="str">
        <f>IF(OR('A créer'!D8="Oui",LEN('A créer'!D8)=0),"","Tab")</f>
        <v>Tab</v>
      </c>
      <c r="L8" s="7">
        <f>IF(OR('A créer'!D8="Oui",LEN('A créer'!D8)=0),"",'A créer'!K8)</f>
        <v>92099</v>
      </c>
      <c r="M8" s="7" t="str">
        <f>IF(OR('A créer'!D8="Oui",LEN('A créer'!D8)=0),"",'A créer'!L8)</f>
        <v>PARIS LA DEFENSE CEDEX</v>
      </c>
      <c r="N8" s="2" t="str">
        <f>IF(OR('A créer'!D8="Oui",LEN('A créer'!D8)=0),"","Tab")</f>
        <v>Tab</v>
      </c>
      <c r="O8" s="2" t="str">
        <f>IF(OR('A créer'!D8="Oui",LEN('A créer'!D8)=0),"","ENT")</f>
        <v>ENT</v>
      </c>
      <c r="P8" s="2" t="str">
        <f>IF(OR('A créer'!D8="Oui",LEN('A créer'!D8)=0),"","*SAVE")</f>
        <v>*SAVE</v>
      </c>
      <c r="Q8" s="2" t="str">
        <f>IF(LEN('A créer'!D8)=0,"","*FN")</f>
        <v>*FN</v>
      </c>
      <c r="R8" s="2" t="str">
        <f>IF(LEN('A créer'!D8)=0,"","Tab")</f>
        <v>Tab</v>
      </c>
      <c r="S8" s="7" t="str">
        <f>IF(LEN('A créer'!D8)=0,"",CONCATENATE('A créer'!B8,'A créer'!A8))</f>
        <v>DOS0455</v>
      </c>
      <c r="T8" s="2" t="s">
        <v>4</v>
      </c>
      <c r="U8" s="7" t="str">
        <f>IF('A créer'!F8="Oui",'A créer'!C8,IF(LEN('A créer'!F8)=0,"",CONCATENATE('A créer'!C8," (",'A créer'!M8,")")))</f>
        <v>SOCIETE VALMY DEFENSE 121</v>
      </c>
      <c r="V8" s="2" t="str">
        <f>IF(LEN('A créer'!D8)=0,"","Tab")</f>
        <v>Tab</v>
      </c>
      <c r="W8" s="2" t="str">
        <f>IF(LEN('A créer'!D8)=0,"","Tab")</f>
        <v>Tab</v>
      </c>
      <c r="X8" s="2" t="str">
        <f>IF(LEN('A créer'!D8)=0,"","Tab")</f>
        <v>Tab</v>
      </c>
      <c r="Y8" s="7" t="str">
        <f>IF('A créer'!F8="Oui",'A créer'!J8,IF(LEN('A créer'!F8)=0,"",'A créer'!N8))</f>
        <v>33, Place des Corolles - TOUR EUROPE - TSA 12345</v>
      </c>
      <c r="Z8" s="2" t="str">
        <f>IF(LEN('A créer'!D8)=0,"","Tab")</f>
        <v>Tab</v>
      </c>
      <c r="AA8" s="4" t="str">
        <f>IF('A créer'!F8="Oui","",IF(LEN('A créer'!F8)=0,"",'A créer'!O8))</f>
        <v/>
      </c>
      <c r="AB8" s="2" t="str">
        <f>IF(LEN('A créer'!D8)=0,"","Tab")</f>
        <v>Tab</v>
      </c>
      <c r="AC8" s="4" t="str">
        <f>IF('A créer'!F8="Oui","",IF(LEN('A créer'!F8)=0,"","contactfournisseur@csp.dalkia.fr"))</f>
        <v/>
      </c>
      <c r="AD8" s="2" t="str">
        <f>IF(LEN('A créer'!D8)=0,"","Tab")</f>
        <v>Tab</v>
      </c>
      <c r="AE8" s="2" t="str">
        <f>IF(LEN('A créer'!D8)=0,"","Tab")</f>
        <v>Tab</v>
      </c>
      <c r="AF8" s="7" t="str">
        <f>IF('A créer'!F8="Oui","",IF(LEN('A créer'!F8)=0,"","ATTENTION adresse UNIQUEMENT pour la comptabilité fournisseurs"))</f>
        <v/>
      </c>
      <c r="AG8" s="2" t="str">
        <f>IF(LEN('A créer'!D8)=0,"","Tab")</f>
        <v>Tab</v>
      </c>
      <c r="AH8" s="4">
        <f>IF('A créer'!F8="Oui",'A créer'!K8,IF(LEN('A créer'!F8)=0,"",""))</f>
        <v>92099</v>
      </c>
      <c r="AI8" s="2" t="str">
        <f>IF(OR(LEN('A créer'!D8)=0,LEN(AH8)&gt;0),"","Tab")</f>
        <v/>
      </c>
      <c r="AJ8" s="7" t="str">
        <f>IF('A créer'!F8="Oui",'A créer'!L8,IF(LEN('A créer'!F8)=0,"","NOUVELLE ADRESSE FACTURATION"))</f>
        <v>PARIS LA DEFENSE CEDEX</v>
      </c>
      <c r="AK8" s="2" t="str">
        <f>IF(LEN('A créer'!D8)=0,"","Tab")</f>
        <v>Tab</v>
      </c>
      <c r="AL8" s="2" t="str">
        <f>IF(LEN('A créer'!D8)=0,"","ENT")</f>
        <v>ENT</v>
      </c>
      <c r="AM8" s="2" t="str">
        <f>IF(LEN('A créer'!D8)=0,"","Tab 4")</f>
        <v>Tab 4</v>
      </c>
      <c r="AN8" s="2" t="str">
        <f>IF(LEN('A créer'!D8)=0,"","Tab 4")</f>
        <v>Tab 4</v>
      </c>
      <c r="AO8" s="2" t="str">
        <f>IF(LEN('A créer'!D8)=0,"","Tab")</f>
        <v>Tab</v>
      </c>
      <c r="AP8" s="2" t="str">
        <f>IF(LEN('A créer'!D8)=0,"","Tab")</f>
        <v>Tab</v>
      </c>
      <c r="AQ8" s="2" t="str">
        <f>IF(LEN('A créer'!D8)=0,"","Tab")</f>
        <v>Tab</v>
      </c>
      <c r="AR8" s="4" t="str">
        <f>IF(OR('A créer'!D8="Oui",LEN('A créer'!D8)=0),"",IF(LEN('A créer'!F8)=0,"",'A créer'!B8))</f>
        <v>DOS</v>
      </c>
      <c r="AS8" s="2" t="str">
        <f>IF(LEN('A créer'!D8)=0,"","Tab")</f>
        <v>Tab</v>
      </c>
      <c r="AT8" s="2" t="str">
        <f>IF(LEN('A créer'!D8)=0,"","ENT")</f>
        <v>ENT</v>
      </c>
      <c r="AU8" s="2" t="str">
        <f>IF(LEN('A créer'!D8)=0,"","*SAVE")</f>
        <v>*SAVE</v>
      </c>
    </row>
    <row r="9" spans="1:47" x14ac:dyDescent="0.25">
      <c r="A9" s="2" t="str">
        <f>IF(OR('A créer'!D9="Oui",LEN('A créer'!D9)=0),"","*FN")</f>
        <v>*FN</v>
      </c>
      <c r="B9" s="2" t="str">
        <f>IF(OR('A créer'!D9="Oui",LEN('A créer'!D9)=0),"","Tab")</f>
        <v>Tab</v>
      </c>
      <c r="C9" s="7" t="str">
        <f>IF(OR('A créer'!D9="Oui",LEN('A créer'!D9)=0),"",'A créer'!I9)</f>
        <v>SVD 122</v>
      </c>
      <c r="D9" s="2" t="str">
        <f>IF(OR('A créer'!D9="Oui",LEN('A créer'!D9)=0),"","Tab")</f>
        <v>Tab</v>
      </c>
      <c r="E9" s="7" t="str">
        <f>IF(OR('A créer'!D9="Oui",LEN('A créer'!D9)=0),"",'A créer'!C9)</f>
        <v>SOCIETE VALMY DEFENSE 122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créer'!D9)=0),"","Tab")</f>
        <v>Tab</v>
      </c>
      <c r="I9" s="7" t="str">
        <f>IF(OR('A créer'!D9="Oui",LEN('A créer'!D9)=0),"",'A créer'!J9)</f>
        <v>33, Place des Corolles - TOUR EUROPE - TSA 12345</v>
      </c>
      <c r="J9" s="2" t="str">
        <f>IF(OR('A créer'!D9="Oui",LEN('A créer'!D9)=0),"","Tab 4")</f>
        <v>Tab 4</v>
      </c>
      <c r="K9" s="2" t="str">
        <f>IF(OR('A créer'!D9="Oui",LEN('A créer'!D9)=0),"","Tab")</f>
        <v>Tab</v>
      </c>
      <c r="L9" s="7">
        <f>IF(OR('A créer'!D9="Oui",LEN('A créer'!D9)=0),"",'A créer'!K9)</f>
        <v>92099</v>
      </c>
      <c r="M9" s="7" t="str">
        <f>IF(OR('A créer'!D9="Oui",LEN('A créer'!D9)=0),"",'A créer'!L9)</f>
        <v>PARIS LA DEFENSE CEDEX</v>
      </c>
      <c r="N9" s="2" t="str">
        <f>IF(OR('A créer'!D9="Oui",LEN('A créer'!D9)=0),"","Tab")</f>
        <v>Tab</v>
      </c>
      <c r="O9" s="2" t="str">
        <f>IF(OR('A créer'!D9="Oui",LEN('A créer'!D9)=0),"","ENT")</f>
        <v>ENT</v>
      </c>
      <c r="P9" s="2" t="str">
        <f>IF(OR('A créer'!D9="Oui",LEN('A créer'!D9)=0),"","*SAVE")</f>
        <v>*SAVE</v>
      </c>
      <c r="Q9" s="2" t="str">
        <f>IF(LEN('A créer'!D9)=0,"","*FN")</f>
        <v>*FN</v>
      </c>
      <c r="R9" s="2" t="str">
        <f>IF(LEN('A créer'!D9)=0,"","Tab")</f>
        <v>Tab</v>
      </c>
      <c r="S9" s="7" t="str">
        <f>IF(LEN('A créer'!D9)=0,"",CONCATENATE('A créer'!B9,'A créer'!A9))</f>
        <v>DOS0456</v>
      </c>
      <c r="T9" s="2" t="s">
        <v>4</v>
      </c>
      <c r="U9" s="7" t="str">
        <f>IF('A créer'!F9="Oui",'A créer'!C9,IF(LEN('A créer'!F9)=0,"",CONCATENATE('A créer'!C9," (",'A créer'!M9,")")))</f>
        <v>SOCIETE VALMY DEFENSE 122</v>
      </c>
      <c r="V9" s="2" t="str">
        <f>IF(LEN('A créer'!D9)=0,"","Tab")</f>
        <v>Tab</v>
      </c>
      <c r="W9" s="2" t="str">
        <f>IF(LEN('A créer'!D9)=0,"","Tab")</f>
        <v>Tab</v>
      </c>
      <c r="X9" s="2" t="str">
        <f>IF(LEN('A créer'!D9)=0,"","Tab")</f>
        <v>Tab</v>
      </c>
      <c r="Y9" s="7" t="str">
        <f>IF('A créer'!F9="Oui",'A créer'!J9,IF(LEN('A créer'!F9)=0,"",'A créer'!N9))</f>
        <v>33, Place des Corolles - TOUR EUROPE - TSA 12345</v>
      </c>
      <c r="Z9" s="2" t="str">
        <f>IF(LEN('A créer'!D9)=0,"","Tab")</f>
        <v>Tab</v>
      </c>
      <c r="AA9" s="4" t="str">
        <f>IF('A créer'!F9="Oui","",IF(LEN('A créer'!F9)=0,"",'A créer'!O9))</f>
        <v/>
      </c>
      <c r="AB9" s="2" t="str">
        <f>IF(LEN('A créer'!D9)=0,"","Tab")</f>
        <v>Tab</v>
      </c>
      <c r="AC9" s="4" t="str">
        <f>IF('A créer'!F9="Oui","",IF(LEN('A créer'!F9)=0,"","contactfournisseur@csp.dalkia.fr"))</f>
        <v/>
      </c>
      <c r="AD9" s="2" t="str">
        <f>IF(LEN('A créer'!D9)=0,"","Tab")</f>
        <v>Tab</v>
      </c>
      <c r="AE9" s="2" t="str">
        <f>IF(LEN('A créer'!D9)=0,"","Tab")</f>
        <v>Tab</v>
      </c>
      <c r="AF9" s="7" t="str">
        <f>IF('A créer'!F9="Oui","",IF(LEN('A créer'!F9)=0,"","ATTENTION adresse UNIQUEMENT pour la comptabilité fournisseurs"))</f>
        <v/>
      </c>
      <c r="AG9" s="2" t="str">
        <f>IF(LEN('A créer'!D9)=0,"","Tab")</f>
        <v>Tab</v>
      </c>
      <c r="AH9" s="4">
        <f>IF('A créer'!F9="Oui",'A créer'!K9,IF(LEN('A créer'!F9)=0,"",""))</f>
        <v>92099</v>
      </c>
      <c r="AI9" s="2" t="str">
        <f>IF(OR(LEN('A créer'!D9)=0,LEN(AH9)&gt;0),"","Tab")</f>
        <v/>
      </c>
      <c r="AJ9" s="7" t="str">
        <f>IF('A créer'!F9="Oui",'A créer'!L9,IF(LEN('A créer'!F9)=0,"","NOUVELLE ADRESSE FACTURATION"))</f>
        <v>PARIS LA DEFENSE CEDEX</v>
      </c>
      <c r="AK9" s="2" t="str">
        <f>IF(LEN('A créer'!D9)=0,"","Tab")</f>
        <v>Tab</v>
      </c>
      <c r="AL9" s="2" t="str">
        <f>IF(LEN('A créer'!D9)=0,"","ENT")</f>
        <v>ENT</v>
      </c>
      <c r="AM9" s="2" t="str">
        <f>IF(LEN('A créer'!D9)=0,"","Tab 4")</f>
        <v>Tab 4</v>
      </c>
      <c r="AN9" s="2" t="str">
        <f>IF(LEN('A créer'!D9)=0,"","Tab 4")</f>
        <v>Tab 4</v>
      </c>
      <c r="AO9" s="2" t="str">
        <f>IF(LEN('A créer'!D9)=0,"","Tab")</f>
        <v>Tab</v>
      </c>
      <c r="AP9" s="2" t="str">
        <f>IF(LEN('A créer'!D9)=0,"","Tab")</f>
        <v>Tab</v>
      </c>
      <c r="AQ9" s="2" t="str">
        <f>IF(LEN('A créer'!D9)=0,"","Tab")</f>
        <v>Tab</v>
      </c>
      <c r="AR9" s="4" t="str">
        <f>IF(OR('A créer'!D9="Oui",LEN('A créer'!D9)=0),"",IF(LEN('A créer'!F9)=0,"",'A créer'!B9))</f>
        <v>DOS</v>
      </c>
      <c r="AS9" s="2" t="str">
        <f>IF(LEN('A créer'!D9)=0,"","Tab")</f>
        <v>Tab</v>
      </c>
      <c r="AT9" s="2" t="str">
        <f>IF(LEN('A créer'!D9)=0,"","ENT")</f>
        <v>ENT</v>
      </c>
      <c r="AU9" s="2" t="str">
        <f>IF(LEN('A créer'!D9)=0,"","*SAVE")</f>
        <v>*SAVE</v>
      </c>
    </row>
    <row r="10" spans="1:47" x14ac:dyDescent="0.25">
      <c r="A10" s="2" t="str">
        <f>IF(OR('A créer'!D10="Oui",LEN('A créer'!D10)=0),"","*FN")</f>
        <v>*FN</v>
      </c>
      <c r="B10" s="2" t="str">
        <f>IF(OR('A créer'!D10="Oui",LEN('A créer'!D10)=0),"","Tab")</f>
        <v>Tab</v>
      </c>
      <c r="C10" s="7" t="str">
        <f>IF(OR('A créer'!D10="Oui",LEN('A créer'!D10)=0),"",'A créer'!I10)</f>
        <v>SVD 119</v>
      </c>
      <c r="D10" s="2" t="str">
        <f>IF(OR('A créer'!D10="Oui",LEN('A créer'!D10)=0),"","Tab")</f>
        <v>Tab</v>
      </c>
      <c r="E10" s="7" t="str">
        <f>IF(OR('A créer'!D10="Oui",LEN('A créer'!D10)=0),"",'A créer'!C10)</f>
        <v>SOCIETE VALMY DEFENSE 119</v>
      </c>
      <c r="F10" s="2" t="str">
        <f>IF(OR('A créer'!D10="Oui",LEN('A créer'!D10)=0),"","Tab")</f>
        <v>Tab</v>
      </c>
      <c r="G10" s="2" t="str">
        <f>IF(OR('A créer'!D10="Oui",LEN('A créer'!D10)=0),"","Tab")</f>
        <v>Tab</v>
      </c>
      <c r="H10" s="2" t="str">
        <f>IF(OR('A créer'!D10="Oui",LEN('A créer'!D10)=0),"","Tab")</f>
        <v>Tab</v>
      </c>
      <c r="I10" s="7" t="str">
        <f>IF(OR('A créer'!D10="Oui",LEN('A créer'!D10)=0),"",'A créer'!J10)</f>
        <v>33, Place des Corolles - TOUR EUROPE - TSA 12345</v>
      </c>
      <c r="J10" s="2" t="str">
        <f>IF(OR('A créer'!D10="Oui",LEN('A créer'!D10)=0),"","Tab 4")</f>
        <v>Tab 4</v>
      </c>
      <c r="K10" s="2" t="str">
        <f>IF(OR('A créer'!D10="Oui",LEN('A créer'!D10)=0),"","Tab")</f>
        <v>Tab</v>
      </c>
      <c r="L10" s="7">
        <f>IF(OR('A créer'!D10="Oui",LEN('A créer'!D10)=0),"",'A créer'!K10)</f>
        <v>92099</v>
      </c>
      <c r="M10" s="7" t="str">
        <f>IF(OR('A créer'!D10="Oui",LEN('A créer'!D10)=0),"",'A créer'!L10)</f>
        <v>PARIS LA DEFENSE CEDEX</v>
      </c>
      <c r="N10" s="2" t="str">
        <f>IF(OR('A créer'!D10="Oui",LEN('A créer'!D10)=0),"","Tab")</f>
        <v>Tab</v>
      </c>
      <c r="O10" s="2" t="str">
        <f>IF(OR('A créer'!D10="Oui",LEN('A créer'!D10)=0),"","ENT")</f>
        <v>ENT</v>
      </c>
      <c r="P10" s="2" t="str">
        <f>IF(OR('A créer'!D10="Oui",LEN('A créer'!D10)=0),"","*SAVE")</f>
        <v>*SAVE</v>
      </c>
      <c r="Q10" s="2" t="str">
        <f>IF(LEN('A créer'!D10)=0,"","*FN")</f>
        <v>*FN</v>
      </c>
      <c r="R10" s="2" t="str">
        <f>IF(LEN('A créer'!D10)=0,"","Tab")</f>
        <v>Tab</v>
      </c>
      <c r="S10" s="7" t="str">
        <f>IF(LEN('A créer'!D10)=0,"",CONCATENATE('A créer'!B10,'A créer'!A10))</f>
        <v>DRW0453</v>
      </c>
      <c r="T10" s="2" t="s">
        <v>4</v>
      </c>
      <c r="U10" s="7" t="str">
        <f>IF('A créer'!F10="Oui",'A créer'!C10,IF(LEN('A créer'!F10)=0,"",CONCATENATE('A créer'!C10," (",'A créer'!M10,")")))</f>
        <v>SOCIETE VALMY DEFENSE 119 (XXXXX)</v>
      </c>
      <c r="V10" s="2" t="str">
        <f>IF(LEN('A créer'!D10)=0,"","Tab")</f>
        <v>Tab</v>
      </c>
      <c r="W10" s="2" t="str">
        <f>IF(LEN('A créer'!D10)=0,"","Tab")</f>
        <v>Tab</v>
      </c>
      <c r="X10" s="2" t="str">
        <f>IF(LEN('A créer'!D10)=0,"","Tab")</f>
        <v>Tab</v>
      </c>
      <c r="Y10" s="7" t="str">
        <f>IF('A créer'!F10="Oui",'A créer'!J10,IF(LEN('A créer'!F10)=0,"",'A créer'!N10))</f>
        <v>TSA 85501</v>
      </c>
      <c r="Z10" s="2" t="str">
        <f>IF(LEN('A créer'!D10)=0,"","Tab")</f>
        <v>Tab</v>
      </c>
      <c r="AA10" s="4" t="str">
        <f>IF('A créer'!F10="Oui","",IF(LEN('A créer'!F10)=0,"",'A créer'!O10))</f>
        <v>59784 LILLE CEDEX 9</v>
      </c>
      <c r="AB10" s="2" t="str">
        <f>IF(LEN('A créer'!D10)=0,"","Tab")</f>
        <v>Tab</v>
      </c>
      <c r="AC10" s="4" t="str">
        <f>IF('A créer'!F10="Oui","",IF(LEN('A créer'!F10)=0,"","contactfournisseur@csp.dalkia.fr"))</f>
        <v>contactfournisseur@csp.dalkia.fr</v>
      </c>
      <c r="AD10" s="2" t="str">
        <f>IF(LEN('A créer'!D10)=0,"","Tab")</f>
        <v>Tab</v>
      </c>
      <c r="AE10" s="2" t="str">
        <f>IF(LEN('A créer'!D10)=0,"","Tab")</f>
        <v>Tab</v>
      </c>
      <c r="AF10" s="7" t="str">
        <f>IF('A créer'!F10="Oui","",IF(LEN('A créer'!F10)=0,"","ATTENTION adresse UNIQUEMENT pour la comptabilité fournisseurs"))</f>
        <v>ATTENTION adresse UNIQUEMENT pour la comptabilité fournisseurs</v>
      </c>
      <c r="AG10" s="2" t="str">
        <f>IF(LEN('A créer'!D10)=0,"","Tab")</f>
        <v>Tab</v>
      </c>
      <c r="AH10" s="4" t="str">
        <f>IF('A créer'!F10="Oui",'A créer'!K10,IF(LEN('A créer'!F10)=0,"",""))</f>
        <v/>
      </c>
      <c r="AI10" s="2" t="str">
        <f>IF(OR(LEN('A créer'!D10)=0,LEN(AH10)&gt;0),"","Tab")</f>
        <v>Tab</v>
      </c>
      <c r="AJ10" s="7" t="str">
        <f>IF('A créer'!F10="Oui",'A créer'!L10,IF(LEN('A créer'!F10)=0,"","NOUVELLE ADRESSE FACTURATION"))</f>
        <v>NOUVELLE ADRESSE FACTURATION</v>
      </c>
      <c r="AK10" s="2" t="str">
        <f>IF(LEN('A créer'!D10)=0,"","Tab")</f>
        <v>Tab</v>
      </c>
      <c r="AL10" s="2" t="str">
        <f>IF(LEN('A créer'!D10)=0,"","ENT")</f>
        <v>ENT</v>
      </c>
      <c r="AM10" s="2" t="str">
        <f>IF(LEN('A créer'!D10)=0,"","Tab 4")</f>
        <v>Tab 4</v>
      </c>
      <c r="AN10" s="2" t="str">
        <f>IF(LEN('A créer'!D10)=0,"","Tab 4")</f>
        <v>Tab 4</v>
      </c>
      <c r="AO10" s="2" t="str">
        <f>IF(LEN('A créer'!D10)=0,"","Tab")</f>
        <v>Tab</v>
      </c>
      <c r="AP10" s="2" t="str">
        <f>IF(LEN('A créer'!D10)=0,"","Tab")</f>
        <v>Tab</v>
      </c>
      <c r="AQ10" s="2" t="str">
        <f>IF(LEN('A créer'!D10)=0,"","Tab")</f>
        <v>Tab</v>
      </c>
      <c r="AR10" s="4" t="str">
        <f>IF(OR('A créer'!D10="Oui",LEN('A créer'!D10)=0),"",IF(LEN('A créer'!F10)=0,"",'A créer'!B10))</f>
        <v>DRW</v>
      </c>
      <c r="AS10" s="2" t="str">
        <f>IF(LEN('A créer'!D10)=0,"","Tab")</f>
        <v>Tab</v>
      </c>
      <c r="AT10" s="2" t="str">
        <f>IF(LEN('A créer'!D10)=0,"","ENT")</f>
        <v>ENT</v>
      </c>
      <c r="AU10" s="2" t="str">
        <f>IF(LEN('A créer'!D10)=0,"","*SAVE")</f>
        <v>*SAVE</v>
      </c>
    </row>
    <row r="11" spans="1:47" x14ac:dyDescent="0.25">
      <c r="A11" s="2" t="str">
        <f>IF(OR('A créer'!D11="Oui",LEN('A créer'!D11)=0),"","*FN")</f>
        <v>*FN</v>
      </c>
      <c r="B11" s="2" t="str">
        <f>IF(OR('A créer'!D11="Oui",LEN('A créer'!D11)=0),"","Tab")</f>
        <v>Tab</v>
      </c>
      <c r="C11" s="7" t="str">
        <f>IF(OR('A créer'!D11="Oui",LEN('A créer'!D11)=0),"",'A créer'!I11)</f>
        <v>DALKIA MIDDLE EAST</v>
      </c>
      <c r="D11" s="2" t="str">
        <f>IF(OR('A créer'!D11="Oui",LEN('A créer'!D11)=0),"","Tab")</f>
        <v>Tab</v>
      </c>
      <c r="E11" s="7" t="str">
        <f>IF(OR('A créer'!D11="Oui",LEN('A créer'!D11)=0),"",'A créer'!C11)</f>
        <v>DALKIA MIDDLE EAST</v>
      </c>
      <c r="F11" s="2" t="str">
        <f>IF(OR('A créer'!D11="Oui",LEN('A créer'!D11)=0),"","Tab")</f>
        <v>Tab</v>
      </c>
      <c r="G11" s="2" t="str">
        <f>IF(OR('A créer'!D11="Oui",LEN('A créer'!D11)=0),"","Tab")</f>
        <v>Tab</v>
      </c>
      <c r="H11" s="2" t="str">
        <f>IF(OR('A créer'!D11="Oui",LEN('A créer'!D11)=0),"","Tab")</f>
        <v>Tab</v>
      </c>
      <c r="I11" s="7" t="str">
        <f>IF(OR('A créer'!D11="Oui",LEN('A créer'!D11)=0),"",'A créer'!J11)</f>
        <v>33, Place des Corolles - TOUR EUROPE - TSA 12345</v>
      </c>
      <c r="J11" s="2" t="str">
        <f>IF(OR('A créer'!D11="Oui",LEN('A créer'!D11)=0),"","Tab 4")</f>
        <v>Tab 4</v>
      </c>
      <c r="K11" s="2" t="str">
        <f>IF(OR('A créer'!D11="Oui",LEN('A créer'!D11)=0),"","Tab")</f>
        <v>Tab</v>
      </c>
      <c r="L11" s="7">
        <f>IF(OR('A créer'!D11="Oui",LEN('A créer'!D11)=0),"",'A créer'!K11)</f>
        <v>92099</v>
      </c>
      <c r="M11" s="7" t="str">
        <f>IF(OR('A créer'!D11="Oui",LEN('A créer'!D11)=0),"",'A créer'!L11)</f>
        <v>PARIS LA DEFENSE CEDEX</v>
      </c>
      <c r="N11" s="2" t="str">
        <f>IF(OR('A créer'!D11="Oui",LEN('A créer'!D11)=0),"","Tab")</f>
        <v>Tab</v>
      </c>
      <c r="O11" s="2" t="str">
        <f>IF(OR('A créer'!D11="Oui",LEN('A créer'!D11)=0),"","ENT")</f>
        <v>ENT</v>
      </c>
      <c r="P11" s="2" t="str">
        <f>IF(OR('A créer'!D11="Oui",LEN('A créer'!D11)=0),"","*SAVE")</f>
        <v>*SAVE</v>
      </c>
      <c r="Q11" s="2" t="str">
        <f>IF(LEN('A créer'!D11)=0,"","*FN")</f>
        <v>*FN</v>
      </c>
      <c r="R11" s="2" t="str">
        <f>IF(LEN('A créer'!D11)=0,"","Tab")</f>
        <v>Tab</v>
      </c>
      <c r="S11" s="7" t="str">
        <f>IF(LEN('A créer'!D11)=0,"",CONCATENATE('A créer'!B11,'A créer'!A11))</f>
        <v>DOS0457</v>
      </c>
      <c r="T11" s="2" t="s">
        <v>4</v>
      </c>
      <c r="U11" s="7" t="str">
        <f>IF('A créer'!F11="Oui",'A créer'!C11,IF(LEN('A créer'!F11)=0,"",CONCATENATE('A créer'!C11," (",'A créer'!M11,")")))</f>
        <v>DALKIA MIDDLE EAST (XXXXX)</v>
      </c>
      <c r="V11" s="2" t="str">
        <f>IF(LEN('A créer'!D11)=0,"","Tab")</f>
        <v>Tab</v>
      </c>
      <c r="W11" s="2" t="str">
        <f>IF(LEN('A créer'!D11)=0,"","Tab")</f>
        <v>Tab</v>
      </c>
      <c r="X11" s="2" t="str">
        <f>IF(LEN('A créer'!D11)=0,"","Tab")</f>
        <v>Tab</v>
      </c>
      <c r="Y11" s="7" t="str">
        <f>IF('A créer'!F11="Oui",'A créer'!J11,IF(LEN('A créer'!F11)=0,"",'A créer'!N11))</f>
        <v>TSA 65508</v>
      </c>
      <c r="Z11" s="2" t="str">
        <f>IF(LEN('A créer'!D11)=0,"","Tab")</f>
        <v>Tab</v>
      </c>
      <c r="AA11" s="4" t="str">
        <f>IF('A créer'!F11="Oui","",IF(LEN('A créer'!F11)=0,"",'A créer'!O11))</f>
        <v>59784 LILLE CEDEX 9</v>
      </c>
      <c r="AB11" s="2" t="str">
        <f>IF(LEN('A créer'!D11)=0,"","Tab")</f>
        <v>Tab</v>
      </c>
      <c r="AC11" s="4" t="str">
        <f>IF('A créer'!F11="Oui","",IF(LEN('A créer'!F11)=0,"","contactfournisseur@csp.dalkia.fr"))</f>
        <v>contactfournisseur@csp.dalkia.fr</v>
      </c>
      <c r="AD11" s="2" t="str">
        <f>IF(LEN('A créer'!D11)=0,"","Tab")</f>
        <v>Tab</v>
      </c>
      <c r="AE11" s="2" t="str">
        <f>IF(LEN('A créer'!D11)=0,"","Tab")</f>
        <v>Tab</v>
      </c>
      <c r="AF11" s="7" t="str">
        <f>IF('A créer'!F11="Oui","",IF(LEN('A créer'!F11)=0,"","ATTENTION adresse UNIQUEMENT pour la comptabilité fournisseurs"))</f>
        <v>ATTENTION adresse UNIQUEMENT pour la comptabilité fournisseurs</v>
      </c>
      <c r="AG11" s="2" t="str">
        <f>IF(LEN('A créer'!D11)=0,"","Tab")</f>
        <v>Tab</v>
      </c>
      <c r="AH11" s="4" t="str">
        <f>IF('A créer'!F11="Oui",'A créer'!K11,IF(LEN('A créer'!F11)=0,"",""))</f>
        <v/>
      </c>
      <c r="AI11" s="2" t="str">
        <f>IF(OR(LEN('A créer'!D11)=0,LEN(AH11)&gt;0),"","Tab")</f>
        <v>Tab</v>
      </c>
      <c r="AJ11" s="7" t="str">
        <f>IF('A créer'!F11="Oui",'A créer'!L11,IF(LEN('A créer'!F11)=0,"","NOUVELLE ADRESSE FACTURATION"))</f>
        <v>NOUVELLE ADRESSE FACTURATION</v>
      </c>
      <c r="AK11" s="2" t="str">
        <f>IF(LEN('A créer'!D11)=0,"","Tab")</f>
        <v>Tab</v>
      </c>
      <c r="AL11" s="2" t="str">
        <f>IF(LEN('A créer'!D11)=0,"","ENT")</f>
        <v>ENT</v>
      </c>
      <c r="AM11" s="2" t="str">
        <f>IF(LEN('A créer'!D11)=0,"","Tab 4")</f>
        <v>Tab 4</v>
      </c>
      <c r="AN11" s="2" t="str">
        <f>IF(LEN('A créer'!D11)=0,"","Tab 4")</f>
        <v>Tab 4</v>
      </c>
      <c r="AO11" s="2" t="str">
        <f>IF(LEN('A créer'!D11)=0,"","Tab")</f>
        <v>Tab</v>
      </c>
      <c r="AP11" s="2" t="str">
        <f>IF(LEN('A créer'!D11)=0,"","Tab")</f>
        <v>Tab</v>
      </c>
      <c r="AQ11" s="2" t="str">
        <f>IF(LEN('A créer'!D11)=0,"","Tab")</f>
        <v>Tab</v>
      </c>
      <c r="AR11" s="4" t="str">
        <f>IF(OR('A créer'!D11="Oui",LEN('A créer'!D11)=0),"",IF(LEN('A créer'!F11)=0,"",'A créer'!B11))</f>
        <v>DOS</v>
      </c>
      <c r="AS11" s="2" t="str">
        <f>IF(LEN('A créer'!D11)=0,"","Tab")</f>
        <v>Tab</v>
      </c>
      <c r="AT11" s="2" t="str">
        <f>IF(LEN('A créer'!D11)=0,"","ENT")</f>
        <v>ENT</v>
      </c>
      <c r="AU11" s="2" t="str">
        <f>IF(LEN('A créer'!D11)=0,"","*SAVE")</f>
        <v>*SAVE</v>
      </c>
    </row>
    <row r="12" spans="1:47" x14ac:dyDescent="0.25">
      <c r="A12" s="2" t="str">
        <f>IF(OR('A créer'!D12="Oui",LEN('A créer'!D12)=0),"","*FN")</f>
        <v>*FN</v>
      </c>
      <c r="B12" s="2" t="str">
        <f>IF(OR('A créer'!D12="Oui",LEN('A créer'!D12)=0),"","Tab")</f>
        <v>Tab</v>
      </c>
      <c r="C12" s="7" t="str">
        <f>IF(OR('A créer'!D12="Oui",LEN('A créer'!D12)=0),"",'A créer'!I12)</f>
        <v>CITELUM IG</v>
      </c>
      <c r="D12" s="2" t="str">
        <f>IF(OR('A créer'!D12="Oui",LEN('A créer'!D12)=0),"","Tab")</f>
        <v>Tab</v>
      </c>
      <c r="E12" s="7" t="str">
        <f>IF(OR('A créer'!D12="Oui",LEN('A créer'!D12)=0),"",'A créer'!C12)</f>
        <v>CITELUM IG</v>
      </c>
      <c r="F12" s="2" t="str">
        <f>IF(OR('A créer'!D12="Oui",LEN('A créer'!D12)=0),"","Tab")</f>
        <v>Tab</v>
      </c>
      <c r="G12" s="2" t="str">
        <f>IF(OR('A créer'!D12="Oui",LEN('A créer'!D12)=0),"","Tab")</f>
        <v>Tab</v>
      </c>
      <c r="H12" s="2" t="str">
        <f>IF(OR('A créer'!D12="Oui",LEN('A créer'!D12)=0),"","Tab")</f>
        <v>Tab</v>
      </c>
      <c r="I12" s="7" t="str">
        <f>IF(OR('A créer'!D12="Oui",LEN('A créer'!D12)=0),"",'A créer'!J12)</f>
        <v>11-13 TOUR PACIFIC - 11, Cours Valmy</v>
      </c>
      <c r="J12" s="2" t="str">
        <f>IF(OR('A créer'!D12="Oui",LEN('A créer'!D12)=0),"","Tab 4")</f>
        <v>Tab 4</v>
      </c>
      <c r="K12" s="2" t="str">
        <f>IF(OR('A créer'!D12="Oui",LEN('A créer'!D12)=0),"","Tab")</f>
        <v>Tab</v>
      </c>
      <c r="L12" s="7">
        <f>IF(OR('A créer'!D12="Oui",LEN('A créer'!D12)=0),"",'A créer'!K12)</f>
        <v>92800</v>
      </c>
      <c r="M12" s="7" t="str">
        <f>IF(OR('A créer'!D12="Oui",LEN('A créer'!D12)=0),"",'A créer'!L12)</f>
        <v>PUTEAUX</v>
      </c>
      <c r="N12" s="2" t="str">
        <f>IF(OR('A créer'!D12="Oui",LEN('A créer'!D12)=0),"","Tab")</f>
        <v>Tab</v>
      </c>
      <c r="O12" s="2" t="str">
        <f>IF(OR('A créer'!D12="Oui",LEN('A créer'!D12)=0),"","ENT")</f>
        <v>ENT</v>
      </c>
      <c r="P12" s="2" t="str">
        <f>IF(OR('A créer'!D12="Oui",LEN('A créer'!D12)=0),"","*SAVE")</f>
        <v>*SAVE</v>
      </c>
      <c r="Q12" s="2" t="str">
        <f>IF(LEN('A créer'!D12)=0,"","*FN")</f>
        <v>*FN</v>
      </c>
      <c r="R12" s="2" t="str">
        <f>IF(LEN('A créer'!D12)=0,"","Tab")</f>
        <v>Tab</v>
      </c>
      <c r="S12" s="7" t="str">
        <f>IF(LEN('A créer'!D12)=0,"",CONCATENATE('A créer'!B12,'A créer'!A12))</f>
        <v>DOS0473</v>
      </c>
      <c r="T12" s="2" t="s">
        <v>4</v>
      </c>
      <c r="U12" s="7" t="str">
        <f>IF('A créer'!F12="Oui",'A créer'!C12,IF(LEN('A créer'!F12)=0,"",CONCATENATE('A créer'!C12," (",'A créer'!M12,")")))</f>
        <v>CITELUM IG (XXXXX)</v>
      </c>
      <c r="V12" s="2" t="str">
        <f>IF(LEN('A créer'!D12)=0,"","Tab")</f>
        <v>Tab</v>
      </c>
      <c r="W12" s="2" t="str">
        <f>IF(LEN('A créer'!D12)=0,"","Tab")</f>
        <v>Tab</v>
      </c>
      <c r="X12" s="2" t="str">
        <f>IF(LEN('A créer'!D12)=0,"","Tab")</f>
        <v>Tab</v>
      </c>
      <c r="Y12" s="7" t="str">
        <f>IF('A créer'!F12="Oui",'A créer'!J12,IF(LEN('A créer'!F12)=0,"",'A créer'!N12))</f>
        <v>TSA 65508</v>
      </c>
      <c r="Z12" s="2" t="str">
        <f>IF(LEN('A créer'!D12)=0,"","Tab")</f>
        <v>Tab</v>
      </c>
      <c r="AA12" s="4" t="str">
        <f>IF('A créer'!F12="Oui","",IF(LEN('A créer'!F12)=0,"",'A créer'!O12))</f>
        <v>59784 LILLE CEDEX 9</v>
      </c>
      <c r="AB12" s="2" t="str">
        <f>IF(LEN('A créer'!D12)=0,"","Tab")</f>
        <v>Tab</v>
      </c>
      <c r="AC12" s="4" t="str">
        <f>IF('A créer'!F12="Oui","",IF(LEN('A créer'!F12)=0,"","contactfournisseur@csp.dalkia.fr"))</f>
        <v>contactfournisseur@csp.dalkia.fr</v>
      </c>
      <c r="AD12" s="2" t="str">
        <f>IF(LEN('A créer'!D12)=0,"","Tab")</f>
        <v>Tab</v>
      </c>
      <c r="AE12" s="2" t="str">
        <f>IF(LEN('A créer'!D12)=0,"","Tab")</f>
        <v>Tab</v>
      </c>
      <c r="AF12" s="7" t="str">
        <f>IF('A créer'!F12="Oui","",IF(LEN('A créer'!F12)=0,"","ATTENTION adresse UNIQUEMENT pour la comptabilité fournisseurs"))</f>
        <v>ATTENTION adresse UNIQUEMENT pour la comptabilité fournisseurs</v>
      </c>
      <c r="AG12" s="2" t="str">
        <f>IF(LEN('A créer'!D12)=0,"","Tab")</f>
        <v>Tab</v>
      </c>
      <c r="AH12" s="4" t="str">
        <f>IF('A créer'!F12="Oui",'A créer'!K12,IF(LEN('A créer'!F12)=0,"",""))</f>
        <v/>
      </c>
      <c r="AI12" s="2" t="str">
        <f>IF(OR(LEN('A créer'!D12)=0,LEN(AH12)&gt;0),"","Tab")</f>
        <v>Tab</v>
      </c>
      <c r="AJ12" s="7" t="str">
        <f>IF('A créer'!F12="Oui",'A créer'!L12,IF(LEN('A créer'!F12)=0,"","NOUVELLE ADRESSE FACTURATION"))</f>
        <v>NOUVELLE ADRESSE FACTURATION</v>
      </c>
      <c r="AK12" s="2" t="str">
        <f>IF(LEN('A créer'!D12)=0,"","Tab")</f>
        <v>Tab</v>
      </c>
      <c r="AL12" s="2" t="str">
        <f>IF(LEN('A créer'!D12)=0,"","ENT")</f>
        <v>ENT</v>
      </c>
      <c r="AM12" s="2" t="str">
        <f>IF(LEN('A créer'!D12)=0,"","Tab 4")</f>
        <v>Tab 4</v>
      </c>
      <c r="AN12" s="2" t="str">
        <f>IF(LEN('A créer'!D12)=0,"","Tab 4")</f>
        <v>Tab 4</v>
      </c>
      <c r="AO12" s="2" t="str">
        <f>IF(LEN('A créer'!D12)=0,"","Tab")</f>
        <v>Tab</v>
      </c>
      <c r="AP12" s="2" t="str">
        <f>IF(LEN('A créer'!D12)=0,"","Tab")</f>
        <v>Tab</v>
      </c>
      <c r="AQ12" s="2" t="str">
        <f>IF(LEN('A créer'!D12)=0,"","Tab")</f>
        <v>Tab</v>
      </c>
      <c r="AR12" s="4" t="str">
        <f>IF(OR('A créer'!D12="Oui",LEN('A créer'!D12)=0),"",IF(LEN('A créer'!F12)=0,"",'A créer'!B12))</f>
        <v>DOS</v>
      </c>
      <c r="AS12" s="2" t="str">
        <f>IF(LEN('A créer'!D12)=0,"","Tab")</f>
        <v>Tab</v>
      </c>
      <c r="AT12" s="2" t="str">
        <f>IF(LEN('A créer'!D12)=0,"","ENT")</f>
        <v>ENT</v>
      </c>
      <c r="AU12" s="2" t="str">
        <f>IF(LEN('A créer'!D12)=0,"","*SAVE")</f>
        <v>*SAVE</v>
      </c>
    </row>
    <row r="13" spans="1:47" x14ac:dyDescent="0.25">
      <c r="A13" s="2" t="str">
        <f>IF(OR('A créer'!D13="Oui",LEN('A créer'!D13)=0),"","*FN")</f>
        <v>*FN</v>
      </c>
      <c r="B13" s="2" t="str">
        <f>IF(OR('A créer'!D13="Oui",LEN('A créer'!D13)=0),"","Tab")</f>
        <v>Tab</v>
      </c>
      <c r="C13" s="7" t="str">
        <f>IF(OR('A créer'!D13="Oui",LEN('A créer'!D13)=0),"",'A créer'!I13)</f>
        <v>AIR FORMING</v>
      </c>
      <c r="D13" s="2" t="str">
        <f>IF(OR('A créer'!D13="Oui",LEN('A créer'!D13)=0),"","Tab")</f>
        <v>Tab</v>
      </c>
      <c r="E13" s="7" t="str">
        <f>IF(OR('A créer'!D13="Oui",LEN('A créer'!D13)=0),"",'A créer'!C13)</f>
        <v>AIR FORMING</v>
      </c>
      <c r="F13" s="2" t="str">
        <f>IF(OR('A créer'!D13="Oui",LEN('A créer'!D13)=0),"","Tab")</f>
        <v>Tab</v>
      </c>
      <c r="G13" s="2" t="str">
        <f>IF(OR('A créer'!D13="Oui",LEN('A créer'!D13)=0),"","Tab")</f>
        <v>Tab</v>
      </c>
      <c r="H13" s="2" t="str">
        <f>IF(OR('A créer'!D13="Oui",LEN('A créer'!D13)=0),"","Tab")</f>
        <v>Tab</v>
      </c>
      <c r="I13" s="7" t="str">
        <f>IF(OR('A créer'!D13="Oui",LEN('A créer'!D13)=0),"",'A créer'!J13)</f>
        <v>13C, Chemin du Levant - Immeuble L'Avant Centre</v>
      </c>
      <c r="J13" s="2" t="str">
        <f>IF(OR('A créer'!D13="Oui",LEN('A créer'!D13)=0),"","Tab 4")</f>
        <v>Tab 4</v>
      </c>
      <c r="K13" s="2" t="str">
        <f>IF(OR('A créer'!D13="Oui",LEN('A créer'!D13)=0),"","Tab")</f>
        <v>Tab</v>
      </c>
      <c r="L13" s="7" t="str">
        <f>IF(OR('A créer'!D13="Oui",LEN('A créer'!D13)=0),"",'A créer'!K13)</f>
        <v>01630</v>
      </c>
      <c r="M13" s="7" t="str">
        <f>IF(OR('A créer'!D13="Oui",LEN('A créer'!D13)=0),"",'A créer'!L13)</f>
        <v>SAINT-GENIS-POUILLY</v>
      </c>
      <c r="N13" s="2" t="str">
        <f>IF(OR('A créer'!D13="Oui",LEN('A créer'!D13)=0),"","Tab")</f>
        <v>Tab</v>
      </c>
      <c r="O13" s="2" t="str">
        <f>IF(OR('A créer'!D13="Oui",LEN('A créer'!D13)=0),"","ENT")</f>
        <v>ENT</v>
      </c>
      <c r="P13" s="2" t="str">
        <f>IF(OR('A créer'!D13="Oui",LEN('A créer'!D13)=0),"","*SAVE")</f>
        <v>*SAVE</v>
      </c>
      <c r="Q13" s="2" t="str">
        <f>IF(LEN('A créer'!D13)=0,"","*FN")</f>
        <v>*FN</v>
      </c>
      <c r="R13" s="2" t="str">
        <f>IF(LEN('A créer'!D13)=0,"","Tab")</f>
        <v>Tab</v>
      </c>
      <c r="S13" s="7" t="str">
        <f>IF(LEN('A créer'!D13)=0,"",CONCATENATE('A créer'!B13,'A créer'!A13))</f>
        <v>DMS0474</v>
      </c>
      <c r="T13" s="2" t="s">
        <v>4</v>
      </c>
      <c r="U13" s="7" t="str">
        <f>IF('A créer'!F13="Oui",'A créer'!C13,IF(LEN('A créer'!F13)=0,"",CONCATENATE('A créer'!C13," (",'A créer'!M13,")")))</f>
        <v>AIR FORMING (XXXXX)</v>
      </c>
      <c r="V13" s="2" t="str">
        <f>IF(LEN('A créer'!D13)=0,"","Tab")</f>
        <v>Tab</v>
      </c>
      <c r="W13" s="2" t="str">
        <f>IF(LEN('A créer'!D13)=0,"","Tab")</f>
        <v>Tab</v>
      </c>
      <c r="X13" s="2" t="str">
        <f>IF(LEN('A créer'!D13)=0,"","Tab")</f>
        <v>Tab</v>
      </c>
      <c r="Y13" s="7" t="str">
        <f>IF('A créer'!F13="Oui",'A créer'!J13,IF(LEN('A créer'!F13)=0,"",'A créer'!N13))</f>
        <v>TSA 35505</v>
      </c>
      <c r="Z13" s="2" t="str">
        <f>IF(LEN('A créer'!D13)=0,"","Tab")</f>
        <v>Tab</v>
      </c>
      <c r="AA13" s="4" t="str">
        <f>IF('A créer'!F13="Oui","",IF(LEN('A créer'!F13)=0,"",'A créer'!O13))</f>
        <v>59784 LILLE CEDEX 9</v>
      </c>
      <c r="AB13" s="2" t="str">
        <f>IF(LEN('A créer'!D13)=0,"","Tab")</f>
        <v>Tab</v>
      </c>
      <c r="AC13" s="4" t="str">
        <f>IF('A créer'!F13="Oui","",IF(LEN('A créer'!F13)=0,"","contactfournisseur@csp.dalkia.fr"))</f>
        <v>contactfournisseur@csp.dalkia.fr</v>
      </c>
      <c r="AD13" s="2" t="str">
        <f>IF(LEN('A créer'!D13)=0,"","Tab")</f>
        <v>Tab</v>
      </c>
      <c r="AE13" s="2" t="str">
        <f>IF(LEN('A créer'!D13)=0,"","Tab")</f>
        <v>Tab</v>
      </c>
      <c r="AF13" s="7" t="str">
        <f>IF('A créer'!F13="Oui","",IF(LEN('A créer'!F13)=0,"","ATTENTION adresse UNIQUEMENT pour la comptabilité fournisseurs"))</f>
        <v>ATTENTION adresse UNIQUEMENT pour la comptabilité fournisseurs</v>
      </c>
      <c r="AG13" s="2" t="str">
        <f>IF(LEN('A créer'!D13)=0,"","Tab")</f>
        <v>Tab</v>
      </c>
      <c r="AH13" s="4" t="str">
        <f>IF('A créer'!F13="Oui",'A créer'!K13,IF(LEN('A créer'!F13)=0,"",""))</f>
        <v/>
      </c>
      <c r="AI13" s="2" t="str">
        <f>IF(OR(LEN('A créer'!D13)=0,LEN(AH13)&gt;0),"","Tab")</f>
        <v>Tab</v>
      </c>
      <c r="AJ13" s="7" t="str">
        <f>IF('A créer'!F13="Oui",'A créer'!L13,IF(LEN('A créer'!F13)=0,"","NOUVELLE ADRESSE FACTURATION"))</f>
        <v>NOUVELLE ADRESSE FACTURATION</v>
      </c>
      <c r="AK13" s="2" t="str">
        <f>IF(LEN('A créer'!D13)=0,"","Tab")</f>
        <v>Tab</v>
      </c>
      <c r="AL13" s="2" t="str">
        <f>IF(LEN('A créer'!D13)=0,"","ENT")</f>
        <v>ENT</v>
      </c>
      <c r="AM13" s="2" t="str">
        <f>IF(LEN('A créer'!D13)=0,"","Tab 4")</f>
        <v>Tab 4</v>
      </c>
      <c r="AN13" s="2" t="str">
        <f>IF(LEN('A créer'!D13)=0,"","Tab 4")</f>
        <v>Tab 4</v>
      </c>
      <c r="AO13" s="2" t="str">
        <f>IF(LEN('A créer'!D13)=0,"","Tab")</f>
        <v>Tab</v>
      </c>
      <c r="AP13" s="2" t="str">
        <f>IF(LEN('A créer'!D13)=0,"","Tab")</f>
        <v>Tab</v>
      </c>
      <c r="AQ13" s="2" t="str">
        <f>IF(LEN('A créer'!D13)=0,"","Tab")</f>
        <v>Tab</v>
      </c>
      <c r="AR13" s="4" t="str">
        <f>IF(OR('A créer'!D13="Oui",LEN('A créer'!D13)=0),"",IF(LEN('A créer'!F13)=0,"",'A créer'!B13))</f>
        <v>DMS</v>
      </c>
      <c r="AS13" s="2" t="str">
        <f>IF(LEN('A créer'!D13)=0,"","Tab")</f>
        <v>Tab</v>
      </c>
      <c r="AT13" s="2" t="str">
        <f>IF(LEN('A créer'!D13)=0,"","ENT")</f>
        <v>ENT</v>
      </c>
      <c r="AU13" s="2" t="str">
        <f>IF(LEN('A créer'!D13)=0,"","*SAVE")</f>
        <v>*SAVE</v>
      </c>
    </row>
    <row r="14" spans="1:47" x14ac:dyDescent="0.25">
      <c r="A14" s="2" t="str">
        <f>IF(OR('A créer'!D14="Oui",LEN('A créer'!D14)=0),"","*FN")</f>
        <v>*FN</v>
      </c>
      <c r="B14" s="2" t="str">
        <f>IF(OR('A créer'!D14="Oui",LEN('A créer'!D14)=0),"","Tab")</f>
        <v>Tab</v>
      </c>
      <c r="C14" s="7" t="str">
        <f>IF(OR('A créer'!D14="Oui",LEN('A créer'!D14)=0),"",'A créer'!I14)</f>
        <v>DESCHAMPS LATHUS</v>
      </c>
      <c r="D14" s="2" t="str">
        <f>IF(OR('A créer'!D14="Oui",LEN('A créer'!D14)=0),"","Tab")</f>
        <v>Tab</v>
      </c>
      <c r="E14" s="7" t="str">
        <f>IF(OR('A créer'!D14="Oui",LEN('A créer'!D14)=0),"",'A créer'!C14)</f>
        <v>SA DESCHAMPS LATHUS</v>
      </c>
      <c r="F14" s="2" t="str">
        <f>IF(OR('A créer'!D14="Oui",LEN('A créer'!D14)=0),"","Tab")</f>
        <v>Tab</v>
      </c>
      <c r="G14" s="2" t="str">
        <f>IF(OR('A créer'!D14="Oui",LEN('A créer'!D14)=0),"","Tab")</f>
        <v>Tab</v>
      </c>
      <c r="H14" s="2" t="str">
        <f>IF(OR('A créer'!D14="Oui",LEN('A créer'!D14)=0),"","Tab")</f>
        <v>Tab</v>
      </c>
      <c r="I14" s="7" t="str">
        <f>IF(OR('A créer'!D14="Oui",LEN('A créer'!D14)=0),"",'A créer'!J14)</f>
        <v>RN10 - CAP INDUSTRIE - 8,allée des Cytises - BP63</v>
      </c>
      <c r="J14" s="2" t="str">
        <f>IF(OR('A créer'!D14="Oui",LEN('A créer'!D14)=0),"","Tab 4")</f>
        <v>Tab 4</v>
      </c>
      <c r="K14" s="2" t="str">
        <f>IF(OR('A créer'!D14="Oui",LEN('A créer'!D14)=0),"","Tab")</f>
        <v>Tab</v>
      </c>
      <c r="L14" s="7">
        <f>IF(OR('A créer'!D14="Oui",LEN('A créer'!D14)=0),"",'A créer'!K14)</f>
        <v>86361</v>
      </c>
      <c r="M14" s="7" t="str">
        <f>IF(OR('A créer'!D14="Oui",LEN('A créer'!D14)=0),"",'A créer'!L14)</f>
        <v>CHASSENEUIL DU POITOU CEDEX</v>
      </c>
      <c r="N14" s="2" t="str">
        <f>IF(OR('A créer'!D14="Oui",LEN('A créer'!D14)=0),"","Tab")</f>
        <v>Tab</v>
      </c>
      <c r="O14" s="2" t="str">
        <f>IF(OR('A créer'!D14="Oui",LEN('A créer'!D14)=0),"","ENT")</f>
        <v>ENT</v>
      </c>
      <c r="P14" s="2" t="str">
        <f>IF(OR('A créer'!D14="Oui",LEN('A créer'!D14)=0),"","*SAVE")</f>
        <v>*SAVE</v>
      </c>
      <c r="Q14" s="2" t="str">
        <f>IF(LEN('A créer'!D14)=0,"","*FN")</f>
        <v>*FN</v>
      </c>
      <c r="R14" s="2" t="str">
        <f>IF(LEN('A créer'!D14)=0,"","Tab")</f>
        <v>Tab</v>
      </c>
      <c r="S14" s="7" t="str">
        <f>IF(LEN('A créer'!D14)=0,"",CONCATENATE('A créer'!B14,'A créer'!A14))</f>
        <v>DNA0470</v>
      </c>
      <c r="T14" s="2" t="s">
        <v>4</v>
      </c>
      <c r="U14" s="7" t="str">
        <f>IF('A créer'!F14="Oui",'A créer'!C14,IF(LEN('A créer'!F14)=0,"",CONCATENATE('A créer'!C14," (",'A créer'!M14,")")))</f>
        <v>SA DESCHAMPS LATHUS</v>
      </c>
      <c r="V14" s="2" t="str">
        <f>IF(LEN('A créer'!D14)=0,"","Tab")</f>
        <v>Tab</v>
      </c>
      <c r="W14" s="2" t="str">
        <f>IF(LEN('A créer'!D14)=0,"","Tab")</f>
        <v>Tab</v>
      </c>
      <c r="X14" s="2" t="str">
        <f>IF(LEN('A créer'!D14)=0,"","Tab")</f>
        <v>Tab</v>
      </c>
      <c r="Y14" s="7" t="str">
        <f>IF('A créer'!F14="Oui",'A créer'!J14,IF(LEN('A créer'!F14)=0,"",'A créer'!N14))</f>
        <v>RN10 - CAP INDUSTRIE - 8,allée des Cytises - BP63</v>
      </c>
      <c r="Z14" s="2" t="str">
        <f>IF(LEN('A créer'!D14)=0,"","Tab")</f>
        <v>Tab</v>
      </c>
      <c r="AA14" s="4" t="str">
        <f>IF('A créer'!F14="Oui","",IF(LEN('A créer'!F14)=0,"",'A créer'!O14))</f>
        <v/>
      </c>
      <c r="AB14" s="2" t="str">
        <f>IF(LEN('A créer'!D14)=0,"","Tab")</f>
        <v>Tab</v>
      </c>
      <c r="AC14" s="4" t="str">
        <f>IF('A créer'!F14="Oui","",IF(LEN('A créer'!F14)=0,"","contactfournisseur@csp.dalkia.fr"))</f>
        <v/>
      </c>
      <c r="AD14" s="2" t="str">
        <f>IF(LEN('A créer'!D14)=0,"","Tab")</f>
        <v>Tab</v>
      </c>
      <c r="AE14" s="2" t="str">
        <f>IF(LEN('A créer'!D14)=0,"","Tab")</f>
        <v>Tab</v>
      </c>
      <c r="AF14" s="7" t="str">
        <f>IF('A créer'!F14="Oui","",IF(LEN('A créer'!F14)=0,"","ATTENTION adresse UNIQUEMENT pour la comptabilité fournisseurs"))</f>
        <v/>
      </c>
      <c r="AG14" s="2" t="str">
        <f>IF(LEN('A créer'!D14)=0,"","Tab")</f>
        <v>Tab</v>
      </c>
      <c r="AH14" s="4">
        <f>IF('A créer'!F14="Oui",'A créer'!K14,IF(LEN('A créer'!F14)=0,"",""))</f>
        <v>86361</v>
      </c>
      <c r="AI14" s="2" t="str">
        <f>IF(OR(LEN('A créer'!D14)=0,LEN(AH14)&gt;0),"","Tab")</f>
        <v/>
      </c>
      <c r="AJ14" s="7" t="str">
        <f>IF('A créer'!F14="Oui",'A créer'!L14,IF(LEN('A créer'!F14)=0,"","NOUVELLE ADRESSE FACTURATION"))</f>
        <v>CHASSENEUIL DU POITOU CEDEX</v>
      </c>
      <c r="AK14" s="2" t="str">
        <f>IF(LEN('A créer'!D14)=0,"","Tab")</f>
        <v>Tab</v>
      </c>
      <c r="AL14" s="2" t="str">
        <f>IF(LEN('A créer'!D14)=0,"","ENT")</f>
        <v>ENT</v>
      </c>
      <c r="AM14" s="2" t="str">
        <f>IF(LEN('A créer'!D14)=0,"","Tab 4")</f>
        <v>Tab 4</v>
      </c>
      <c r="AN14" s="2" t="str">
        <f>IF(LEN('A créer'!D14)=0,"","Tab 4")</f>
        <v>Tab 4</v>
      </c>
      <c r="AO14" s="2" t="str">
        <f>IF(LEN('A créer'!D14)=0,"","Tab")</f>
        <v>Tab</v>
      </c>
      <c r="AP14" s="2" t="str">
        <f>IF(LEN('A créer'!D14)=0,"","Tab")</f>
        <v>Tab</v>
      </c>
      <c r="AQ14" s="2" t="str">
        <f>IF(LEN('A créer'!D14)=0,"","Tab")</f>
        <v>Tab</v>
      </c>
      <c r="AR14" s="4" t="str">
        <f>IF(OR('A créer'!D14="Oui",LEN('A créer'!D14)=0),"",IF(LEN('A créer'!F14)=0,"",'A créer'!B14))</f>
        <v>DNA</v>
      </c>
      <c r="AS14" s="2" t="str">
        <f>IF(LEN('A créer'!D14)=0,"","Tab")</f>
        <v>Tab</v>
      </c>
      <c r="AT14" s="2" t="str">
        <f>IF(LEN('A créer'!D14)=0,"","ENT")</f>
        <v>ENT</v>
      </c>
      <c r="AU14" s="2" t="str">
        <f>IF(LEN('A créer'!D14)=0,"","*SAVE")</f>
        <v>*SAVE</v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7" t="str">
        <f>IF(OR('A créer'!D15="Oui",LEN('A créer'!D15)=0),"",'A créer'!I15)</f>
        <v/>
      </c>
      <c r="D15" s="2" t="str">
        <f>IF(OR('A créer'!D15="Oui",LEN('A créer'!D15)=0),"","Tab")</f>
        <v/>
      </c>
      <c r="E15" s="7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7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7" t="str">
        <f>IF(OR('A créer'!D15="Oui",LEN('A créer'!D15)=0),"",'A créer'!K15)</f>
        <v/>
      </c>
      <c r="M15" s="7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7" t="str">
        <f>IF(LEN('A créer'!D15)=0,"",CONCATENATE('A créer'!B15,'A créer'!A15))</f>
        <v/>
      </c>
      <c r="T15" s="2" t="s">
        <v>4</v>
      </c>
      <c r="U15" s="7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7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7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7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7" t="str">
        <f>IF(OR('A créer'!D16="Oui",LEN('A créer'!D16)=0),"",'A créer'!I16)</f>
        <v/>
      </c>
      <c r="D16" s="2" t="str">
        <f>IF(OR('A créer'!D16="Oui",LEN('A créer'!D16)=0),"","Tab")</f>
        <v/>
      </c>
      <c r="E16" s="7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7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7" t="str">
        <f>IF(OR('A créer'!D16="Oui",LEN('A créer'!D16)=0),"",'A créer'!K16)</f>
        <v/>
      </c>
      <c r="M16" s="7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7" t="str">
        <f>IF(LEN('A créer'!D16)=0,"",CONCATENATE('A créer'!B16,'A créer'!A16))</f>
        <v/>
      </c>
      <c r="T16" s="2" t="s">
        <v>4</v>
      </c>
      <c r="U16" s="7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7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7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7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7" t="str">
        <f>IF(OR('A créer'!D17="Oui",LEN('A créer'!D17)=0),"",'A créer'!I17)</f>
        <v/>
      </c>
      <c r="D17" s="2" t="str">
        <f>IF(OR('A créer'!D17="Oui",LEN('A créer'!D17)=0),"","Tab")</f>
        <v/>
      </c>
      <c r="E17" s="7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7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7" t="str">
        <f>IF(OR('A créer'!D17="Oui",LEN('A créer'!D17)=0),"",'A créer'!K17)</f>
        <v/>
      </c>
      <c r="M17" s="7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7" t="str">
        <f>IF(LEN('A créer'!D17)=0,"",CONCATENATE('A créer'!B17,'A créer'!A17))</f>
        <v/>
      </c>
      <c r="T17" s="2" t="s">
        <v>4</v>
      </c>
      <c r="U17" s="7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7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7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7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7" t="str">
        <f>IF(OR('A créer'!D18="Oui",LEN('A créer'!D18)=0),"",'A créer'!I18)</f>
        <v/>
      </c>
      <c r="D18" s="2" t="str">
        <f>IF(OR('A créer'!D18="Oui",LEN('A créer'!D18)=0),"","Tab")</f>
        <v/>
      </c>
      <c r="E18" s="7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7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7" t="str">
        <f>IF(OR('A créer'!D18="Oui",LEN('A créer'!D18)=0),"",'A créer'!K18)</f>
        <v/>
      </c>
      <c r="M18" s="7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7" t="str">
        <f>IF(LEN('A créer'!D18)=0,"",CONCATENATE('A créer'!B18,'A créer'!A18))</f>
        <v/>
      </c>
      <c r="T18" s="2" t="s">
        <v>4</v>
      </c>
      <c r="U18" s="7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7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7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7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7" t="str">
        <f>IF(OR('A créer'!D19="Oui",LEN('A créer'!D19)=0),"",'A créer'!I19)</f>
        <v/>
      </c>
      <c r="D19" s="2" t="str">
        <f>IF(OR('A créer'!D19="Oui",LEN('A créer'!D19)=0),"","Tab")</f>
        <v/>
      </c>
      <c r="E19" s="7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7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7" t="str">
        <f>IF(OR('A créer'!D19="Oui",LEN('A créer'!D19)=0),"",'A créer'!K19)</f>
        <v/>
      </c>
      <c r="M19" s="7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7" t="str">
        <f>IF(LEN('A créer'!D19)=0,"",CONCATENATE('A créer'!B19,'A créer'!A19))</f>
        <v/>
      </c>
      <c r="T19" s="2" t="s">
        <v>4</v>
      </c>
      <c r="U19" s="7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7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7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7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7" t="str">
        <f>IF(OR('A créer'!D20="Oui",LEN('A créer'!D20)=0),"",'A créer'!I20)</f>
        <v/>
      </c>
      <c r="D20" s="2" t="str">
        <f>IF(OR('A créer'!D20="Oui",LEN('A créer'!D20)=0),"","Tab")</f>
        <v/>
      </c>
      <c r="E20" s="7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7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7" t="str">
        <f>IF(OR('A créer'!D20="Oui",LEN('A créer'!D20)=0),"",'A créer'!K20)</f>
        <v/>
      </c>
      <c r="M20" s="7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7" t="str">
        <f>IF(LEN('A créer'!D20)=0,"",CONCATENATE('A créer'!B20,'A créer'!A20))</f>
        <v/>
      </c>
      <c r="T20" s="2" t="s">
        <v>4</v>
      </c>
      <c r="U20" s="7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7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7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7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7" t="str">
        <f>IF(OR('A créer'!D21="Oui",LEN('A créer'!D21)=0),"",'A créer'!I21)</f>
        <v/>
      </c>
      <c r="D21" s="2" t="str">
        <f>IF(OR('A créer'!D21="Oui",LEN('A créer'!D21)=0),"","Tab")</f>
        <v/>
      </c>
      <c r="E21" s="7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7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7" t="str">
        <f>IF(OR('A créer'!D21="Oui",LEN('A créer'!D21)=0),"",'A créer'!K21)</f>
        <v/>
      </c>
      <c r="M21" s="7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7" t="str">
        <f>IF(LEN('A créer'!D21)=0,"",CONCATENATE('A créer'!B21,'A créer'!A21))</f>
        <v/>
      </c>
      <c r="T21" s="2" t="s">
        <v>4</v>
      </c>
      <c r="U21" s="7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7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7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7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7" t="str">
        <f>IF(OR('A créer'!D22="Oui",LEN('A créer'!D22)=0),"",'A créer'!I22)</f>
        <v/>
      </c>
      <c r="D22" s="2" t="str">
        <f>IF(OR('A créer'!D22="Oui",LEN('A créer'!D22)=0),"","Tab")</f>
        <v/>
      </c>
      <c r="E22" s="7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7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7" t="str">
        <f>IF(OR('A créer'!D22="Oui",LEN('A créer'!D22)=0),"",'A créer'!K22)</f>
        <v/>
      </c>
      <c r="M22" s="7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7" t="str">
        <f>IF(LEN('A créer'!D22)=0,"",CONCATENATE('A créer'!B22,'A créer'!A22))</f>
        <v/>
      </c>
      <c r="T22" s="2" t="s">
        <v>4</v>
      </c>
      <c r="U22" s="7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7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7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7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7" t="str">
        <f>IF(OR('A créer'!D23="Oui",LEN('A créer'!D23)=0),"",'A créer'!I23)</f>
        <v/>
      </c>
      <c r="D23" s="2" t="str">
        <f>IF(OR('A créer'!D23="Oui",LEN('A créer'!D23)=0),"","Tab")</f>
        <v/>
      </c>
      <c r="E23" s="7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7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7" t="str">
        <f>IF(OR('A créer'!D23="Oui",LEN('A créer'!D23)=0),"",'A créer'!K23)</f>
        <v/>
      </c>
      <c r="M23" s="7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7" t="str">
        <f>IF(LEN('A créer'!D23)=0,"",CONCATENATE('A créer'!B23,'A créer'!A23))</f>
        <v/>
      </c>
      <c r="T23" s="2" t="s">
        <v>4</v>
      </c>
      <c r="U23" s="7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7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7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7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7" t="str">
        <f>IF(OR('A créer'!D24="Oui",LEN('A créer'!D24)=0),"",'A créer'!I24)</f>
        <v/>
      </c>
      <c r="D24" s="2" t="str">
        <f>IF(OR('A créer'!D24="Oui",LEN('A créer'!D24)=0),"","Tab")</f>
        <v/>
      </c>
      <c r="E24" s="7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7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7" t="str">
        <f>IF(OR('A créer'!D24="Oui",LEN('A créer'!D24)=0),"",'A créer'!K24)</f>
        <v/>
      </c>
      <c r="M24" s="7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7" t="str">
        <f>IF(LEN('A créer'!D24)=0,"",CONCATENATE('A créer'!B24,'A créer'!A24))</f>
        <v/>
      </c>
      <c r="T24" s="2" t="s">
        <v>4</v>
      </c>
      <c r="U24" s="7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7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7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7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7" t="str">
        <f>IF(OR('A créer'!D25="Oui",LEN('A créer'!D25)=0),"",'A créer'!I25)</f>
        <v/>
      </c>
      <c r="D25" s="2" t="str">
        <f>IF(OR('A créer'!D25="Oui",LEN('A créer'!D25)=0),"","Tab")</f>
        <v/>
      </c>
      <c r="E25" s="7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7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7" t="str">
        <f>IF(OR('A créer'!D25="Oui",LEN('A créer'!D25)=0),"",'A créer'!K25)</f>
        <v/>
      </c>
      <c r="M25" s="7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7" t="str">
        <f>IF(LEN('A créer'!D25)=0,"",CONCATENATE('A créer'!B25,'A créer'!A25))</f>
        <v/>
      </c>
      <c r="T25" s="2" t="s">
        <v>4</v>
      </c>
      <c r="U25" s="7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7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7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7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7" t="str">
        <f>IF(OR('A créer'!D26="Oui",LEN('A créer'!D26)=0),"",'A créer'!I26)</f>
        <v/>
      </c>
      <c r="D26" s="2" t="str">
        <f>IF(OR('A créer'!D26="Oui",LEN('A créer'!D26)=0),"","Tab")</f>
        <v/>
      </c>
      <c r="E26" s="7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7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7" t="str">
        <f>IF(OR('A créer'!D26="Oui",LEN('A créer'!D26)=0),"",'A créer'!K26)</f>
        <v/>
      </c>
      <c r="M26" s="7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7" t="str">
        <f>IF(LEN('A créer'!D26)=0,"",CONCATENATE('A créer'!B26,'A créer'!A26))</f>
        <v/>
      </c>
      <c r="T26" s="2" t="s">
        <v>4</v>
      </c>
      <c r="U26" s="7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7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7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7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7" t="str">
        <f>IF(OR('A créer'!D27="Oui",LEN('A créer'!D27)=0),"",'A créer'!I27)</f>
        <v/>
      </c>
      <c r="D27" s="2" t="str">
        <f>IF(OR('A créer'!D27="Oui",LEN('A créer'!D27)=0),"","Tab")</f>
        <v/>
      </c>
      <c r="E27" s="7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7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7" t="str">
        <f>IF(OR('A créer'!D27="Oui",LEN('A créer'!D27)=0),"",'A créer'!K27)</f>
        <v/>
      </c>
      <c r="M27" s="7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7" t="str">
        <f>IF(LEN('A créer'!D27)=0,"",CONCATENATE('A créer'!B27,'A créer'!A27))</f>
        <v/>
      </c>
      <c r="T27" s="2" t="s">
        <v>4</v>
      </c>
      <c r="U27" s="7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7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7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7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7" t="str">
        <f>IF(OR('A créer'!D28="Oui",LEN('A créer'!D28)=0),"",'A créer'!I28)</f>
        <v/>
      </c>
      <c r="D28" s="2" t="str">
        <f>IF(OR('A créer'!D28="Oui",LEN('A créer'!D28)=0),"","Tab")</f>
        <v/>
      </c>
      <c r="E28" s="7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7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7" t="str">
        <f>IF(OR('A créer'!D28="Oui",LEN('A créer'!D28)=0),"",'A créer'!K28)</f>
        <v/>
      </c>
      <c r="M28" s="7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7" t="str">
        <f>IF(LEN('A créer'!D28)=0,"",CONCATENATE('A créer'!B28,'A créer'!A28))</f>
        <v/>
      </c>
      <c r="T28" s="2" t="s">
        <v>4</v>
      </c>
      <c r="U28" s="7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7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7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7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7" t="str">
        <f>IF(OR('A créer'!D29="Oui",LEN('A créer'!D29)=0),"",'A créer'!I29)</f>
        <v/>
      </c>
      <c r="D29" s="2" t="str">
        <f>IF(OR('A créer'!D29="Oui",LEN('A créer'!D29)=0),"","Tab")</f>
        <v/>
      </c>
      <c r="E29" s="7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7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7" t="str">
        <f>IF(OR('A créer'!D29="Oui",LEN('A créer'!D29)=0),"",'A créer'!K29)</f>
        <v/>
      </c>
      <c r="M29" s="7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7" t="str">
        <f>IF(LEN('A créer'!D29)=0,"",CONCATENATE('A créer'!B29,'A créer'!A29))</f>
        <v/>
      </c>
      <c r="T29" s="2" t="s">
        <v>4</v>
      </c>
      <c r="U29" s="7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7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7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7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7" t="str">
        <f>IF(OR('A créer'!D30="Oui",LEN('A créer'!D30)=0),"",'A créer'!I30)</f>
        <v/>
      </c>
      <c r="D30" s="2" t="str">
        <f>IF(OR('A créer'!D30="Oui",LEN('A créer'!D30)=0),"","Tab")</f>
        <v/>
      </c>
      <c r="E30" s="7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7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7" t="str">
        <f>IF(OR('A créer'!D30="Oui",LEN('A créer'!D30)=0),"",'A créer'!K30)</f>
        <v/>
      </c>
      <c r="M30" s="7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7" t="str">
        <f>IF(LEN('A créer'!D30)=0,"",CONCATENATE('A créer'!B30,'A créer'!A30))</f>
        <v/>
      </c>
      <c r="T30" s="2" t="s">
        <v>4</v>
      </c>
      <c r="U30" s="7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7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7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7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Split"/>
      <selection pane="bottomLeft" activeCell="G14" sqref="G14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0443</v>
      </c>
      <c r="D2" s="2" t="str">
        <f>IF(LEN('A créer'!C2)=0,"","Tab")</f>
        <v>Tab</v>
      </c>
      <c r="E2" t="str">
        <f>IF(LEN('A créer'!C2)=0,"",'A créer'!B2)</f>
        <v>DOS</v>
      </c>
      <c r="F2" s="2" t="str">
        <f>IF(LEN('A créer'!C2)=0,"","Tab")</f>
        <v>Tab</v>
      </c>
      <c r="G2" t="str">
        <f>IF(LEN('A créer'!C2)=0,"",'A créer'!G2)</f>
        <v>YS2014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0444</v>
      </c>
      <c r="D3" s="2" t="str">
        <f>IF(LEN('A créer'!C3)=0,"","Tab")</f>
        <v>Tab</v>
      </c>
      <c r="E3" t="str">
        <f>IF(LEN('A créer'!C3)=0,"",'A créer'!B3)</f>
        <v>DOS</v>
      </c>
      <c r="F3" s="2" t="str">
        <f>IF(LEN('A créer'!C3)=0,"","Tab")</f>
        <v>Tab</v>
      </c>
      <c r="G3" t="str">
        <f>IF(LEN('A créer'!C3)=0,"",'A créer'!G3)</f>
        <v>YS2015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2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0446</v>
      </c>
      <c r="D4" s="2" t="str">
        <f>IF(LEN('A créer'!C4)=0,"","Tab")</f>
        <v>Tab</v>
      </c>
      <c r="E4" t="str">
        <f>IF(LEN('A créer'!C4)=0,"",'A créer'!B4)</f>
        <v>DOS</v>
      </c>
      <c r="F4" s="2" t="str">
        <f>IF(LEN('A créer'!C4)=0,"","Tab")</f>
        <v>Tab</v>
      </c>
      <c r="G4" t="str">
        <f>IF(LEN('A créer'!C4)=0,"",'A créer'!G4)</f>
        <v>YS2016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25">
      <c r="A5" s="2" t="str">
        <f>IF(LEN('A créer'!C5)=0,"","*FN")</f>
        <v>*FN</v>
      </c>
      <c r="B5" s="2" t="str">
        <f>IF(LEN('A créer'!A5)=0,"","Tab")</f>
        <v>Tab</v>
      </c>
      <c r="C5" t="str">
        <f>IF(LEN('A créer'!C5)=0,"",'A créer'!A5)</f>
        <v>0449</v>
      </c>
      <c r="D5" s="2" t="str">
        <f>IF(LEN('A créer'!C5)=0,"","Tab")</f>
        <v>Tab</v>
      </c>
      <c r="E5" t="str">
        <f>IF(LEN('A créer'!C5)=0,"",'A créer'!B5)</f>
        <v>DOS</v>
      </c>
      <c r="F5" s="2" t="str">
        <f>IF(LEN('A créer'!C5)=0,"","Tab")</f>
        <v>Tab</v>
      </c>
      <c r="G5" t="str">
        <f>IF(LEN('A créer'!C5)=0,"",'A créer'!G5)</f>
        <v>YS2017</v>
      </c>
      <c r="H5" s="2" t="str">
        <f>IF(LEN('A créer'!C5)=0,"","Tab")</f>
        <v>Tab</v>
      </c>
      <c r="I5" s="2" t="str">
        <f>IF(LEN('A créer'!C5)=0,"","*SAVE")</f>
        <v>*SAVE</v>
      </c>
    </row>
    <row r="6" spans="1:9" x14ac:dyDescent="0.2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0450</v>
      </c>
      <c r="D6" s="2" t="str">
        <f>IF(LEN('A créer'!C6)=0,"","Tab")</f>
        <v>Tab</v>
      </c>
      <c r="E6" t="str">
        <f>IF(LEN('A créer'!C6)=0,"",'A créer'!B6)</f>
        <v>DOS</v>
      </c>
      <c r="F6" s="2" t="str">
        <f>IF(LEN('A créer'!C6)=0,"","Tab")</f>
        <v>Tab</v>
      </c>
      <c r="G6" t="str">
        <f>IF(LEN('A créer'!C6)=0,"",'A créer'!G6)</f>
        <v>YS2018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2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0454</v>
      </c>
      <c r="D7" s="2" t="str">
        <f>IF(LEN('A créer'!C7)=0,"","Tab")</f>
        <v>Tab</v>
      </c>
      <c r="E7" t="str">
        <f>IF(LEN('A créer'!C7)=0,"",'A créer'!B7)</f>
        <v>DOS</v>
      </c>
      <c r="F7" s="2" t="str">
        <f>IF(LEN('A créer'!C7)=0,"","Tab")</f>
        <v>Tab</v>
      </c>
      <c r="G7" t="str">
        <f>IF(LEN('A créer'!C7)=0,"",'A créer'!G7)</f>
        <v>YS2020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25">
      <c r="A8" s="2" t="str">
        <f>IF(LEN('A créer'!C8)=0,"","*FN")</f>
        <v>*FN</v>
      </c>
      <c r="B8" s="2" t="str">
        <f>IF(LEN('A créer'!A8)=0,"","Tab")</f>
        <v>Tab</v>
      </c>
      <c r="C8" t="str">
        <f>IF(LEN('A créer'!C8)=0,"",'A créer'!A8)</f>
        <v>0455</v>
      </c>
      <c r="D8" s="2" t="str">
        <f>IF(LEN('A créer'!C8)=0,"","Tab")</f>
        <v>Tab</v>
      </c>
      <c r="E8" t="str">
        <f>IF(LEN('A créer'!C8)=0,"",'A créer'!B8)</f>
        <v>DOS</v>
      </c>
      <c r="F8" s="2" t="str">
        <f>IF(LEN('A créer'!C8)=0,"","Tab")</f>
        <v>Tab</v>
      </c>
      <c r="G8" t="str">
        <f>IF(LEN('A créer'!C8)=0,"",'A créer'!G8)</f>
        <v>YS2021</v>
      </c>
      <c r="H8" s="2" t="str">
        <f>IF(LEN('A créer'!C8)=0,"","Tab")</f>
        <v>Tab</v>
      </c>
      <c r="I8" s="2" t="str">
        <f>IF(LEN('A créer'!C8)=0,"","*SAVE")</f>
        <v>*SAVE</v>
      </c>
    </row>
    <row r="9" spans="1:9" x14ac:dyDescent="0.25">
      <c r="A9" s="2" t="str">
        <f>IF(LEN('A créer'!C9)=0,"","*FN")</f>
        <v>*FN</v>
      </c>
      <c r="B9" s="2" t="str">
        <f>IF(LEN('A créer'!A9)=0,"","Tab")</f>
        <v>Tab</v>
      </c>
      <c r="C9" t="str">
        <f>IF(LEN('A créer'!C9)=0,"",'A créer'!A9)</f>
        <v>0456</v>
      </c>
      <c r="D9" s="2" t="str">
        <f>IF(LEN('A créer'!C9)=0,"","Tab")</f>
        <v>Tab</v>
      </c>
      <c r="E9" t="str">
        <f>IF(LEN('A créer'!C9)=0,"",'A créer'!B9)</f>
        <v>DOS</v>
      </c>
      <c r="F9" s="2" t="str">
        <f>IF(LEN('A créer'!C9)=0,"","Tab")</f>
        <v>Tab</v>
      </c>
      <c r="G9" t="str">
        <f>IF(LEN('A créer'!C9)=0,"",'A créer'!G9)</f>
        <v>YS2022</v>
      </c>
      <c r="H9" s="2" t="str">
        <f>IF(LEN('A créer'!C9)=0,"","Tab")</f>
        <v>Tab</v>
      </c>
      <c r="I9" s="2" t="str">
        <f>IF(LEN('A créer'!C9)=0,"","*SAVE")</f>
        <v>*SAVE</v>
      </c>
    </row>
    <row r="10" spans="1:9" x14ac:dyDescent="0.25">
      <c r="A10" s="2" t="str">
        <f>IF(LEN('A créer'!C10)=0,"","*FN")</f>
        <v>*FN</v>
      </c>
      <c r="B10" s="2" t="str">
        <f>IF(LEN('A créer'!A10)=0,"","Tab")</f>
        <v>Tab</v>
      </c>
      <c r="C10" t="str">
        <f>IF(LEN('A créer'!C10)=0,"",'A créer'!A10)</f>
        <v>0453</v>
      </c>
      <c r="D10" s="2" t="str">
        <f>IF(LEN('A créer'!C10)=0,"","Tab")</f>
        <v>Tab</v>
      </c>
      <c r="E10" t="str">
        <f>IF(LEN('A créer'!C10)=0,"",'A créer'!B10)</f>
        <v>DRW</v>
      </c>
      <c r="F10" s="2" t="str">
        <f>IF(LEN('A créer'!C10)=0,"","Tab")</f>
        <v>Tab</v>
      </c>
      <c r="G10" t="str">
        <f>IF(LEN('A créer'!C10)=0,"",'A créer'!G10)</f>
        <v>S2019</v>
      </c>
      <c r="H10" s="2" t="str">
        <f>IF(LEN('A créer'!C10)=0,"","Tab")</f>
        <v>Tab</v>
      </c>
      <c r="I10" s="2" t="str">
        <f>IF(LEN('A créer'!C10)=0,"","*SAVE")</f>
        <v>*SAVE</v>
      </c>
    </row>
    <row r="11" spans="1:9" x14ac:dyDescent="0.25">
      <c r="A11" s="2" t="str">
        <f>IF(LEN('A créer'!C11)=0,"","*FN")</f>
        <v>*FN</v>
      </c>
      <c r="B11" s="2" t="str">
        <f>IF(LEN('A créer'!A11)=0,"","Tab")</f>
        <v>Tab</v>
      </c>
      <c r="C11" t="str">
        <f>IF(LEN('A créer'!C11)=0,"",'A créer'!A11)</f>
        <v>0457</v>
      </c>
      <c r="D11" s="2" t="str">
        <f>IF(LEN('A créer'!C11)=0,"","Tab")</f>
        <v>Tab</v>
      </c>
      <c r="E11" t="str">
        <f>IF(LEN('A créer'!C11)=0,"",'A créer'!B11)</f>
        <v>DOS</v>
      </c>
      <c r="F11" s="2" t="str">
        <f>IF(LEN('A créer'!C11)=0,"","Tab")</f>
        <v>Tab</v>
      </c>
      <c r="G11" t="str">
        <f>IF(LEN('A créer'!C11)=0,"",'A créer'!G11)</f>
        <v>S2023</v>
      </c>
      <c r="H11" s="2" t="str">
        <f>IF(LEN('A créer'!C11)=0,"","Tab")</f>
        <v>Tab</v>
      </c>
      <c r="I11" s="2" t="str">
        <f>IF(LEN('A créer'!C11)=0,"","*SAVE")</f>
        <v>*SAVE</v>
      </c>
    </row>
    <row r="12" spans="1:9" x14ac:dyDescent="0.25">
      <c r="A12" s="2" t="str">
        <f>IF(LEN('A créer'!C12)=0,"","*FN")</f>
        <v>*FN</v>
      </c>
      <c r="B12" s="2" t="str">
        <f>IF(LEN('A créer'!A12)=0,"","Tab")</f>
        <v>Tab</v>
      </c>
      <c r="C12" t="str">
        <f>IF(LEN('A créer'!C12)=0,"",'A créer'!A12)</f>
        <v>0473</v>
      </c>
      <c r="D12" s="2" t="str">
        <f>IF(LEN('A créer'!C12)=0,"","Tab")</f>
        <v>Tab</v>
      </c>
      <c r="E12" t="str">
        <f>IF(LEN('A créer'!C12)=0,"",'A créer'!B12)</f>
        <v>DOS</v>
      </c>
      <c r="F12" s="2" t="str">
        <f>IF(LEN('A créer'!C12)=0,"","Tab")</f>
        <v>Tab</v>
      </c>
      <c r="G12" t="str">
        <f>IF(LEN('A créer'!C12)=0,"",'A créer'!G12)</f>
        <v>SD031IGD</v>
      </c>
      <c r="H12" s="2" t="str">
        <f>IF(LEN('A créer'!C12)=0,"","Tab")</f>
        <v>Tab</v>
      </c>
      <c r="I12" s="2" t="str">
        <f>IF(LEN('A créer'!C12)=0,"","*SAVE")</f>
        <v>*SAVE</v>
      </c>
    </row>
    <row r="13" spans="1:9" x14ac:dyDescent="0.25">
      <c r="A13" s="2" t="str">
        <f>IF(LEN('A créer'!C13)=0,"","*FN")</f>
        <v>*FN</v>
      </c>
      <c r="B13" s="2" t="str">
        <f>IF(LEN('A créer'!A13)=0,"","Tab")</f>
        <v>Tab</v>
      </c>
      <c r="C13" t="str">
        <f>IF(LEN('A créer'!C13)=0,"",'A créer'!A13)</f>
        <v>0474</v>
      </c>
      <c r="D13" s="2" t="str">
        <f>IF(LEN('A créer'!C13)=0,"","Tab")</f>
        <v>Tab</v>
      </c>
      <c r="E13" t="str">
        <f>IF(LEN('A créer'!C13)=0,"",'A créer'!B13)</f>
        <v>DMS</v>
      </c>
      <c r="F13" s="2" t="str">
        <f>IF(LEN('A créer'!C13)=0,"","Tab")</f>
        <v>Tab</v>
      </c>
      <c r="G13" t="str">
        <f>IF(LEN('A créer'!C13)=0,"",'A créer'!G13)</f>
        <v>SD442</v>
      </c>
      <c r="H13" s="2" t="str">
        <f>IF(LEN('A créer'!C13)=0,"","Tab")</f>
        <v>Tab</v>
      </c>
      <c r="I13" s="2" t="str">
        <f>IF(LEN('A créer'!C13)=0,"","*SAVE")</f>
        <v>*SAVE</v>
      </c>
    </row>
    <row r="14" spans="1:9" x14ac:dyDescent="0.25">
      <c r="A14" s="2" t="str">
        <f>IF(LEN('A créer'!C14)=0,"","*FN")</f>
        <v>*FN</v>
      </c>
      <c r="B14" s="2" t="str">
        <f>IF(LEN('A créer'!A14)=0,"","Tab")</f>
        <v>Tab</v>
      </c>
      <c r="C14" t="str">
        <f>IF(LEN('A créer'!C14)=0,"",'A créer'!A14)</f>
        <v>0470</v>
      </c>
      <c r="D14" s="2" t="str">
        <f>IF(LEN('A créer'!C14)=0,"","Tab")</f>
        <v>Tab</v>
      </c>
      <c r="E14" t="str">
        <f>IF(LEN('A créer'!C14)=0,"",'A créer'!B14)</f>
        <v>DNA</v>
      </c>
      <c r="F14" s="2" t="str">
        <f>IF(LEN('A créer'!C14)=0,"","Tab")</f>
        <v>Tab</v>
      </c>
      <c r="G14" t="str">
        <f>IF(LEN('A créer'!C14)=0,"",'A créer'!G14)</f>
        <v>S0150</v>
      </c>
      <c r="H14" s="2" t="str">
        <f>IF(LEN('A créer'!C14)=0,"","Tab")</f>
        <v>Tab</v>
      </c>
      <c r="I14" s="2" t="str">
        <f>IF(LEN('A créer'!C14)=0,"","*SAVE")</f>
        <v>*SAVE</v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J10" sqref="J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513516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513517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2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513518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25">
      <c r="A5" s="2" t="str">
        <f>IF(LEN('A créer'!C5)=0,"","*FN")</f>
        <v>*FN</v>
      </c>
      <c r="B5" s="2" t="str">
        <f>IF(LEN('A créer'!A5)=0,"","Tab")</f>
        <v>Tab</v>
      </c>
      <c r="C5">
        <f>IF(LEN('A créer'!P5)=0,"",'A créer'!P5)</f>
        <v>513519</v>
      </c>
      <c r="D5" s="2" t="str">
        <f>IF(LEN('A créer'!C5)=0,"","Tab")</f>
        <v>Tab</v>
      </c>
      <c r="E5" t="str">
        <f>IF(LEN('A créer'!P5)=0,"","17060")</f>
        <v>17060</v>
      </c>
      <c r="F5" s="2" t="str">
        <f>IF(LEN('A créer'!C5)=0,"","Tab")</f>
        <v>Tab</v>
      </c>
      <c r="G5" t="str">
        <f>IF(LEN('A créer'!P5)=0,"","01/01/2002")</f>
        <v>01/01/2002</v>
      </c>
      <c r="H5" s="2" t="str">
        <f>IF(LEN('A créer'!C5)=0,"","*SAVE")</f>
        <v>*SAVE</v>
      </c>
    </row>
    <row r="6" spans="1:8" x14ac:dyDescent="0.2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513520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2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513521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25">
      <c r="A8" s="2" t="str">
        <f>IF(LEN('A créer'!C8)=0,"","*FN")</f>
        <v>*FN</v>
      </c>
      <c r="B8" s="2" t="str">
        <f>IF(LEN('A créer'!A8)=0,"","Tab")</f>
        <v>Tab</v>
      </c>
      <c r="C8">
        <f>IF(LEN('A créer'!P8)=0,"",'A créer'!P8)</f>
        <v>513522</v>
      </c>
      <c r="D8" s="2" t="str">
        <f>IF(LEN('A créer'!C8)=0,"","Tab")</f>
        <v>Tab</v>
      </c>
      <c r="E8" t="str">
        <f>IF(LEN('A créer'!P8)=0,"","17060")</f>
        <v>17060</v>
      </c>
      <c r="F8" s="2" t="str">
        <f>IF(LEN('A créer'!C8)=0,"","Tab")</f>
        <v>Tab</v>
      </c>
      <c r="G8" t="str">
        <f>IF(LEN('A créer'!P8)=0,"","01/01/2002")</f>
        <v>01/01/2002</v>
      </c>
      <c r="H8" s="2" t="str">
        <f>IF(LEN('A créer'!C8)=0,"","*SAVE")</f>
        <v>*SAVE</v>
      </c>
    </row>
    <row r="9" spans="1:8" x14ac:dyDescent="0.25">
      <c r="A9" s="2" t="str">
        <f>IF(LEN('A créer'!C9)=0,"","*FN")</f>
        <v>*FN</v>
      </c>
      <c r="B9" s="2" t="str">
        <f>IF(LEN('A créer'!A9)=0,"","Tab")</f>
        <v>Tab</v>
      </c>
      <c r="C9">
        <f>IF(LEN('A créer'!P9)=0,"",'A créer'!P9)</f>
        <v>513523</v>
      </c>
      <c r="D9" s="2" t="str">
        <f>IF(LEN('A créer'!C9)=0,"","Tab")</f>
        <v>Tab</v>
      </c>
      <c r="E9" t="str">
        <f>IF(LEN('A créer'!P9)=0,"","17060")</f>
        <v>17060</v>
      </c>
      <c r="F9" s="2" t="str">
        <f>IF(LEN('A créer'!C9)=0,"","Tab")</f>
        <v>Tab</v>
      </c>
      <c r="G9" t="str">
        <f>IF(LEN('A créer'!P9)=0,"","01/01/2002")</f>
        <v>01/01/2002</v>
      </c>
      <c r="H9" s="2" t="str">
        <f>IF(LEN('A créer'!C9)=0,"","*SAVE")</f>
        <v>*SAVE</v>
      </c>
    </row>
    <row r="10" spans="1:8" x14ac:dyDescent="0.25">
      <c r="A10" s="2" t="str">
        <f>IF(LEN('A créer'!C10)=0,"","*FN")</f>
        <v>*FN</v>
      </c>
      <c r="B10" s="2" t="str">
        <f>IF(LEN('A créer'!A10)=0,"","Tab")</f>
        <v>Tab</v>
      </c>
      <c r="C10">
        <f>IF(LEN('A créer'!P10)=0,"",'A créer'!P10)</f>
        <v>513514</v>
      </c>
      <c r="D10" s="2" t="str">
        <f>IF(LEN('A créer'!C10)=0,"","Tab")</f>
        <v>Tab</v>
      </c>
      <c r="E10" t="str">
        <f>IF(LEN('A créer'!P10)=0,"","17060")</f>
        <v>17060</v>
      </c>
      <c r="F10" s="2" t="str">
        <f>IF(LEN('A créer'!C10)=0,"","Tab")</f>
        <v>Tab</v>
      </c>
      <c r="G10" t="str">
        <f>IF(LEN('A créer'!P10)=0,"","01/01/2002")</f>
        <v>01/01/2002</v>
      </c>
      <c r="H10" s="2" t="str">
        <f>IF(LEN('A créer'!C10)=0,"","*SAVE")</f>
        <v>*SAVE</v>
      </c>
    </row>
    <row r="11" spans="1:8" x14ac:dyDescent="0.25">
      <c r="A11" s="2" t="str">
        <f>IF(LEN('A créer'!C11)=0,"","*FN")</f>
        <v>*FN</v>
      </c>
      <c r="B11" s="2" t="str">
        <f>IF(LEN('A créer'!A11)=0,"","Tab")</f>
        <v>Tab</v>
      </c>
      <c r="C11">
        <f>IF(LEN('A créer'!P11)=0,"",'A créer'!P11)</f>
        <v>513515</v>
      </c>
      <c r="D11" s="2" t="str">
        <f>IF(LEN('A créer'!C11)=0,"","Tab")</f>
        <v>Tab</v>
      </c>
      <c r="E11" t="str">
        <f>IF(LEN('A créer'!P11)=0,"","17060")</f>
        <v>17060</v>
      </c>
      <c r="F11" s="2" t="str">
        <f>IF(LEN('A créer'!C11)=0,"","Tab")</f>
        <v>Tab</v>
      </c>
      <c r="G11" t="str">
        <f>IF(LEN('A créer'!P11)=0,"","01/01/2002")</f>
        <v>01/01/2002</v>
      </c>
      <c r="H11" s="2" t="str">
        <f>IF(LEN('A créer'!C11)=0,"","*SAVE")</f>
        <v>*SAVE</v>
      </c>
    </row>
    <row r="12" spans="1:8" x14ac:dyDescent="0.25">
      <c r="A12" s="2" t="str">
        <f>IF(LEN('A créer'!C12)=0,"","*FN")</f>
        <v>*FN</v>
      </c>
      <c r="B12" s="2" t="str">
        <f>IF(LEN('A créer'!A12)=0,"","Tab")</f>
        <v>Tab</v>
      </c>
      <c r="C12">
        <f>IF(LEN('A créer'!P12)=0,"",'A créer'!P12)</f>
        <v>513524</v>
      </c>
      <c r="D12" s="2" t="str">
        <f>IF(LEN('A créer'!C12)=0,"","Tab")</f>
        <v>Tab</v>
      </c>
      <c r="E12" t="str">
        <f>IF(LEN('A créer'!P12)=0,"","17060")</f>
        <v>17060</v>
      </c>
      <c r="F12" s="2" t="str">
        <f>IF(LEN('A créer'!C12)=0,"","Tab")</f>
        <v>Tab</v>
      </c>
      <c r="G12" t="str">
        <f>IF(LEN('A créer'!P12)=0,"","01/01/2002")</f>
        <v>01/01/2002</v>
      </c>
      <c r="H12" s="2" t="str">
        <f>IF(LEN('A créer'!C12)=0,"","*SAVE")</f>
        <v>*SAVE</v>
      </c>
    </row>
    <row r="13" spans="1:8" x14ac:dyDescent="0.25">
      <c r="A13" s="2" t="str">
        <f>IF(LEN('A créer'!C13)=0,"","*FN")</f>
        <v>*FN</v>
      </c>
      <c r="B13" s="2" t="str">
        <f>IF(LEN('A créer'!A13)=0,"","Tab")</f>
        <v>Tab</v>
      </c>
      <c r="C13">
        <f>IF(LEN('A créer'!P13)=0,"",'A créer'!P13)</f>
        <v>513525</v>
      </c>
      <c r="D13" s="2" t="str">
        <f>IF(LEN('A créer'!C13)=0,"","Tab")</f>
        <v>Tab</v>
      </c>
      <c r="E13" t="str">
        <f>IF(LEN('A créer'!P13)=0,"","17060")</f>
        <v>17060</v>
      </c>
      <c r="F13" s="2" t="str">
        <f>IF(LEN('A créer'!C13)=0,"","Tab")</f>
        <v>Tab</v>
      </c>
      <c r="G13" t="str">
        <f>IF(LEN('A créer'!P13)=0,"","01/01/2002")</f>
        <v>01/01/2002</v>
      </c>
      <c r="H13" s="2" t="str">
        <f>IF(LEN('A créer'!C13)=0,"","*SAVE")</f>
        <v>*SAVE</v>
      </c>
    </row>
    <row r="14" spans="1:8" x14ac:dyDescent="0.25">
      <c r="A14" s="2" t="str">
        <f>IF(LEN('A créer'!C14)=0,"","*FN")</f>
        <v>*FN</v>
      </c>
      <c r="B14" s="2" t="str">
        <f>IF(LEN('A créer'!A14)=0,"","Tab")</f>
        <v>Tab</v>
      </c>
      <c r="C14" t="str">
        <f>IF(LEN('A créer'!P14)=0,"",'A créer'!P14)</f>
        <v/>
      </c>
      <c r="D14" s="2" t="str">
        <f>IF(LEN('A créer'!C14)=0,"","Tab")</f>
        <v>Tab</v>
      </c>
      <c r="E14" t="str">
        <f>IF(LEN('A créer'!P14)=0,"","17060")</f>
        <v/>
      </c>
      <c r="F14" s="2" t="str">
        <f>IF(LEN('A créer'!C14)=0,"","Tab")</f>
        <v>Tab</v>
      </c>
      <c r="G14" t="str">
        <f>IF(LEN('A créer'!P14)=0,"","01/01/2002")</f>
        <v/>
      </c>
      <c r="H14" s="2" t="str">
        <f>IF(LEN('A créer'!C14)=0,"","*SAVE")</f>
        <v>*SAVE</v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7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7" t="str">
        <f>CONCATENATE('A créer'!B2,'A créer'!A2)</f>
        <v>DOS0443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>TAB</v>
      </c>
      <c r="B3" s="7" t="str">
        <f>CONCATENATE('A créer'!B3,'A créer'!A3)</f>
        <v>DOS0444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25">
      <c r="A4" s="2" t="str">
        <f>IF(LEN('A créer'!$C4)=0,"","TAB")</f>
        <v>TAB</v>
      </c>
      <c r="B4" s="7" t="str">
        <f>CONCATENATE('A créer'!B4,'A créer'!A4)</f>
        <v>DOS0446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25">
      <c r="A5" s="2" t="str">
        <f>IF(LEN('A créer'!$C5)=0,"","TAB")</f>
        <v>TAB</v>
      </c>
      <c r="B5" s="7" t="str">
        <f>CONCATENATE('A créer'!B5,'A créer'!A5)</f>
        <v>DOS0449</v>
      </c>
      <c r="C5" s="2" t="str">
        <f>IF(LEN('A créer'!$C5)=0,"","TAB")</f>
        <v>TAB</v>
      </c>
      <c r="D5" s="2" t="str">
        <f>IF(LEN('A créer'!$C5)=0,"","ENT")</f>
        <v>ENT</v>
      </c>
      <c r="E5" s="2" t="str">
        <f>IF(LEN('A créer'!$C5)=0,"","TAB")</f>
        <v>TAB</v>
      </c>
      <c r="F5" s="2" t="str">
        <f>IF(LEN('A créer'!$C5)=0,"","TAB")</f>
        <v>TAB</v>
      </c>
      <c r="G5" s="2" t="str">
        <f>IF(LEN('A créer'!$C5)=0,"","ENT")</f>
        <v>ENT</v>
      </c>
      <c r="H5" s="2" t="str">
        <f>IF(LEN('A créer'!$C5)=0,"","ENT")</f>
        <v>ENT</v>
      </c>
    </row>
    <row r="6" spans="1:8" x14ac:dyDescent="0.25">
      <c r="A6" s="2" t="str">
        <f>IF(LEN('A créer'!$C6)=0,"","TAB")</f>
        <v>TAB</v>
      </c>
      <c r="B6" s="7" t="str">
        <f>CONCATENATE('A créer'!B6,'A créer'!A6)</f>
        <v>DOS0450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25">
      <c r="A7" s="2" t="str">
        <f>IF(LEN('A créer'!$C7)=0,"","TAB")</f>
        <v>TAB</v>
      </c>
      <c r="B7" s="7" t="str">
        <f>CONCATENATE('A créer'!B7,'A créer'!A7)</f>
        <v>DOS0454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25">
      <c r="A8" s="2" t="str">
        <f>IF(LEN('A créer'!$C8)=0,"","TAB")</f>
        <v>TAB</v>
      </c>
      <c r="B8" s="7" t="str">
        <f>CONCATENATE('A créer'!B8,'A créer'!A8)</f>
        <v>DOS0455</v>
      </c>
      <c r="C8" s="2" t="str">
        <f>IF(LEN('A créer'!$C8)=0,"","TAB")</f>
        <v>TAB</v>
      </c>
      <c r="D8" s="2" t="str">
        <f>IF(LEN('A créer'!$C8)=0,"","ENT")</f>
        <v>ENT</v>
      </c>
      <c r="E8" s="2" t="str">
        <f>IF(LEN('A créer'!$C8)=0,"","TAB")</f>
        <v>TAB</v>
      </c>
      <c r="F8" s="2" t="str">
        <f>IF(LEN('A créer'!$C8)=0,"","TAB")</f>
        <v>TAB</v>
      </c>
      <c r="G8" s="2" t="str">
        <f>IF(LEN('A créer'!$C8)=0,"","ENT")</f>
        <v>ENT</v>
      </c>
      <c r="H8" s="2" t="str">
        <f>IF(LEN('A créer'!$C8)=0,"","ENT")</f>
        <v>ENT</v>
      </c>
    </row>
    <row r="9" spans="1:8" x14ac:dyDescent="0.25">
      <c r="A9" s="2" t="str">
        <f>IF(LEN('A créer'!$C9)=0,"","TAB")</f>
        <v>TAB</v>
      </c>
      <c r="B9" s="7" t="str">
        <f>CONCATENATE('A créer'!B9,'A créer'!A9)</f>
        <v>DOS0456</v>
      </c>
      <c r="C9" s="2" t="str">
        <f>IF(LEN('A créer'!$C9)=0,"","TAB")</f>
        <v>TAB</v>
      </c>
      <c r="D9" s="2" t="str">
        <f>IF(LEN('A créer'!$C9)=0,"","ENT")</f>
        <v>ENT</v>
      </c>
      <c r="E9" s="2" t="str">
        <f>IF(LEN('A créer'!$C9)=0,"","TAB")</f>
        <v>TAB</v>
      </c>
      <c r="F9" s="2" t="str">
        <f>IF(LEN('A créer'!$C9)=0,"","TAB")</f>
        <v>TAB</v>
      </c>
      <c r="G9" s="2" t="str">
        <f>IF(LEN('A créer'!$C9)=0,"","ENT")</f>
        <v>ENT</v>
      </c>
      <c r="H9" s="2" t="str">
        <f>IF(LEN('A créer'!$C9)=0,"","ENT")</f>
        <v>ENT</v>
      </c>
    </row>
    <row r="10" spans="1:8" x14ac:dyDescent="0.25">
      <c r="A10" s="2" t="str">
        <f>IF(LEN('A créer'!$C10)=0,"","TAB")</f>
        <v>TAB</v>
      </c>
      <c r="B10" s="7" t="str">
        <f>CONCATENATE('A créer'!B10,'A créer'!A10)</f>
        <v>DRW0453</v>
      </c>
      <c r="C10" s="2" t="str">
        <f>IF(LEN('A créer'!$C10)=0,"","TAB")</f>
        <v>TAB</v>
      </c>
      <c r="D10" s="2" t="str">
        <f>IF(LEN('A créer'!$C10)=0,"","ENT")</f>
        <v>ENT</v>
      </c>
      <c r="E10" s="2" t="str">
        <f>IF(LEN('A créer'!$C10)=0,"","TAB")</f>
        <v>TAB</v>
      </c>
      <c r="F10" s="2" t="str">
        <f>IF(LEN('A créer'!$C10)=0,"","TAB")</f>
        <v>TAB</v>
      </c>
      <c r="G10" s="2" t="str">
        <f>IF(LEN('A créer'!$C10)=0,"","ENT")</f>
        <v>ENT</v>
      </c>
      <c r="H10" s="2" t="str">
        <f>IF(LEN('A créer'!$C10)=0,"","ENT")</f>
        <v>ENT</v>
      </c>
    </row>
    <row r="11" spans="1:8" x14ac:dyDescent="0.25">
      <c r="A11" s="2" t="str">
        <f>IF(LEN('A créer'!$C11)=0,"","TAB")</f>
        <v>TAB</v>
      </c>
      <c r="B11" s="7" t="str">
        <f>CONCATENATE('A créer'!B11,'A créer'!A11)</f>
        <v>DOS0457</v>
      </c>
      <c r="C11" s="2" t="str">
        <f>IF(LEN('A créer'!$C11)=0,"","TAB")</f>
        <v>TAB</v>
      </c>
      <c r="D11" s="2" t="str">
        <f>IF(LEN('A créer'!$C11)=0,"","ENT")</f>
        <v>ENT</v>
      </c>
      <c r="E11" s="2" t="str">
        <f>IF(LEN('A créer'!$C11)=0,"","TAB")</f>
        <v>TAB</v>
      </c>
      <c r="F11" s="2" t="str">
        <f>IF(LEN('A créer'!$C11)=0,"","TAB")</f>
        <v>TAB</v>
      </c>
      <c r="G11" s="2" t="str">
        <f>IF(LEN('A créer'!$C11)=0,"","ENT")</f>
        <v>ENT</v>
      </c>
      <c r="H11" s="2" t="str">
        <f>IF(LEN('A créer'!$C11)=0,"","ENT")</f>
        <v>ENT</v>
      </c>
    </row>
    <row r="12" spans="1:8" x14ac:dyDescent="0.25">
      <c r="A12" s="2" t="str">
        <f>IF(LEN('A créer'!$C12)=0,"","TAB")</f>
        <v>TAB</v>
      </c>
      <c r="B12" s="7" t="str">
        <f>CONCATENATE('A créer'!B12,'A créer'!A12)</f>
        <v>DOS0473</v>
      </c>
      <c r="C12" s="2" t="str">
        <f>IF(LEN('A créer'!$C12)=0,"","TAB")</f>
        <v>TAB</v>
      </c>
      <c r="D12" s="2" t="str">
        <f>IF(LEN('A créer'!$C12)=0,"","ENT")</f>
        <v>ENT</v>
      </c>
      <c r="E12" s="2" t="str">
        <f>IF(LEN('A créer'!$C12)=0,"","TAB")</f>
        <v>TAB</v>
      </c>
      <c r="F12" s="2" t="str">
        <f>IF(LEN('A créer'!$C12)=0,"","TAB")</f>
        <v>TAB</v>
      </c>
      <c r="G12" s="2" t="str">
        <f>IF(LEN('A créer'!$C12)=0,"","ENT")</f>
        <v>ENT</v>
      </c>
      <c r="H12" s="2" t="str">
        <f>IF(LEN('A créer'!$C12)=0,"","ENT")</f>
        <v>ENT</v>
      </c>
    </row>
    <row r="13" spans="1:8" x14ac:dyDescent="0.25">
      <c r="A13" s="2" t="str">
        <f>IF(LEN('A créer'!$C13)=0,"","TAB")</f>
        <v>TAB</v>
      </c>
      <c r="B13" s="7" t="str">
        <f>CONCATENATE('A créer'!B13,'A créer'!A13)</f>
        <v>DMS0474</v>
      </c>
      <c r="C13" s="2" t="str">
        <f>IF(LEN('A créer'!$C13)=0,"","TAB")</f>
        <v>TAB</v>
      </c>
      <c r="D13" s="2" t="str">
        <f>IF(LEN('A créer'!$C13)=0,"","ENT")</f>
        <v>ENT</v>
      </c>
      <c r="E13" s="2" t="str">
        <f>IF(LEN('A créer'!$C13)=0,"","TAB")</f>
        <v>TAB</v>
      </c>
      <c r="F13" s="2" t="str">
        <f>IF(LEN('A créer'!$C13)=0,"","TAB")</f>
        <v>TAB</v>
      </c>
      <c r="G13" s="2" t="str">
        <f>IF(LEN('A créer'!$C13)=0,"","ENT")</f>
        <v>ENT</v>
      </c>
      <c r="H13" s="2" t="str">
        <f>IF(LEN('A créer'!$C13)=0,"","ENT")</f>
        <v>ENT</v>
      </c>
    </row>
    <row r="14" spans="1:8" x14ac:dyDescent="0.25">
      <c r="A14" s="2" t="str">
        <f>IF(LEN('A créer'!$C14)=0,"","TAB")</f>
        <v>TAB</v>
      </c>
      <c r="B14" s="7" t="str">
        <f>CONCATENATE('A créer'!B14,'A créer'!A14)</f>
        <v>DNA0470</v>
      </c>
      <c r="C14" s="2" t="str">
        <f>IF(LEN('A créer'!$C14)=0,"","TAB")</f>
        <v>TAB</v>
      </c>
      <c r="D14" s="2" t="str">
        <f>IF(LEN('A créer'!$C14)=0,"","ENT")</f>
        <v>ENT</v>
      </c>
      <c r="E14" s="2" t="str">
        <f>IF(LEN('A créer'!$C14)=0,"","TAB")</f>
        <v>TAB</v>
      </c>
      <c r="F14" s="2" t="str">
        <f>IF(LEN('A créer'!$C14)=0,"","TAB")</f>
        <v>TAB</v>
      </c>
      <c r="G14" s="2" t="str">
        <f>IF(LEN('A créer'!$C14)=0,"","ENT")</f>
        <v>ENT</v>
      </c>
      <c r="H14" s="2" t="str">
        <f>IF(LEN('A créer'!$C14)=0,"","ENT")</f>
        <v>ENT</v>
      </c>
    </row>
    <row r="15" spans="1:8" x14ac:dyDescent="0.25">
      <c r="A15" s="2" t="str">
        <f>IF(LEN('A créer'!$C15)=0,"","TAB")</f>
        <v/>
      </c>
      <c r="B15" s="7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7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7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7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7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7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7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7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7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7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7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7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J10" sqref="J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8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9" t="str">
        <f>CONCATENATE('A créer'!B2,'A créer'!A2)</f>
        <v>DOS0443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>*FN</v>
      </c>
      <c r="B3" s="2" t="str">
        <f>IF(LEN('A créer'!C3)=0,"","Tab")</f>
        <v>Tab</v>
      </c>
      <c r="C3" s="9" t="str">
        <f>CONCATENATE('A créer'!B3,'A créer'!A3)</f>
        <v>DOS0444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25">
      <c r="A4" s="2" t="str">
        <f>IF(LEN('A créer'!C4)=0,"","*FN")</f>
        <v>*FN</v>
      </c>
      <c r="B4" s="2" t="str">
        <f>IF(LEN('A créer'!C4)=0,"","Tab")</f>
        <v>Tab</v>
      </c>
      <c r="C4" s="9" t="str">
        <f>CONCATENATE('A créer'!B4,'A créer'!A4)</f>
        <v>DOS0446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25">
      <c r="A5" s="2" t="str">
        <f>IF(LEN('A créer'!C5)=0,"","*FN")</f>
        <v>*FN</v>
      </c>
      <c r="B5" s="2" t="str">
        <f>IF(LEN('A créer'!C5)=0,"","Tab")</f>
        <v>Tab</v>
      </c>
      <c r="C5" s="9" t="str">
        <f>CONCATENATE('A créer'!B5,'A créer'!A5)</f>
        <v>DOS0449</v>
      </c>
      <c r="D5" s="2" t="str">
        <f>IF(LEN('A créer'!C5)=0,"","Tab")</f>
        <v>Tab</v>
      </c>
      <c r="E5" s="2" t="str">
        <f>IF(LEN('A créer'!C5)=0,"","*SAVE")</f>
        <v>*SAVE</v>
      </c>
    </row>
    <row r="6" spans="1:5" x14ac:dyDescent="0.25">
      <c r="A6" s="2" t="str">
        <f>IF(LEN('A créer'!C6)=0,"","*FN")</f>
        <v>*FN</v>
      </c>
      <c r="B6" s="2" t="str">
        <f>IF(LEN('A créer'!C6)=0,"","Tab")</f>
        <v>Tab</v>
      </c>
      <c r="C6" s="9" t="str">
        <f>CONCATENATE('A créer'!B6,'A créer'!A6)</f>
        <v>DOS0450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25">
      <c r="A7" s="2" t="str">
        <f>IF(LEN('A créer'!C7)=0,"","*FN")</f>
        <v>*FN</v>
      </c>
      <c r="B7" s="2" t="str">
        <f>IF(LEN('A créer'!C7)=0,"","Tab")</f>
        <v>Tab</v>
      </c>
      <c r="C7" s="9" t="str">
        <f>CONCATENATE('A créer'!B7,'A créer'!A7)</f>
        <v>DOS0454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25">
      <c r="A8" s="2" t="str">
        <f>IF(LEN('A créer'!C8)=0,"","*FN")</f>
        <v>*FN</v>
      </c>
      <c r="B8" s="2" t="str">
        <f>IF(LEN('A créer'!C8)=0,"","Tab")</f>
        <v>Tab</v>
      </c>
      <c r="C8" s="9" t="str">
        <f>CONCATENATE('A créer'!B8,'A créer'!A8)</f>
        <v>DOS0455</v>
      </c>
      <c r="D8" s="2" t="str">
        <f>IF(LEN('A créer'!C8)=0,"","Tab")</f>
        <v>Tab</v>
      </c>
      <c r="E8" s="2" t="str">
        <f>IF(LEN('A créer'!C8)=0,"","*SAVE")</f>
        <v>*SAVE</v>
      </c>
    </row>
    <row r="9" spans="1:5" x14ac:dyDescent="0.25">
      <c r="A9" s="2" t="str">
        <f>IF(LEN('A créer'!C9)=0,"","*FN")</f>
        <v>*FN</v>
      </c>
      <c r="B9" s="2" t="str">
        <f>IF(LEN('A créer'!C9)=0,"","Tab")</f>
        <v>Tab</v>
      </c>
      <c r="C9" s="9" t="str">
        <f>CONCATENATE('A créer'!B9,'A créer'!A9)</f>
        <v>DOS0456</v>
      </c>
      <c r="D9" s="2" t="str">
        <f>IF(LEN('A créer'!C9)=0,"","Tab")</f>
        <v>Tab</v>
      </c>
      <c r="E9" s="2" t="str">
        <f>IF(LEN('A créer'!C9)=0,"","*SAVE")</f>
        <v>*SAVE</v>
      </c>
    </row>
    <row r="10" spans="1:5" x14ac:dyDescent="0.25">
      <c r="A10" s="2" t="str">
        <f>IF(LEN('A créer'!C10)=0,"","*FN")</f>
        <v>*FN</v>
      </c>
      <c r="B10" s="2" t="str">
        <f>IF(LEN('A créer'!C10)=0,"","Tab")</f>
        <v>Tab</v>
      </c>
      <c r="C10" s="9" t="str">
        <f>CONCATENATE('A créer'!B10,'A créer'!A10)</f>
        <v>DRW0453</v>
      </c>
      <c r="D10" s="2" t="str">
        <f>IF(LEN('A créer'!C10)=0,"","Tab")</f>
        <v>Tab</v>
      </c>
      <c r="E10" s="2" t="str">
        <f>IF(LEN('A créer'!C10)=0,"","*SAVE")</f>
        <v>*SAVE</v>
      </c>
    </row>
    <row r="11" spans="1:5" x14ac:dyDescent="0.25">
      <c r="A11" s="2" t="str">
        <f>IF(LEN('A créer'!C11)=0,"","*FN")</f>
        <v>*FN</v>
      </c>
      <c r="B11" s="2" t="str">
        <f>IF(LEN('A créer'!C11)=0,"","Tab")</f>
        <v>Tab</v>
      </c>
      <c r="C11" s="9" t="str">
        <f>CONCATENATE('A créer'!B11,'A créer'!A11)</f>
        <v>DOS0457</v>
      </c>
      <c r="D11" s="2" t="str">
        <f>IF(LEN('A créer'!C11)=0,"","Tab")</f>
        <v>Tab</v>
      </c>
      <c r="E11" s="2" t="str">
        <f>IF(LEN('A créer'!C11)=0,"","*SAVE")</f>
        <v>*SAVE</v>
      </c>
    </row>
    <row r="12" spans="1:5" x14ac:dyDescent="0.25">
      <c r="A12" s="2" t="str">
        <f>IF(LEN('A créer'!C12)=0,"","*FN")</f>
        <v>*FN</v>
      </c>
      <c r="B12" s="2" t="str">
        <f>IF(LEN('A créer'!C12)=0,"","Tab")</f>
        <v>Tab</v>
      </c>
      <c r="C12" s="9" t="str">
        <f>CONCATENATE('A créer'!B12,'A créer'!A12)</f>
        <v>DOS0473</v>
      </c>
      <c r="D12" s="2" t="str">
        <f>IF(LEN('A créer'!C12)=0,"","Tab")</f>
        <v>Tab</v>
      </c>
      <c r="E12" s="2" t="str">
        <f>IF(LEN('A créer'!C12)=0,"","*SAVE")</f>
        <v>*SAVE</v>
      </c>
    </row>
    <row r="13" spans="1:5" x14ac:dyDescent="0.25">
      <c r="A13" s="2" t="str">
        <f>IF(LEN('A créer'!C13)=0,"","*FN")</f>
        <v>*FN</v>
      </c>
      <c r="B13" s="2" t="str">
        <f>IF(LEN('A créer'!C13)=0,"","Tab")</f>
        <v>Tab</v>
      </c>
      <c r="C13" s="9" t="str">
        <f>CONCATENATE('A créer'!B13,'A créer'!A13)</f>
        <v>DMS0474</v>
      </c>
      <c r="D13" s="2" t="str">
        <f>IF(LEN('A créer'!C13)=0,"","Tab")</f>
        <v>Tab</v>
      </c>
      <c r="E13" s="2" t="str">
        <f>IF(LEN('A créer'!C13)=0,"","*SAVE")</f>
        <v>*SAVE</v>
      </c>
    </row>
    <row r="14" spans="1:5" x14ac:dyDescent="0.25">
      <c r="A14" s="2" t="str">
        <f>IF(LEN('A créer'!C14)=0,"","*FN")</f>
        <v>*FN</v>
      </c>
      <c r="B14" s="2" t="str">
        <f>IF(LEN('A créer'!C14)=0,"","Tab")</f>
        <v>Tab</v>
      </c>
      <c r="C14" s="9" t="str">
        <f>CONCATENATE('A créer'!B14,'A créer'!A14)</f>
        <v>DNA0470</v>
      </c>
      <c r="D14" s="2" t="str">
        <f>IF(LEN('A créer'!C14)=0,"","Tab")</f>
        <v>Tab</v>
      </c>
      <c r="E14" s="2" t="str">
        <f>IF(LEN('A créer'!C14)=0,"","*SAVE")</f>
        <v>*SAVE</v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9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9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9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9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9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9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9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9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9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9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9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9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AD2" sqref="AD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7" bestFit="1" customWidth="1"/>
    <col min="6" max="6" width="5.7109375" bestFit="1" customWidth="1"/>
    <col min="7" max="7" width="4.28515625" style="7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7" bestFit="1" customWidth="1"/>
    <col min="14" max="14" width="6.140625" bestFit="1" customWidth="1"/>
    <col min="15" max="15" width="11.5703125" style="7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1.5703125" style="7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7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7"/>
      <c r="R1" s="2" t="s">
        <v>67</v>
      </c>
      <c r="S1" s="7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7" t="s">
        <v>69</v>
      </c>
      <c r="Z1" s="2" t="s">
        <v>68</v>
      </c>
      <c r="AA1" s="7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7" t="str">
        <f>IF(AND(LEN('A créer'!$C2)=0,LEN('A créer'!$E2&gt;0)),"",CONCATENATE('A créer'!B2,'A créer'!A2))</f>
        <v>DOS0443</v>
      </c>
      <c r="C2" s="2" t="str">
        <f>IF(AND(LEN('A créer'!$C2)=0,LEN('A créer'!$E2&gt;0)),"","TAB")</f>
        <v>TAB</v>
      </c>
      <c r="D2" s="7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7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7" t="str">
        <f>IF(AND(LEN('A créer'!$C2)=0,LEN('A créer'!$E2&gt;0)),"",CONCATENATE('A créer'!B2,'A créer'!A2))</f>
        <v>DOS0443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créer'!$E2&gt;0)),"","*ML(237,126)")</f>
        <v>*ML(237,126)</v>
      </c>
      <c r="P2" s="2" t="str">
        <f>IF(OR(LEN('A créer'!$C2)=0,'A créer'!$E2="Oui"),"","*FN")</f>
        <v>*FN</v>
      </c>
      <c r="Q2" s="7" t="str">
        <f>IF(OR(LEN('A créer'!$C2)=0,'A créer'!$E2="Oui"),"",'A créer'!A2)</f>
        <v>0443</v>
      </c>
      <c r="R2" s="2" t="str">
        <f>IF(OR(LEN('A créer'!$C2)=0,'A créer'!$E2="Oui"),"","TAB")</f>
        <v>TAB</v>
      </c>
      <c r="S2" s="7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7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7" t="str">
        <f>IF(OR(LEN('A créer'!$C2)=0,'A créer'!$E2="Oui"),"",CONCATENATE('A créer'!B2,'A créer'!A2))</f>
        <v>DOS0443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créer'!$E2="Oui"),"","*ML(237,126)")</f>
        <v>*ML(237,126)</v>
      </c>
    </row>
    <row r="3" spans="1:30" x14ac:dyDescent="0.25">
      <c r="A3" s="2" t="str">
        <f>IF(AND(LEN('A créer'!$C3)=0,LEN('A créer'!$E3&gt;0)),"","*FN")</f>
        <v>*FN</v>
      </c>
      <c r="B3" s="7" t="str">
        <f>IF(AND(LEN('A créer'!$C3)=0,LEN('A créer'!$E3&gt;0)),"",CONCATENATE('A créer'!B3,'A créer'!A3))</f>
        <v>DOS0444</v>
      </c>
      <c r="C3" s="2" t="str">
        <f>IF(AND(LEN('A créer'!$C3)=0,LEN('A créer'!$E3&gt;0)),"","TAB")</f>
        <v>TAB</v>
      </c>
      <c r="D3" s="7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7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7" t="str">
        <f>IF(AND(LEN('A créer'!$C3)=0,LEN('A créer'!$E3&gt;0)),"",CONCATENATE('A créer'!B3,'A créer'!A3))</f>
        <v>DOS0444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créer'!$E3&gt;0)),"","*ML(237,126)")</f>
        <v>*ML(237,126)</v>
      </c>
      <c r="P3" s="2" t="str">
        <f>IF(OR(LEN('A créer'!$C3)=0,'A créer'!$E3="Oui"),"","*FN")</f>
        <v>*FN</v>
      </c>
      <c r="Q3" s="7" t="str">
        <f>IF(OR(LEN('A créer'!$C3)=0,'A créer'!$E3="Oui"),"",'A créer'!A3)</f>
        <v>0444</v>
      </c>
      <c r="R3" s="2" t="str">
        <f>IF(OR(LEN('A créer'!$C3)=0,'A créer'!$E3="Oui"),"","TAB")</f>
        <v>TAB</v>
      </c>
      <c r="S3" s="7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7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7" t="str">
        <f>IF(OR(LEN('A créer'!$C3)=0,'A créer'!$E3="Oui"),"",CONCATENATE('A créer'!B3,'A créer'!A3))</f>
        <v>DOS0444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créer'!$E3="Oui"),"","*ML(237,126)")</f>
        <v>*ML(237,126)</v>
      </c>
    </row>
    <row r="4" spans="1:30" x14ac:dyDescent="0.25">
      <c r="A4" s="2" t="str">
        <f>IF(AND(LEN('A créer'!$C4)=0,LEN('A créer'!$E4&gt;0)),"","*FN")</f>
        <v>*FN</v>
      </c>
      <c r="B4" s="7" t="str">
        <f>IF(AND(LEN('A créer'!$C4)=0,LEN('A créer'!$E4&gt;0)),"",CONCATENATE('A créer'!B4,'A créer'!A4))</f>
        <v>DOS0446</v>
      </c>
      <c r="C4" s="2" t="str">
        <f>IF(AND(LEN('A créer'!$C4)=0,LEN('A créer'!$E4&gt;0)),"","TAB")</f>
        <v>TAB</v>
      </c>
      <c r="D4" s="7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7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7" t="str">
        <f>IF(AND(LEN('A créer'!$C4)=0,LEN('A créer'!$E4&gt;0)),"",CONCATENATE('A créer'!B4,'A créer'!A4))</f>
        <v>DOS0446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créer'!$E4&gt;0)),"","*ML(237,126)")</f>
        <v>*ML(237,126)</v>
      </c>
      <c r="P4" s="2" t="str">
        <f>IF(OR(LEN('A créer'!$C4)=0,'A créer'!$E4="Oui"),"","*FN")</f>
        <v>*FN</v>
      </c>
      <c r="Q4" s="7" t="str">
        <f>IF(OR(LEN('A créer'!$C4)=0,'A créer'!$E4="Oui"),"",'A créer'!A4)</f>
        <v>0446</v>
      </c>
      <c r="R4" s="2" t="str">
        <f>IF(OR(LEN('A créer'!$C4)=0,'A créer'!$E4="Oui"),"","TAB")</f>
        <v>TAB</v>
      </c>
      <c r="S4" s="7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7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7" t="str">
        <f>IF(OR(LEN('A créer'!$C4)=0,'A créer'!$E4="Oui"),"",CONCATENATE('A créer'!B4,'A créer'!A4))</f>
        <v>DOS0446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créer'!$E4="Oui"),"","*ML(237,126)")</f>
        <v>*ML(237,126)</v>
      </c>
    </row>
    <row r="5" spans="1:30" x14ac:dyDescent="0.25">
      <c r="A5" s="2" t="str">
        <f>IF(AND(LEN('A créer'!$C5)=0,LEN('A créer'!$E5&gt;0)),"","*FN")</f>
        <v>*FN</v>
      </c>
      <c r="B5" s="7" t="str">
        <f>IF(AND(LEN('A créer'!$C5)=0,LEN('A créer'!$E5&gt;0)),"",CONCATENATE('A créer'!B5,'A créer'!A5))</f>
        <v>DOS0449</v>
      </c>
      <c r="C5" s="2" t="str">
        <f>IF(AND(LEN('A créer'!$C5)=0,LEN('A créer'!$E5&gt;0)),"","TAB")</f>
        <v>TAB</v>
      </c>
      <c r="D5" s="7" t="str">
        <f>IF(AND(LEN('A créer'!$C5)=0,LEN('A créer'!$E5&gt;0)),"","Setup Business Group")</f>
        <v>Setup Business Group</v>
      </c>
      <c r="E5" s="2" t="str">
        <f>IF(AND(LEN('A créer'!$C5)=0,LEN('A créer'!$E5&gt;0)),"","TAB 4")</f>
        <v>TAB 4</v>
      </c>
      <c r="F5" s="2" t="str">
        <f>IF(AND(LEN('A créer'!$C5)=0,LEN('A créer'!$E5&gt;0)),"","TAB 4")</f>
        <v>TAB 4</v>
      </c>
      <c r="G5" s="2" t="str">
        <f>IF(AND(LEN('A créer'!$C5)=0,LEN('A créer'!$E5&gt;0)),"","TAB")</f>
        <v>TAB</v>
      </c>
      <c r="H5" s="2" t="str">
        <f>IF(AND(LEN('A créer'!$C5)=0,LEN('A créer'!$E5&gt;0)),"","TAB")</f>
        <v>TAB</v>
      </c>
      <c r="I5" s="2" t="str">
        <f>IF(AND(LEN('A créer'!$C5)=0,LEN('A créer'!$E5&gt;0)),"","TAB")</f>
        <v>TAB</v>
      </c>
      <c r="J5" s="7" t="str">
        <f>IF(AND(LEN('A créer'!$C5)=0,LEN('A créer'!$E5&gt;0)),"","\Sécuriser les organisations par hiérarchie")</f>
        <v>\Sécuriser les organisations par hiérarchie</v>
      </c>
      <c r="K5" s="2" t="str">
        <f>IF(AND(LEN('A créer'!$C5)=0,LEN('A créer'!$E5&gt;0)),"","TAB 4")</f>
        <v>TAB 4</v>
      </c>
      <c r="L5" s="7" t="str">
        <f>IF(AND(LEN('A créer'!$C5)=0,LEN('A créer'!$E5&gt;0)),"",CONCATENATE('A créer'!B5,'A créer'!A5))</f>
        <v>DOS0449</v>
      </c>
      <c r="M5" s="2" t="str">
        <f>IF(AND(LEN('A créer'!$C5)=0,LEN('A créer'!$E5&gt;0)),"","TAB")</f>
        <v>TAB</v>
      </c>
      <c r="N5" s="2" t="str">
        <f>IF(AND(LEN('A créer'!$C5)=0,LEN('A créer'!$E5&gt;0)),"","*SAVE")</f>
        <v>*SAVE</v>
      </c>
      <c r="O5" s="2" t="str">
        <f>IF(AND(LEN('A créer'!$C5)=0,LEN('A créer'!$E5&gt;0)),"","*ML(237,126)")</f>
        <v>*ML(237,126)</v>
      </c>
      <c r="P5" s="2" t="str">
        <f>IF(OR(LEN('A créer'!$C5)=0,'A créer'!$E5="Oui"),"","*FN")</f>
        <v>*FN</v>
      </c>
      <c r="Q5" s="7" t="str">
        <f>IF(OR(LEN('A créer'!$C5)=0,'A créer'!$E5="Oui"),"",'A créer'!A5)</f>
        <v>0449</v>
      </c>
      <c r="R5" s="2" t="str">
        <f>IF(OR(LEN('A créer'!$C5)=0,'A créer'!$E5="Oui"),"","TAB")</f>
        <v>TAB</v>
      </c>
      <c r="S5" s="7" t="str">
        <f>IF(OR(LEN('A créer'!$C5)=0,'A créer'!$E5="Oui"),"","Setup Business Group")</f>
        <v>Setup Business Group</v>
      </c>
      <c r="T5" s="2" t="str">
        <f>IF(OR(LEN('A créer'!$C5)=0,'A créer'!$E5="Oui"),"","TAB 4")</f>
        <v>TAB 4</v>
      </c>
      <c r="U5" s="2" t="str">
        <f>IF(OR(LEN('A créer'!$C5)=0,'A créer'!$E5="Oui"),"","TAB 4")</f>
        <v>TAB 4</v>
      </c>
      <c r="V5" s="2" t="str">
        <f>IF(OR(LEN('A créer'!$C5)=0,'A créer'!$E5="Oui"),"","TAB")</f>
        <v>TAB</v>
      </c>
      <c r="W5" s="2" t="str">
        <f>IF(OR(LEN('A créer'!$C5)=0,'A créer'!$E5="Oui"),"","TAB")</f>
        <v>TAB</v>
      </c>
      <c r="X5" s="2" t="str">
        <f>IF(OR(LEN('A créer'!$C5)=0,'A créer'!$E5="Oui"),"","TAB")</f>
        <v>TAB</v>
      </c>
      <c r="Y5" s="7" t="str">
        <f>IF(OR(LEN('A créer'!$C5)=0,'A créer'!$E5="Oui"),"","\Sécuriser les organisations par hiérarchie")</f>
        <v>\Sécuriser les organisations par hiérarchie</v>
      </c>
      <c r="Z5" s="2" t="str">
        <f>IF(OR(LEN('A créer'!$C5)=0,'A créer'!$E5="Oui"),"","TAB 4")</f>
        <v>TAB 4</v>
      </c>
      <c r="AA5" s="7" t="str">
        <f>IF(OR(LEN('A créer'!$C5)=0,'A créer'!$E5="Oui"),"",CONCATENATE('A créer'!B5,'A créer'!A5))</f>
        <v>DOS0449</v>
      </c>
      <c r="AB5" s="2" t="str">
        <f>IF(OR(LEN('A créer'!$C5)=0,'A créer'!$E5="Oui"),"","TAB")</f>
        <v>TAB</v>
      </c>
      <c r="AC5" s="2" t="str">
        <f>IF(OR(LEN('A créer'!$C5)=0,'A créer'!$E5="Oui"),"","*SAVE")</f>
        <v>*SAVE</v>
      </c>
      <c r="AD5" s="2" t="str">
        <f>IF(OR(LEN('A créer'!$C5)=0,'A créer'!$E5="Oui"),"","*ML(237,126)")</f>
        <v>*ML(237,126)</v>
      </c>
    </row>
    <row r="6" spans="1:30" x14ac:dyDescent="0.25">
      <c r="A6" s="2" t="str">
        <f>IF(AND(LEN('A créer'!$C6)=0,LEN('A créer'!$E6&gt;0)),"","*FN")</f>
        <v>*FN</v>
      </c>
      <c r="B6" s="7" t="str">
        <f>IF(AND(LEN('A créer'!$C6)=0,LEN('A créer'!$E6&gt;0)),"",CONCATENATE('A créer'!B6,'A créer'!A6))</f>
        <v>DOS0450</v>
      </c>
      <c r="C6" s="2" t="str">
        <f>IF(AND(LEN('A créer'!$C6)=0,LEN('A créer'!$E6&gt;0)),"","TAB")</f>
        <v>TAB</v>
      </c>
      <c r="D6" s="7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7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7" t="str">
        <f>IF(AND(LEN('A créer'!$C6)=0,LEN('A créer'!$E6&gt;0)),"",CONCATENATE('A créer'!B6,'A créer'!A6))</f>
        <v>DOS0450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créer'!$E6&gt;0)),"","*ML(237,126)")</f>
        <v>*ML(237,126)</v>
      </c>
      <c r="P6" s="2" t="str">
        <f>IF(OR(LEN('A créer'!$C6)=0,'A créer'!$E6="Oui"),"","*FN")</f>
        <v>*FN</v>
      </c>
      <c r="Q6" s="7" t="str">
        <f>IF(OR(LEN('A créer'!$C6)=0,'A créer'!$E6="Oui"),"",'A créer'!A6)</f>
        <v>0450</v>
      </c>
      <c r="R6" s="2" t="str">
        <f>IF(OR(LEN('A créer'!$C6)=0,'A créer'!$E6="Oui"),"","TAB")</f>
        <v>TAB</v>
      </c>
      <c r="S6" s="7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7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7" t="str">
        <f>IF(OR(LEN('A créer'!$C6)=0,'A créer'!$E6="Oui"),"",CONCATENATE('A créer'!B6,'A créer'!A6))</f>
        <v>DOS0450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créer'!$E6="Oui"),"","*ML(237,126)")</f>
        <v>*ML(237,126)</v>
      </c>
    </row>
    <row r="7" spans="1:30" x14ac:dyDescent="0.25">
      <c r="A7" s="2" t="str">
        <f>IF(AND(LEN('A créer'!$C7)=0,LEN('A créer'!$E7&gt;0)),"","*FN")</f>
        <v>*FN</v>
      </c>
      <c r="B7" s="7" t="str">
        <f>IF(AND(LEN('A créer'!$C7)=0,LEN('A créer'!$E7&gt;0)),"",CONCATENATE('A créer'!B7,'A créer'!A7))</f>
        <v>DOS0454</v>
      </c>
      <c r="C7" s="2" t="str">
        <f>IF(AND(LEN('A créer'!$C7)=0,LEN('A créer'!$E7&gt;0)),"","TAB")</f>
        <v>TAB</v>
      </c>
      <c r="D7" s="7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7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7" t="str">
        <f>IF(AND(LEN('A créer'!$C7)=0,LEN('A créer'!$E7&gt;0)),"",CONCATENATE('A créer'!B7,'A créer'!A7))</f>
        <v>DOS0454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créer'!$E7&gt;0)),"","*ML(237,126)")</f>
        <v>*ML(237,126)</v>
      </c>
      <c r="P7" s="2" t="str">
        <f>IF(OR(LEN('A créer'!$C7)=0,'A créer'!$E7="Oui"),"","*FN")</f>
        <v>*FN</v>
      </c>
      <c r="Q7" s="7" t="str">
        <f>IF(OR(LEN('A créer'!$C7)=0,'A créer'!$E7="Oui"),"",'A créer'!A7)</f>
        <v>0454</v>
      </c>
      <c r="R7" s="2" t="str">
        <f>IF(OR(LEN('A créer'!$C7)=0,'A créer'!$E7="Oui"),"","TAB")</f>
        <v>TAB</v>
      </c>
      <c r="S7" s="7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7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7" t="str">
        <f>IF(OR(LEN('A créer'!$C7)=0,'A créer'!$E7="Oui"),"",CONCATENATE('A créer'!B7,'A créer'!A7))</f>
        <v>DOS0454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créer'!$E7="Oui"),"","*ML(237,126)")</f>
        <v>*ML(237,126)</v>
      </c>
    </row>
    <row r="8" spans="1:30" x14ac:dyDescent="0.25">
      <c r="A8" s="2" t="str">
        <f>IF(AND(LEN('A créer'!$C8)=0,LEN('A créer'!$E8&gt;0)),"","*FN")</f>
        <v>*FN</v>
      </c>
      <c r="B8" s="7" t="str">
        <f>IF(AND(LEN('A créer'!$C8)=0,LEN('A créer'!$E8&gt;0)),"",CONCATENATE('A créer'!B8,'A créer'!A8))</f>
        <v>DOS0455</v>
      </c>
      <c r="C8" s="2" t="str">
        <f>IF(AND(LEN('A créer'!$C8)=0,LEN('A créer'!$E8&gt;0)),"","TAB")</f>
        <v>TAB</v>
      </c>
      <c r="D8" s="7" t="str">
        <f>IF(AND(LEN('A créer'!$C8)=0,LEN('A créer'!$E8&gt;0)),"","Setup Business Group")</f>
        <v>Setup Business Group</v>
      </c>
      <c r="E8" s="2" t="str">
        <f>IF(AND(LEN('A créer'!$C8)=0,LEN('A créer'!$E8&gt;0)),"","TAB 4")</f>
        <v>TAB 4</v>
      </c>
      <c r="F8" s="2" t="str">
        <f>IF(AND(LEN('A créer'!$C8)=0,LEN('A créer'!$E8&gt;0)),"","TAB 4")</f>
        <v>TAB 4</v>
      </c>
      <c r="G8" s="2" t="str">
        <f>IF(AND(LEN('A créer'!$C8)=0,LEN('A créer'!$E8&gt;0)),"","TAB")</f>
        <v>TAB</v>
      </c>
      <c r="H8" s="2" t="str">
        <f>IF(AND(LEN('A créer'!$C8)=0,LEN('A créer'!$E8&gt;0)),"","TAB")</f>
        <v>TAB</v>
      </c>
      <c r="I8" s="2" t="str">
        <f>IF(AND(LEN('A créer'!$C8)=0,LEN('A créer'!$E8&gt;0)),"","TAB")</f>
        <v>TAB</v>
      </c>
      <c r="J8" s="7" t="str">
        <f>IF(AND(LEN('A créer'!$C8)=0,LEN('A créer'!$E8&gt;0)),"","\Sécuriser les organisations par hiérarchie")</f>
        <v>\Sécuriser les organisations par hiérarchie</v>
      </c>
      <c r="K8" s="2" t="str">
        <f>IF(AND(LEN('A créer'!$C8)=0,LEN('A créer'!$E8&gt;0)),"","TAB 4")</f>
        <v>TAB 4</v>
      </c>
      <c r="L8" s="7" t="str">
        <f>IF(AND(LEN('A créer'!$C8)=0,LEN('A créer'!$E8&gt;0)),"",CONCATENATE('A créer'!B8,'A créer'!A8))</f>
        <v>DOS0455</v>
      </c>
      <c r="M8" s="2" t="str">
        <f>IF(AND(LEN('A créer'!$C8)=0,LEN('A créer'!$E8&gt;0)),"","TAB")</f>
        <v>TAB</v>
      </c>
      <c r="N8" s="2" t="str">
        <f>IF(AND(LEN('A créer'!$C8)=0,LEN('A créer'!$E8&gt;0)),"","*SAVE")</f>
        <v>*SAVE</v>
      </c>
      <c r="O8" s="2" t="str">
        <f>IF(AND(LEN('A créer'!$C8)=0,LEN('A créer'!$E8&gt;0)),"","*ML(237,126)")</f>
        <v>*ML(237,126)</v>
      </c>
      <c r="P8" s="2" t="str">
        <f>IF(OR(LEN('A créer'!$C8)=0,'A créer'!$E8="Oui"),"","*FN")</f>
        <v>*FN</v>
      </c>
      <c r="Q8" s="7" t="str">
        <f>IF(OR(LEN('A créer'!$C8)=0,'A créer'!$E8="Oui"),"",'A créer'!A8)</f>
        <v>0455</v>
      </c>
      <c r="R8" s="2" t="str">
        <f>IF(OR(LEN('A créer'!$C8)=0,'A créer'!$E8="Oui"),"","TAB")</f>
        <v>TAB</v>
      </c>
      <c r="S8" s="7" t="str">
        <f>IF(OR(LEN('A créer'!$C8)=0,'A créer'!$E8="Oui"),"","Setup Business Group")</f>
        <v>Setup Business Group</v>
      </c>
      <c r="T8" s="2" t="str">
        <f>IF(OR(LEN('A créer'!$C8)=0,'A créer'!$E8="Oui"),"","TAB 4")</f>
        <v>TAB 4</v>
      </c>
      <c r="U8" s="2" t="str">
        <f>IF(OR(LEN('A créer'!$C8)=0,'A créer'!$E8="Oui"),"","TAB 4")</f>
        <v>TAB 4</v>
      </c>
      <c r="V8" s="2" t="str">
        <f>IF(OR(LEN('A créer'!$C8)=0,'A créer'!$E8="Oui"),"","TAB")</f>
        <v>TAB</v>
      </c>
      <c r="W8" s="2" t="str">
        <f>IF(OR(LEN('A créer'!$C8)=0,'A créer'!$E8="Oui"),"","TAB")</f>
        <v>TAB</v>
      </c>
      <c r="X8" s="2" t="str">
        <f>IF(OR(LEN('A créer'!$C8)=0,'A créer'!$E8="Oui"),"","TAB")</f>
        <v>TAB</v>
      </c>
      <c r="Y8" s="7" t="str">
        <f>IF(OR(LEN('A créer'!$C8)=0,'A créer'!$E8="Oui"),"","\Sécuriser les organisations par hiérarchie")</f>
        <v>\Sécuriser les organisations par hiérarchie</v>
      </c>
      <c r="Z8" s="2" t="str">
        <f>IF(OR(LEN('A créer'!$C8)=0,'A créer'!$E8="Oui"),"","TAB 4")</f>
        <v>TAB 4</v>
      </c>
      <c r="AA8" s="7" t="str">
        <f>IF(OR(LEN('A créer'!$C8)=0,'A créer'!$E8="Oui"),"",CONCATENATE('A créer'!B8,'A créer'!A8))</f>
        <v>DOS0455</v>
      </c>
      <c r="AB8" s="2" t="str">
        <f>IF(OR(LEN('A créer'!$C8)=0,'A créer'!$E8="Oui"),"","TAB")</f>
        <v>TAB</v>
      </c>
      <c r="AC8" s="2" t="str">
        <f>IF(OR(LEN('A créer'!$C8)=0,'A créer'!$E8="Oui"),"","*SAVE")</f>
        <v>*SAVE</v>
      </c>
      <c r="AD8" s="2" t="str">
        <f>IF(OR(LEN('A créer'!$C8)=0,'A créer'!$E8="Oui"),"","*ML(237,126)")</f>
        <v>*ML(237,126)</v>
      </c>
    </row>
    <row r="9" spans="1:30" x14ac:dyDescent="0.25">
      <c r="A9" s="2" t="str">
        <f>IF(AND(LEN('A créer'!$C9)=0,LEN('A créer'!$E9&gt;0)),"","*FN")</f>
        <v>*FN</v>
      </c>
      <c r="B9" s="7" t="str">
        <f>IF(AND(LEN('A créer'!$C9)=0,LEN('A créer'!$E9&gt;0)),"",CONCATENATE('A créer'!B9,'A créer'!A9))</f>
        <v>DOS0456</v>
      </c>
      <c r="C9" s="2" t="str">
        <f>IF(AND(LEN('A créer'!$C9)=0,LEN('A créer'!$E9&gt;0)),"","TAB")</f>
        <v>TAB</v>
      </c>
      <c r="D9" s="7" t="str">
        <f>IF(AND(LEN('A créer'!$C9)=0,LEN('A créer'!$E9&gt;0)),"","Setup Business Group")</f>
        <v>Setup Business Group</v>
      </c>
      <c r="E9" s="2" t="str">
        <f>IF(AND(LEN('A créer'!$C9)=0,LEN('A créer'!$E9&gt;0)),"","TAB 4")</f>
        <v>TAB 4</v>
      </c>
      <c r="F9" s="2" t="str">
        <f>IF(AND(LEN('A créer'!$C9)=0,LEN('A créer'!$E9&gt;0)),"","TAB 4")</f>
        <v>TAB 4</v>
      </c>
      <c r="G9" s="2" t="str">
        <f>IF(AND(LEN('A créer'!$C9)=0,LEN('A créer'!$E9&gt;0)),"","TAB")</f>
        <v>TAB</v>
      </c>
      <c r="H9" s="2" t="str">
        <f>IF(AND(LEN('A créer'!$C9)=0,LEN('A créer'!$E9&gt;0)),"","TAB")</f>
        <v>TAB</v>
      </c>
      <c r="I9" s="2" t="str">
        <f>IF(AND(LEN('A créer'!$C9)=0,LEN('A créer'!$E9&gt;0)),"","TAB")</f>
        <v>TAB</v>
      </c>
      <c r="J9" s="7" t="str">
        <f>IF(AND(LEN('A créer'!$C9)=0,LEN('A créer'!$E9&gt;0)),"","\Sécuriser les organisations par hiérarchie")</f>
        <v>\Sécuriser les organisations par hiérarchie</v>
      </c>
      <c r="K9" s="2" t="str">
        <f>IF(AND(LEN('A créer'!$C9)=0,LEN('A créer'!$E9&gt;0)),"","TAB 4")</f>
        <v>TAB 4</v>
      </c>
      <c r="L9" s="7" t="str">
        <f>IF(AND(LEN('A créer'!$C9)=0,LEN('A créer'!$E9&gt;0)),"",CONCATENATE('A créer'!B9,'A créer'!A9))</f>
        <v>DOS0456</v>
      </c>
      <c r="M9" s="2" t="str">
        <f>IF(AND(LEN('A créer'!$C9)=0,LEN('A créer'!$E9&gt;0)),"","TAB")</f>
        <v>TAB</v>
      </c>
      <c r="N9" s="2" t="str">
        <f>IF(AND(LEN('A créer'!$C9)=0,LEN('A créer'!$E9&gt;0)),"","*SAVE")</f>
        <v>*SAVE</v>
      </c>
      <c r="O9" s="2" t="str">
        <f>IF(AND(LEN('A créer'!$C9)=0,LEN('A créer'!$E9&gt;0)),"","*ML(237,126)")</f>
        <v>*ML(237,126)</v>
      </c>
      <c r="P9" s="2" t="str">
        <f>IF(OR(LEN('A créer'!$C9)=0,'A créer'!$E9="Oui"),"","*FN")</f>
        <v>*FN</v>
      </c>
      <c r="Q9" s="7" t="str">
        <f>IF(OR(LEN('A créer'!$C9)=0,'A créer'!$E9="Oui"),"",'A créer'!A9)</f>
        <v>0456</v>
      </c>
      <c r="R9" s="2" t="str">
        <f>IF(OR(LEN('A créer'!$C9)=0,'A créer'!$E9="Oui"),"","TAB")</f>
        <v>TAB</v>
      </c>
      <c r="S9" s="7" t="str">
        <f>IF(OR(LEN('A créer'!$C9)=0,'A créer'!$E9="Oui"),"","Setup Business Group")</f>
        <v>Setup Business Group</v>
      </c>
      <c r="T9" s="2" t="str">
        <f>IF(OR(LEN('A créer'!$C9)=0,'A créer'!$E9="Oui"),"","TAB 4")</f>
        <v>TAB 4</v>
      </c>
      <c r="U9" s="2" t="str">
        <f>IF(OR(LEN('A créer'!$C9)=0,'A créer'!$E9="Oui"),"","TAB 4")</f>
        <v>TAB 4</v>
      </c>
      <c r="V9" s="2" t="str">
        <f>IF(OR(LEN('A créer'!$C9)=0,'A créer'!$E9="Oui"),"","TAB")</f>
        <v>TAB</v>
      </c>
      <c r="W9" s="2" t="str">
        <f>IF(OR(LEN('A créer'!$C9)=0,'A créer'!$E9="Oui"),"","TAB")</f>
        <v>TAB</v>
      </c>
      <c r="X9" s="2" t="str">
        <f>IF(OR(LEN('A créer'!$C9)=0,'A créer'!$E9="Oui"),"","TAB")</f>
        <v>TAB</v>
      </c>
      <c r="Y9" s="7" t="str">
        <f>IF(OR(LEN('A créer'!$C9)=0,'A créer'!$E9="Oui"),"","\Sécuriser les organisations par hiérarchie")</f>
        <v>\Sécuriser les organisations par hiérarchie</v>
      </c>
      <c r="Z9" s="2" t="str">
        <f>IF(OR(LEN('A créer'!$C9)=0,'A créer'!$E9="Oui"),"","TAB 4")</f>
        <v>TAB 4</v>
      </c>
      <c r="AA9" s="7" t="str">
        <f>IF(OR(LEN('A créer'!$C9)=0,'A créer'!$E9="Oui"),"",CONCATENATE('A créer'!B9,'A créer'!A9))</f>
        <v>DOS0456</v>
      </c>
      <c r="AB9" s="2" t="str">
        <f>IF(OR(LEN('A créer'!$C9)=0,'A créer'!$E9="Oui"),"","TAB")</f>
        <v>TAB</v>
      </c>
      <c r="AC9" s="2" t="str">
        <f>IF(OR(LEN('A créer'!$C9)=0,'A créer'!$E9="Oui"),"","*SAVE")</f>
        <v>*SAVE</v>
      </c>
      <c r="AD9" s="2" t="str">
        <f>IF(OR(LEN('A créer'!$C9)=0,'A créer'!$E9="Oui"),"","*ML(237,126)")</f>
        <v>*ML(237,126)</v>
      </c>
    </row>
    <row r="10" spans="1:30" x14ac:dyDescent="0.25">
      <c r="A10" s="2" t="str">
        <f>IF(AND(LEN('A créer'!$C10)=0,LEN('A créer'!$E10&gt;0)),"","*FN")</f>
        <v>*FN</v>
      </c>
      <c r="B10" s="7" t="str">
        <f>IF(AND(LEN('A créer'!$C10)=0,LEN('A créer'!$E10&gt;0)),"",CONCATENATE('A créer'!B10,'A créer'!A10))</f>
        <v>DRW0453</v>
      </c>
      <c r="C10" s="2" t="str">
        <f>IF(AND(LEN('A créer'!$C10)=0,LEN('A créer'!$E10&gt;0)),"","TAB")</f>
        <v>TAB</v>
      </c>
      <c r="D10" s="7" t="str">
        <f>IF(AND(LEN('A créer'!$C10)=0,LEN('A créer'!$E10&gt;0)),"","Setup Business Group")</f>
        <v>Setup Business Group</v>
      </c>
      <c r="E10" s="2" t="str">
        <f>IF(AND(LEN('A créer'!$C10)=0,LEN('A créer'!$E10&gt;0)),"","TAB 4")</f>
        <v>TAB 4</v>
      </c>
      <c r="F10" s="2" t="str">
        <f>IF(AND(LEN('A créer'!$C10)=0,LEN('A créer'!$E10&gt;0)),"","TAB 4")</f>
        <v>TAB 4</v>
      </c>
      <c r="G10" s="2" t="str">
        <f>IF(AND(LEN('A créer'!$C10)=0,LEN('A créer'!$E10&gt;0)),"","TAB")</f>
        <v>TAB</v>
      </c>
      <c r="H10" s="2" t="str">
        <f>IF(AND(LEN('A créer'!$C10)=0,LEN('A créer'!$E10&gt;0)),"","TAB")</f>
        <v>TAB</v>
      </c>
      <c r="I10" s="2" t="str">
        <f>IF(AND(LEN('A créer'!$C10)=0,LEN('A créer'!$E10&gt;0)),"","TAB")</f>
        <v>TAB</v>
      </c>
      <c r="J10" s="7" t="str">
        <f>IF(AND(LEN('A créer'!$C10)=0,LEN('A créer'!$E10&gt;0)),"","\Sécuriser les organisations par hiérarchie")</f>
        <v>\Sécuriser les organisations par hiérarchie</v>
      </c>
      <c r="K10" s="2" t="str">
        <f>IF(AND(LEN('A créer'!$C10)=0,LEN('A créer'!$E10&gt;0)),"","TAB 4")</f>
        <v>TAB 4</v>
      </c>
      <c r="L10" s="7" t="str">
        <f>IF(AND(LEN('A créer'!$C10)=0,LEN('A créer'!$E10&gt;0)),"",CONCATENATE('A créer'!B10,'A créer'!A10))</f>
        <v>DRW0453</v>
      </c>
      <c r="M10" s="2" t="str">
        <f>IF(AND(LEN('A créer'!$C10)=0,LEN('A créer'!$E10&gt;0)),"","TAB")</f>
        <v>TAB</v>
      </c>
      <c r="N10" s="2" t="str">
        <f>IF(AND(LEN('A créer'!$C10)=0,LEN('A créer'!$E10&gt;0)),"","*SAVE")</f>
        <v>*SAVE</v>
      </c>
      <c r="O10" s="2" t="str">
        <f>IF(AND(LEN('A créer'!$C10)=0,LEN('A créer'!$E10&gt;0)),"","*ML(237,126)")</f>
        <v>*ML(237,126)</v>
      </c>
      <c r="P10" s="2" t="str">
        <f>IF(OR(LEN('A créer'!$C10)=0,'A créer'!$E10="Oui"),"","*FN")</f>
        <v>*FN</v>
      </c>
      <c r="Q10" s="7" t="str">
        <f>IF(OR(LEN('A créer'!$C10)=0,'A créer'!$E10="Oui"),"",'A créer'!A10)</f>
        <v>0453</v>
      </c>
      <c r="R10" s="2" t="str">
        <f>IF(OR(LEN('A créer'!$C10)=0,'A créer'!$E10="Oui"),"","TAB")</f>
        <v>TAB</v>
      </c>
      <c r="S10" s="7" t="str">
        <f>IF(OR(LEN('A créer'!$C10)=0,'A créer'!$E10="Oui"),"","Setup Business Group")</f>
        <v>Setup Business Group</v>
      </c>
      <c r="T10" s="2" t="str">
        <f>IF(OR(LEN('A créer'!$C10)=0,'A créer'!$E10="Oui"),"","TAB 4")</f>
        <v>TAB 4</v>
      </c>
      <c r="U10" s="2" t="str">
        <f>IF(OR(LEN('A créer'!$C10)=0,'A créer'!$E10="Oui"),"","TAB 4")</f>
        <v>TAB 4</v>
      </c>
      <c r="V10" s="2" t="str">
        <f>IF(OR(LEN('A créer'!$C10)=0,'A créer'!$E10="Oui"),"","TAB")</f>
        <v>TAB</v>
      </c>
      <c r="W10" s="2" t="str">
        <f>IF(OR(LEN('A créer'!$C10)=0,'A créer'!$E10="Oui"),"","TAB")</f>
        <v>TAB</v>
      </c>
      <c r="X10" s="2" t="str">
        <f>IF(OR(LEN('A créer'!$C10)=0,'A créer'!$E10="Oui"),"","TAB")</f>
        <v>TAB</v>
      </c>
      <c r="Y10" s="7" t="str">
        <f>IF(OR(LEN('A créer'!$C10)=0,'A créer'!$E10="Oui"),"","\Sécuriser les organisations par hiérarchie")</f>
        <v>\Sécuriser les organisations par hiérarchie</v>
      </c>
      <c r="Z10" s="2" t="str">
        <f>IF(OR(LEN('A créer'!$C10)=0,'A créer'!$E10="Oui"),"","TAB 4")</f>
        <v>TAB 4</v>
      </c>
      <c r="AA10" s="7" t="str">
        <f>IF(OR(LEN('A créer'!$C10)=0,'A créer'!$E10="Oui"),"",CONCATENATE('A créer'!B10,'A créer'!A10))</f>
        <v>DRW0453</v>
      </c>
      <c r="AB10" s="2" t="str">
        <f>IF(OR(LEN('A créer'!$C10)=0,'A créer'!$E10="Oui"),"","TAB")</f>
        <v>TAB</v>
      </c>
      <c r="AC10" s="2" t="str">
        <f>IF(OR(LEN('A créer'!$C10)=0,'A créer'!$E10="Oui"),"","*SAVE")</f>
        <v>*SAVE</v>
      </c>
      <c r="AD10" s="2" t="str">
        <f>IF(OR(LEN('A créer'!$C10)=0,'A créer'!$E10="Oui"),"","*ML(237,126)")</f>
        <v>*ML(237,126)</v>
      </c>
    </row>
    <row r="11" spans="1:30" x14ac:dyDescent="0.25">
      <c r="A11" s="2" t="str">
        <f>IF(AND(LEN('A créer'!$C11)=0,LEN('A créer'!$E11&gt;0)),"","*FN")</f>
        <v>*FN</v>
      </c>
      <c r="B11" s="7" t="str">
        <f>IF(AND(LEN('A créer'!$C11)=0,LEN('A créer'!$E11&gt;0)),"",CONCATENATE('A créer'!B11,'A créer'!A11))</f>
        <v>DOS0457</v>
      </c>
      <c r="C11" s="2" t="str">
        <f>IF(AND(LEN('A créer'!$C11)=0,LEN('A créer'!$E11&gt;0)),"","TAB")</f>
        <v>TAB</v>
      </c>
      <c r="D11" s="7" t="str">
        <f>IF(AND(LEN('A créer'!$C11)=0,LEN('A créer'!$E11&gt;0)),"","Setup Business Group")</f>
        <v>Setup Business Group</v>
      </c>
      <c r="E11" s="2" t="str">
        <f>IF(AND(LEN('A créer'!$C11)=0,LEN('A créer'!$E11&gt;0)),"","TAB 4")</f>
        <v>TAB 4</v>
      </c>
      <c r="F11" s="2" t="str">
        <f>IF(AND(LEN('A créer'!$C11)=0,LEN('A créer'!$E11&gt;0)),"","TAB 4")</f>
        <v>TAB 4</v>
      </c>
      <c r="G11" s="2" t="str">
        <f>IF(AND(LEN('A créer'!$C11)=0,LEN('A créer'!$E11&gt;0)),"","TAB")</f>
        <v>TAB</v>
      </c>
      <c r="H11" s="2" t="str">
        <f>IF(AND(LEN('A créer'!$C11)=0,LEN('A créer'!$E11&gt;0)),"","TAB")</f>
        <v>TAB</v>
      </c>
      <c r="I11" s="2" t="str">
        <f>IF(AND(LEN('A créer'!$C11)=0,LEN('A créer'!$E11&gt;0)),"","TAB")</f>
        <v>TAB</v>
      </c>
      <c r="J11" s="7" t="str">
        <f>IF(AND(LEN('A créer'!$C11)=0,LEN('A créer'!$E11&gt;0)),"","\Sécuriser les organisations par hiérarchie")</f>
        <v>\Sécuriser les organisations par hiérarchie</v>
      </c>
      <c r="K11" s="2" t="str">
        <f>IF(AND(LEN('A créer'!$C11)=0,LEN('A créer'!$E11&gt;0)),"","TAB 4")</f>
        <v>TAB 4</v>
      </c>
      <c r="L11" s="7" t="str">
        <f>IF(AND(LEN('A créer'!$C11)=0,LEN('A créer'!$E11&gt;0)),"",CONCATENATE('A créer'!B11,'A créer'!A11))</f>
        <v>DOS0457</v>
      </c>
      <c r="M11" s="2" t="str">
        <f>IF(AND(LEN('A créer'!$C11)=0,LEN('A créer'!$E11&gt;0)),"","TAB")</f>
        <v>TAB</v>
      </c>
      <c r="N11" s="2" t="str">
        <f>IF(AND(LEN('A créer'!$C11)=0,LEN('A créer'!$E11&gt;0)),"","*SAVE")</f>
        <v>*SAVE</v>
      </c>
      <c r="O11" s="2" t="str">
        <f>IF(AND(LEN('A créer'!$C11)=0,LEN('A créer'!$E11&gt;0)),"","*ML(237,126)")</f>
        <v>*ML(237,126)</v>
      </c>
      <c r="P11" s="2" t="str">
        <f>IF(OR(LEN('A créer'!$C11)=0,'A créer'!$E11="Oui"),"","*FN")</f>
        <v>*FN</v>
      </c>
      <c r="Q11" s="7" t="str">
        <f>IF(OR(LEN('A créer'!$C11)=0,'A créer'!$E11="Oui"),"",'A créer'!A11)</f>
        <v>0457</v>
      </c>
      <c r="R11" s="2" t="str">
        <f>IF(OR(LEN('A créer'!$C11)=0,'A créer'!$E11="Oui"),"","TAB")</f>
        <v>TAB</v>
      </c>
      <c r="S11" s="7" t="str">
        <f>IF(OR(LEN('A créer'!$C11)=0,'A créer'!$E11="Oui"),"","Setup Business Group")</f>
        <v>Setup Business Group</v>
      </c>
      <c r="T11" s="2" t="str">
        <f>IF(OR(LEN('A créer'!$C11)=0,'A créer'!$E11="Oui"),"","TAB 4")</f>
        <v>TAB 4</v>
      </c>
      <c r="U11" s="2" t="str">
        <f>IF(OR(LEN('A créer'!$C11)=0,'A créer'!$E11="Oui"),"","TAB 4")</f>
        <v>TAB 4</v>
      </c>
      <c r="V11" s="2" t="str">
        <f>IF(OR(LEN('A créer'!$C11)=0,'A créer'!$E11="Oui"),"","TAB")</f>
        <v>TAB</v>
      </c>
      <c r="W11" s="2" t="str">
        <f>IF(OR(LEN('A créer'!$C11)=0,'A créer'!$E11="Oui"),"","TAB")</f>
        <v>TAB</v>
      </c>
      <c r="X11" s="2" t="str">
        <f>IF(OR(LEN('A créer'!$C11)=0,'A créer'!$E11="Oui"),"","TAB")</f>
        <v>TAB</v>
      </c>
      <c r="Y11" s="7" t="str">
        <f>IF(OR(LEN('A créer'!$C11)=0,'A créer'!$E11="Oui"),"","\Sécuriser les organisations par hiérarchie")</f>
        <v>\Sécuriser les organisations par hiérarchie</v>
      </c>
      <c r="Z11" s="2" t="str">
        <f>IF(OR(LEN('A créer'!$C11)=0,'A créer'!$E11="Oui"),"","TAB 4")</f>
        <v>TAB 4</v>
      </c>
      <c r="AA11" s="7" t="str">
        <f>IF(OR(LEN('A créer'!$C11)=0,'A créer'!$E11="Oui"),"",CONCATENATE('A créer'!B11,'A créer'!A11))</f>
        <v>DOS0457</v>
      </c>
      <c r="AB11" s="2" t="str">
        <f>IF(OR(LEN('A créer'!$C11)=0,'A créer'!$E11="Oui"),"","TAB")</f>
        <v>TAB</v>
      </c>
      <c r="AC11" s="2" t="str">
        <f>IF(OR(LEN('A créer'!$C11)=0,'A créer'!$E11="Oui"),"","*SAVE")</f>
        <v>*SAVE</v>
      </c>
      <c r="AD11" s="2" t="str">
        <f>IF(OR(LEN('A créer'!$C11)=0,'A créer'!$E11="Oui"),"","*ML(237,126)")</f>
        <v>*ML(237,126)</v>
      </c>
    </row>
    <row r="12" spans="1:30" x14ac:dyDescent="0.25">
      <c r="A12" s="2" t="str">
        <f>IF(AND(LEN('A créer'!$C12)=0,LEN('A créer'!$E12&gt;0)),"","*FN")</f>
        <v>*FN</v>
      </c>
      <c r="B12" s="7" t="str">
        <f>IF(AND(LEN('A créer'!$C12)=0,LEN('A créer'!$E12&gt;0)),"",CONCATENATE('A créer'!B12,'A créer'!A12))</f>
        <v>DOS0473</v>
      </c>
      <c r="C12" s="2" t="str">
        <f>IF(AND(LEN('A créer'!$C12)=0,LEN('A créer'!$E12&gt;0)),"","TAB")</f>
        <v>TAB</v>
      </c>
      <c r="D12" s="7" t="str">
        <f>IF(AND(LEN('A créer'!$C12)=0,LEN('A créer'!$E12&gt;0)),"","Setup Business Group")</f>
        <v>Setup Business Group</v>
      </c>
      <c r="E12" s="2" t="str">
        <f>IF(AND(LEN('A créer'!$C12)=0,LEN('A créer'!$E12&gt;0)),"","TAB 4")</f>
        <v>TAB 4</v>
      </c>
      <c r="F12" s="2" t="str">
        <f>IF(AND(LEN('A créer'!$C12)=0,LEN('A créer'!$E12&gt;0)),"","TAB 4")</f>
        <v>TAB 4</v>
      </c>
      <c r="G12" s="2" t="str">
        <f>IF(AND(LEN('A créer'!$C12)=0,LEN('A créer'!$E12&gt;0)),"","TAB")</f>
        <v>TAB</v>
      </c>
      <c r="H12" s="2" t="str">
        <f>IF(AND(LEN('A créer'!$C12)=0,LEN('A créer'!$E12&gt;0)),"","TAB")</f>
        <v>TAB</v>
      </c>
      <c r="I12" s="2" t="str">
        <f>IF(AND(LEN('A créer'!$C12)=0,LEN('A créer'!$E12&gt;0)),"","TAB")</f>
        <v>TAB</v>
      </c>
      <c r="J12" s="7" t="str">
        <f>IF(AND(LEN('A créer'!$C12)=0,LEN('A créer'!$E12&gt;0)),"","\Sécuriser les organisations par hiérarchie")</f>
        <v>\Sécuriser les organisations par hiérarchie</v>
      </c>
      <c r="K12" s="2" t="str">
        <f>IF(AND(LEN('A créer'!$C12)=0,LEN('A créer'!$E12&gt;0)),"","TAB 4")</f>
        <v>TAB 4</v>
      </c>
      <c r="L12" s="7" t="str">
        <f>IF(AND(LEN('A créer'!$C12)=0,LEN('A créer'!$E12&gt;0)),"",CONCATENATE('A créer'!B12,'A créer'!A12))</f>
        <v>DOS0473</v>
      </c>
      <c r="M12" s="2" t="str">
        <f>IF(AND(LEN('A créer'!$C12)=0,LEN('A créer'!$E12&gt;0)),"","TAB")</f>
        <v>TAB</v>
      </c>
      <c r="N12" s="2" t="str">
        <f>IF(AND(LEN('A créer'!$C12)=0,LEN('A créer'!$E12&gt;0)),"","*SAVE")</f>
        <v>*SAVE</v>
      </c>
      <c r="O12" s="2" t="str">
        <f>IF(AND(LEN('A créer'!$C12)=0,LEN('A créer'!$E12&gt;0)),"","*ML(237,126)")</f>
        <v>*ML(237,126)</v>
      </c>
      <c r="P12" s="2" t="str">
        <f>IF(OR(LEN('A créer'!$C12)=0,'A créer'!$E12="Oui"),"","*FN")</f>
        <v>*FN</v>
      </c>
      <c r="Q12" s="7" t="str">
        <f>IF(OR(LEN('A créer'!$C12)=0,'A créer'!$E12="Oui"),"",'A créer'!A12)</f>
        <v>0473</v>
      </c>
      <c r="R12" s="2" t="str">
        <f>IF(OR(LEN('A créer'!$C12)=0,'A créer'!$E12="Oui"),"","TAB")</f>
        <v>TAB</v>
      </c>
      <c r="S12" s="7" t="str">
        <f>IF(OR(LEN('A créer'!$C12)=0,'A créer'!$E12="Oui"),"","Setup Business Group")</f>
        <v>Setup Business Group</v>
      </c>
      <c r="T12" s="2" t="str">
        <f>IF(OR(LEN('A créer'!$C12)=0,'A créer'!$E12="Oui"),"","TAB 4")</f>
        <v>TAB 4</v>
      </c>
      <c r="U12" s="2" t="str">
        <f>IF(OR(LEN('A créer'!$C12)=0,'A créer'!$E12="Oui"),"","TAB 4")</f>
        <v>TAB 4</v>
      </c>
      <c r="V12" s="2" t="str">
        <f>IF(OR(LEN('A créer'!$C12)=0,'A créer'!$E12="Oui"),"","TAB")</f>
        <v>TAB</v>
      </c>
      <c r="W12" s="2" t="str">
        <f>IF(OR(LEN('A créer'!$C12)=0,'A créer'!$E12="Oui"),"","TAB")</f>
        <v>TAB</v>
      </c>
      <c r="X12" s="2" t="str">
        <f>IF(OR(LEN('A créer'!$C12)=0,'A créer'!$E12="Oui"),"","TAB")</f>
        <v>TAB</v>
      </c>
      <c r="Y12" s="7" t="str">
        <f>IF(OR(LEN('A créer'!$C12)=0,'A créer'!$E12="Oui"),"","\Sécuriser les organisations par hiérarchie")</f>
        <v>\Sécuriser les organisations par hiérarchie</v>
      </c>
      <c r="Z12" s="2" t="str">
        <f>IF(OR(LEN('A créer'!$C12)=0,'A créer'!$E12="Oui"),"","TAB 4")</f>
        <v>TAB 4</v>
      </c>
      <c r="AA12" s="7" t="str">
        <f>IF(OR(LEN('A créer'!$C12)=0,'A créer'!$E12="Oui"),"",CONCATENATE('A créer'!B12,'A créer'!A12))</f>
        <v>DOS0473</v>
      </c>
      <c r="AB12" s="2" t="str">
        <f>IF(OR(LEN('A créer'!$C12)=0,'A créer'!$E12="Oui"),"","TAB")</f>
        <v>TAB</v>
      </c>
      <c r="AC12" s="2" t="str">
        <f>IF(OR(LEN('A créer'!$C12)=0,'A créer'!$E12="Oui"),"","*SAVE")</f>
        <v>*SAVE</v>
      </c>
      <c r="AD12" s="2" t="str">
        <f>IF(OR(LEN('A créer'!$C12)=0,'A créer'!$E12="Oui"),"","*ML(237,126)")</f>
        <v>*ML(237,126)</v>
      </c>
    </row>
    <row r="13" spans="1:30" x14ac:dyDescent="0.25">
      <c r="A13" s="2" t="str">
        <f>IF(AND(LEN('A créer'!$C13)=0,LEN('A créer'!$E13&gt;0)),"","*FN")</f>
        <v>*FN</v>
      </c>
      <c r="B13" s="7" t="str">
        <f>IF(AND(LEN('A créer'!$C13)=0,LEN('A créer'!$E13&gt;0)),"",CONCATENATE('A créer'!B13,'A créer'!A13))</f>
        <v>DMS0474</v>
      </c>
      <c r="C13" s="2" t="str">
        <f>IF(AND(LEN('A créer'!$C13)=0,LEN('A créer'!$E13&gt;0)),"","TAB")</f>
        <v>TAB</v>
      </c>
      <c r="D13" s="7" t="str">
        <f>IF(AND(LEN('A créer'!$C13)=0,LEN('A créer'!$E13&gt;0)),"","Setup Business Group")</f>
        <v>Setup Business Group</v>
      </c>
      <c r="E13" s="2" t="str">
        <f>IF(AND(LEN('A créer'!$C13)=0,LEN('A créer'!$E13&gt;0)),"","TAB 4")</f>
        <v>TAB 4</v>
      </c>
      <c r="F13" s="2" t="str">
        <f>IF(AND(LEN('A créer'!$C13)=0,LEN('A créer'!$E13&gt;0)),"","TAB 4")</f>
        <v>TAB 4</v>
      </c>
      <c r="G13" s="2" t="str">
        <f>IF(AND(LEN('A créer'!$C13)=0,LEN('A créer'!$E13&gt;0)),"","TAB")</f>
        <v>TAB</v>
      </c>
      <c r="H13" s="2" t="str">
        <f>IF(AND(LEN('A créer'!$C13)=0,LEN('A créer'!$E13&gt;0)),"","TAB")</f>
        <v>TAB</v>
      </c>
      <c r="I13" s="2" t="str">
        <f>IF(AND(LEN('A créer'!$C13)=0,LEN('A créer'!$E13&gt;0)),"","TAB")</f>
        <v>TAB</v>
      </c>
      <c r="J13" s="7" t="str">
        <f>IF(AND(LEN('A créer'!$C13)=0,LEN('A créer'!$E13&gt;0)),"","\Sécuriser les organisations par hiérarchie")</f>
        <v>\Sécuriser les organisations par hiérarchie</v>
      </c>
      <c r="K13" s="2" t="str">
        <f>IF(AND(LEN('A créer'!$C13)=0,LEN('A créer'!$E13&gt;0)),"","TAB 4")</f>
        <v>TAB 4</v>
      </c>
      <c r="L13" s="7" t="str">
        <f>IF(AND(LEN('A créer'!$C13)=0,LEN('A créer'!$E13&gt;0)),"",CONCATENATE('A créer'!B13,'A créer'!A13))</f>
        <v>DMS0474</v>
      </c>
      <c r="M13" s="2" t="str">
        <f>IF(AND(LEN('A créer'!$C13)=0,LEN('A créer'!$E13&gt;0)),"","TAB")</f>
        <v>TAB</v>
      </c>
      <c r="N13" s="2" t="str">
        <f>IF(AND(LEN('A créer'!$C13)=0,LEN('A créer'!$E13&gt;0)),"","*SAVE")</f>
        <v>*SAVE</v>
      </c>
      <c r="O13" s="2" t="str">
        <f>IF(AND(LEN('A créer'!$C13)=0,LEN('A créer'!$E13&gt;0)),"","*ML(237,126)")</f>
        <v>*ML(237,126)</v>
      </c>
      <c r="P13" s="2" t="str">
        <f>IF(OR(LEN('A créer'!$C13)=0,'A créer'!$E13="Oui"),"","*FN")</f>
        <v>*FN</v>
      </c>
      <c r="Q13" s="7" t="str">
        <f>IF(OR(LEN('A créer'!$C13)=0,'A créer'!$E13="Oui"),"",'A créer'!A13)</f>
        <v>0474</v>
      </c>
      <c r="R13" s="2" t="str">
        <f>IF(OR(LEN('A créer'!$C13)=0,'A créer'!$E13="Oui"),"","TAB")</f>
        <v>TAB</v>
      </c>
      <c r="S13" s="7" t="str">
        <f>IF(OR(LEN('A créer'!$C13)=0,'A créer'!$E13="Oui"),"","Setup Business Group")</f>
        <v>Setup Business Group</v>
      </c>
      <c r="T13" s="2" t="str">
        <f>IF(OR(LEN('A créer'!$C13)=0,'A créer'!$E13="Oui"),"","TAB 4")</f>
        <v>TAB 4</v>
      </c>
      <c r="U13" s="2" t="str">
        <f>IF(OR(LEN('A créer'!$C13)=0,'A créer'!$E13="Oui"),"","TAB 4")</f>
        <v>TAB 4</v>
      </c>
      <c r="V13" s="2" t="str">
        <f>IF(OR(LEN('A créer'!$C13)=0,'A créer'!$E13="Oui"),"","TAB")</f>
        <v>TAB</v>
      </c>
      <c r="W13" s="2" t="str">
        <f>IF(OR(LEN('A créer'!$C13)=0,'A créer'!$E13="Oui"),"","TAB")</f>
        <v>TAB</v>
      </c>
      <c r="X13" s="2" t="str">
        <f>IF(OR(LEN('A créer'!$C13)=0,'A créer'!$E13="Oui"),"","TAB")</f>
        <v>TAB</v>
      </c>
      <c r="Y13" s="7" t="str">
        <f>IF(OR(LEN('A créer'!$C13)=0,'A créer'!$E13="Oui"),"","\Sécuriser les organisations par hiérarchie")</f>
        <v>\Sécuriser les organisations par hiérarchie</v>
      </c>
      <c r="Z13" s="2" t="str">
        <f>IF(OR(LEN('A créer'!$C13)=0,'A créer'!$E13="Oui"),"","TAB 4")</f>
        <v>TAB 4</v>
      </c>
      <c r="AA13" s="7" t="str">
        <f>IF(OR(LEN('A créer'!$C13)=0,'A créer'!$E13="Oui"),"",CONCATENATE('A créer'!B13,'A créer'!A13))</f>
        <v>DMS0474</v>
      </c>
      <c r="AB13" s="2" t="str">
        <f>IF(OR(LEN('A créer'!$C13)=0,'A créer'!$E13="Oui"),"","TAB")</f>
        <v>TAB</v>
      </c>
      <c r="AC13" s="2" t="str">
        <f>IF(OR(LEN('A créer'!$C13)=0,'A créer'!$E13="Oui"),"","*SAVE")</f>
        <v>*SAVE</v>
      </c>
      <c r="AD13" s="2" t="str">
        <f>IF(OR(LEN('A créer'!$C13)=0,'A créer'!$E13="Oui"),"","*ML(237,126)")</f>
        <v>*ML(237,126)</v>
      </c>
    </row>
    <row r="14" spans="1:30" x14ac:dyDescent="0.25">
      <c r="A14" s="2" t="str">
        <f>IF(AND(LEN('A créer'!$C14)=0,LEN('A créer'!$E14&gt;0)),"","*FN")</f>
        <v>*FN</v>
      </c>
      <c r="B14" s="7" t="str">
        <f>IF(AND(LEN('A créer'!$C14)=0,LEN('A créer'!$E14&gt;0)),"",CONCATENATE('A créer'!B14,'A créer'!A14))</f>
        <v>DNA0470</v>
      </c>
      <c r="C14" s="2" t="str">
        <f>IF(AND(LEN('A créer'!$C14)=0,LEN('A créer'!$E14&gt;0)),"","TAB")</f>
        <v>TAB</v>
      </c>
      <c r="D14" s="7" t="str">
        <f>IF(AND(LEN('A créer'!$C14)=0,LEN('A créer'!$E14&gt;0)),"","Setup Business Group")</f>
        <v>Setup Business Group</v>
      </c>
      <c r="E14" s="2" t="str">
        <f>IF(AND(LEN('A créer'!$C14)=0,LEN('A créer'!$E14&gt;0)),"","TAB 4")</f>
        <v>TAB 4</v>
      </c>
      <c r="F14" s="2" t="str">
        <f>IF(AND(LEN('A créer'!$C14)=0,LEN('A créer'!$E14&gt;0)),"","TAB 4")</f>
        <v>TAB 4</v>
      </c>
      <c r="G14" s="2" t="str">
        <f>IF(AND(LEN('A créer'!$C14)=0,LEN('A créer'!$E14&gt;0)),"","TAB")</f>
        <v>TAB</v>
      </c>
      <c r="H14" s="2" t="str">
        <f>IF(AND(LEN('A créer'!$C14)=0,LEN('A créer'!$E14&gt;0)),"","TAB")</f>
        <v>TAB</v>
      </c>
      <c r="I14" s="2" t="str">
        <f>IF(AND(LEN('A créer'!$C14)=0,LEN('A créer'!$E14&gt;0)),"","TAB")</f>
        <v>TAB</v>
      </c>
      <c r="J14" s="7" t="str">
        <f>IF(AND(LEN('A créer'!$C14)=0,LEN('A créer'!$E14&gt;0)),"","\Sécuriser les organisations par hiérarchie")</f>
        <v>\Sécuriser les organisations par hiérarchie</v>
      </c>
      <c r="K14" s="2" t="str">
        <f>IF(AND(LEN('A créer'!$C14)=0,LEN('A créer'!$E14&gt;0)),"","TAB 4")</f>
        <v>TAB 4</v>
      </c>
      <c r="L14" s="7" t="str">
        <f>IF(AND(LEN('A créer'!$C14)=0,LEN('A créer'!$E14&gt;0)),"",CONCATENATE('A créer'!B14,'A créer'!A14))</f>
        <v>DNA0470</v>
      </c>
      <c r="M14" s="2" t="str">
        <f>IF(AND(LEN('A créer'!$C14)=0,LEN('A créer'!$E14&gt;0)),"","TAB")</f>
        <v>TAB</v>
      </c>
      <c r="N14" s="2" t="str">
        <f>IF(AND(LEN('A créer'!$C14)=0,LEN('A créer'!$E14&gt;0)),"","*SAVE")</f>
        <v>*SAVE</v>
      </c>
      <c r="O14" s="2" t="str">
        <f>IF(AND(LEN('A créer'!$C14)=0,LEN('A créer'!$E14&gt;0)),"","*ML(237,126)")</f>
        <v>*ML(237,126)</v>
      </c>
      <c r="P14" s="2" t="str">
        <f>IF(OR(LEN('A créer'!$C14)=0,'A créer'!$E14="Oui"),"","*FN")</f>
        <v>*FN</v>
      </c>
      <c r="Q14" s="7" t="str">
        <f>IF(OR(LEN('A créer'!$C14)=0,'A créer'!$E14="Oui"),"",'A créer'!A14)</f>
        <v>0470</v>
      </c>
      <c r="R14" s="2" t="str">
        <f>IF(OR(LEN('A créer'!$C14)=0,'A créer'!$E14="Oui"),"","TAB")</f>
        <v>TAB</v>
      </c>
      <c r="S14" s="7" t="str">
        <f>IF(OR(LEN('A créer'!$C14)=0,'A créer'!$E14="Oui"),"","Setup Business Group")</f>
        <v>Setup Business Group</v>
      </c>
      <c r="T14" s="2" t="str">
        <f>IF(OR(LEN('A créer'!$C14)=0,'A créer'!$E14="Oui"),"","TAB 4")</f>
        <v>TAB 4</v>
      </c>
      <c r="U14" s="2" t="str">
        <f>IF(OR(LEN('A créer'!$C14)=0,'A créer'!$E14="Oui"),"","TAB 4")</f>
        <v>TAB 4</v>
      </c>
      <c r="V14" s="2" t="str">
        <f>IF(OR(LEN('A créer'!$C14)=0,'A créer'!$E14="Oui"),"","TAB")</f>
        <v>TAB</v>
      </c>
      <c r="W14" s="2" t="str">
        <f>IF(OR(LEN('A créer'!$C14)=0,'A créer'!$E14="Oui"),"","TAB")</f>
        <v>TAB</v>
      </c>
      <c r="X14" s="2" t="str">
        <f>IF(OR(LEN('A créer'!$C14)=0,'A créer'!$E14="Oui"),"","TAB")</f>
        <v>TAB</v>
      </c>
      <c r="Y14" s="7" t="str">
        <f>IF(OR(LEN('A créer'!$C14)=0,'A créer'!$E14="Oui"),"","\Sécuriser les organisations par hiérarchie")</f>
        <v>\Sécuriser les organisations par hiérarchie</v>
      </c>
      <c r="Z14" s="2" t="str">
        <f>IF(OR(LEN('A créer'!$C14)=0,'A créer'!$E14="Oui"),"","TAB 4")</f>
        <v>TAB 4</v>
      </c>
      <c r="AA14" s="7" t="str">
        <f>IF(OR(LEN('A créer'!$C14)=0,'A créer'!$E14="Oui"),"",CONCATENATE('A créer'!B14,'A créer'!A14))</f>
        <v>DNA0470</v>
      </c>
      <c r="AB14" s="2" t="str">
        <f>IF(OR(LEN('A créer'!$C14)=0,'A créer'!$E14="Oui"),"","TAB")</f>
        <v>TAB</v>
      </c>
      <c r="AC14" s="2" t="str">
        <f>IF(OR(LEN('A créer'!$C14)=0,'A créer'!$E14="Oui"),"","*SAVE")</f>
        <v>*SAVE</v>
      </c>
      <c r="AD14" s="2" t="str">
        <f>IF(OR(LEN('A créer'!$C14)=0,'A créer'!$E14="Oui"),"","*ML(237,126)")</f>
        <v>*ML(237,126)</v>
      </c>
    </row>
    <row r="15" spans="1:30" x14ac:dyDescent="0.25">
      <c r="A15" s="2" t="str">
        <f>IF(AND(LEN('A créer'!$C15)=0,LEN('A créer'!$E15&gt;0)),"","*FN")</f>
        <v/>
      </c>
      <c r="B15" s="7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7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7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7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7" t="str">
        <f>IF(OR(LEN('A créer'!$C15)=0,'A créer'!$E15="Oui"),"",'A créer'!A15)</f>
        <v/>
      </c>
      <c r="R15" s="2" t="str">
        <f>IF(OR(LEN('A créer'!$C15)=0,'A créer'!$E15="Oui"),"","TAB")</f>
        <v/>
      </c>
      <c r="S15" s="7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7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7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7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7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7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7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7" t="str">
        <f>IF(OR(LEN('A créer'!$C16)=0,'A créer'!$E16="Oui"),"",'A créer'!A16)</f>
        <v/>
      </c>
      <c r="R16" s="2" t="str">
        <f>IF(OR(LEN('A créer'!$C16)=0,'A créer'!$E16="Oui"),"","TAB")</f>
        <v/>
      </c>
      <c r="S16" s="7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7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7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7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7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7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7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7" t="str">
        <f>IF(OR(LEN('A créer'!$C17)=0,'A créer'!$E17="Oui"),"",'A créer'!A17)</f>
        <v/>
      </c>
      <c r="R17" s="2" t="str">
        <f>IF(OR(LEN('A créer'!$C17)=0,'A créer'!$E17="Oui"),"","TAB")</f>
        <v/>
      </c>
      <c r="S17" s="7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7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7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7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7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7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7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7" t="str">
        <f>IF(OR(LEN('A créer'!$C18)=0,'A créer'!$E18="Oui"),"",'A créer'!A18)</f>
        <v/>
      </c>
      <c r="R18" s="2" t="str">
        <f>IF(OR(LEN('A créer'!$C18)=0,'A créer'!$E18="Oui"),"","TAB")</f>
        <v/>
      </c>
      <c r="S18" s="7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7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7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7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7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7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7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7" t="str">
        <f>IF(OR(LEN('A créer'!$C19)=0,'A créer'!$E19="Oui"),"",'A créer'!A19)</f>
        <v/>
      </c>
      <c r="R19" s="2" t="str">
        <f>IF(OR(LEN('A créer'!$C19)=0,'A créer'!$E19="Oui"),"","TAB")</f>
        <v/>
      </c>
      <c r="S19" s="7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7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7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7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7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7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7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7" t="str">
        <f>IF(OR(LEN('A créer'!$C20)=0,'A créer'!$E20="Oui"),"",'A créer'!A20)</f>
        <v/>
      </c>
      <c r="R20" s="2" t="str">
        <f>IF(OR(LEN('A créer'!$C20)=0,'A créer'!$E20="Oui"),"","TAB")</f>
        <v/>
      </c>
      <c r="S20" s="7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7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7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7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7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7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7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7" t="str">
        <f>IF(OR(LEN('A créer'!$C21)=0,'A créer'!$E21="Oui"),"",'A créer'!A21)</f>
        <v/>
      </c>
      <c r="R21" s="2" t="str">
        <f>IF(OR(LEN('A créer'!$C21)=0,'A créer'!$E21="Oui"),"","TAB")</f>
        <v/>
      </c>
      <c r="S21" s="7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7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7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7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7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7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7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7" t="str">
        <f>IF(OR(LEN('A créer'!$C22)=0,'A créer'!$E22="Oui"),"",'A créer'!A22)</f>
        <v/>
      </c>
      <c r="R22" s="2" t="str">
        <f>IF(OR(LEN('A créer'!$C22)=0,'A créer'!$E22="Oui"),"","TAB")</f>
        <v/>
      </c>
      <c r="S22" s="7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7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7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7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7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7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7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7" t="str">
        <f>IF(OR(LEN('A créer'!$C23)=0,'A créer'!$E23="Oui"),"",'A créer'!A23)</f>
        <v/>
      </c>
      <c r="R23" s="2" t="str">
        <f>IF(OR(LEN('A créer'!$C23)=0,'A créer'!$E23="Oui"),"","TAB")</f>
        <v/>
      </c>
      <c r="S23" s="7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7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7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7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7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7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7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7" t="str">
        <f>IF(OR(LEN('A créer'!$C24)=0,'A créer'!$E24="Oui"),"",'A créer'!A24)</f>
        <v/>
      </c>
      <c r="R24" s="2" t="str">
        <f>IF(OR(LEN('A créer'!$C24)=0,'A créer'!$E24="Oui"),"","TAB")</f>
        <v/>
      </c>
      <c r="S24" s="7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7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7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7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7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7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7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7" t="str">
        <f>IF(OR(LEN('A créer'!$C25)=0,'A créer'!$E25="Oui"),"",'A créer'!A25)</f>
        <v/>
      </c>
      <c r="R25" s="2" t="str">
        <f>IF(OR(LEN('A créer'!$C25)=0,'A créer'!$E25="Oui"),"","TAB")</f>
        <v/>
      </c>
      <c r="S25" s="7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7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7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7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7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7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7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7" t="str">
        <f>IF(OR(LEN('A créer'!$C26)=0,'A créer'!$E26="Oui"),"",'A créer'!A26)</f>
        <v/>
      </c>
      <c r="R26" s="2" t="str">
        <f>IF(OR(LEN('A créer'!$C26)=0,'A créer'!$E26="Oui"),"","TAB")</f>
        <v/>
      </c>
      <c r="S26" s="7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7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7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7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7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7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7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7" t="str">
        <f>IF(OR(LEN('A créer'!$C27)=0,'A créer'!$E27="Oui"),"",'A créer'!A27)</f>
        <v/>
      </c>
      <c r="R27" s="2" t="str">
        <f>IF(OR(LEN('A créer'!$C27)=0,'A créer'!$E27="Oui"),"","TAB")</f>
        <v/>
      </c>
      <c r="S27" s="7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7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7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7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7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7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7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7" t="str">
        <f>IF(OR(LEN('A créer'!$C28)=0,'A créer'!$E28="Oui"),"",'A créer'!A28)</f>
        <v/>
      </c>
      <c r="R28" s="2" t="str">
        <f>IF(OR(LEN('A créer'!$C28)=0,'A créer'!$E28="Oui"),"","TAB")</f>
        <v/>
      </c>
      <c r="S28" s="7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7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7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7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7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7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7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7" t="str">
        <f>IF(OR(LEN('A créer'!$C29)=0,'A créer'!$E29="Oui"),"",'A créer'!A29)</f>
        <v/>
      </c>
      <c r="R29" s="2" t="str">
        <f>IF(OR(LEN('A créer'!$C29)=0,'A créer'!$E29="Oui"),"","TAB")</f>
        <v/>
      </c>
      <c r="S29" s="7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7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7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7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7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7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7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7" t="str">
        <f>IF(OR(LEN('A créer'!$C30)=0,'A créer'!$E30="Oui"),"",'A créer'!A30)</f>
        <v/>
      </c>
      <c r="R30" s="2" t="str">
        <f>IF(OR(LEN('A créer'!$C30)=0,'A créer'!$E30="Oui"),"","TAB")</f>
        <v/>
      </c>
      <c r="S30" s="7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7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7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6" activePane="bottomLeft" state="frozenSplit"/>
      <selection pane="bottomLeft" activeCell="B22" sqref="B22"/>
    </sheetView>
  </sheetViews>
  <sheetFormatPr baseColWidth="10" defaultRowHeight="15" x14ac:dyDescent="0.25"/>
  <cols>
    <col min="1" max="1" width="4.28515625" bestFit="1" customWidth="1"/>
    <col min="2" max="2" width="4.28515625" style="7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7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7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DOS0443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>TAB</v>
      </c>
      <c r="B3" s="2" t="str">
        <f>IF(LEN('A créer'!$C3)=0,"","TAB")</f>
        <v>TAB</v>
      </c>
      <c r="C3" s="7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7" t="str">
        <f>IF(LEN('A créer'!$C3)=0,"",CONCATENATE('A créer'!B3,'A créer'!A3))</f>
        <v>DOS0444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25">
      <c r="A4" s="2" t="str">
        <f>IF(LEN('A créer'!$C4)=0,"","TAB")</f>
        <v>TAB</v>
      </c>
      <c r="B4" s="2" t="str">
        <f>IF(LEN('A créer'!$C4)=0,"","TAB")</f>
        <v>TAB</v>
      </c>
      <c r="C4" s="7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7" t="str">
        <f>IF(LEN('A créer'!$C4)=0,"",CONCATENATE('A créer'!B4,'A créer'!A4))</f>
        <v>DOS0446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25">
      <c r="A5" s="2" t="str">
        <f>IF(LEN('A créer'!$C5)=0,"","TAB")</f>
        <v>TAB</v>
      </c>
      <c r="B5" s="2" t="str">
        <f>IF(LEN('A créer'!$C5)=0,"","TAB")</f>
        <v>TAB</v>
      </c>
      <c r="C5" s="7" t="str">
        <f>IF(LEN('A créer'!$C5)=0,"","\Un profil de sécurité nommé")</f>
        <v>\Un profil de sécurité nommé</v>
      </c>
      <c r="D5" s="2" t="str">
        <f>IF(LEN('A créer'!$C5)=0,"","TAB")</f>
        <v>TAB</v>
      </c>
      <c r="E5" s="2" t="str">
        <f>IF(LEN('A créer'!$C5)=0,"","TAB")</f>
        <v>TAB</v>
      </c>
      <c r="F5" s="7" t="str">
        <f>IF(LEN('A créer'!$C5)=0,"",CONCATENATE('A créer'!B5,'A créer'!A5))</f>
        <v>DOS0449</v>
      </c>
      <c r="G5" s="2" t="str">
        <f>IF(LEN('A créer'!$C5)=0,"","TAB")</f>
        <v>TAB</v>
      </c>
      <c r="H5" s="2" t="str">
        <f>IF(LEN('A créer'!$C5)=0,"","ENT")</f>
        <v>ENT</v>
      </c>
      <c r="I5" s="2" t="str">
        <f>IF(LEN('A créer'!$C5)=0,"","TAB")</f>
        <v>TAB</v>
      </c>
      <c r="J5" s="2" t="str">
        <f>IF(LEN('A créer'!$C5)=0,"","TAB")</f>
        <v>TAB</v>
      </c>
      <c r="K5" s="2" t="str">
        <f>IF(LEN('A créer'!$C5)=0,"","ENT")</f>
        <v>ENT</v>
      </c>
      <c r="L5" s="2" t="str">
        <f>IF(LEN('A créer'!$C5)=0,"","ENT")</f>
        <v>ENT</v>
      </c>
    </row>
    <row r="6" spans="1:12" x14ac:dyDescent="0.25">
      <c r="A6" s="2" t="str">
        <f>IF(LEN('A créer'!$C6)=0,"","TAB")</f>
        <v>TAB</v>
      </c>
      <c r="B6" s="2" t="str">
        <f>IF(LEN('A créer'!$C6)=0,"","TAB")</f>
        <v>TAB</v>
      </c>
      <c r="C6" s="7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7" t="str">
        <f>IF(LEN('A créer'!$C6)=0,"",CONCATENATE('A créer'!B6,'A créer'!A6))</f>
        <v>DOS0450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25">
      <c r="A7" s="2" t="str">
        <f>IF(LEN('A créer'!$C7)=0,"","TAB")</f>
        <v>TAB</v>
      </c>
      <c r="B7" s="2" t="str">
        <f>IF(LEN('A créer'!$C7)=0,"","TAB")</f>
        <v>TAB</v>
      </c>
      <c r="C7" s="7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7" t="str">
        <f>IF(LEN('A créer'!$C7)=0,"",CONCATENATE('A créer'!B7,'A créer'!A7))</f>
        <v>DOS0454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25">
      <c r="A8" s="2" t="str">
        <f>IF(LEN('A créer'!$C8)=0,"","TAB")</f>
        <v>TAB</v>
      </c>
      <c r="B8" s="2" t="str">
        <f>IF(LEN('A créer'!$C8)=0,"","TAB")</f>
        <v>TAB</v>
      </c>
      <c r="C8" s="7" t="str">
        <f>IF(LEN('A créer'!$C8)=0,"","\Un profil de sécurité nommé")</f>
        <v>\Un profil de sécurité nommé</v>
      </c>
      <c r="D8" s="2" t="str">
        <f>IF(LEN('A créer'!$C8)=0,"","TAB")</f>
        <v>TAB</v>
      </c>
      <c r="E8" s="2" t="str">
        <f>IF(LEN('A créer'!$C8)=0,"","TAB")</f>
        <v>TAB</v>
      </c>
      <c r="F8" s="7" t="str">
        <f>IF(LEN('A créer'!$C8)=0,"",CONCATENATE('A créer'!B8,'A créer'!A8))</f>
        <v>DOS0455</v>
      </c>
      <c r="G8" s="2" t="str">
        <f>IF(LEN('A créer'!$C8)=0,"","TAB")</f>
        <v>TAB</v>
      </c>
      <c r="H8" s="2" t="str">
        <f>IF(LEN('A créer'!$C8)=0,"","ENT")</f>
        <v>ENT</v>
      </c>
      <c r="I8" s="2" t="str">
        <f>IF(LEN('A créer'!$C8)=0,"","TAB")</f>
        <v>TAB</v>
      </c>
      <c r="J8" s="2" t="str">
        <f>IF(LEN('A créer'!$C8)=0,"","TAB")</f>
        <v>TAB</v>
      </c>
      <c r="K8" s="2" t="str">
        <f>IF(LEN('A créer'!$C8)=0,"","ENT")</f>
        <v>ENT</v>
      </c>
      <c r="L8" s="2" t="str">
        <f>IF(LEN('A créer'!$C8)=0,"","ENT")</f>
        <v>ENT</v>
      </c>
    </row>
    <row r="9" spans="1:12" x14ac:dyDescent="0.25">
      <c r="A9" s="2" t="str">
        <f>IF(LEN('A créer'!$C9)=0,"","TAB")</f>
        <v>TAB</v>
      </c>
      <c r="B9" s="2" t="str">
        <f>IF(LEN('A créer'!$C9)=0,"","TAB")</f>
        <v>TAB</v>
      </c>
      <c r="C9" s="7" t="str">
        <f>IF(LEN('A créer'!$C9)=0,"","\Un profil de sécurité nommé")</f>
        <v>\Un profil de sécurité nommé</v>
      </c>
      <c r="D9" s="2" t="str">
        <f>IF(LEN('A créer'!$C9)=0,"","TAB")</f>
        <v>TAB</v>
      </c>
      <c r="E9" s="2" t="str">
        <f>IF(LEN('A créer'!$C9)=0,"","TAB")</f>
        <v>TAB</v>
      </c>
      <c r="F9" s="7" t="str">
        <f>IF(LEN('A créer'!$C9)=0,"",CONCATENATE('A créer'!B9,'A créer'!A9))</f>
        <v>DOS0456</v>
      </c>
      <c r="G9" s="2" t="str">
        <f>IF(LEN('A créer'!$C9)=0,"","TAB")</f>
        <v>TAB</v>
      </c>
      <c r="H9" s="2" t="str">
        <f>IF(LEN('A créer'!$C9)=0,"","ENT")</f>
        <v>ENT</v>
      </c>
      <c r="I9" s="2" t="str">
        <f>IF(LEN('A créer'!$C9)=0,"","TAB")</f>
        <v>TAB</v>
      </c>
      <c r="J9" s="2" t="str">
        <f>IF(LEN('A créer'!$C9)=0,"","TAB")</f>
        <v>TAB</v>
      </c>
      <c r="K9" s="2" t="str">
        <f>IF(LEN('A créer'!$C9)=0,"","ENT")</f>
        <v>ENT</v>
      </c>
      <c r="L9" s="2" t="str">
        <f>IF(LEN('A créer'!$C9)=0,"","ENT")</f>
        <v>ENT</v>
      </c>
    </row>
    <row r="10" spans="1:12" x14ac:dyDescent="0.25">
      <c r="A10" s="2" t="str">
        <f>IF(LEN('A créer'!$C10)=0,"","TAB")</f>
        <v>TAB</v>
      </c>
      <c r="B10" s="2" t="str">
        <f>IF(LEN('A créer'!$C10)=0,"","TAB")</f>
        <v>TAB</v>
      </c>
      <c r="C10" s="7" t="str">
        <f>IF(LEN('A créer'!$C10)=0,"","\Un profil de sécurité nommé")</f>
        <v>\Un profil de sécurité nommé</v>
      </c>
      <c r="D10" s="2" t="str">
        <f>IF(LEN('A créer'!$C10)=0,"","TAB")</f>
        <v>TAB</v>
      </c>
      <c r="E10" s="2" t="str">
        <f>IF(LEN('A créer'!$C10)=0,"","TAB")</f>
        <v>TAB</v>
      </c>
      <c r="F10" s="7" t="str">
        <f>IF(LEN('A créer'!$C10)=0,"",CONCATENATE('A créer'!B10,'A créer'!A10))</f>
        <v>DRW0453</v>
      </c>
      <c r="G10" s="2" t="str">
        <f>IF(LEN('A créer'!$C10)=0,"","TAB")</f>
        <v>TAB</v>
      </c>
      <c r="H10" s="2" t="str">
        <f>IF(LEN('A créer'!$C10)=0,"","ENT")</f>
        <v>ENT</v>
      </c>
      <c r="I10" s="2" t="str">
        <f>IF(LEN('A créer'!$C10)=0,"","TAB")</f>
        <v>TAB</v>
      </c>
      <c r="J10" s="2" t="str">
        <f>IF(LEN('A créer'!$C10)=0,"","TAB")</f>
        <v>TAB</v>
      </c>
      <c r="K10" s="2" t="str">
        <f>IF(LEN('A créer'!$C10)=0,"","ENT")</f>
        <v>ENT</v>
      </c>
      <c r="L10" s="2" t="str">
        <f>IF(LEN('A créer'!$C10)=0,"","ENT")</f>
        <v>ENT</v>
      </c>
    </row>
    <row r="11" spans="1:12" x14ac:dyDescent="0.25">
      <c r="A11" s="2" t="str">
        <f>IF(LEN('A créer'!$C11)=0,"","TAB")</f>
        <v>TAB</v>
      </c>
      <c r="B11" s="2" t="str">
        <f>IF(LEN('A créer'!$C11)=0,"","TAB")</f>
        <v>TAB</v>
      </c>
      <c r="C11" s="7" t="str">
        <f>IF(LEN('A créer'!$C11)=0,"","\Un profil de sécurité nommé")</f>
        <v>\Un profil de sécurité nommé</v>
      </c>
      <c r="D11" s="2" t="str">
        <f>IF(LEN('A créer'!$C11)=0,"","TAB")</f>
        <v>TAB</v>
      </c>
      <c r="E11" s="2" t="str">
        <f>IF(LEN('A créer'!$C11)=0,"","TAB")</f>
        <v>TAB</v>
      </c>
      <c r="F11" s="7" t="str">
        <f>IF(LEN('A créer'!$C11)=0,"",CONCATENATE('A créer'!B11,'A créer'!A11))</f>
        <v>DOS0457</v>
      </c>
      <c r="G11" s="2" t="str">
        <f>IF(LEN('A créer'!$C11)=0,"","TAB")</f>
        <v>TAB</v>
      </c>
      <c r="H11" s="2" t="str">
        <f>IF(LEN('A créer'!$C11)=0,"","ENT")</f>
        <v>ENT</v>
      </c>
      <c r="I11" s="2" t="str">
        <f>IF(LEN('A créer'!$C11)=0,"","TAB")</f>
        <v>TAB</v>
      </c>
      <c r="J11" s="2" t="str">
        <f>IF(LEN('A créer'!$C11)=0,"","TAB")</f>
        <v>TAB</v>
      </c>
      <c r="K11" s="2" t="str">
        <f>IF(LEN('A créer'!$C11)=0,"","ENT")</f>
        <v>ENT</v>
      </c>
      <c r="L11" s="2" t="str">
        <f>IF(LEN('A créer'!$C11)=0,"","ENT")</f>
        <v>ENT</v>
      </c>
    </row>
    <row r="12" spans="1:12" x14ac:dyDescent="0.25">
      <c r="A12" s="2" t="str">
        <f>IF(LEN('A créer'!$C12)=0,"","TAB")</f>
        <v>TAB</v>
      </c>
      <c r="B12" s="2" t="str">
        <f>IF(LEN('A créer'!$C12)=0,"","TAB")</f>
        <v>TAB</v>
      </c>
      <c r="C12" s="7" t="str">
        <f>IF(LEN('A créer'!$C12)=0,"","\Un profil de sécurité nommé")</f>
        <v>\Un profil de sécurité nommé</v>
      </c>
      <c r="D12" s="2" t="str">
        <f>IF(LEN('A créer'!$C12)=0,"","TAB")</f>
        <v>TAB</v>
      </c>
      <c r="E12" s="2" t="str">
        <f>IF(LEN('A créer'!$C12)=0,"","TAB")</f>
        <v>TAB</v>
      </c>
      <c r="F12" s="7" t="str">
        <f>IF(LEN('A créer'!$C12)=0,"",CONCATENATE('A créer'!B12,'A créer'!A12))</f>
        <v>DOS0473</v>
      </c>
      <c r="G12" s="2" t="str">
        <f>IF(LEN('A créer'!$C12)=0,"","TAB")</f>
        <v>TAB</v>
      </c>
      <c r="H12" s="2" t="str">
        <f>IF(LEN('A créer'!$C12)=0,"","ENT")</f>
        <v>ENT</v>
      </c>
      <c r="I12" s="2" t="str">
        <f>IF(LEN('A créer'!$C12)=0,"","TAB")</f>
        <v>TAB</v>
      </c>
      <c r="J12" s="2" t="str">
        <f>IF(LEN('A créer'!$C12)=0,"","TAB")</f>
        <v>TAB</v>
      </c>
      <c r="K12" s="2" t="str">
        <f>IF(LEN('A créer'!$C12)=0,"","ENT")</f>
        <v>ENT</v>
      </c>
      <c r="L12" s="2" t="str">
        <f>IF(LEN('A créer'!$C12)=0,"","ENT")</f>
        <v>ENT</v>
      </c>
    </row>
    <row r="13" spans="1:12" x14ac:dyDescent="0.25">
      <c r="A13" s="2" t="str">
        <f>IF(LEN('A créer'!$C13)=0,"","TAB")</f>
        <v>TAB</v>
      </c>
      <c r="B13" s="2" t="str">
        <f>IF(LEN('A créer'!$C13)=0,"","TAB")</f>
        <v>TAB</v>
      </c>
      <c r="C13" s="7" t="str">
        <f>IF(LEN('A créer'!$C13)=0,"","\Un profil de sécurité nommé")</f>
        <v>\Un profil de sécurité nommé</v>
      </c>
      <c r="D13" s="2" t="str">
        <f>IF(LEN('A créer'!$C13)=0,"","TAB")</f>
        <v>TAB</v>
      </c>
      <c r="E13" s="2" t="str">
        <f>IF(LEN('A créer'!$C13)=0,"","TAB")</f>
        <v>TAB</v>
      </c>
      <c r="F13" s="7" t="str">
        <f>IF(LEN('A créer'!$C13)=0,"",CONCATENATE('A créer'!B13,'A créer'!A13))</f>
        <v>DMS0474</v>
      </c>
      <c r="G13" s="2" t="str">
        <f>IF(LEN('A créer'!$C13)=0,"","TAB")</f>
        <v>TAB</v>
      </c>
      <c r="H13" s="2" t="str">
        <f>IF(LEN('A créer'!$C13)=0,"","ENT")</f>
        <v>ENT</v>
      </c>
      <c r="I13" s="2" t="str">
        <f>IF(LEN('A créer'!$C13)=0,"","TAB")</f>
        <v>TAB</v>
      </c>
      <c r="J13" s="2" t="str">
        <f>IF(LEN('A créer'!$C13)=0,"","TAB")</f>
        <v>TAB</v>
      </c>
      <c r="K13" s="2" t="str">
        <f>IF(LEN('A créer'!$C13)=0,"","ENT")</f>
        <v>ENT</v>
      </c>
      <c r="L13" s="2" t="str">
        <f>IF(LEN('A créer'!$C13)=0,"","ENT")</f>
        <v>ENT</v>
      </c>
    </row>
    <row r="14" spans="1:12" x14ac:dyDescent="0.25">
      <c r="A14" s="2" t="str">
        <f>IF(LEN('A créer'!$C14)=0,"","TAB")</f>
        <v>TAB</v>
      </c>
      <c r="B14" s="2" t="str">
        <f>IF(LEN('A créer'!$C14)=0,"","TAB")</f>
        <v>TAB</v>
      </c>
      <c r="C14" s="7" t="str">
        <f>IF(LEN('A créer'!$C14)=0,"","\Un profil de sécurité nommé")</f>
        <v>\Un profil de sécurité nommé</v>
      </c>
      <c r="D14" s="2" t="str">
        <f>IF(LEN('A créer'!$C14)=0,"","TAB")</f>
        <v>TAB</v>
      </c>
      <c r="E14" s="2" t="str">
        <f>IF(LEN('A créer'!$C14)=0,"","TAB")</f>
        <v>TAB</v>
      </c>
      <c r="F14" s="7" t="str">
        <f>IF(LEN('A créer'!$C14)=0,"",CONCATENATE('A créer'!B14,'A créer'!A14))</f>
        <v>DNA0470</v>
      </c>
      <c r="G14" s="2" t="str">
        <f>IF(LEN('A créer'!$C14)=0,"","TAB")</f>
        <v>TAB</v>
      </c>
      <c r="H14" s="2" t="str">
        <f>IF(LEN('A créer'!$C14)=0,"","ENT")</f>
        <v>ENT</v>
      </c>
      <c r="I14" s="2" t="str">
        <f>IF(LEN('A créer'!$C14)=0,"","TAB")</f>
        <v>TAB</v>
      </c>
      <c r="J14" s="2" t="str">
        <f>IF(LEN('A créer'!$C14)=0,"","TAB")</f>
        <v>TAB</v>
      </c>
      <c r="K14" s="2" t="str">
        <f>IF(LEN('A créer'!$C14)=0,"","ENT")</f>
        <v>ENT</v>
      </c>
      <c r="L14" s="2" t="str">
        <f>IF(LEN('A créer'!$C14)=0,"","ENT")</f>
        <v>ENT</v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7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7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7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7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7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7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7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7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7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7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7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7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7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7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7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7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7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7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7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7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7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7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7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7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7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7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7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7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7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7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7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7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C6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3" t="s">
        <v>75</v>
      </c>
      <c r="B1" s="13" t="s">
        <v>76</v>
      </c>
      <c r="C1" s="13" t="s">
        <v>77</v>
      </c>
    </row>
    <row r="2" spans="1:3" x14ac:dyDescent="0.25">
      <c r="A2" s="12" t="s">
        <v>80</v>
      </c>
      <c r="B2" s="12" t="s">
        <v>81</v>
      </c>
      <c r="C2" s="14" t="s">
        <v>38</v>
      </c>
    </row>
    <row r="3" spans="1:3" x14ac:dyDescent="0.25">
      <c r="A3" s="12" t="s">
        <v>82</v>
      </c>
      <c r="B3" s="12" t="s">
        <v>83</v>
      </c>
      <c r="C3" s="14" t="s">
        <v>43</v>
      </c>
    </row>
    <row r="4" spans="1:3" x14ac:dyDescent="0.25">
      <c r="A4" s="12" t="s">
        <v>84</v>
      </c>
      <c r="B4" s="12" t="s">
        <v>85</v>
      </c>
      <c r="C4" s="14" t="s">
        <v>39</v>
      </c>
    </row>
    <row r="5" spans="1:3" x14ac:dyDescent="0.25">
      <c r="A5" s="12" t="s">
        <v>86</v>
      </c>
      <c r="B5" s="12" t="s">
        <v>87</v>
      </c>
      <c r="C5" s="14" t="s">
        <v>40</v>
      </c>
    </row>
    <row r="6" spans="1:3" x14ac:dyDescent="0.25">
      <c r="A6" s="12" t="s">
        <v>88</v>
      </c>
      <c r="B6" s="12" t="s">
        <v>89</v>
      </c>
      <c r="C6" s="14" t="s">
        <v>44</v>
      </c>
    </row>
    <row r="7" spans="1:3" x14ac:dyDescent="0.25">
      <c r="A7" s="15" t="s">
        <v>78</v>
      </c>
      <c r="B7" s="14" t="s">
        <v>79</v>
      </c>
      <c r="C7" s="14" t="s">
        <v>3</v>
      </c>
    </row>
    <row r="8" spans="1:3" x14ac:dyDescent="0.25">
      <c r="A8" s="12" t="s">
        <v>90</v>
      </c>
      <c r="B8" s="12" t="s">
        <v>91</v>
      </c>
      <c r="C8" s="14" t="s">
        <v>41</v>
      </c>
    </row>
    <row r="9" spans="1:3" x14ac:dyDescent="0.25">
      <c r="A9" s="12" t="s">
        <v>92</v>
      </c>
      <c r="B9" s="12" t="s">
        <v>93</v>
      </c>
      <c r="C9" s="14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2021-12-15T15:45:24Z</dcterms:modified>
</cp:coreProperties>
</file>