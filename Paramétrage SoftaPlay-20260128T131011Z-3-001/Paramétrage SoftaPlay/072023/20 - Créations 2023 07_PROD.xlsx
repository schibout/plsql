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Juillet 2023\"/>
    </mc:Choice>
  </mc:AlternateContent>
  <bookViews>
    <workbookView xWindow="285" yWindow="45" windowWidth="15870" windowHeight="5835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J3" i="5" l="1"/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<sst xmlns="http://schemas.openxmlformats.org/spreadsheetml/2006/main" count="520" uniqueCount="131">
  <si>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</si>
  <si>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</si>
  <si>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</si>
  <si>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</si>
  <si>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</si>
  <si>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</si>
  <si>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</si>
  <si>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</si>
  <si>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</si>
  <si>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</si>
  <si>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</si>
  <si>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</si>
  <si>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</si>
  <si>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</si>
  <si>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</si>
  <si>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</si>
  <si>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</si>
  <si>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</si>
  <si>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</si>
  <si>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</si>
  <si>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</si>
  <si>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</si>
  <si>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</si>
  <si>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</si>
  <si>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</si>
  <si>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</si>
  <si>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</si>
  <si>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</si>
  <si>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</si>
  <si>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</si>
  <si>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</si>
  <si>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</si>
  <si>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</si>
  <si>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</si>
  <si>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</si>
  <si>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</si>
  <si>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</si>
  <si>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</si>
  <si>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</si>
  <si>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</si>
  <si>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</si>
  <si>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</si>
  <si>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</si>
  <si>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</si>
  <si>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</si>
  <si>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</si>
  <si>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</si>
  <si>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</si>
  <si>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</si>
  <si>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</si>
  <si>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</si>
  <si>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</si>
  <si>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</si>
  <si>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</si>
  <si>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</si>
  <si>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</si>
  <si>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</si>
  <si>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</si>
  <si>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</si>
  <si>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</si>
  <si>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</si>
  <si>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</si>
  <si>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</si>
  <si>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</si>
  <si>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</si>
  <si>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</si>
  <si>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</si>
  <si>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</si>
  <si>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</si>
  <si>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</si>
  <si>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</si>
  <si>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</si>
  <si>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</si>
  <si>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</si>
  <si>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</si>
  <si>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</si>
  <si>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</si>
  <si>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</si>
  <si>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</si>
  <si>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</si>
  <si>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</si>
  <si>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</si>
  <si>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</si>
  <si>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</si>
  <si>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</si>
  <si>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</si>
  <si>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</si>
  <si>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</si>
  <si>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</si>
  <si>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</si>
  <si>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</si>
  <si>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</si>
  <si>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</si>
  <si>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</si>
  <si>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</si>
  <si>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</si>
  <si>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</si>
  <si>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37,AVENUE DU MARECHAL DE LATTRE DE TASSIGNY</t>
  </si>
  <si>
    <t>SAINT-ANDRE LEZ LILLE</t>
  </si>
  <si>
    <t>59784 LILLE CEDEX 9</t>
  </si>
  <si>
    <t>SOCIETE GENERALE</t>
  </si>
  <si>
    <t>0455</t>
  </si>
  <si>
    <t>ENERGIES NICOISE</t>
  </si>
  <si>
    <t>S2021</t>
  </si>
  <si>
    <t>SPACE B - TECHNOPOLE NICE MERIDA 11-13, RUE DES GRENOUILLERES</t>
  </si>
  <si>
    <t>06000</t>
  </si>
  <si>
    <t>NICE</t>
  </si>
  <si>
    <t>TSA 25504</t>
  </si>
  <si>
    <t>BNP PARIBAS</t>
  </si>
  <si>
    <t>FB0082704G</t>
  </si>
  <si>
    <t>0460</t>
  </si>
  <si>
    <t>CLEA</t>
  </si>
  <si>
    <t>S2101</t>
  </si>
  <si>
    <t>36, rue de Jamet</t>
  </si>
  <si>
    <t>NANTES</t>
  </si>
  <si>
    <t>TSA 45506</t>
  </si>
  <si>
    <t>FB0082262E</t>
  </si>
  <si>
    <t>SOCIETE VALMY DEFENSE 97</t>
  </si>
  <si>
    <t>SO697</t>
  </si>
  <si>
    <t>TSA 95502</t>
  </si>
  <si>
    <t>XXXXX</t>
  </si>
  <si>
    <t>FB0082702E</t>
  </si>
  <si>
    <t>0395</t>
  </si>
  <si>
    <t>SOCIETE VALMY DEFENSE 114</t>
  </si>
  <si>
    <t>0443</t>
  </si>
  <si>
    <t>S2014</t>
  </si>
  <si>
    <t>33, Place des Corolles - TOUR EUROPE - TSA 12345</t>
  </si>
  <si>
    <t>PARIS LA DEFENSE CEDEX</t>
  </si>
  <si>
    <t>FB0082703F</t>
  </si>
  <si>
    <t>CHEZINE LOIRE AVENIR</t>
  </si>
  <si>
    <t>ENERGIES NICOISE 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</si>
</sst>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tabSelected="1"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B2" sqref="B2"/>
    </sheetView>
  </sheetViews>
  <sheetFormatPr baseColWidth="10" defaultRowHeight="15" x14ac:dyDescent="0.25"/>
  <cols>
    <col min="1" max="1" width="7.28515625" bestFit="1" customWidth="1"/>
    <col min="2" max="2" width="7" bestFit="1" customWidth="1"/>
    <col min="3" max="3" width="24.28515625" bestFit="1" customWidth="1"/>
    <col min="4" max="4" width="8.140625" bestFit="1" customWidth="1"/>
    <col min="5" max="5" width="4.5703125" bestFit="1" customWidth="1"/>
    <col min="6" max="6" width="9.28515625" bestFit="1" customWidth="1"/>
    <col min="7" max="7" width="8.28515625" bestFit="1" customWidth="1"/>
    <col min="8" max="8" width="10.140625" bestFit="1" customWidth="1"/>
    <col min="9" max="9" width="29.85546875" customWidth="1"/>
    <col min="10" max="10" width="45.42578125" bestFit="1" customWidth="1"/>
    <col min="11" max="11" width="7" bestFit="1" customWidth="1"/>
    <col min="12" max="12" width="29.7109375" bestFit="1" customWidth="1"/>
    <col min="13" max="13" width="9.85546875" bestFit="1" customWidth="1"/>
    <col min="14" max="14" width="11.28515625" bestFit="1" customWidth="1"/>
    <col min="15" max="15" width="21" bestFit="1" customWidth="1"/>
    <col min="16" max="16" width="8" bestFit="1" customWidth="1"/>
    <col min="17" max="17" width="17.7109375" bestFit="1" customWidth="1"/>
    <col min="18" max="18" width="12.85546875" bestFit="1" customWidth="1"/>
    <col min="19" max="19" width="5.42578125" bestFit="1" customWidth="1"/>
  </cols>
  <sheetData>
    <row r="1" spans="1:19" s="5" customFormat="1" ht="30" customHeight="1" thickBot="1" x14ac:dyDescent="0.3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.5" thickBot="1" x14ac:dyDescent="0.3">
      <c r="A2" s="1" t="s">
        <v>101</v>
      </c>
      <c r="B2" s="6" t="s">
        <v>43</v>
      </c>
      <c r="C2" s="15" t="s">
        <v>130</v>
      </c>
      <c r="D2" s="6" t="s">
        <v>74</v>
      </c>
      <c r="E2" s="6" t="s">
        <v>34</v>
      </c>
      <c r="F2" s="6" t="s">
        <v>34</v>
      </c>
      <c r="G2" s="6" t="s">
        <v>103</v>
      </c>
      <c r="H2" s="4" t="s">
        <v>43</v>
      </c>
      <c r="I2" s="17" t="s">
        <v>102</v>
      </c>
      <c r="J2" s="6" t="s">
        <v>104</v>
      </c>
      <c r="K2" s="18" t="s">
        <v>105</v>
      </c>
      <c r="L2" s="16" t="s">
        <v>106</v>
      </c>
      <c r="M2" s="6">
        <v>24455</v>
      </c>
      <c r="N2" s="6" t="s">
        <v>107</v>
      </c>
      <c r="O2" s="10" t="s">
        <v>99</v>
      </c>
      <c r="P2" s="19">
        <v>513522</v>
      </c>
      <c r="Q2" s="6" t="s">
        <v>108</v>
      </c>
      <c r="R2" s="24" t="s">
        <v>109</v>
      </c>
    </row>
    <row r="3" spans="1:19" s="6" customFormat="1" ht="16.5" thickBot="1" x14ac:dyDescent="0.3">
      <c r="A3" s="1" t="s">
        <v>110</v>
      </c>
      <c r="B3" s="6" t="s">
        <v>39</v>
      </c>
      <c r="C3" s="15" t="s">
        <v>129</v>
      </c>
      <c r="D3" s="6" t="s">
        <v>74</v>
      </c>
      <c r="E3" s="6" t="s">
        <v>34</v>
      </c>
      <c r="F3" s="6" t="s">
        <v>34</v>
      </c>
      <c r="G3" s="6" t="s">
        <v>112</v>
      </c>
      <c r="H3" s="4" t="s">
        <v>39</v>
      </c>
      <c r="I3" s="17" t="s">
        <v>111</v>
      </c>
      <c r="J3" s="6" t="s">
        <v>113</v>
      </c>
      <c r="K3" s="18">
        <v>44100</v>
      </c>
      <c r="L3" s="16" t="s">
        <v>114</v>
      </c>
      <c r="M3" s="6">
        <v>46460</v>
      </c>
      <c r="N3" s="6" t="s">
        <v>115</v>
      </c>
      <c r="O3" s="10" t="s">
        <v>99</v>
      </c>
      <c r="P3" s="19">
        <v>513528</v>
      </c>
      <c r="Q3" s="6" t="s">
        <v>100</v>
      </c>
      <c r="R3" s="23" t="s">
        <v>116</v>
      </c>
    </row>
    <row r="4" spans="1:19" s="6" customFormat="1" ht="16.5" thickBot="1" x14ac:dyDescent="0.3">
      <c r="A4" s="1" t="s">
        <v>122</v>
      </c>
      <c r="B4" s="6" t="s">
        <v>42</v>
      </c>
      <c r="C4" s="15" t="s">
        <v>117</v>
      </c>
      <c r="D4" s="6" t="s">
        <v>74</v>
      </c>
      <c r="E4" s="6" t="s">
        <v>34</v>
      </c>
      <c r="F4" s="6" t="s">
        <v>34</v>
      </c>
      <c r="G4" s="6" t="s">
        <v>118</v>
      </c>
      <c r="H4" s="4" t="s">
        <v>42</v>
      </c>
      <c r="I4" s="17" t="s">
        <v>117</v>
      </c>
      <c r="J4" s="6" t="s">
        <v>97</v>
      </c>
      <c r="K4" s="18">
        <v>59350</v>
      </c>
      <c r="L4" s="16" t="s">
        <v>98</v>
      </c>
      <c r="M4" s="6" t="s">
        <v>120</v>
      </c>
      <c r="N4" s="6" t="s">
        <v>119</v>
      </c>
      <c r="O4" s="10" t="s">
        <v>99</v>
      </c>
      <c r="P4" s="19">
        <v>513467</v>
      </c>
      <c r="Q4" s="6" t="s">
        <v>100</v>
      </c>
      <c r="R4" s="22" t="s">
        <v>121</v>
      </c>
    </row>
    <row r="5" spans="1:19" s="6" customFormat="1" ht="16.5" thickBot="1" x14ac:dyDescent="0.3">
      <c r="A5" s="1" t="s">
        <v>124</v>
      </c>
      <c r="B5" s="6" t="s">
        <v>42</v>
      </c>
      <c r="C5" s="15" t="s">
        <v>123</v>
      </c>
      <c r="D5" s="6" t="s">
        <v>74</v>
      </c>
      <c r="E5" s="6" t="s">
        <v>34</v>
      </c>
      <c r="F5" s="6" t="s">
        <v>34</v>
      </c>
      <c r="G5" s="6" t="s">
        <v>125</v>
      </c>
      <c r="H5" s="4" t="s">
        <v>42</v>
      </c>
      <c r="I5" s="17" t="s">
        <v>123</v>
      </c>
      <c r="J5" s="20" t="s">
        <v>126</v>
      </c>
      <c r="K5" s="18">
        <v>92099</v>
      </c>
      <c r="L5" s="16" t="s">
        <v>127</v>
      </c>
      <c r="M5" s="6">
        <v>92443</v>
      </c>
      <c r="N5" s="6" t="s">
        <v>119</v>
      </c>
      <c r="O5" s="10" t="s">
        <v>99</v>
      </c>
      <c r="P5" s="19">
        <v>513516</v>
      </c>
      <c r="Q5" s="6" t="s">
        <v>108</v>
      </c>
      <c r="R5" s="24" t="s">
        <v>128</v>
      </c>
    </row>
    <row r="6" spans="1:19" s="6" customFormat="1" ht="16.5" thickBot="1" x14ac:dyDescent="0.3">
      <c r="A6" s="1"/>
      <c r="C6" s="15"/>
      <c r="H6" s="4"/>
      <c r="I6" s="17"/>
      <c r="K6" s="18"/>
      <c r="L6" s="16"/>
      <c r="O6" s="10"/>
      <c r="P6" s="19"/>
      <c r="R6" s="21"/>
    </row>
    <row r="7" spans="1:19" s="6" customFormat="1" ht="16.5" thickBot="1" x14ac:dyDescent="0.3">
      <c r="A7" s="1"/>
      <c r="C7" s="15"/>
      <c r="H7" s="4"/>
      <c r="I7" s="17"/>
      <c r="K7" s="18"/>
      <c r="L7" s="16"/>
      <c r="O7" s="10"/>
      <c r="P7" s="19"/>
      <c r="R7" s="24"/>
    </row>
    <row r="8" spans="1:19" s="6" customFormat="1" ht="16.5" thickBot="1" x14ac:dyDescent="0.3">
      <c r="A8" s="1"/>
      <c r="C8" s="15"/>
      <c r="H8" s="4"/>
      <c r="I8" s="17"/>
      <c r="K8" s="18"/>
      <c r="L8" s="16"/>
      <c r="O8" s="10"/>
      <c r="P8" s="19"/>
      <c r="R8" s="24"/>
    </row>
    <row r="9" spans="1:19" s="6" customFormat="1" ht="16.5" thickBot="1" x14ac:dyDescent="0.3">
      <c r="A9" s="1"/>
      <c r="C9" s="15"/>
      <c r="H9" s="4"/>
      <c r="I9" s="17"/>
      <c r="K9" s="18"/>
      <c r="L9" s="16"/>
      <c r="O9" s="10"/>
      <c r="P9" s="19"/>
      <c r="R9" s="24"/>
    </row>
    <row r="10" spans="1:19" ht="16.5" thickBot="1" x14ac:dyDescent="0.3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4"/>
      <c r="S10" s="6"/>
    </row>
    <row r="11" spans="1:19" ht="16.5" thickBot="1" x14ac:dyDescent="0.3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1"/>
      <c r="S11" s="6"/>
    </row>
    <row r="12" spans="1:19" ht="16.5" thickBot="1" x14ac:dyDescent="0.3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4"/>
      <c r="S12" s="6"/>
    </row>
    <row r="13" spans="1:19" ht="16.5" thickBot="1" x14ac:dyDescent="0.3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4"/>
      <c r="S13" s="6"/>
    </row>
    <row r="14" spans="1:19" ht="16.5" thickBot="1" x14ac:dyDescent="0.3">
      <c r="A14" s="1"/>
      <c r="D14" s="6"/>
      <c r="E14" s="6"/>
      <c r="F14" s="6"/>
      <c r="H14" s="20"/>
      <c r="I14" s="20"/>
      <c r="J14" s="20"/>
      <c r="K14" s="18"/>
      <c r="L14" s="16"/>
      <c r="R14" s="24"/>
      <c r="S14" s="6"/>
    </row>
    <row r="15" spans="1:19" x14ac:dyDescent="0.25">
      <c r="A15" s="1"/>
      <c r="S15" s="6"/>
    </row>
    <row r="16" spans="1:19" x14ac:dyDescent="0.25">
      <c r="A16" s="1"/>
      <c r="S16" s="6"/>
    </row>
    <row r="17" spans="1:19" x14ac:dyDescent="0.25">
      <c r="A17" s="1"/>
      <c r="S17" s="6"/>
    </row>
    <row r="18" spans="1:19" x14ac:dyDescent="0.25">
      <c r="A18" s="1"/>
      <c r="S18" s="6"/>
    </row>
    <row r="19" spans="1:19" x14ac:dyDescent="0.25">
      <c r="A19" s="1"/>
      <c r="S19" s="6"/>
    </row>
    <row r="20" spans="1:19" x14ac:dyDescent="0.25">
      <c r="A20" s="1"/>
      <c r="S20" s="6"/>
    </row>
    <row r="21" spans="1:19" x14ac:dyDescent="0.25">
      <c r="A21" s="1"/>
      <c r="S21" s="6"/>
    </row>
    <row r="22" spans="1:19" x14ac:dyDescent="0.25">
      <c r="A22" s="1"/>
      <c r="S22" s="6"/>
    </row>
    <row r="23" spans="1:19" x14ac:dyDescent="0.25">
      <c r="A23" s="1"/>
      <c r="S23" s="6"/>
    </row>
    <row r="24" spans="1:19" x14ac:dyDescent="0.25">
      <c r="A24" s="1"/>
      <c r="S24" s="6"/>
    </row>
    <row r="25" spans="1:19" x14ac:dyDescent="0.25">
      <c r="A25" s="1"/>
      <c r="D25" s="6"/>
    </row>
    <row r="26" spans="1:19" x14ac:dyDescent="0.25">
      <c r="A26" s="1"/>
      <c r="D26" s="6"/>
    </row>
    <row r="27" spans="1:19" x14ac:dyDescent="0.2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pane="bottomLeft" activeCell="D2" sqref="D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2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2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2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2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2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2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2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2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2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2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2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2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2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0"/>
  <sheetViews>
    <sheetView zoomScale="80" zoomScaleNormal="80" workbookViewId="0">
      <pane ySplit="1" topLeftCell="A2" activePane="bottomLeft" state="frozenSplit"/>
      <selection pane="bottomLeft" activeCell="D5" sqref="D5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7.2851562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S2021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ENERGIES NICOISE REN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>*FN</v>
      </c>
      <c r="B3" s="6" t="str">
        <f>IF(LEN('A créer'!G3)=0,"",'A créer'!G3)</f>
        <v>S2101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CHEZINE LOIRE AVENIR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25">
      <c r="A4" s="2" t="str">
        <f>IF(LEN('A créer'!G4)=0,"","*FN")</f>
        <v>*FN</v>
      </c>
      <c r="B4" s="6" t="str">
        <f>IF(LEN('A créer'!G4)=0,"",'A créer'!G4)</f>
        <v>SO697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SOCIETE VALMY DEFENSE 97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25">
      <c r="A5" s="2" t="str">
        <f>IF(LEN('A créer'!G5)=0,"","*FN")</f>
        <v>*FN</v>
      </c>
      <c r="B5" s="6" t="str">
        <f>IF(LEN('A créer'!G5)=0,"",'A créer'!G5)</f>
        <v>S2014</v>
      </c>
      <c r="C5" s="2" t="str">
        <f>IF(LEN('A créer'!G5)=0,"","Tab")</f>
        <v>Tab</v>
      </c>
      <c r="D5" s="6" t="str">
        <f>IF(LEN('A créer'!G5)=0,IF(LEN('A créer'!G5)&gt;0,CONCATENATE('A créer'!C5," ",'A créer'!B5),""),'A créer'!C5)</f>
        <v>SOCIETE VALMY DEFENSE 114</v>
      </c>
      <c r="E5" s="2" t="str">
        <f>IF(LEN('A créer'!G5)=0,"","Tab")</f>
        <v>Tab</v>
      </c>
      <c r="F5" s="2" t="str">
        <f>IF(LEN('A créer'!G5)=0,"","*SAVE")</f>
        <v>*SAVE</v>
      </c>
    </row>
    <row r="6" spans="1:6" x14ac:dyDescent="0.25">
      <c r="A6" s="2" t="str">
        <f>IF(LEN('A créer'!G6)=0,"","*FN")</f>
        <v/>
      </c>
      <c r="B6" s="6" t="str">
        <f>IF(LEN('A créer'!G6)=0,"",'A créer'!G6)</f>
        <v/>
      </c>
      <c r="C6" s="2" t="str">
        <f>IF(LEN('A créer'!G6)=0,"","Tab")</f>
        <v/>
      </c>
      <c r="D6" s="6" t="str">
        <f>IF(LEN('A créer'!G6)=0,IF(LEN('A créer'!G6)&gt;0,CONCATENATE('A créer'!C6," ",'A créer'!B6),""),'A créer'!C6)</f>
        <v/>
      </c>
      <c r="E6" s="2" t="str">
        <f>IF(LEN('A créer'!G6)=0,"","Tab")</f>
        <v/>
      </c>
      <c r="F6" s="2" t="str">
        <f>IF(LEN('A créer'!G6)=0,"","*SAVE")</f>
        <v/>
      </c>
    </row>
    <row r="7" spans="1:6" x14ac:dyDescent="0.2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2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2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2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2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2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2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2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2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C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B2" sqref="B2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  <col min="55" max="55" width="13.425781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2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2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2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2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2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2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2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2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2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2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2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2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2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Z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2" sqref="A2"/>
    </sheetView>
  </sheetViews>
  <sheetFormatPr baseColWidth="10" defaultRowHeight="15" x14ac:dyDescent="0.25"/>
  <cols>
    <col min="1" max="1" width="5.140625" bestFit="1" customWidth="1"/>
    <col min="2" max="2" width="10.140625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10.1406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2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 t="str">
        <f>IF('A créer'!D3="Oui",IF(AND(LEN('A créer'!B3)&gt;0,'A créer'!B3&lt;&gt;'A créer'!H3)=TRUE,'A créer'!G3,""),'A créer'!G3)</f>
        <v/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2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 t="str">
        <f>IF('A créer'!D4="Oui",IF(AND(LEN('A créer'!B4)&gt;0,'A créer'!B4&lt;&gt;'A créer'!H4)=TRUE,'A créer'!G4,""),'A créer'!G4)</f>
        <v/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2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 t="str">
        <f>IF('A créer'!D5="Oui",IF(AND(LEN('A créer'!B5)&gt;0,'A créer'!B5&lt;&gt;'A créer'!H5)=TRUE,'A créer'!G5,""),'A créer'!G5)</f>
        <v/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2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>
        <f>IF('A créer'!D6="Oui",IF(AND(LEN('A créer'!B6)&gt;0,'A créer'!B6&lt;&gt;'A créer'!H6)=TRUE,'A créer'!G6,""),'A créer'!G6)</f>
        <v>0</v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2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2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2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2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2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2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2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2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30"/>
  <sheetViews>
    <sheetView zoomScale="80" zoomScaleNormal="80" workbookViewId="0">
      <pane ySplit="1" topLeftCell="A2" activePane="bottomLeft" state="frozenSplit"/>
      <selection pane="bottomLeft" activeCell="B3" sqref="B3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4.85546875" bestFit="1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6.7109375" bestFit="1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513522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0455 ENERGIES NICOISE REN/DEW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513528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0460 CHEZINE LOIRE AVENIR/DLS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2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513467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SOCIETE GENERALE 0395 SOCIETE VALMY DEFENSE 97/DSW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94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25">
      <c r="A5" s="2" t="str">
        <f>IF(AND(LEN('A créer'!P5)=0,OR('A créer'!D5="Oui",LEN('A créer'!D5)=0))=TRUE,"","*FN")</f>
        <v>*FN</v>
      </c>
      <c r="B5" s="6">
        <f>IF(AND(LEN('A créer'!P5)=0,OR('A créer'!D5="Oui",LEN('A créer'!D5)=0))=TRUE,"",'A créer'!P5)</f>
        <v>513516</v>
      </c>
      <c r="C5" s="2" t="str">
        <f>IF(AND(LEN('A créer'!P5)=0,OR('A créer'!D5="Oui",LEN('A créer'!D5)=0))=TRUE,"","Tab")</f>
        <v>Tab</v>
      </c>
      <c r="D5" s="6" t="str">
        <f>IF(AND(LEN('A créer'!P5)=0,OR('A créer'!D5="Oui",LEN('A créer'!D5)=0))=TRUE,"",CONCATENATE('A créer'!Q5," ",'A créer'!A5," ",'A créer'!C5,"/",'A créer'!B5))</f>
        <v>BNP PARIBAS 0443 SOCIETE VALMY DEFENSE 114/DSW</v>
      </c>
      <c r="E5" s="2" t="str">
        <f>IF(AND(LEN('A créer'!P5)=0,OR('A créer'!D5="Oui",LEN('A créer'!D5)=0))=TRUE,"","Tab 4")</f>
        <v>Tab 4</v>
      </c>
      <c r="F5" s="2" t="str">
        <f>IF(AND(LEN('A créer'!P5)=0,OR('A créer'!D5="Oui",LEN('A créer'!D5)=0))=TRUE,"","Tab")</f>
        <v>Tab</v>
      </c>
      <c r="G5" s="2" t="str">
        <f>IF(AND(LEN('A créer'!P5)=0,OR('A créer'!D5="Oui",LEN('A créer'!D5)=0))=TRUE,"","Tab")</f>
        <v>Tab</v>
      </c>
      <c r="H5" s="6" t="str">
        <f>IF(AND(LEN('A créer'!P5)=0,OR('A créer'!D5="Oui",LEN('A créer'!D5)=0))=TRUE,"","Non")</f>
        <v>Non</v>
      </c>
      <c r="I5" s="2" t="str">
        <f>IF(AND(LEN('A créer'!P5)=0,OR('A créer'!D5="Oui",LEN('A créer'!D5)=0))=TRUE,"","Tab")</f>
        <v>Tab</v>
      </c>
      <c r="J5" s="6" t="str">
        <f>IF(AND(LEN('A créer'!P5)=0,OR('A créer'!D5="Oui",LEN('A créer'!D5)=0))=TRUE,"","Oui")</f>
        <v>Oui</v>
      </c>
      <c r="K5" s="2" t="str">
        <f>IF(AND(LEN('A créer'!P5)=0,OR('A créer'!D5="Oui",LEN('A créer'!D5)=0))=TRUE,"","Tab")</f>
        <v>Tab</v>
      </c>
      <c r="L5" s="6" t="str">
        <f>IF(AND(LEN('A créer'!P5)=0,OR('A créer'!D5="Oui",LEN('A créer'!D5)=0))=TRUE,"","Actif")</f>
        <v>Actif</v>
      </c>
      <c r="M5" s="2" t="str">
        <f>IF(AND(LEN('A créer'!P5)=0,OR('A créer'!D5="Oui",LEN('A créer'!D5)=0))=TRUE,"","Tab")</f>
        <v>Tab</v>
      </c>
      <c r="N5" s="6" t="str">
        <f>IF(AND(LEN('A créer'!P5)=0,OR('A créer'!D5="Oui",LEN('A créer'!D5)=0))=TRUE,"","Non")</f>
        <v>Non</v>
      </c>
      <c r="O5" s="2" t="str">
        <f>IF(AND(LEN('A créer'!P5)=0,OR('A créer'!D5="Oui",LEN('A créer'!D5)=0))=TRUE,"","Tab")</f>
        <v>Tab</v>
      </c>
      <c r="P5" s="6" t="str">
        <f>IF(AND(LEN('A créer'!P5)=0,OR('A créer'!D5="Oui",LEN('A créer'!D5)=0))=TRUE,"","Non")</f>
        <v>Non</v>
      </c>
      <c r="Q5" s="2" t="str">
        <f>IF(AND(LEN('A créer'!P5)=0,OR('A créer'!D5="Oui",LEN('A créer'!D5)=0))=TRUE,"","Tab")</f>
        <v>Tab</v>
      </c>
      <c r="R5" s="2" t="str">
        <f>IF(AND(LEN('A créer'!P5)=0,OR('A créer'!D5="Oui",LEN('A créer'!D5)=0))=TRUE,"","ENT")</f>
        <v>ENT</v>
      </c>
      <c r="S5" s="2" t="s">
        <v>94</v>
      </c>
      <c r="T5" s="2" t="str">
        <f>IF(AND(LEN('A créer'!P5)=0,OR('A créer'!D5="Oui",LEN('A créer'!D5)=0))=TRUE,"","Tab")</f>
        <v>Tab</v>
      </c>
      <c r="U5" s="2" t="str">
        <f>IF(AND(LEN('A créer'!P5)=0,OR('A créer'!D5="Oui",LEN('A créer'!D5)=0))=TRUE,"","Tab")</f>
        <v>Tab</v>
      </c>
      <c r="V5" s="2" t="str">
        <f>IF(AND(LEN('A créer'!P5)=0,OR('A créer'!D5="Oui",LEN('A créer'!D5)=0))=TRUE,"","Tab")</f>
        <v>Tab</v>
      </c>
      <c r="W5" s="4" t="str">
        <f>IF(AND(LEN('A créer'!P5)=0,OR('A créer'!D5="Oui",LEN('A créer'!D5)=0))=TRUE,"","Non")</f>
        <v>Non</v>
      </c>
      <c r="X5" s="2" t="str">
        <f>IF(AND(LEN('A créer'!P5)=0,OR('A créer'!D5="Oui",LEN('A créer'!D5)=0))=TRUE,"","ENT")</f>
        <v>ENT</v>
      </c>
      <c r="Y5" s="2" t="str">
        <f>IF(AND(LEN('A créer'!P5)=0,OR('A créer'!D5="Oui",LEN('A créer'!D5)=0))=TRUE,"","*SAVE")</f>
        <v>*SAVE</v>
      </c>
    </row>
    <row r="6" spans="1:25" x14ac:dyDescent="0.25">
      <c r="A6" s="2" t="str">
        <f>IF(AND(LEN('A créer'!P6)=0,OR('A créer'!D6="Oui",LEN('A créer'!D6)=0))=TRUE,"","*FN")</f>
        <v/>
      </c>
      <c r="B6" s="6" t="str">
        <f>IF(AND(LEN('A créer'!P6)=0,OR('A créer'!D6="Oui",LEN('A créer'!D6)=0))=TRUE,"",'A créer'!P6)</f>
        <v/>
      </c>
      <c r="C6" s="2" t="str">
        <f>IF(AND(LEN('A créer'!P6)=0,OR('A créer'!D6="Oui",LEN('A créer'!D6)=0))=TRUE,"","Tab")</f>
        <v/>
      </c>
      <c r="D6" s="6" t="str">
        <f>IF(AND(LEN('A créer'!P6)=0,OR('A créer'!D6="Oui",LEN('A créer'!D6)=0))=TRUE,"",CONCATENATE('A créer'!Q6," ",'A créer'!A6," ",'A créer'!C6,"/",'A créer'!B6))</f>
        <v/>
      </c>
      <c r="E6" s="2" t="str">
        <f>IF(AND(LEN('A créer'!P6)=0,OR('A créer'!D6="Oui",LEN('A créer'!D6)=0))=TRUE,"","Tab 4")</f>
        <v/>
      </c>
      <c r="F6" s="2" t="str">
        <f>IF(AND(LEN('A créer'!P6)=0,OR('A créer'!D6="Oui",LEN('A créer'!D6)=0))=TRUE,"","Tab")</f>
        <v/>
      </c>
      <c r="G6" s="2" t="str">
        <f>IF(AND(LEN('A créer'!P6)=0,OR('A créer'!D6="Oui",LEN('A créer'!D6)=0))=TRUE,"","Tab")</f>
        <v/>
      </c>
      <c r="H6" s="6" t="str">
        <f>IF(AND(LEN('A créer'!P6)=0,OR('A créer'!D6="Oui",LEN('A créer'!D6)=0))=TRUE,"","Non")</f>
        <v/>
      </c>
      <c r="I6" s="2" t="str">
        <f>IF(AND(LEN('A créer'!P6)=0,OR('A créer'!D6="Oui",LEN('A créer'!D6)=0))=TRUE,"","Tab")</f>
        <v/>
      </c>
      <c r="J6" s="6" t="str">
        <f>IF(AND(LEN('A créer'!P6)=0,OR('A créer'!D6="Oui",LEN('A créer'!D6)=0))=TRUE,"","Oui")</f>
        <v/>
      </c>
      <c r="K6" s="2" t="str">
        <f>IF(AND(LEN('A créer'!P6)=0,OR('A créer'!D6="Oui",LEN('A créer'!D6)=0))=TRUE,"","Tab")</f>
        <v/>
      </c>
      <c r="L6" s="6" t="str">
        <f>IF(AND(LEN('A créer'!P6)=0,OR('A créer'!D6="Oui",LEN('A créer'!D6)=0))=TRUE,"","Actif")</f>
        <v/>
      </c>
      <c r="M6" s="2" t="str">
        <f>IF(AND(LEN('A créer'!P6)=0,OR('A créer'!D6="Oui",LEN('A créer'!D6)=0))=TRUE,"","Tab")</f>
        <v/>
      </c>
      <c r="N6" s="6" t="str">
        <f>IF(AND(LEN('A créer'!P6)=0,OR('A créer'!D6="Oui",LEN('A créer'!D6)=0))=TRUE,"","Non")</f>
        <v/>
      </c>
      <c r="O6" s="2" t="str">
        <f>IF(AND(LEN('A créer'!P6)=0,OR('A créer'!D6="Oui",LEN('A créer'!D6)=0))=TRUE,"","Tab")</f>
        <v/>
      </c>
      <c r="P6" s="6" t="str">
        <f>IF(AND(LEN('A créer'!P6)=0,OR('A créer'!D6="Oui",LEN('A créer'!D6)=0))=TRUE,"","Non")</f>
        <v/>
      </c>
      <c r="Q6" s="2" t="str">
        <f>IF(AND(LEN('A créer'!P6)=0,OR('A créer'!D6="Oui",LEN('A créer'!D6)=0))=TRUE,"","Tab")</f>
        <v/>
      </c>
      <c r="R6" s="2" t="str">
        <f>IF(AND(LEN('A créer'!P6)=0,OR('A créer'!D6="Oui",LEN('A créer'!D6)=0))=TRUE,"","ENT")</f>
        <v/>
      </c>
      <c r="S6" s="2" t="s">
        <v>94</v>
      </c>
      <c r="T6" s="2" t="str">
        <f>IF(AND(LEN('A créer'!P6)=0,OR('A créer'!D6="Oui",LEN('A créer'!D6)=0))=TRUE,"","Tab")</f>
        <v/>
      </c>
      <c r="U6" s="2" t="str">
        <f>IF(AND(LEN('A créer'!P6)=0,OR('A créer'!D6="Oui",LEN('A créer'!D6)=0))=TRUE,"","Tab")</f>
        <v/>
      </c>
      <c r="V6" s="2" t="str">
        <f>IF(AND(LEN('A créer'!P6)=0,OR('A créer'!D6="Oui",LEN('A créer'!D6)=0))=TRUE,"","Tab")</f>
        <v/>
      </c>
      <c r="W6" s="4" t="str">
        <f>IF(AND(LEN('A créer'!P6)=0,OR('A créer'!D6="Oui",LEN('A créer'!D6)=0))=TRUE,"","Non")</f>
        <v/>
      </c>
      <c r="X6" s="2" t="str">
        <f>IF(AND(LEN('A créer'!P6)=0,OR('A créer'!D6="Oui",LEN('A créer'!D6)=0))=TRUE,"","ENT")</f>
        <v/>
      </c>
      <c r="Y6" s="2" t="str">
        <f>IF(AND(LEN('A créer'!P6)=0,OR('A créer'!D6="Oui",LEN('A créer'!D6)=0))=TRUE,"","*SAVE")</f>
        <v/>
      </c>
    </row>
    <row r="7" spans="1:25" x14ac:dyDescent="0.2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94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2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2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94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2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94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2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2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2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2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2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30"/>
  <sheetViews>
    <sheetView zoomScale="80" zoomScaleNormal="80" workbookViewId="0">
      <pane ySplit="1" topLeftCell="A2" activePane="bottomLeft" state="frozenSplit"/>
      <selection pane="bottomLeft" activeCell="M5" sqref="M5"/>
    </sheetView>
  </sheetViews>
  <sheetFormatPr baseColWidth="10" defaultRowHeight="15" x14ac:dyDescent="0.25"/>
  <cols>
    <col min="1" max="1" width="4.85546875" bestFit="1" customWidth="1"/>
    <col min="2" max="2" width="10.140625" bestFit="1" customWidth="1"/>
    <col min="3" max="3" width="4.85546875" bestFit="1" customWidth="1"/>
    <col min="4" max="4" width="37.42578125" bestFit="1" customWidth="1"/>
    <col min="5" max="5" width="6.42578125" bestFit="1" customWidth="1"/>
    <col min="6" max="8" width="4.85546875" bestFit="1" customWidth="1"/>
    <col min="9" max="9" width="7" bestFit="1" customWidth="1"/>
    <col min="10" max="10" width="4.85546875" bestFit="1" customWidth="1"/>
    <col min="11" max="11" width="13" bestFit="1" customWidth="1"/>
    <col min="12" max="12" width="4.85546875" bestFit="1" customWidth="1"/>
    <col min="13" max="13" width="49.42578125" bestFit="1" customWidth="1"/>
    <col min="14" max="14" width="6.42578125" bestFit="1" customWidth="1"/>
    <col min="15" max="17" width="4.85546875" bestFit="1" customWidth="1"/>
    <col min="18" max="18" width="7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DEW0455</v>
      </c>
      <c r="C2" s="2" t="str">
        <f>IF(LEN('A créer'!C2)=0,"","Tab")</f>
        <v>Tab</v>
      </c>
      <c r="D2" t="str">
        <f>IF(LEN('A créer'!C2)=0,"",CONCATENATE(,'A créer'!B2,'A créer'!A2,"-",'A créer'!C2))</f>
        <v>DEW0455-ENERGIES NICOISE REN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FB0082704G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DEW_0455PF FPS 0455 ENERGIES NICOISE REN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>*FN</v>
      </c>
      <c r="B3" t="str">
        <f>IF(LEN('A créer'!C3)=0,"",CONCATENATE(,'A créer'!B3,'A créer'!A3))</f>
        <v>DLS0460</v>
      </c>
      <c r="C3" s="2" t="str">
        <f>IF(LEN('A créer'!C3)=0,"","Tab")</f>
        <v>Tab</v>
      </c>
      <c r="D3" t="str">
        <f>IF(LEN('A créer'!C3)=0,"",CONCATENATE(,'A créer'!B3,'A créer'!A3,"-",'A créer'!C3))</f>
        <v>DLS0460-CHEZINE LOIRE AVENIR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FB0082262E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DLS_0460PF FPS 0460 CHEZINE LOIRE AVENIR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25">
      <c r="A4" s="2" t="str">
        <f>IF(LEN('A créer'!C4)=0,"","*FN")</f>
        <v>*FN</v>
      </c>
      <c r="B4" t="str">
        <f>IF(LEN('A créer'!C4)=0,"",CONCATENATE(,'A créer'!B4,'A créer'!A4))</f>
        <v>DSW0395</v>
      </c>
      <c r="C4" s="2" t="str">
        <f>IF(LEN('A créer'!C4)=0,"","Tab")</f>
        <v>Tab</v>
      </c>
      <c r="D4" t="str">
        <f>IF(LEN('A créer'!C4)=0,"",CONCATENATE(,'A créer'!B4,'A créer'!A4,"-",'A créer'!C4))</f>
        <v>DSW0395-SOCIETE VALMY DEFENSE 97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FB0082702E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DSW_0395PF FPS 0395 SOCIETE VALMY DEFENSE 97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25">
      <c r="A5" s="2" t="str">
        <f>IF(LEN('A créer'!C5)=0,"","*FN")</f>
        <v>*FN</v>
      </c>
      <c r="B5" t="str">
        <f>IF(LEN('A créer'!C5)=0,"",CONCATENATE(,'A créer'!B5,'A créer'!A5))</f>
        <v>DSW0443</v>
      </c>
      <c r="C5" s="2" t="str">
        <f>IF(LEN('A créer'!C5)=0,"","Tab")</f>
        <v>Tab</v>
      </c>
      <c r="D5" t="str">
        <f>IF(LEN('A créer'!C5)=0,"",CONCATENATE(,'A créer'!B5,'A créer'!A5,"-",'A créer'!C5))</f>
        <v>DSW0443-SOCIETE VALMY DEFENSE 114</v>
      </c>
      <c r="E5" s="2" t="str">
        <f>IF(LEN('A créer'!C5)=0,"","Tab 4")</f>
        <v>Tab 4</v>
      </c>
      <c r="F5" s="2" t="str">
        <f>IF(LEN('A créer'!C5)=0,"","Tab")</f>
        <v>Tab</v>
      </c>
      <c r="G5" s="2" t="str">
        <f>IF(LEN('A créer'!C5)=0,"","Tab")</f>
        <v>Tab</v>
      </c>
      <c r="H5" s="2" t="str">
        <f>IF(LEN('A créer'!C5)=0,"","ENT")</f>
        <v>ENT</v>
      </c>
      <c r="I5" s="2" t="str">
        <f>IF(LEN('A créer'!C5)=0,"","*SAVE")</f>
        <v>*SAVE</v>
      </c>
      <c r="J5" s="2" t="str">
        <f>IF(LEN('A créer'!R5)=0,"","*FN")</f>
        <v>*FN</v>
      </c>
      <c r="K5" t="str">
        <f>IF(LEN('A créer'!R5)=0,"",'A créer'!R5)</f>
        <v>FB0082703F</v>
      </c>
      <c r="L5" s="2" t="str">
        <f>IF(LEN('A créer'!R5)=0,"","Tab")</f>
        <v>Tab</v>
      </c>
      <c r="M5" t="str">
        <f>IF(LEN('A créer'!R5)=0,"",CONCATENATE(,'A créer'!B5,"_",'A créer'!A5,"PF FPS ",'A créer'!A5," ",'A créer'!C5))</f>
        <v>DSW_0443PF FPS 0443 SOCIETE VALMY DEFENSE 114</v>
      </c>
      <c r="N5" s="2" t="str">
        <f>IF(LEN('A créer'!R5)=0,"","Tab 4")</f>
        <v>Tab 4</v>
      </c>
      <c r="O5" s="2" t="str">
        <f>IF(LEN('A créer'!R5)=0,"","Tab")</f>
        <v>Tab</v>
      </c>
      <c r="P5" s="2" t="str">
        <f>IF(LEN('A créer'!R5)=0,"","Tab")</f>
        <v>Tab</v>
      </c>
      <c r="Q5" s="2" t="str">
        <f>IF(LEN('A créer'!R5)=0,"","ENT")</f>
        <v>ENT</v>
      </c>
      <c r="R5" s="2" t="str">
        <f>IF(LEN('A créer'!R5)=0,"","*SAVE")</f>
        <v>*SAVE</v>
      </c>
    </row>
    <row r="6" spans="1:18" x14ac:dyDescent="0.25">
      <c r="A6" s="2" t="str">
        <f>IF(LEN('A créer'!C6)=0,"","*FN")</f>
        <v/>
      </c>
      <c r="B6" t="str">
        <f>IF(LEN('A créer'!C6)=0,"",CONCATENATE(,'A créer'!B6,'A créer'!A6))</f>
        <v/>
      </c>
      <c r="C6" s="2" t="str">
        <f>IF(LEN('A créer'!C6)=0,"","Tab")</f>
        <v/>
      </c>
      <c r="D6" t="str">
        <f>IF(LEN('A créer'!C6)=0,"",CONCATENATE(,'A créer'!B6,'A créer'!A6,"-",'A créer'!C6))</f>
        <v/>
      </c>
      <c r="E6" s="2" t="str">
        <f>IF(LEN('A créer'!C6)=0,"","Tab 4")</f>
        <v/>
      </c>
      <c r="F6" s="2" t="str">
        <f>IF(LEN('A créer'!C6)=0,"","Tab")</f>
        <v/>
      </c>
      <c r="G6" s="2" t="str">
        <f>IF(LEN('A créer'!C6)=0,"","Tab")</f>
        <v/>
      </c>
      <c r="H6" s="2" t="str">
        <f>IF(LEN('A créer'!C6)=0,"","ENT")</f>
        <v/>
      </c>
      <c r="I6" s="2" t="str">
        <f>IF(LEN('A créer'!C6)=0,"","*SAVE")</f>
        <v/>
      </c>
      <c r="J6" s="2" t="str">
        <f>IF(LEN('A créer'!R6)=0,"","*FN")</f>
        <v/>
      </c>
      <c r="K6" t="str">
        <f>IF(LEN('A créer'!R6)=0,"",'A créer'!R6)</f>
        <v/>
      </c>
      <c r="L6" s="2" t="str">
        <f>IF(LEN('A créer'!R6)=0,"","Tab")</f>
        <v/>
      </c>
      <c r="M6" t="str">
        <f>IF(LEN('A créer'!R6)=0,"",CONCATENATE(,'A créer'!B6,"_",'A créer'!A6,"PF FPS ",'A créer'!A6," ",'A créer'!C6))</f>
        <v/>
      </c>
      <c r="N6" s="2" t="str">
        <f>IF(LEN('A créer'!R6)=0,"","Tab 4")</f>
        <v/>
      </c>
      <c r="O6" s="2" t="str">
        <f>IF(LEN('A créer'!R6)=0,"","Tab")</f>
        <v/>
      </c>
      <c r="P6" s="2" t="str">
        <f>IF(LEN('A créer'!R6)=0,"","Tab")</f>
        <v/>
      </c>
      <c r="Q6" s="2" t="str">
        <f>IF(LEN('A créer'!R6)=0,"","ENT")</f>
        <v/>
      </c>
      <c r="R6" s="2" t="str">
        <f>IF(LEN('A créer'!R6)=0,"","*SAVE")</f>
        <v/>
      </c>
    </row>
    <row r="7" spans="1:18" x14ac:dyDescent="0.2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2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2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2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2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2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2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2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Z31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O2" sqref="O2"/>
    </sheetView>
  </sheetViews>
  <sheetFormatPr baseColWidth="10" defaultRowHeight="15" x14ac:dyDescent="0.25"/>
  <cols>
    <col min="1" max="1" width="4.85546875" bestFit="1" customWidth="1"/>
    <col min="2" max="2" width="3.140625" bestFit="1" customWidth="1"/>
    <col min="3" max="3" width="4.85546875" bestFit="1" customWidth="1"/>
    <col min="4" max="4" width="8.42578125" bestFit="1" customWidth="1"/>
    <col min="5" max="5" width="4.85546875" bestFit="1" customWidth="1"/>
    <col min="6" max="6" width="2.28515625" bestFit="1" customWidth="1"/>
    <col min="7" max="7" width="4.85546875" bestFit="1" customWidth="1"/>
    <col min="8" max="8" width="8" bestFit="1" customWidth="1"/>
    <col min="9" max="9" width="2.28515625" bestFit="1" customWidth="1"/>
    <col min="10" max="10" width="4.85546875" bestFit="1" customWidth="1"/>
    <col min="11" max="11" width="7.7109375" bestFit="1" customWidth="1"/>
    <col min="12" max="12" width="2.28515625" bestFit="1" customWidth="1"/>
    <col min="13" max="13" width="4.85546875" bestFit="1" customWidth="1"/>
    <col min="14" max="14" width="11.7109375" bestFit="1" customWidth="1"/>
    <col min="15" max="15" width="10.140625" bestFit="1" customWidth="1"/>
    <col min="16" max="16" width="4.85546875" bestFit="1" customWidth="1"/>
    <col min="17" max="17" width="2.28515625" bestFit="1" customWidth="1"/>
    <col min="18" max="18" width="4.85546875" bestFit="1" customWidth="1"/>
    <col min="19" max="19" width="12" bestFit="1" customWidth="1"/>
    <col min="20" max="20" width="2.28515625" bestFit="1" customWidth="1"/>
    <col min="21" max="21" width="4.85546875" bestFit="1" customWidth="1"/>
    <col min="22" max="22" width="12" bestFit="1" customWidth="1"/>
    <col min="23" max="23" width="2.28515625" bestFit="1" customWidth="1"/>
    <col min="24" max="24" width="4.85546875" bestFit="1" customWidth="1"/>
    <col min="25" max="25" width="17.42578125" bestFit="1" customWidth="1"/>
    <col min="26" max="26" width="2.28515625" bestFit="1" customWidth="1"/>
    <col min="27" max="27" width="4.85546875" bestFit="1" customWidth="1"/>
    <col min="28" max="28" width="5.140625" bestFit="1" customWidth="1"/>
    <col min="29" max="29" width="2.28515625" bestFit="1" customWidth="1"/>
    <col min="30" max="30" width="4.85546875" bestFit="1" customWidth="1"/>
    <col min="31" max="31" width="12" bestFit="1" customWidth="1"/>
    <col min="32" max="32" width="2.28515625" bestFit="1" customWidth="1"/>
    <col min="33" max="33" width="4.85546875" bestFit="1" customWidth="1"/>
    <col min="34" max="34" width="12" bestFit="1" customWidth="1"/>
    <col min="35" max="35" width="2.28515625" bestFit="1" customWidth="1"/>
    <col min="36" max="36" width="4.85546875" bestFit="1" customWidth="1"/>
    <col min="37" max="37" width="12" bestFit="1" customWidth="1"/>
    <col min="38" max="38" width="4.85546875" bestFit="1" customWidth="1"/>
    <col min="39" max="39" width="7" bestFit="1" customWidth="1"/>
    <col min="40" max="40" width="4.85546875" bestFit="1" customWidth="1"/>
    <col min="41" max="41" width="3.140625" bestFit="1" customWidth="1"/>
    <col min="42" max="42" width="4.85546875" bestFit="1" customWidth="1"/>
    <col min="43" max="43" width="8.42578125" bestFit="1" customWidth="1"/>
    <col min="44" max="44" width="4.85546875" bestFit="1" customWidth="1"/>
    <col min="45" max="45" width="2.28515625" bestFit="1" customWidth="1"/>
    <col min="46" max="46" width="4.85546875" bestFit="1" customWidth="1"/>
    <col min="47" max="47" width="8" bestFit="1" customWidth="1"/>
    <col min="48" max="48" width="2.28515625" bestFit="1" customWidth="1"/>
    <col min="49" max="49" width="4.85546875" bestFit="1" customWidth="1"/>
    <col min="50" max="50" width="7.7109375" bestFit="1" customWidth="1"/>
    <col min="51" max="51" width="2.28515625" bestFit="1" customWidth="1"/>
    <col min="52" max="52" width="4.85546875" bestFit="1" customWidth="1"/>
    <col min="53" max="53" width="11.7109375" bestFit="1" customWidth="1"/>
    <col min="54" max="54" width="8.7109375" bestFit="1" customWidth="1"/>
    <col min="55" max="55" width="4.85546875" bestFit="1" customWidth="1"/>
    <col min="56" max="56" width="2.28515625" bestFit="1" customWidth="1"/>
    <col min="57" max="57" width="4.85546875" bestFit="1" customWidth="1"/>
    <col min="58" max="58" width="12" bestFit="1" customWidth="1"/>
    <col min="59" max="59" width="2.28515625" bestFit="1" customWidth="1"/>
    <col min="60" max="60" width="4.85546875" bestFit="1" customWidth="1"/>
    <col min="61" max="61" width="12" bestFit="1" customWidth="1"/>
    <col min="62" max="62" width="2.28515625" bestFit="1" customWidth="1"/>
    <col min="63" max="63" width="4.85546875" bestFit="1" customWidth="1"/>
    <col min="64" max="64" width="17.42578125" bestFit="1" customWidth="1"/>
    <col min="65" max="65" width="2.28515625" bestFit="1" customWidth="1"/>
    <col min="66" max="66" width="4.85546875" bestFit="1" customWidth="1"/>
    <col min="67" max="67" width="5.140625" bestFit="1" customWidth="1"/>
    <col min="68" max="68" width="2.28515625" bestFit="1" customWidth="1"/>
    <col min="69" max="69" width="4.85546875" bestFit="1" customWidth="1"/>
    <col min="70" max="70" width="12" bestFit="1" customWidth="1"/>
    <col min="71" max="71" width="2.28515625" bestFit="1" customWidth="1"/>
    <col min="72" max="72" width="4.85546875" bestFit="1" customWidth="1"/>
    <col min="73" max="73" width="12" bestFit="1" customWidth="1"/>
    <col min="74" max="74" width="2.28515625" bestFit="1" customWidth="1"/>
    <col min="75" max="75" width="4.85546875" bestFit="1" customWidth="1"/>
    <col min="76" max="76" width="12" bestFit="1" customWidth="1"/>
    <col min="77" max="77" width="4.85546875" bestFit="1" customWidth="1"/>
    <col min="78" max="78" width="7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0455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DEW0455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2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0460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DLS0460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2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0395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DSW0395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25">
      <c r="A5" s="2" t="str">
        <f>IF(LEN('A créer'!C5)=0,"","*FN")</f>
        <v>*FN</v>
      </c>
      <c r="B5" s="3" t="str">
        <f>IF(LEN('A créer'!C5)=0,"","\E")</f>
        <v>\E</v>
      </c>
      <c r="C5" s="2" t="str">
        <f>IF(LEN('A créer'!C5)=0,"","Tab")</f>
        <v>Tab</v>
      </c>
      <c r="D5" s="6" t="str">
        <f>IF(LEN('A créer'!C5)=0,"",'A créer'!A5)</f>
        <v>0443</v>
      </c>
      <c r="E5" s="2" t="str">
        <f>IF(LEN('A créer'!C5)=0,"","Tab")</f>
        <v>Tab</v>
      </c>
      <c r="F5" s="6">
        <f>IF(LEN('A créer'!C5)=0,"",0)</f>
        <v>0</v>
      </c>
      <c r="G5" s="2" t="str">
        <f>IF(LEN('A créer'!C5)=0,"","Tab")</f>
        <v>Tab</v>
      </c>
      <c r="H5" s="6" t="str">
        <f>IF(LEN('A créer'!C5)=0,"","ZZZ")</f>
        <v>ZZZ</v>
      </c>
      <c r="I5" s="6" t="str">
        <f>IF(LEN('A créer'!C5)=0,"","0")</f>
        <v>0</v>
      </c>
      <c r="J5" s="2" t="str">
        <f>IF(LEN('A créer'!C5)=0,"","Tab")</f>
        <v>Tab</v>
      </c>
      <c r="K5" s="6" t="str">
        <f>IF(LEN('A créer'!C5)=0,"","ZZZZZZ")</f>
        <v>ZZZZZZ</v>
      </c>
      <c r="L5" s="6" t="str">
        <f>IF(LEN('A créer'!C5)=0,"","0")</f>
        <v>0</v>
      </c>
      <c r="M5" s="2" t="str">
        <f>IF(LEN('A créer'!C5)=0,"","Tab")</f>
        <v>Tab</v>
      </c>
      <c r="N5" s="6" t="str">
        <f>IF(LEN('A créer'!C5)=0,"","ZZZZZ")</f>
        <v>ZZZZZ</v>
      </c>
      <c r="O5" s="6" t="str">
        <f>IF(LEN('A créer'!C5)=0,"",CONCATENATE('A créer'!B5,'A créer'!A5))</f>
        <v>DSW0443</v>
      </c>
      <c r="P5" s="2" t="str">
        <f>IF(LEN('A créer'!C5)=0,"","Tab")</f>
        <v>Tab</v>
      </c>
      <c r="Q5" s="6" t="str">
        <f>IF(LEN('A créer'!C5)=0,"","0")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 t="str">
        <f>IF(LEN('A créer'!C5)=0,"","0")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 t="str">
        <f>IF(LEN('A créer'!C5)=0,"","0")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 t="str">
        <f>IF(LEN('A créer'!C5)=0,"","0")</f>
        <v>0</v>
      </c>
      <c r="AA5" s="2" t="str">
        <f>IF(LEN('A créer'!C5)=0,"","Tab")</f>
        <v>Tab</v>
      </c>
      <c r="AB5" s="6" t="str">
        <f>IF(LEN('A créer'!C5)=0,"","ZZZ")</f>
        <v>ZZZ</v>
      </c>
      <c r="AC5" s="6" t="str">
        <f>IF(LEN('A créer'!C5)=0,"","0")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 t="str">
        <f>IF(LEN('A créer'!C5)=0,"","0")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 t="str">
        <f>IF(LEN('A créer'!C5)=0,"","0")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25">
      <c r="A6" s="2" t="str">
        <f>IF(LEN('A créer'!C6)=0,"","*FN")</f>
        <v/>
      </c>
      <c r="B6" s="3" t="str">
        <f>IF(LEN('A créer'!C6)=0,"","\E")</f>
        <v/>
      </c>
      <c r="C6" s="2" t="str">
        <f>IF(LEN('A créer'!C6)=0,"","Tab")</f>
        <v/>
      </c>
      <c r="D6" s="6" t="str">
        <f>IF(LEN('A créer'!C6)=0,"",'A créer'!A6)</f>
        <v/>
      </c>
      <c r="E6" s="2" t="str">
        <f>IF(LEN('A créer'!C6)=0,"","Tab")</f>
        <v/>
      </c>
      <c r="F6" s="6" t="str">
        <f>IF(LEN('A créer'!C6)=0,"",0)</f>
        <v/>
      </c>
      <c r="G6" s="2" t="str">
        <f>IF(LEN('A créer'!C6)=0,"","Tab")</f>
        <v/>
      </c>
      <c r="H6" s="6" t="str">
        <f>IF(LEN('A créer'!C6)=0,"","ZZZ")</f>
        <v/>
      </c>
      <c r="I6" s="6" t="str">
        <f>IF(LEN('A créer'!C6)=0,"","0")</f>
        <v/>
      </c>
      <c r="J6" s="2" t="str">
        <f>IF(LEN('A créer'!C6)=0,"","Tab")</f>
        <v/>
      </c>
      <c r="K6" s="6" t="str">
        <f>IF(LEN('A créer'!C6)=0,"","ZZZZZZ")</f>
        <v/>
      </c>
      <c r="L6" s="6" t="str">
        <f>IF(LEN('A créer'!C6)=0,"","0")</f>
        <v/>
      </c>
      <c r="M6" s="2" t="str">
        <f>IF(LEN('A créer'!C6)=0,"","Tab")</f>
        <v/>
      </c>
      <c r="N6" s="6" t="str">
        <f>IF(LEN('A créer'!C6)=0,"","ZZZZZ")</f>
        <v/>
      </c>
      <c r="O6" s="6" t="str">
        <f>IF(LEN('A créer'!C6)=0,"",CONCATENATE('A créer'!B6,'A créer'!A6))</f>
        <v/>
      </c>
      <c r="P6" s="2" t="str">
        <f>IF(LEN('A créer'!C6)=0,"","Tab")</f>
        <v/>
      </c>
      <c r="Q6" s="6" t="str">
        <f>IF(LEN('A créer'!C6)=0,"","0")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créer'!C6)=0,"","0")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créer'!C6)=0,"","0")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créer'!C6)=0,"","0")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créer'!C6)=0,"","0")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créer'!C6)=0,"","0")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créer'!C6)=0,"","0")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2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2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2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2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2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2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2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2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D2" sqref="D2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11.5703125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0455</v>
      </c>
      <c r="E2" s="2" t="str">
        <f>IF(LEN('A créer'!C2)=0,"","Tab")</f>
        <v>Tab</v>
      </c>
      <c r="F2" t="str">
        <f>IF(LEN('A créer'!C2)=0,"",'A créer'!B2)</f>
        <v>DEW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0460</v>
      </c>
      <c r="E3" s="2" t="str">
        <f>IF(LEN('A créer'!C3)=0,"","Tab")</f>
        <v>Tab</v>
      </c>
      <c r="F3" t="str">
        <f>IF(LEN('A créer'!C3)=0,"",'A créer'!B3)</f>
        <v>DLS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2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0395</v>
      </c>
      <c r="E4" s="2" t="str">
        <f>IF(LEN('A créer'!C4)=0,"","Tab")</f>
        <v>Tab</v>
      </c>
      <c r="F4" t="str">
        <f>IF(LEN('A créer'!C4)=0,"",'A créer'!B4)</f>
        <v>DSW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25">
      <c r="A5" s="2" t="str">
        <f>IF(LEN('A créer'!C5)=0,"","*FN")</f>
        <v>*FN</v>
      </c>
      <c r="B5" s="3" t="str">
        <f>IF(LEN('A créer'!C5)=0,"","\I")</f>
        <v>\I</v>
      </c>
      <c r="C5" s="2" t="str">
        <f>IF(LEN('A créer'!C5)=0,"","Tab")</f>
        <v>Tab</v>
      </c>
      <c r="D5" t="str">
        <f>IF(LEN('A créer'!C5)=0,"",'A créer'!A5)</f>
        <v>0443</v>
      </c>
      <c r="E5" s="2" t="str">
        <f>IF(LEN('A créer'!C5)=0,"","Tab")</f>
        <v>Tab</v>
      </c>
      <c r="F5" t="str">
        <f>IF(LEN('A créer'!C5)=0,"",'A créer'!B5)</f>
        <v>DSW</v>
      </c>
      <c r="G5" s="2" t="str">
        <f>IF(LEN('A créer'!C5)=0,"","Tab")</f>
        <v>Tab</v>
      </c>
      <c r="H5">
        <f>IF(LEN('A créer'!C5)=0,"",0)</f>
        <v>0</v>
      </c>
      <c r="I5" s="2" t="str">
        <f>IF(LEN('A créer'!C5)=0,"","Tab")</f>
        <v>Tab</v>
      </c>
      <c r="J5" t="str">
        <f>IF(LEN('A créer'!C5)=0,"","ZZZZZZ")</f>
        <v>ZZZZZZ</v>
      </c>
      <c r="K5">
        <f>IF(LEN('A créer'!C5)=0,"",0)</f>
        <v>0</v>
      </c>
      <c r="L5" s="2" t="str">
        <f>IF(LEN('A créer'!C5)=0,"","Tab")</f>
        <v>Tab</v>
      </c>
      <c r="M5" s="6" t="str">
        <f>IF(LEN('A créer'!C5)=0,"","ZZZZZ")</f>
        <v>ZZZZZ</v>
      </c>
      <c r="N5" s="6">
        <f>IF(LEN('A créer'!C5)=0,"",0)</f>
        <v>0</v>
      </c>
      <c r="O5" s="2" t="str">
        <f>IF(LEN('A créer'!C5)=0,"","Tab")</f>
        <v>Tab</v>
      </c>
      <c r="P5" s="6" t="str">
        <f>IF(LEN('A créer'!C5)=0,"","ZZZZZZZ")</f>
        <v>ZZZZZZZ</v>
      </c>
      <c r="Q5" s="6">
        <f>IF(LEN('A créer'!C5)=0,"",0)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>
        <f>IF(LEN('A créer'!C5)=0,"",0)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>
        <f>IF(LEN('A créer'!C5)=0,"",0)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>
        <f>IF(LEN('A créer'!C5)=0,"",0)</f>
        <v>0</v>
      </c>
      <c r="AA5" s="2" t="str">
        <f>IF(LEN('A créer'!C5)=0,"","Tab")</f>
        <v>Tab</v>
      </c>
      <c r="AB5" s="6" t="str">
        <f>IF(LEN('A créer'!C5)=0,"","ZZZ")</f>
        <v>ZZZ</v>
      </c>
      <c r="AC5" s="6">
        <f>IF(LEN('A créer'!C5)=0,"",0)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>
        <f>IF(LEN('A créer'!C5)=0,"",0)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>
        <f>IF(LEN('A créer'!C5)=0,"",0)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</row>
    <row r="6" spans="1:39" x14ac:dyDescent="0.25">
      <c r="A6" s="2" t="str">
        <f>IF(LEN('A créer'!C6)=0,"","*FN")</f>
        <v/>
      </c>
      <c r="B6" s="3" t="str">
        <f>IF(LEN('A créer'!C6)=0,"","\I")</f>
        <v/>
      </c>
      <c r="C6" s="2" t="str">
        <f>IF(LEN('A créer'!C6)=0,"","Tab")</f>
        <v/>
      </c>
      <c r="D6" t="str">
        <f>IF(LEN('A créer'!C6)=0,"",'A créer'!A6)</f>
        <v/>
      </c>
      <c r="E6" s="2" t="str">
        <f>IF(LEN('A créer'!C6)=0,"","Tab")</f>
        <v/>
      </c>
      <c r="F6" t="str">
        <f>IF(LEN('A créer'!C6)=0,"",'A créer'!B6)</f>
        <v/>
      </c>
      <c r="G6" s="2" t="str">
        <f>IF(LEN('A créer'!C6)=0,"","Tab")</f>
        <v/>
      </c>
      <c r="H6" t="str">
        <f>IF(LEN('A créer'!C6)=0,"",0)</f>
        <v/>
      </c>
      <c r="I6" s="2" t="str">
        <f>IF(LEN('A créer'!C6)=0,"","Tab")</f>
        <v/>
      </c>
      <c r="J6" t="str">
        <f>IF(LEN('A créer'!C6)=0,"","ZZZZZZ")</f>
        <v/>
      </c>
      <c r="K6" t="str">
        <f>IF(LEN('A créer'!C6)=0,"",0)</f>
        <v/>
      </c>
      <c r="L6" s="2" t="str">
        <f>IF(LEN('A créer'!C6)=0,"","Tab")</f>
        <v/>
      </c>
      <c r="M6" s="6" t="str">
        <f>IF(LEN('A créer'!C6)=0,"","ZZZZZ")</f>
        <v/>
      </c>
      <c r="N6" s="6" t="str">
        <f>IF(LEN('A créer'!C6)=0,"",0)</f>
        <v/>
      </c>
      <c r="O6" s="2" t="str">
        <f>IF(LEN('A créer'!C6)=0,"","Tab")</f>
        <v/>
      </c>
      <c r="P6" s="6" t="str">
        <f>IF(LEN('A créer'!C6)=0,"","ZZZZZZZ")</f>
        <v/>
      </c>
      <c r="Q6" s="6" t="str">
        <f>IF(LEN('A créer'!C6)=0,"",0)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créer'!C6)=0,"",0)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créer'!C6)=0,"",0)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créer'!C6)=0,"",0)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créer'!C6)=0,"",0)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créer'!C6)=0,"",0)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créer'!C6)=0,"",0)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</row>
    <row r="7" spans="1:39" x14ac:dyDescent="0.2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2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2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2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2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2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2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2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30"/>
  <sheetViews>
    <sheetView zoomScale="80" zoomScaleNormal="80" workbookViewId="0">
      <pane xSplit="1" ySplit="1" topLeftCell="Q2" activePane="bottomRight" state="frozenSplit"/>
      <selection activeCell="G1" sqref="G1"/>
      <selection pane="topRight"/>
      <selection pane="bottomLeft" activeCell="A2" sqref="A2"/>
      <selection pane="bottomRight" activeCell="S4" sqref="S4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49.28515625" bestFit="1" customWidth="1"/>
    <col min="10" max="10" width="6.5703125" customWidth="1"/>
    <col min="11" max="11" width="4" bestFit="1" customWidth="1"/>
    <col min="13" max="13" width="24.5703125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DEW0455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ENERGIES NICOISE REN (24455)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25504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DLS0460</v>
      </c>
      <c r="T3" s="2" t="s">
        <v>4</v>
      </c>
      <c r="U3" s="6" t="str">
        <f>IF('A créer'!F3="Oui",'A créer'!C3,IF(LEN('A créer'!F3)=0,"",CONCATENATE('A créer'!C3," (",'A créer'!M3,")")))</f>
        <v>CHEZINE LOIRE AVENIR (46460)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TSA 45506</v>
      </c>
      <c r="Z3" s="2" t="str">
        <f>IF(LEN('A créer'!D3)=0,"","Tab")</f>
        <v>Tab</v>
      </c>
      <c r="AA3" s="4" t="str">
        <f>IF('A créer'!F3="Oui","",IF(LEN('A créer'!F3)=0,"",'A créer'!O3))</f>
        <v>59784 LILLE CEDEX 9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/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2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DSW0395</v>
      </c>
      <c r="T4" s="2" t="s">
        <v>4</v>
      </c>
      <c r="U4" s="6" t="str">
        <f>IF('A créer'!F4="Oui",'A créer'!C4,IF(LEN('A créer'!F4)=0,"",CONCATENATE('A créer'!C4," (",'A créer'!M4,")")))</f>
        <v>SOCIETE VALMY DEFENSE 97 (XXXXX)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95502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/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2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>*FN</v>
      </c>
      <c r="R5" s="2" t="str">
        <f>IF(LEN('A créer'!D5)=0,"","Tab")</f>
        <v>Tab</v>
      </c>
      <c r="S5" s="6" t="str">
        <f>IF(LEN('A créer'!D5)=0,"",CONCATENATE('A créer'!B5,'A créer'!A5))</f>
        <v>DSW0443</v>
      </c>
      <c r="T5" s="2" t="s">
        <v>4</v>
      </c>
      <c r="U5" s="6" t="str">
        <f>IF('A créer'!F5="Oui",'A créer'!C5,IF(LEN('A créer'!F5)=0,"",CONCATENATE('A créer'!C5," (",'A créer'!M5,")")))</f>
        <v>SOCIETE VALMY DEFENSE 114 (92443)</v>
      </c>
      <c r="V5" s="2" t="str">
        <f>IF(LEN('A créer'!D5)=0,"","Tab")</f>
        <v>Tab</v>
      </c>
      <c r="W5" s="2" t="str">
        <f>IF(LEN('A créer'!D5)=0,"","Tab")</f>
        <v>Tab</v>
      </c>
      <c r="X5" s="2" t="str">
        <f>IF(LEN('A créer'!D5)=0,"","Tab")</f>
        <v>Tab</v>
      </c>
      <c r="Y5" s="6" t="str">
        <f>IF('A créer'!F5="Oui",'A créer'!J5,IF(LEN('A créer'!F5)=0,"",'A créer'!N5))</f>
        <v>TSA 95502</v>
      </c>
      <c r="Z5" s="2" t="str">
        <f>IF(LEN('A créer'!D5)=0,"","Tab")</f>
        <v>Tab</v>
      </c>
      <c r="AA5" s="4" t="str">
        <f>IF('A créer'!F5="Oui","",IF(LEN('A créer'!F5)=0,"",'A créer'!O5))</f>
        <v>59784 LILLE CEDEX 9</v>
      </c>
      <c r="AB5" s="2" t="str">
        <f>IF(LEN('A créer'!D5)=0,"","Tab")</f>
        <v>Tab</v>
      </c>
      <c r="AC5" s="4" t="str">
        <f>IF('A créer'!F5="Oui","",IF(LEN('A créer'!F5)=0,"","contactfournisseur@csp.dalkia.fr"))</f>
        <v>contactfournisseur@csp.dalkia.fr</v>
      </c>
      <c r="AD5" s="2" t="str">
        <f>IF(LEN('A créer'!D5)=0,"","Tab")</f>
        <v>Tab</v>
      </c>
      <c r="AE5" s="2" t="str">
        <f>IF(LEN('A créer'!D5)=0,"","Tab")</f>
        <v>Tab</v>
      </c>
      <c r="AF5" s="6" t="str">
        <f>IF('A créer'!F5="Oui","",IF(LEN('A créer'!F5)=0,"","ATTENTION adresse UNIQUEMENT pour la comptabilité fournisseurs"))</f>
        <v>ATTENTION adresse UNIQUEMENT pour la comptabilité fournisseurs</v>
      </c>
      <c r="AG5" s="2" t="str">
        <f>IF(LEN('A créer'!D5)=0,"","Tab")</f>
        <v>Tab</v>
      </c>
      <c r="AH5" s="4" t="str">
        <f>IF('A créer'!F5="Oui",'A créer'!K5,IF(LEN('A créer'!F5)=0,"",""))</f>
        <v/>
      </c>
      <c r="AI5" s="2" t="str">
        <f>IF(OR(LEN('A créer'!D5)=0,LEN(AH5)&gt;0),"","Tab")</f>
        <v>Tab</v>
      </c>
      <c r="AJ5" s="6" t="str">
        <f>IF('A créer'!F5="Oui",'A créer'!L5,IF(LEN('A créer'!F5)=0,"","NOUVELLE ADRESSE FACTURATION"))</f>
        <v>NOUVELLE ADRESSE FACTURATION</v>
      </c>
      <c r="AK5" s="2" t="str">
        <f>IF(LEN('A créer'!D5)=0,"","Tab")</f>
        <v>Tab</v>
      </c>
      <c r="AL5" s="2" t="str">
        <f>IF(LEN('A créer'!D5)=0,"","ENT")</f>
        <v>ENT</v>
      </c>
      <c r="AM5" s="2" t="str">
        <f>IF(LEN('A créer'!D5)=0,"","Tab 4")</f>
        <v>Tab 4</v>
      </c>
      <c r="AN5" s="2" t="str">
        <f>IF(LEN('A créer'!D5)=0,"","Tab 4")</f>
        <v>Tab 4</v>
      </c>
      <c r="AO5" s="2" t="str">
        <f>IF(LEN('A créer'!D5)=0,"","Tab")</f>
        <v>Tab</v>
      </c>
      <c r="AP5" s="2" t="str">
        <f>IF(LEN('A créer'!D5)=0,"","Tab")</f>
        <v>Tab</v>
      </c>
      <c r="AQ5" s="2" t="str">
        <f>IF(LEN('A créer'!D5)=0,"","Tab")</f>
        <v>Tab</v>
      </c>
      <c r="AR5" s="4" t="str">
        <f>IF(OR('A créer'!D5="Oui",LEN('A créer'!D5)=0),"",IF(LEN('A créer'!F5)=0,"",'A créer'!B5))</f>
        <v/>
      </c>
      <c r="AS5" s="2" t="str">
        <f>IF(LEN('A créer'!D5)=0,"","Tab")</f>
        <v>Tab</v>
      </c>
      <c r="AT5" s="2" t="str">
        <f>IF(LEN('A créer'!D5)=0,"","ENT")</f>
        <v>ENT</v>
      </c>
      <c r="AU5" s="2" t="str">
        <f>IF(LEN('A créer'!D5)=0,"","*SAVE")</f>
        <v>*SAVE</v>
      </c>
    </row>
    <row r="6" spans="1:47" x14ac:dyDescent="0.2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/>
      </c>
      <c r="R6" s="2" t="str">
        <f>IF(LEN('A créer'!D6)=0,"","Tab")</f>
        <v/>
      </c>
      <c r="S6" s="6" t="str">
        <f>IF(LEN('A créer'!D6)=0,"",CONCATENATE('A créer'!B6,'A créer'!A6))</f>
        <v/>
      </c>
      <c r="T6" s="2" t="s">
        <v>4</v>
      </c>
      <c r="U6" s="6" t="str">
        <f>IF('A créer'!F6="Oui",'A créer'!C6,IF(LEN('A créer'!F6)=0,"",CONCATENATE('A créer'!C6," (",'A créer'!M6,")")))</f>
        <v/>
      </c>
      <c r="V6" s="2" t="str">
        <f>IF(LEN('A créer'!D6)=0,"","Tab")</f>
        <v/>
      </c>
      <c r="W6" s="2" t="str">
        <f>IF(LEN('A créer'!D6)=0,"","Tab")</f>
        <v/>
      </c>
      <c r="X6" s="2" t="str">
        <f>IF(LEN('A créer'!D6)=0,"","Tab")</f>
        <v/>
      </c>
      <c r="Y6" s="6" t="str">
        <f>IF('A créer'!F6="Oui",'A créer'!J6,IF(LEN('A créer'!F6)=0,"",'A créer'!N6))</f>
        <v/>
      </c>
      <c r="Z6" s="2" t="str">
        <f>IF(LEN('A créer'!D6)=0,"","Tab")</f>
        <v/>
      </c>
      <c r="AA6" s="4" t="str">
        <f>IF('A créer'!F6="Oui","",IF(LEN('A créer'!F6)=0,"",'A créer'!O6))</f>
        <v/>
      </c>
      <c r="AB6" s="2" t="str">
        <f>IF(LEN('A créer'!D6)=0,"","Tab")</f>
        <v/>
      </c>
      <c r="AC6" s="4" t="str">
        <f>IF('A créer'!F6="Oui","",IF(LEN('A créer'!F6)=0,"","contactfournisseur@csp.dalkia.fr"))</f>
        <v/>
      </c>
      <c r="AD6" s="2" t="str">
        <f>IF(LEN('A créer'!D6)=0,"","Tab")</f>
        <v/>
      </c>
      <c r="AE6" s="2" t="str">
        <f>IF(LEN('A créer'!D6)=0,"","Tab")</f>
        <v/>
      </c>
      <c r="AF6" s="6" t="str">
        <f>IF('A créer'!F6="Oui","",IF(LEN('A créer'!F6)=0,"","ATTENTION adresse UNIQUEMENT pour la comptabilité fournisseurs"))</f>
        <v/>
      </c>
      <c r="AG6" s="2" t="str">
        <f>IF(LEN('A créer'!D6)=0,"","Tab")</f>
        <v/>
      </c>
      <c r="AH6" s="4" t="str">
        <f>IF('A créer'!F6="Oui",'A créer'!K6,IF(LEN('A créer'!F6)=0,"",""))</f>
        <v/>
      </c>
      <c r="AI6" s="2" t="str">
        <f>IF(OR(LEN('A créer'!D6)=0,LEN(AH6)&gt;0),"","Tab")</f>
        <v/>
      </c>
      <c r="AJ6" s="6" t="str">
        <f>IF('A créer'!F6="Oui",'A créer'!L6,IF(LEN('A créer'!F6)=0,"","NOUVELLE ADRESSE FACTURATION"))</f>
        <v/>
      </c>
      <c r="AK6" s="2" t="str">
        <f>IF(LEN('A créer'!D6)=0,"","Tab")</f>
        <v/>
      </c>
      <c r="AL6" s="2" t="str">
        <f>IF(LEN('A créer'!D6)=0,"","ENT")</f>
        <v/>
      </c>
      <c r="AM6" s="2" t="str">
        <f>IF(LEN('A créer'!D6)=0,"","Tab 4")</f>
        <v/>
      </c>
      <c r="AN6" s="2" t="str">
        <f>IF(LEN('A créer'!D6)=0,"","Tab 4")</f>
        <v/>
      </c>
      <c r="AO6" s="2" t="str">
        <f>IF(LEN('A créer'!D6)=0,"","Tab")</f>
        <v/>
      </c>
      <c r="AP6" s="2" t="str">
        <f>IF(LEN('A créer'!D6)=0,"","Tab")</f>
        <v/>
      </c>
      <c r="AQ6" s="2" t="str">
        <f>IF(LEN('A créer'!D6)=0,"","Tab")</f>
        <v/>
      </c>
      <c r="AR6" s="4" t="str">
        <f>IF(OR('A créer'!D6="Oui",LEN('A créer'!D6)=0),"",IF(LEN('A créer'!F6)=0,"",'A créer'!B6))</f>
        <v/>
      </c>
      <c r="AS6" s="2" t="str">
        <f>IF(LEN('A créer'!D6)=0,"","Tab")</f>
        <v/>
      </c>
      <c r="AT6" s="2" t="str">
        <f>IF(LEN('A créer'!D6)=0,"","ENT")</f>
        <v/>
      </c>
      <c r="AU6" s="2" t="str">
        <f>IF(LEN('A créer'!D6)=0,"","*SAVE")</f>
        <v/>
      </c>
    </row>
    <row r="7" spans="1:47" x14ac:dyDescent="0.2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2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2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2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2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2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2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2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0"/>
  <sheetViews>
    <sheetView workbookViewId="0">
      <pane ySplit="1" topLeftCell="A2" activePane="bottomLeft" state="frozenSplit"/>
      <selection pane="bottomLeft" activeCell="G5" sqref="G5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0455</v>
      </c>
      <c r="D2" s="2" t="str">
        <f>IF(LEN('A créer'!C2)=0,"","Tab")</f>
        <v>Tab</v>
      </c>
      <c r="E2" t="str">
        <f>IF(LEN('A créer'!C2)=0,"",'A créer'!B2)</f>
        <v>DEW</v>
      </c>
      <c r="F2" s="2" t="str">
        <f>IF(LEN('A créer'!C2)=0,"","Tab")</f>
        <v>Tab</v>
      </c>
      <c r="G2" t="str">
        <f>IF(LEN('A créer'!C2)=0,"",'A créer'!G2)</f>
        <v>S2021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0460</v>
      </c>
      <c r="D3" s="2" t="str">
        <f>IF(LEN('A créer'!C3)=0,"","Tab")</f>
        <v>Tab</v>
      </c>
      <c r="E3" t="str">
        <f>IF(LEN('A créer'!C3)=0,"",'A créer'!B3)</f>
        <v>DLS</v>
      </c>
      <c r="F3" s="2" t="str">
        <f>IF(LEN('A créer'!C3)=0,"","Tab")</f>
        <v>Tab</v>
      </c>
      <c r="G3" t="str">
        <f>IF(LEN('A créer'!C3)=0,"",'A créer'!G3)</f>
        <v>S2101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2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0395</v>
      </c>
      <c r="D4" s="2" t="str">
        <f>IF(LEN('A créer'!C4)=0,"","Tab")</f>
        <v>Tab</v>
      </c>
      <c r="E4" t="str">
        <f>IF(LEN('A créer'!C4)=0,"",'A créer'!B4)</f>
        <v>DSW</v>
      </c>
      <c r="F4" s="2" t="str">
        <f>IF(LEN('A créer'!C4)=0,"","Tab")</f>
        <v>Tab</v>
      </c>
      <c r="G4" t="str">
        <f>IF(LEN('A créer'!C4)=0,"",'A créer'!G4)</f>
        <v>SO697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25">
      <c r="A5" s="2" t="str">
        <f>IF(LEN('A créer'!C5)=0,"","*FN")</f>
        <v>*FN</v>
      </c>
      <c r="B5" s="2" t="str">
        <f>IF(LEN('A créer'!A5)=0,"","Tab")</f>
        <v>Tab</v>
      </c>
      <c r="C5" t="str">
        <f>IF(LEN('A créer'!C5)=0,"",'A créer'!A5)</f>
        <v>0443</v>
      </c>
      <c r="D5" s="2" t="str">
        <f>IF(LEN('A créer'!C5)=0,"","Tab")</f>
        <v>Tab</v>
      </c>
      <c r="E5" t="str">
        <f>IF(LEN('A créer'!C5)=0,"",'A créer'!B5)</f>
        <v>DSW</v>
      </c>
      <c r="F5" s="2" t="str">
        <f>IF(LEN('A créer'!C5)=0,"","Tab")</f>
        <v>Tab</v>
      </c>
      <c r="G5" t="str">
        <f>IF(LEN('A créer'!C5)=0,"",'A créer'!G5)</f>
        <v>S2014</v>
      </c>
      <c r="H5" s="2" t="str">
        <f>IF(LEN('A créer'!C5)=0,"","Tab")</f>
        <v>Tab</v>
      </c>
      <c r="I5" s="2" t="str">
        <f>IF(LEN('A créer'!C5)=0,"","*SAVE")</f>
        <v>*SAVE</v>
      </c>
    </row>
    <row r="6" spans="1:9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créer'!C6)=0,"",'A créer'!A6)</f>
        <v/>
      </c>
      <c r="D6" s="2" t="str">
        <f>IF(LEN('A créer'!C6)=0,"","Tab")</f>
        <v/>
      </c>
      <c r="E6" t="str">
        <f>IF(LEN('A créer'!C6)=0,"",'A créer'!B6)</f>
        <v/>
      </c>
      <c r="F6" s="2" t="str">
        <f>IF(LEN('A créer'!C6)=0,"","Tab")</f>
        <v/>
      </c>
      <c r="G6" t="str">
        <f>IF(LEN('A créer'!C6)=0,"",'A créer'!G6)</f>
        <v/>
      </c>
      <c r="H6" s="2" t="str">
        <f>IF(LEN('A créer'!C6)=0,"","Tab")</f>
        <v/>
      </c>
      <c r="I6" s="2" t="str">
        <f>IF(LEN('A créer'!C6)=0,"","*SAVE")</f>
        <v/>
      </c>
    </row>
    <row r="7" spans="1:9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513522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2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513528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2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513467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25">
      <c r="A5" s="2" t="str">
        <f>IF(LEN('A créer'!C5)=0,"","*FN")</f>
        <v>*FN</v>
      </c>
      <c r="B5" s="2" t="str">
        <f>IF(LEN('A créer'!A5)=0,"","Tab")</f>
        <v>Tab</v>
      </c>
      <c r="C5">
        <f>IF(LEN('A créer'!P5)=0,"",'A créer'!P5)</f>
        <v>513516</v>
      </c>
      <c r="D5" s="2" t="str">
        <f>IF(LEN('A créer'!C5)=0,"","Tab")</f>
        <v>Tab</v>
      </c>
      <c r="E5" t="str">
        <f>IF(LEN('A créer'!P5)=0,"","17060")</f>
        <v>17060</v>
      </c>
      <c r="F5" s="2" t="str">
        <f>IF(LEN('A créer'!C5)=0,"","Tab")</f>
        <v>Tab</v>
      </c>
      <c r="G5" t="str">
        <f>IF(LEN('A créer'!P5)=0,"","01/01/2002")</f>
        <v>01/01/2002</v>
      </c>
      <c r="H5" s="2" t="str">
        <f>IF(LEN('A créer'!C5)=0,"","*SAVE")</f>
        <v>*SAVE</v>
      </c>
    </row>
    <row r="6" spans="1:8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créer'!P6)=0,"",'A créer'!P6)</f>
        <v/>
      </c>
      <c r="D6" s="2" t="str">
        <f>IF(LEN('A créer'!C6)=0,"","Tab")</f>
        <v/>
      </c>
      <c r="E6" t="str">
        <f>IF(LEN('A créer'!P6)=0,"","17060")</f>
        <v/>
      </c>
      <c r="F6" s="2" t="str">
        <f>IF(LEN('A créer'!C6)=0,"","Tab")</f>
        <v/>
      </c>
      <c r="G6" t="str">
        <f>IF(LEN('A créer'!P6)=0,"","01/01/2002")</f>
        <v/>
      </c>
      <c r="H6" s="2" t="str">
        <f>IF(LEN('A créer'!C6)=0,"","*SAVE")</f>
        <v/>
      </c>
    </row>
    <row r="7" spans="1:8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B2" sqref="B2:B13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6" t="str">
        <f>CONCATENATE('A créer'!B2,'A créer'!A2)</f>
        <v>DEW0455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>TAB</v>
      </c>
      <c r="B3" s="6" t="str">
        <f>CONCATENATE('A créer'!B3,'A créer'!A3)</f>
        <v>DLS0460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25">
      <c r="A4" s="2" t="str">
        <f>IF(LEN('A créer'!$C4)=0,"","TAB")</f>
        <v>TAB</v>
      </c>
      <c r="B4" s="6" t="str">
        <f>CONCATENATE('A créer'!B4,'A créer'!A4)</f>
        <v>DSW0395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25">
      <c r="A5" s="2" t="str">
        <f>IF(LEN('A créer'!$C5)=0,"","TAB")</f>
        <v>TAB</v>
      </c>
      <c r="B5" s="6" t="str">
        <f>CONCATENATE('A créer'!B5,'A créer'!A5)</f>
        <v>DSW0443</v>
      </c>
      <c r="C5" s="2" t="str">
        <f>IF(LEN('A créer'!$C5)=0,"","TAB")</f>
        <v>TAB</v>
      </c>
      <c r="D5" s="2" t="str">
        <f>IF(LEN('A créer'!$C5)=0,"","ENT")</f>
        <v>ENT</v>
      </c>
      <c r="E5" s="2" t="str">
        <f>IF(LEN('A créer'!$C5)=0,"","TAB")</f>
        <v>TAB</v>
      </c>
      <c r="F5" s="2" t="str">
        <f>IF(LEN('A créer'!$C5)=0,"","TAB")</f>
        <v>TAB</v>
      </c>
      <c r="G5" s="2" t="str">
        <f>IF(LEN('A créer'!$C5)=0,"","ENT")</f>
        <v>ENT</v>
      </c>
      <c r="H5" s="2" t="str">
        <f>IF(LEN('A créer'!$C5)=0,"","ENT")</f>
        <v>ENT</v>
      </c>
    </row>
    <row r="6" spans="1:8" x14ac:dyDescent="0.25">
      <c r="A6" s="2" t="str">
        <f>IF(LEN('A créer'!$C6)=0,"","TAB")</f>
        <v/>
      </c>
      <c r="B6" s="6" t="str">
        <f>CONCATENATE('A créer'!B6,'A créer'!A6)</f>
        <v/>
      </c>
      <c r="C6" s="2" t="str">
        <f>IF(LEN('A créer'!$C6)=0,"","TAB")</f>
        <v/>
      </c>
      <c r="D6" s="2" t="str">
        <f>IF(LEN('A créer'!$C6)=0,"","ENT")</f>
        <v/>
      </c>
      <c r="E6" s="2" t="str">
        <f>IF(LEN('A créer'!$C6)=0,"","TAB")</f>
        <v/>
      </c>
      <c r="F6" s="2" t="str">
        <f>IF(LEN('A créer'!$C6)=0,"","TAB")</f>
        <v/>
      </c>
      <c r="G6" s="2" t="str">
        <f>IF(LEN('A créer'!$C6)=0,"","ENT")</f>
        <v/>
      </c>
      <c r="H6" s="2" t="str">
        <f>IF(LEN('A créer'!$C6)=0,"","ENT")</f>
        <v/>
      </c>
    </row>
    <row r="7" spans="1:8" x14ac:dyDescent="0.2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2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2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2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2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2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2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2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2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DEW0455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DLS0460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2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DSW0395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25">
      <c r="A5" s="2" t="str">
        <f>IF(LEN('A créer'!C5)=0,"","*FN")</f>
        <v>*FN</v>
      </c>
      <c r="B5" s="2" t="str">
        <f>IF(LEN('A créer'!C5)=0,"","Tab")</f>
        <v>Tab</v>
      </c>
      <c r="C5" s="8" t="str">
        <f>CONCATENATE('A créer'!B5,'A créer'!A5)</f>
        <v>DSW0443</v>
      </c>
      <c r="D5" s="2" t="str">
        <f>IF(LEN('A créer'!C5)=0,"","Tab")</f>
        <v>Tab</v>
      </c>
      <c r="E5" s="2" t="str">
        <f>IF(LEN('A créer'!C5)=0,"","*SAVE")</f>
        <v>*SAVE</v>
      </c>
    </row>
    <row r="6" spans="1:5" x14ac:dyDescent="0.25">
      <c r="A6" s="2" t="str">
        <f>IF(LEN('A créer'!C6)=0,"","*FN")</f>
        <v/>
      </c>
      <c r="B6" s="2" t="str">
        <f>IF(LEN('A créer'!C6)=0,"","Tab")</f>
        <v/>
      </c>
      <c r="C6" s="8" t="str">
        <f>CONCATENATE('A créer'!B6,'A créer'!A6)</f>
        <v/>
      </c>
      <c r="D6" s="2" t="str">
        <f>IF(LEN('A créer'!C6)=0,"","Tab")</f>
        <v/>
      </c>
      <c r="E6" s="2" t="str">
        <f>IF(LEN('A créer'!C6)=0,"","*SAVE")</f>
        <v/>
      </c>
    </row>
    <row r="7" spans="1:5" x14ac:dyDescent="0.2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2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2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2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2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2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2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2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6" bestFit="1" customWidth="1"/>
    <col min="6" max="6" width="5.7109375" bestFit="1" customWidth="1"/>
    <col min="7" max="7" width="4.28515625" style="6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6" bestFit="1" customWidth="1"/>
    <col min="14" max="14" width="6.140625" bestFit="1" customWidth="1"/>
    <col min="15" max="15" width="11.5703125" style="6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3.42578125" style="6" bestFit="1" customWidth="1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DEW0455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DEW0455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0455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DEW0455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25">
      <c r="A3" s="2" t="str">
        <f>IF(AND(LEN('A créer'!$C3)=0,LEN('A créer'!$E3&gt;0)),"","*FN")</f>
        <v>*FN</v>
      </c>
      <c r="B3" s="25" t="str">
        <f>IF(AND(LEN('A créer'!$C3)=0,LEN('A créer'!$E3&gt;0)),"",CONCATENATE('A créer'!B3,'A créer'!A3))</f>
        <v>DLS0460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DLS0460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créer'!$E3&gt;0)),"","*ML(103,118)")</f>
        <v>*ML(103,118)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0460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DLS0460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créer'!$E3="Oui"),"","*ML(103,118)")</f>
        <v>*ML(103,118)</v>
      </c>
    </row>
    <row r="4" spans="1:30" x14ac:dyDescent="0.25">
      <c r="A4" s="2" t="str">
        <f>IF(AND(LEN('A créer'!$C4)=0,LEN('A créer'!$E4&gt;0)),"","*FN")</f>
        <v>*FN</v>
      </c>
      <c r="B4" s="25" t="str">
        <f>IF(AND(LEN('A créer'!$C4)=0,LEN('A créer'!$E4&gt;0)),"",CONCATENATE('A créer'!B4,'A créer'!A4))</f>
        <v>DSW0395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DSW0395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créer'!$E4&gt;0)),"","*ML(103,118)")</f>
        <v>*ML(103,118)</v>
      </c>
      <c r="P4" s="2" t="str">
        <f>IF(OR(LEN('A créer'!$C4)=0,'A créer'!$E4="Oui"),"","*FN")</f>
        <v>*FN</v>
      </c>
      <c r="Q4" s="6" t="str">
        <f>IF(OR(LEN('A créer'!$C4)=0,'A créer'!$E4="Oui"),"",'A créer'!A4)</f>
        <v>0395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DSW0395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créer'!$E4="Oui"),"","*ML(103,118)")</f>
        <v>*ML(103,118)</v>
      </c>
    </row>
    <row r="5" spans="1:30" x14ac:dyDescent="0.25">
      <c r="A5" s="2" t="str">
        <f>IF(AND(LEN('A créer'!$C5)=0,LEN('A créer'!$E5&gt;0)),"","*FN")</f>
        <v>*FN</v>
      </c>
      <c r="B5" s="3" t="str">
        <f>IF(AND(LEN('A créer'!$C5)=0,LEN('A créer'!$E5&gt;0)),"",CONCATENATE('A créer'!B5,'A créer'!A5))</f>
        <v>DSW0443</v>
      </c>
      <c r="C5" s="2" t="str">
        <f>IF(AND(LEN('A créer'!$C5)=0,LEN('A créer'!$E5&gt;0)),"","TAB")</f>
        <v>TAB</v>
      </c>
      <c r="D5" s="6" t="str">
        <f>IF(AND(LEN('A créer'!$C5)=0,LEN('A créer'!$E5&gt;0)),"","Setup Business Group")</f>
        <v>Setup Business Group</v>
      </c>
      <c r="E5" s="2" t="str">
        <f>IF(AND(LEN('A créer'!$C5)=0,LEN('A créer'!$E5&gt;0)),"","TAB 4")</f>
        <v>TAB 4</v>
      </c>
      <c r="F5" s="2" t="str">
        <f>IF(AND(LEN('A créer'!$C5)=0,LEN('A créer'!$E5&gt;0)),"","TAB 4")</f>
        <v>TAB 4</v>
      </c>
      <c r="G5" s="2" t="str">
        <f>IF(AND(LEN('A créer'!$C5)=0,LEN('A créer'!$E5&gt;0)),"","TAB")</f>
        <v>TAB</v>
      </c>
      <c r="H5" s="2" t="str">
        <f>IF(AND(LEN('A créer'!$C5)=0,LEN('A créer'!$E5&gt;0)),"","TAB")</f>
        <v>TAB</v>
      </c>
      <c r="I5" s="2" t="str">
        <f>IF(AND(LEN('A créer'!$C5)=0,LEN('A créer'!$E5&gt;0)),"","TAB")</f>
        <v>TAB</v>
      </c>
      <c r="J5" s="6" t="str">
        <f>IF(AND(LEN('A créer'!$C5)=0,LEN('A créer'!$E5&gt;0)),"","\Sécuriser les organisations par hiérarchie")</f>
        <v>\Sécuriser les organisations par hiérarchie</v>
      </c>
      <c r="K5" s="2" t="str">
        <f>IF(AND(LEN('A créer'!$C5)=0,LEN('A créer'!$E5&gt;0)),"","TAB 4")</f>
        <v>TAB 4</v>
      </c>
      <c r="L5" s="6" t="str">
        <f>IF(AND(LEN('A créer'!$C5)=0,LEN('A créer'!$E5&gt;0)),"",CONCATENATE('A créer'!B5,'A créer'!A5))</f>
        <v>DSW0443</v>
      </c>
      <c r="M5" s="2" t="str">
        <f>IF(AND(LEN('A créer'!$C5)=0,LEN('A créer'!$E5&gt;0)),"","TAB")</f>
        <v>TAB</v>
      </c>
      <c r="N5" s="2" t="str">
        <f>IF(AND(LEN('A créer'!$C5)=0,LEN('A créer'!$E5&gt;0)),"","*SAVE")</f>
        <v>*SAVE</v>
      </c>
      <c r="O5" s="2" t="str">
        <f>IF(AND(LEN('A créer'!$C5)=0,LEN('A créer'!$E5&gt;0)),"","*ML(103,118)")</f>
        <v>*ML(103,118)</v>
      </c>
      <c r="P5" s="2" t="str">
        <f>IF(OR(LEN('A créer'!$C5)=0,'A créer'!$E5="Oui"),"","*FN")</f>
        <v>*FN</v>
      </c>
      <c r="Q5" s="6" t="str">
        <f>IF(OR(LEN('A créer'!$C5)=0,'A créer'!$E5="Oui"),"",'A créer'!A5)</f>
        <v>0443</v>
      </c>
      <c r="R5" s="2" t="str">
        <f>IF(OR(LEN('A créer'!$C5)=0,'A créer'!$E5="Oui"),"","TAB")</f>
        <v>TAB</v>
      </c>
      <c r="S5" s="6" t="str">
        <f>IF(OR(LEN('A créer'!$C5)=0,'A créer'!$E5="Oui"),"","Setup Business Group")</f>
        <v>Setup Business Group</v>
      </c>
      <c r="T5" s="2" t="str">
        <f>IF(OR(LEN('A créer'!$C5)=0,'A créer'!$E5="Oui"),"","TAB 4")</f>
        <v>TAB 4</v>
      </c>
      <c r="U5" s="2" t="str">
        <f>IF(OR(LEN('A créer'!$C5)=0,'A créer'!$E5="Oui"),"","TAB 4")</f>
        <v>TAB 4</v>
      </c>
      <c r="V5" s="2" t="str">
        <f>IF(OR(LEN('A créer'!$C5)=0,'A créer'!$E5="Oui"),"","TAB")</f>
        <v>TAB</v>
      </c>
      <c r="W5" s="2" t="str">
        <f>IF(OR(LEN('A créer'!$C5)=0,'A créer'!$E5="Oui"),"","TAB")</f>
        <v>TAB</v>
      </c>
      <c r="X5" s="2" t="str">
        <f>IF(OR(LEN('A créer'!$C5)=0,'A créer'!$E5="Oui"),"","TAB")</f>
        <v>TAB</v>
      </c>
      <c r="Y5" s="6" t="str">
        <f>IF(OR(LEN('A créer'!$C5)=0,'A créer'!$E5="Oui"),"","\Sécuriser les organisations par hiérarchie")</f>
        <v>\Sécuriser les organisations par hiérarchie</v>
      </c>
      <c r="Z5" s="2" t="str">
        <f>IF(OR(LEN('A créer'!$C5)=0,'A créer'!$E5="Oui"),"","TAB 4")</f>
        <v>TAB 4</v>
      </c>
      <c r="AA5" s="6" t="str">
        <f>IF(OR(LEN('A créer'!$C5)=0,'A créer'!$E5="Oui"),"",CONCATENATE('A créer'!B5,'A créer'!A5))</f>
        <v>DSW0443</v>
      </c>
      <c r="AB5" s="2" t="str">
        <f>IF(OR(LEN('A créer'!$C5)=0,'A créer'!$E5="Oui"),"","TAB")</f>
        <v>TAB</v>
      </c>
      <c r="AC5" s="2" t="str">
        <f>IF(OR(LEN('A créer'!$C5)=0,'A créer'!$E5="Oui"),"","*SAVE")</f>
        <v>*SAVE</v>
      </c>
      <c r="AD5" s="2" t="str">
        <f>IF(OR(LEN('A créer'!$C5)=0,'A créer'!$E5="Oui"),"","*ML(103,118)")</f>
        <v>*ML(103,118)</v>
      </c>
    </row>
    <row r="6" spans="1:30" x14ac:dyDescent="0.25">
      <c r="A6" s="2" t="str">
        <f>IF(AND(LEN('A créer'!$C6)=0,LEN('A créer'!$E6&gt;0)),"","*FN")</f>
        <v/>
      </c>
      <c r="B6" s="3" t="str">
        <f>IF(AND(LEN('A créer'!$C6)=0,LEN('A créer'!$E6&gt;0)),"",CONCATENATE('A créer'!B6,'A créer'!A6))</f>
        <v/>
      </c>
      <c r="C6" s="2" t="str">
        <f>IF(AND(LEN('A créer'!$C6)=0,LEN('A créer'!$E6&gt;0)),"","TAB")</f>
        <v/>
      </c>
      <c r="D6" s="6" t="str">
        <f>IF(AND(LEN('A créer'!$C6)=0,LEN('A créer'!$E6&gt;0)),"","Setup Business Group")</f>
        <v/>
      </c>
      <c r="E6" s="2" t="str">
        <f>IF(AND(LEN('A créer'!$C6)=0,LEN('A créer'!$E6&gt;0)),"","TAB 4")</f>
        <v/>
      </c>
      <c r="F6" s="2" t="str">
        <f>IF(AND(LEN('A créer'!$C6)=0,LEN('A créer'!$E6&gt;0)),"","TAB 4")</f>
        <v/>
      </c>
      <c r="G6" s="2" t="str">
        <f>IF(AND(LEN('A créer'!$C6)=0,LEN('A créer'!$E6&gt;0)),"","TAB")</f>
        <v/>
      </c>
      <c r="H6" s="2" t="str">
        <f>IF(AND(LEN('A créer'!$C6)=0,LEN('A créer'!$E6&gt;0)),"","TAB")</f>
        <v/>
      </c>
      <c r="I6" s="2" t="str">
        <f>IF(AND(LEN('A créer'!$C6)=0,LEN('A créer'!$E6&gt;0)),"","TAB")</f>
        <v/>
      </c>
      <c r="J6" s="6" t="str">
        <f>IF(AND(LEN('A créer'!$C6)=0,LEN('A créer'!$E6&gt;0)),"","\Sécuriser les organisations par hiérarchie")</f>
        <v/>
      </c>
      <c r="K6" s="2" t="str">
        <f>IF(AND(LEN('A créer'!$C6)=0,LEN('A créer'!$E6&gt;0)),"","TAB 4")</f>
        <v/>
      </c>
      <c r="L6" s="6" t="str">
        <f>IF(AND(LEN('A créer'!$C6)=0,LEN('A créer'!$E6&gt;0)),"",CONCATENATE('A créer'!B6,'A créer'!A6))</f>
        <v/>
      </c>
      <c r="M6" s="2" t="str">
        <f>IF(AND(LEN('A créer'!$C6)=0,LEN('A créer'!$E6&gt;0)),"","TAB")</f>
        <v/>
      </c>
      <c r="N6" s="2" t="str">
        <f>IF(AND(LEN('A créer'!$C6)=0,LEN('A créer'!$E6&gt;0)),"","*SAVE")</f>
        <v/>
      </c>
      <c r="O6" s="2" t="str">
        <f>IF(AND(LEN('A créer'!$C6)=0,LEN('A créer'!$E6&gt;0)),"","*ML(103,118)")</f>
        <v/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créer'!$E6="Oui"),"","*ML(118,110)")</f>
        <v/>
      </c>
    </row>
    <row r="7" spans="1:30" x14ac:dyDescent="0.25">
      <c r="A7" s="2" t="str">
        <f>IF(AND(LEN('A créer'!$C7)=0,LEN('A créer'!$E7&gt;0)),"","*FN")</f>
        <v/>
      </c>
      <c r="B7" s="25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créer'!$E7&gt;0)),"","*ML(103,118)")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créer'!$E7="Oui"),"","*ML(118,110)")</f>
        <v/>
      </c>
    </row>
    <row r="8" spans="1:30" x14ac:dyDescent="0.25">
      <c r="A8" s="2" t="str">
        <f>IF(AND(LEN('A créer'!$C8)=0,LEN('A créer'!$E8&gt;0)),"","*FN")</f>
        <v/>
      </c>
      <c r="B8" s="25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2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2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2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2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2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2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25">
      <c r="A15" s="2" t="str">
        <f>IF(AND(LEN('A créer'!$C15)=0,LEN('A créer'!$E15&gt;0)),"","*FN")</f>
        <v/>
      </c>
      <c r="B15" s="25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.28515625" style="6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DEW0455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DLS0460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2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DSW0395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25">
      <c r="A5" s="2" t="str">
        <f>IF(LEN('A créer'!$C5)=0,"","TAB")</f>
        <v>TAB</v>
      </c>
      <c r="B5" s="2" t="str">
        <f>IF(LEN('A créer'!$C5)=0,"","TAB")</f>
        <v>TAB</v>
      </c>
      <c r="C5" s="6" t="str">
        <f>IF(LEN('A créer'!$C5)=0,"","\Un profil de sécurité nommé")</f>
        <v>\Un profil de sécurité nommé</v>
      </c>
      <c r="D5" s="2" t="str">
        <f>IF(LEN('A créer'!$C5)=0,"","TAB")</f>
        <v>TAB</v>
      </c>
      <c r="E5" s="2" t="str">
        <f>IF(LEN('A créer'!$C5)=0,"","TAB")</f>
        <v>TAB</v>
      </c>
      <c r="F5" s="6" t="str">
        <f>IF(LEN('A créer'!$C5)=0,"",CONCATENATE('A créer'!B5,'A créer'!A5))</f>
        <v>DSW0443</v>
      </c>
      <c r="G5" s="2" t="str">
        <f>IF(LEN('A créer'!$C5)=0,"","TAB")</f>
        <v>TAB</v>
      </c>
      <c r="H5" s="2" t="str">
        <f>IF(LEN('A créer'!$C5)=0,"","ENT")</f>
        <v>ENT</v>
      </c>
      <c r="I5" s="2" t="str">
        <f>IF(LEN('A créer'!$C5)=0,"","TAB")</f>
        <v>TAB</v>
      </c>
      <c r="J5" s="2" t="str">
        <f>IF(LEN('A créer'!$C5)=0,"","TAB")</f>
        <v>TAB</v>
      </c>
      <c r="K5" s="2" t="str">
        <f>IF(LEN('A créer'!$C5)=0,"","ENT")</f>
        <v>ENT</v>
      </c>
      <c r="L5" s="2" t="str">
        <f>IF(LEN('A créer'!$C5)=0,"","ENT")</f>
        <v>ENT</v>
      </c>
    </row>
    <row r="6" spans="1:12" x14ac:dyDescent="0.25">
      <c r="A6" s="2" t="str">
        <f>IF(LEN('A créer'!$C6)=0,"","TAB")</f>
        <v/>
      </c>
      <c r="B6" s="2" t="str">
        <f>IF(LEN('A créer'!$C6)=0,"","TAB")</f>
        <v/>
      </c>
      <c r="C6" s="6" t="str">
        <f>IF(LEN('A créer'!$C6)=0,"","\Un profil de sécurité nommé")</f>
        <v/>
      </c>
      <c r="D6" s="2" t="str">
        <f>IF(LEN('A créer'!$C6)=0,"","TAB")</f>
        <v/>
      </c>
      <c r="E6" s="2" t="str">
        <f>IF(LEN('A créer'!$C6)=0,"","TAB")</f>
        <v/>
      </c>
      <c r="F6" s="6" t="str">
        <f>IF(LEN('A créer'!$C6)=0,"",CONCATENATE('A créer'!B6,'A créer'!A6))</f>
        <v/>
      </c>
      <c r="G6" s="2" t="str">
        <f>IF(LEN('A créer'!$C6)=0,"","TAB")</f>
        <v/>
      </c>
      <c r="H6" s="2" t="str">
        <f>IF(LEN('A créer'!$C6)=0,"","ENT")</f>
        <v/>
      </c>
      <c r="I6" s="2" t="str">
        <f>IF(LEN('A créer'!$C6)=0,"","TAB")</f>
        <v/>
      </c>
      <c r="J6" s="2" t="str">
        <f>IF(LEN('A créer'!$C6)=0,"","TAB")</f>
        <v/>
      </c>
      <c r="K6" s="2" t="str">
        <f>IF(LEN('A créer'!$C6)=0,"","ENT")</f>
        <v/>
      </c>
      <c r="L6" s="2" t="str">
        <f>IF(LEN('A créer'!$C6)=0,"","ENT")</f>
        <v/>
      </c>
    </row>
    <row r="7" spans="1:12" x14ac:dyDescent="0.2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2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2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2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2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2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2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2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9" sqref="A9:C9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2" t="s">
        <v>75</v>
      </c>
      <c r="B1" s="12" t="s">
        <v>76</v>
      </c>
      <c r="C1" s="12" t="s">
        <v>77</v>
      </c>
    </row>
    <row r="2" spans="1:3" x14ac:dyDescent="0.25">
      <c r="A2" s="11" t="s">
        <v>80</v>
      </c>
      <c r="B2" s="11" t="s">
        <v>81</v>
      </c>
      <c r="C2" s="13" t="s">
        <v>38</v>
      </c>
    </row>
    <row r="3" spans="1:3" x14ac:dyDescent="0.25">
      <c r="A3" s="11" t="s">
        <v>82</v>
      </c>
      <c r="B3" s="11" t="s">
        <v>83</v>
      </c>
      <c r="C3" s="13" t="s">
        <v>43</v>
      </c>
    </row>
    <row r="4" spans="1:3" x14ac:dyDescent="0.25">
      <c r="A4" s="11" t="s">
        <v>84</v>
      </c>
      <c r="B4" s="11" t="s">
        <v>85</v>
      </c>
      <c r="C4" s="13" t="s">
        <v>39</v>
      </c>
    </row>
    <row r="5" spans="1:3" x14ac:dyDescent="0.25">
      <c r="A5" s="11" t="s">
        <v>86</v>
      </c>
      <c r="B5" s="11" t="s">
        <v>87</v>
      </c>
      <c r="C5" s="13" t="s">
        <v>40</v>
      </c>
    </row>
    <row r="6" spans="1:3" x14ac:dyDescent="0.25">
      <c r="A6" s="11" t="s">
        <v>88</v>
      </c>
      <c r="B6" s="11" t="s">
        <v>89</v>
      </c>
      <c r="C6" s="13" t="s">
        <v>44</v>
      </c>
    </row>
    <row r="7" spans="1:3" x14ac:dyDescent="0.25">
      <c r="A7" s="14" t="s">
        <v>78</v>
      </c>
      <c r="B7" s="13" t="s">
        <v>79</v>
      </c>
      <c r="C7" s="13" t="s">
        <v>3</v>
      </c>
    </row>
    <row r="8" spans="1:3" x14ac:dyDescent="0.25">
      <c r="A8" s="11" t="s">
        <v>90</v>
      </c>
      <c r="B8" s="11" t="s">
        <v>91</v>
      </c>
      <c r="C8" s="13" t="s">
        <v>41</v>
      </c>
    </row>
    <row r="9" spans="1:3" x14ac:dyDescent="0.2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2021-03-23T15:13:40Z</dcterms:created>
  <dcterms:modified xsi:type="dcterms:W3CDTF">2023-07-12T08:48:06Z</dcterms:modified>
</cp:coreProperties>
</file>