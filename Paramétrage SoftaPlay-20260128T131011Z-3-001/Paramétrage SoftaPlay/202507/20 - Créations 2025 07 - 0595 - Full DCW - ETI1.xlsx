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HNB\SoftaPlay\202507\Création FULL\"/>
    </mc:Choice>
  </mc:AlternateContent>
  <bookViews>
    <workbookView xWindow="290" yWindow="50" windowWidth="15870" windowHeight="5840" tabRatio="721" firstSheet="8" activeTab="12"/>
  </bookViews>
  <sheets>
    <sheet name="A créer" sheetId="2" r:id="rId1"/>
    <sheet name="Regroupement" sheetId="6" r:id="rId2"/>
    <sheet name="XDKA_ARGOS_INTERCO" sheetId="7" r:id="rId3"/>
    <sheet name="DAOPCCF_STE" sheetId="9" r:id="rId4"/>
    <sheet name="DAOPCCF_INTERCO" sheetId="8" r:id="rId5"/>
    <sheet name="DAOPCCF_LOCAL" sheetId="10" r:id="rId6"/>
    <sheet name="DAOPCCF_PROJETFI" sheetId="11" r:id="rId7"/>
    <sheet name="STE-PARTENAIRE" sheetId="4" r:id="rId8"/>
    <sheet name="STE-REGION " sheetId="3" r:id="rId9"/>
    <sheet name="ADRESSES" sheetId="5" r:id="rId10"/>
    <sheet name="DKA_CONSO_VECTOR" sheetId="12" r:id="rId11"/>
    <sheet name="MIGR_GROUP_ACCOUNT_CLASS_BILAN" sheetId="13" r:id="rId12"/>
    <sheet name="GTS Repl Seed Data" sheetId="18" r:id="rId13"/>
    <sheet name="Profil sécu code UO" sheetId="15" r:id="rId14"/>
    <sheet name="Profil sécu UO Sté" sheetId="16" r:id="rId15"/>
    <sheet name="GTS profil nommé" sheetId="17" r:id="rId16"/>
    <sheet name="Orga régions" sheetId="28" r:id="rId17"/>
  </sheets>
  <calcPr calcId="162913"/>
</workbook>
</file>

<file path=xl/calcChain.xml><?xml version="1.0" encoding="utf-8"?>
<calcChain xmlns="http://schemas.openxmlformats.org/spreadsheetml/2006/main">
  <c r="AB2" i="8" l="1"/>
  <c r="AD3" i="16" l="1"/>
  <c r="AD4" i="16"/>
  <c r="AD5" i="16"/>
  <c r="AD2" i="16"/>
  <c r="O3" i="16"/>
  <c r="O4" i="16"/>
  <c r="O5" i="16"/>
  <c r="O6" i="16"/>
  <c r="O7" i="16"/>
  <c r="O8" i="16"/>
  <c r="O9" i="16"/>
  <c r="O10" i="16"/>
  <c r="O11" i="16"/>
  <c r="O12" i="16"/>
  <c r="O13" i="16"/>
  <c r="O2" i="16"/>
  <c r="AZ3" i="8" l="1"/>
  <c r="AZ4" i="8"/>
  <c r="AZ5" i="8"/>
  <c r="AZ6" i="8"/>
  <c r="AZ7" i="8"/>
  <c r="AZ8" i="8"/>
  <c r="AZ9" i="8"/>
  <c r="AZ10" i="8"/>
  <c r="AZ11" i="8"/>
  <c r="AZ12" i="8"/>
  <c r="AZ13" i="8"/>
  <c r="AZ2" i="8"/>
  <c r="BC3" i="9"/>
  <c r="BC4" i="9"/>
  <c r="BC5" i="9"/>
  <c r="BC6" i="9"/>
  <c r="BC7" i="9"/>
  <c r="BC8" i="9"/>
  <c r="BC9" i="9"/>
  <c r="BC10" i="9"/>
  <c r="BC11" i="9"/>
  <c r="BC12" i="9"/>
  <c r="BC13" i="9"/>
  <c r="BC2" i="9"/>
  <c r="AD6" i="16" l="1"/>
  <c r="AD7" i="16"/>
  <c r="AD8" i="16"/>
  <c r="Q6" i="16"/>
  <c r="Q7" i="16"/>
  <c r="Q8" i="16"/>
  <c r="Q9" i="16"/>
  <c r="Q10" i="16"/>
  <c r="Q11" i="16"/>
  <c r="Q12" i="16"/>
  <c r="Q13" i="16"/>
  <c r="AZ14" i="8" l="1"/>
  <c r="J3" i="5" l="1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2" i="5"/>
  <c r="AM3" i="5"/>
  <c r="AN3" i="5"/>
  <c r="AM4" i="5"/>
  <c r="AN4" i="5"/>
  <c r="AM5" i="5"/>
  <c r="AN5" i="5"/>
  <c r="AM6" i="5"/>
  <c r="AN6" i="5"/>
  <c r="AM7" i="5"/>
  <c r="AN7" i="5"/>
  <c r="AM8" i="5"/>
  <c r="AN8" i="5"/>
  <c r="AM9" i="5"/>
  <c r="AN9" i="5"/>
  <c r="AM10" i="5"/>
  <c r="AN10" i="5"/>
  <c r="AM11" i="5"/>
  <c r="AN11" i="5"/>
  <c r="AM12" i="5"/>
  <c r="AN12" i="5"/>
  <c r="AM13" i="5"/>
  <c r="AN13" i="5"/>
  <c r="AM14" i="5"/>
  <c r="AN14" i="5"/>
  <c r="AM15" i="5"/>
  <c r="AN15" i="5"/>
  <c r="AM16" i="5"/>
  <c r="AN16" i="5"/>
  <c r="AM17" i="5"/>
  <c r="AN17" i="5"/>
  <c r="AM18" i="5"/>
  <c r="AN18" i="5"/>
  <c r="AM19" i="5"/>
  <c r="AN19" i="5"/>
  <c r="AM20" i="5"/>
  <c r="AN20" i="5"/>
  <c r="AM21" i="5"/>
  <c r="AN21" i="5"/>
  <c r="AM22" i="5"/>
  <c r="AN22" i="5"/>
  <c r="AM23" i="5"/>
  <c r="AN23" i="5"/>
  <c r="AM24" i="5"/>
  <c r="AN24" i="5"/>
  <c r="AM25" i="5"/>
  <c r="AN25" i="5"/>
  <c r="AM26" i="5"/>
  <c r="AN26" i="5"/>
  <c r="AM27" i="5"/>
  <c r="AN27" i="5"/>
  <c r="AM28" i="5"/>
  <c r="AN28" i="5"/>
  <c r="AM29" i="5"/>
  <c r="AN29" i="5"/>
  <c r="AM30" i="5"/>
  <c r="AN30" i="5"/>
  <c r="AM2" i="5"/>
  <c r="AN2" i="5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2" i="10"/>
  <c r="AI3" i="8" l="1"/>
  <c r="AJ3" i="8"/>
  <c r="AI4" i="8"/>
  <c r="AJ4" i="8"/>
  <c r="AI5" i="8"/>
  <c r="AJ5" i="8"/>
  <c r="AI6" i="8"/>
  <c r="AJ6" i="8"/>
  <c r="AI7" i="8"/>
  <c r="AJ7" i="8"/>
  <c r="AI8" i="8"/>
  <c r="AJ8" i="8"/>
  <c r="AI9" i="8"/>
  <c r="AJ9" i="8"/>
  <c r="AI10" i="8"/>
  <c r="AJ10" i="8"/>
  <c r="AI11" i="8"/>
  <c r="AJ11" i="8"/>
  <c r="AI12" i="8"/>
  <c r="AJ12" i="8"/>
  <c r="AI13" i="8"/>
  <c r="AJ13" i="8"/>
  <c r="AI14" i="8"/>
  <c r="AJ14" i="8"/>
  <c r="AI15" i="8"/>
  <c r="AJ15" i="8"/>
  <c r="AI16" i="8"/>
  <c r="AJ16" i="8"/>
  <c r="AI17" i="8"/>
  <c r="AJ17" i="8"/>
  <c r="AI18" i="8"/>
  <c r="AJ18" i="8"/>
  <c r="AI19" i="8"/>
  <c r="AJ19" i="8"/>
  <c r="AI20" i="8"/>
  <c r="AJ20" i="8"/>
  <c r="AI21" i="8"/>
  <c r="AJ21" i="8"/>
  <c r="AI22" i="8"/>
  <c r="AJ22" i="8"/>
  <c r="AI23" i="8"/>
  <c r="AJ23" i="8"/>
  <c r="AI24" i="8"/>
  <c r="AJ24" i="8"/>
  <c r="AI25" i="8"/>
  <c r="AJ25" i="8"/>
  <c r="AI26" i="8"/>
  <c r="AJ26" i="8"/>
  <c r="AI27" i="8"/>
  <c r="AJ27" i="8"/>
  <c r="AI28" i="8"/>
  <c r="AJ28" i="8"/>
  <c r="AI29" i="8"/>
  <c r="AJ29" i="8"/>
  <c r="AI30" i="8"/>
  <c r="AJ30" i="8"/>
  <c r="AI2" i="8"/>
  <c r="T3" i="8"/>
  <c r="T4" i="8"/>
  <c r="T5" i="8"/>
  <c r="T6" i="8"/>
  <c r="T7" i="8"/>
  <c r="T8" i="8"/>
  <c r="T9" i="8"/>
  <c r="T10" i="8"/>
  <c r="T11" i="8"/>
  <c r="T12" i="8"/>
  <c r="T13" i="8"/>
  <c r="T14" i="8"/>
  <c r="T15" i="8"/>
  <c r="T16" i="8"/>
  <c r="T17" i="8"/>
  <c r="T18" i="8"/>
  <c r="T19" i="8"/>
  <c r="T20" i="8"/>
  <c r="T21" i="8"/>
  <c r="T22" i="8"/>
  <c r="T23" i="8"/>
  <c r="T24" i="8"/>
  <c r="T25" i="8"/>
  <c r="T26" i="8"/>
  <c r="T27" i="8"/>
  <c r="T28" i="8"/>
  <c r="T29" i="8"/>
  <c r="T30" i="8"/>
  <c r="T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2" i="8"/>
  <c r="N3" i="11" l="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2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2" i="11"/>
  <c r="AK1" i="9" l="1"/>
  <c r="AK2" i="9"/>
  <c r="AK3" i="9"/>
  <c r="AK4" i="9"/>
  <c r="AK5" i="9"/>
  <c r="AK6" i="9"/>
  <c r="AK7" i="9"/>
  <c r="AK8" i="9"/>
  <c r="AK9" i="9"/>
  <c r="AK10" i="9"/>
  <c r="AK11" i="9"/>
  <c r="AK12" i="9"/>
  <c r="AK13" i="9"/>
  <c r="A26" i="18" l="1"/>
  <c r="B26" i="18"/>
  <c r="C26" i="18"/>
  <c r="D26" i="18"/>
  <c r="E26" i="18"/>
  <c r="F26" i="18"/>
  <c r="G26" i="18"/>
  <c r="H26" i="18"/>
  <c r="A3" i="15"/>
  <c r="B3" i="15"/>
  <c r="C3" i="15"/>
  <c r="D3" i="15"/>
  <c r="E3" i="15"/>
  <c r="A4" i="15"/>
  <c r="B4" i="15"/>
  <c r="C4" i="15"/>
  <c r="D4" i="15"/>
  <c r="E4" i="15"/>
  <c r="A5" i="15"/>
  <c r="B5" i="15"/>
  <c r="C5" i="15"/>
  <c r="D5" i="15"/>
  <c r="E5" i="15"/>
  <c r="A6" i="15"/>
  <c r="B6" i="15"/>
  <c r="C6" i="15"/>
  <c r="D6" i="15"/>
  <c r="E6" i="15"/>
  <c r="A7" i="15"/>
  <c r="B7" i="15"/>
  <c r="C7" i="15"/>
  <c r="D7" i="15"/>
  <c r="E7" i="15"/>
  <c r="A8" i="15"/>
  <c r="B8" i="15"/>
  <c r="C8" i="15"/>
  <c r="D8" i="15"/>
  <c r="E8" i="15"/>
  <c r="A9" i="15"/>
  <c r="B9" i="15"/>
  <c r="C9" i="15"/>
  <c r="D9" i="15"/>
  <c r="E9" i="15"/>
  <c r="A10" i="15"/>
  <c r="B10" i="15"/>
  <c r="C10" i="15"/>
  <c r="D10" i="15"/>
  <c r="E10" i="15"/>
  <c r="A11" i="15"/>
  <c r="B11" i="15"/>
  <c r="C11" i="15"/>
  <c r="D11" i="15"/>
  <c r="E11" i="15"/>
  <c r="A12" i="15"/>
  <c r="B12" i="15"/>
  <c r="C12" i="15"/>
  <c r="D12" i="15"/>
  <c r="E12" i="15"/>
  <c r="A13" i="15"/>
  <c r="B13" i="15"/>
  <c r="C13" i="15"/>
  <c r="D13" i="15"/>
  <c r="E13" i="15"/>
  <c r="A14" i="15"/>
  <c r="B14" i="15"/>
  <c r="C14" i="15"/>
  <c r="D14" i="15"/>
  <c r="E14" i="15"/>
  <c r="A15" i="15"/>
  <c r="B15" i="15"/>
  <c r="C15" i="15"/>
  <c r="D15" i="15"/>
  <c r="E15" i="15"/>
  <c r="A16" i="15"/>
  <c r="B16" i="15"/>
  <c r="C16" i="15"/>
  <c r="D16" i="15"/>
  <c r="E16" i="15"/>
  <c r="A17" i="15"/>
  <c r="B17" i="15"/>
  <c r="C17" i="15"/>
  <c r="D17" i="15"/>
  <c r="E17" i="15"/>
  <c r="A18" i="15"/>
  <c r="B18" i="15"/>
  <c r="C18" i="15"/>
  <c r="D18" i="15"/>
  <c r="E18" i="15"/>
  <c r="A19" i="15"/>
  <c r="B19" i="15"/>
  <c r="C19" i="15"/>
  <c r="D19" i="15"/>
  <c r="E19" i="15"/>
  <c r="A20" i="15"/>
  <c r="B20" i="15"/>
  <c r="C20" i="15"/>
  <c r="D20" i="15"/>
  <c r="E20" i="15"/>
  <c r="A21" i="15"/>
  <c r="B21" i="15"/>
  <c r="C21" i="15"/>
  <c r="D21" i="15"/>
  <c r="E21" i="15"/>
  <c r="A22" i="15"/>
  <c r="B22" i="15"/>
  <c r="C22" i="15"/>
  <c r="D22" i="15"/>
  <c r="E22" i="15"/>
  <c r="A23" i="15"/>
  <c r="B23" i="15"/>
  <c r="C23" i="15"/>
  <c r="D23" i="15"/>
  <c r="E23" i="15"/>
  <c r="A24" i="15"/>
  <c r="B24" i="15"/>
  <c r="C24" i="15"/>
  <c r="D24" i="15"/>
  <c r="E24" i="15"/>
  <c r="A25" i="15"/>
  <c r="B25" i="15"/>
  <c r="C25" i="15"/>
  <c r="D25" i="15"/>
  <c r="E25" i="15"/>
  <c r="A26" i="15"/>
  <c r="B26" i="15"/>
  <c r="C26" i="15"/>
  <c r="D26" i="15"/>
  <c r="E26" i="15"/>
  <c r="A3" i="18"/>
  <c r="B3" i="18"/>
  <c r="C3" i="18"/>
  <c r="D3" i="18"/>
  <c r="E3" i="18"/>
  <c r="F3" i="18"/>
  <c r="G3" i="18"/>
  <c r="H3" i="18"/>
  <c r="A4" i="18"/>
  <c r="B4" i="18"/>
  <c r="C4" i="18"/>
  <c r="D4" i="18"/>
  <c r="E4" i="18"/>
  <c r="F4" i="18"/>
  <c r="G4" i="18"/>
  <c r="H4" i="18"/>
  <c r="A5" i="18"/>
  <c r="B5" i="18"/>
  <c r="C5" i="18"/>
  <c r="D5" i="18"/>
  <c r="E5" i="18"/>
  <c r="F5" i="18"/>
  <c r="G5" i="18"/>
  <c r="H5" i="18"/>
  <c r="A6" i="18"/>
  <c r="B6" i="18"/>
  <c r="C6" i="18"/>
  <c r="D6" i="18"/>
  <c r="E6" i="18"/>
  <c r="F6" i="18"/>
  <c r="G6" i="18"/>
  <c r="H6" i="18"/>
  <c r="A7" i="18"/>
  <c r="B7" i="18"/>
  <c r="C7" i="18"/>
  <c r="D7" i="18"/>
  <c r="E7" i="18"/>
  <c r="F7" i="18"/>
  <c r="G7" i="18"/>
  <c r="H7" i="18"/>
  <c r="A8" i="18"/>
  <c r="B8" i="18"/>
  <c r="C8" i="18"/>
  <c r="D8" i="18"/>
  <c r="E8" i="18"/>
  <c r="F8" i="18"/>
  <c r="G8" i="18"/>
  <c r="H8" i="18"/>
  <c r="A9" i="18"/>
  <c r="B9" i="18"/>
  <c r="C9" i="18"/>
  <c r="D9" i="18"/>
  <c r="E9" i="18"/>
  <c r="F9" i="18"/>
  <c r="G9" i="18"/>
  <c r="H9" i="18"/>
  <c r="A10" i="18"/>
  <c r="B10" i="18"/>
  <c r="C10" i="18"/>
  <c r="D10" i="18"/>
  <c r="E10" i="18"/>
  <c r="F10" i="18"/>
  <c r="G10" i="18"/>
  <c r="H10" i="18"/>
  <c r="A11" i="18"/>
  <c r="B11" i="18"/>
  <c r="C11" i="18"/>
  <c r="D11" i="18"/>
  <c r="E11" i="18"/>
  <c r="F11" i="18"/>
  <c r="G11" i="18"/>
  <c r="H11" i="18"/>
  <c r="A12" i="18"/>
  <c r="B12" i="18"/>
  <c r="C12" i="18"/>
  <c r="D12" i="18"/>
  <c r="E12" i="18"/>
  <c r="F12" i="18"/>
  <c r="G12" i="18"/>
  <c r="H12" i="18"/>
  <c r="A13" i="18"/>
  <c r="B13" i="18"/>
  <c r="C13" i="18"/>
  <c r="D13" i="18"/>
  <c r="E13" i="18"/>
  <c r="F13" i="18"/>
  <c r="G13" i="18"/>
  <c r="H13" i="18"/>
  <c r="A14" i="18"/>
  <c r="B14" i="18"/>
  <c r="C14" i="18"/>
  <c r="D14" i="18"/>
  <c r="E14" i="18"/>
  <c r="F14" i="18"/>
  <c r="G14" i="18"/>
  <c r="H14" i="18"/>
  <c r="A15" i="18"/>
  <c r="B15" i="18"/>
  <c r="C15" i="18"/>
  <c r="D15" i="18"/>
  <c r="E15" i="18"/>
  <c r="F15" i="18"/>
  <c r="G15" i="18"/>
  <c r="H15" i="18"/>
  <c r="A16" i="18"/>
  <c r="B16" i="18"/>
  <c r="C16" i="18"/>
  <c r="D16" i="18"/>
  <c r="E16" i="18"/>
  <c r="F16" i="18"/>
  <c r="G16" i="18"/>
  <c r="H16" i="18"/>
  <c r="A17" i="18"/>
  <c r="B17" i="18"/>
  <c r="C17" i="18"/>
  <c r="D17" i="18"/>
  <c r="E17" i="18"/>
  <c r="F17" i="18"/>
  <c r="G17" i="18"/>
  <c r="H17" i="18"/>
  <c r="A18" i="18"/>
  <c r="B18" i="18"/>
  <c r="C18" i="18"/>
  <c r="D18" i="18"/>
  <c r="E18" i="18"/>
  <c r="F18" i="18"/>
  <c r="G18" i="18"/>
  <c r="H18" i="18"/>
  <c r="A19" i="18"/>
  <c r="B19" i="18"/>
  <c r="C19" i="18"/>
  <c r="D19" i="18"/>
  <c r="E19" i="18"/>
  <c r="F19" i="18"/>
  <c r="G19" i="18"/>
  <c r="H19" i="18"/>
  <c r="A20" i="18"/>
  <c r="B20" i="18"/>
  <c r="C20" i="18"/>
  <c r="D20" i="18"/>
  <c r="E20" i="18"/>
  <c r="F20" i="18"/>
  <c r="G20" i="18"/>
  <c r="H20" i="18"/>
  <c r="A21" i="18"/>
  <c r="B21" i="18"/>
  <c r="C21" i="18"/>
  <c r="D21" i="18"/>
  <c r="E21" i="18"/>
  <c r="F21" i="18"/>
  <c r="G21" i="18"/>
  <c r="H21" i="18"/>
  <c r="A22" i="18"/>
  <c r="B22" i="18"/>
  <c r="C22" i="18"/>
  <c r="D22" i="18"/>
  <c r="E22" i="18"/>
  <c r="F22" i="18"/>
  <c r="G22" i="18"/>
  <c r="H22" i="18"/>
  <c r="A23" i="18"/>
  <c r="B23" i="18"/>
  <c r="C23" i="18"/>
  <c r="D23" i="18"/>
  <c r="E23" i="18"/>
  <c r="F23" i="18"/>
  <c r="G23" i="18"/>
  <c r="H23" i="18"/>
  <c r="A24" i="18"/>
  <c r="B24" i="18"/>
  <c r="C24" i="18"/>
  <c r="D24" i="18"/>
  <c r="E24" i="18"/>
  <c r="F24" i="18"/>
  <c r="G24" i="18"/>
  <c r="H24" i="18"/>
  <c r="A25" i="18"/>
  <c r="B25" i="18"/>
  <c r="C25" i="18"/>
  <c r="D25" i="18"/>
  <c r="E25" i="18"/>
  <c r="F25" i="18"/>
  <c r="G25" i="18"/>
  <c r="H25" i="18"/>
  <c r="H2" i="18"/>
  <c r="G2" i="18"/>
  <c r="D2" i="18"/>
  <c r="V3" i="5"/>
  <c r="W3" i="5"/>
  <c r="X3" i="5"/>
  <c r="Y3" i="5"/>
  <c r="Z3" i="5"/>
  <c r="AA3" i="5"/>
  <c r="AB3" i="5"/>
  <c r="AC3" i="5"/>
  <c r="AD3" i="5"/>
  <c r="AE3" i="5"/>
  <c r="AF3" i="5"/>
  <c r="AG3" i="5"/>
  <c r="AH3" i="5"/>
  <c r="AI3" i="5" s="1"/>
  <c r="AJ3" i="5"/>
  <c r="AK3" i="5"/>
  <c r="AL3" i="5"/>
  <c r="AO3" i="5"/>
  <c r="AP3" i="5"/>
  <c r="AQ3" i="5"/>
  <c r="AR3" i="5"/>
  <c r="AS3" i="5"/>
  <c r="AT3" i="5"/>
  <c r="AU3" i="5"/>
  <c r="V4" i="5"/>
  <c r="W4" i="5"/>
  <c r="X4" i="5"/>
  <c r="Y4" i="5"/>
  <c r="Z4" i="5"/>
  <c r="AA4" i="5"/>
  <c r="AB4" i="5"/>
  <c r="AC4" i="5"/>
  <c r="AD4" i="5"/>
  <c r="AE4" i="5"/>
  <c r="AF4" i="5"/>
  <c r="AG4" i="5"/>
  <c r="AH4" i="5"/>
  <c r="AI4" i="5" s="1"/>
  <c r="AJ4" i="5"/>
  <c r="AK4" i="5"/>
  <c r="AL4" i="5"/>
  <c r="AO4" i="5"/>
  <c r="AP4" i="5"/>
  <c r="AQ4" i="5"/>
  <c r="AR4" i="5"/>
  <c r="AS4" i="5"/>
  <c r="AT4" i="5"/>
  <c r="AU4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 s="1"/>
  <c r="AJ5" i="5"/>
  <c r="AK5" i="5"/>
  <c r="AL5" i="5"/>
  <c r="AO5" i="5"/>
  <c r="AP5" i="5"/>
  <c r="AQ5" i="5"/>
  <c r="AR5" i="5"/>
  <c r="AS5" i="5"/>
  <c r="AT5" i="5"/>
  <c r="AU5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 s="1"/>
  <c r="AJ6" i="5"/>
  <c r="AK6" i="5"/>
  <c r="AL6" i="5"/>
  <c r="AO6" i="5"/>
  <c r="AP6" i="5"/>
  <c r="AQ6" i="5"/>
  <c r="AR6" i="5"/>
  <c r="AS6" i="5"/>
  <c r="AT6" i="5"/>
  <c r="AU6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 s="1"/>
  <c r="AJ7" i="5"/>
  <c r="AK7" i="5"/>
  <c r="AL7" i="5"/>
  <c r="AO7" i="5"/>
  <c r="AP7" i="5"/>
  <c r="AQ7" i="5"/>
  <c r="AR7" i="5"/>
  <c r="AS7" i="5"/>
  <c r="AT7" i="5"/>
  <c r="AU7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 s="1"/>
  <c r="AJ8" i="5"/>
  <c r="AK8" i="5"/>
  <c r="AL8" i="5"/>
  <c r="AO8" i="5"/>
  <c r="AP8" i="5"/>
  <c r="AQ8" i="5"/>
  <c r="AR8" i="5"/>
  <c r="AS8" i="5"/>
  <c r="AT8" i="5"/>
  <c r="AU8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 s="1"/>
  <c r="AJ9" i="5"/>
  <c r="AK9" i="5"/>
  <c r="AL9" i="5"/>
  <c r="AO9" i="5"/>
  <c r="AP9" i="5"/>
  <c r="AQ9" i="5"/>
  <c r="AR9" i="5"/>
  <c r="AS9" i="5"/>
  <c r="AT9" i="5"/>
  <c r="AU9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 s="1"/>
  <c r="AJ10" i="5"/>
  <c r="AK10" i="5"/>
  <c r="AL10" i="5"/>
  <c r="AO10" i="5"/>
  <c r="AP10" i="5"/>
  <c r="AQ10" i="5"/>
  <c r="AR10" i="5"/>
  <c r="AS10" i="5"/>
  <c r="AT10" i="5"/>
  <c r="AU10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 s="1"/>
  <c r="AJ11" i="5"/>
  <c r="AK11" i="5"/>
  <c r="AL11" i="5"/>
  <c r="AO11" i="5"/>
  <c r="AP11" i="5"/>
  <c r="AQ11" i="5"/>
  <c r="AR11" i="5"/>
  <c r="AS11" i="5"/>
  <c r="AT11" i="5"/>
  <c r="AU11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 s="1"/>
  <c r="AJ12" i="5"/>
  <c r="AK12" i="5"/>
  <c r="AL12" i="5"/>
  <c r="AO12" i="5"/>
  <c r="AP12" i="5"/>
  <c r="AQ12" i="5"/>
  <c r="AR12" i="5"/>
  <c r="AS12" i="5"/>
  <c r="AT12" i="5"/>
  <c r="AU12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 s="1"/>
  <c r="AJ13" i="5"/>
  <c r="AK13" i="5"/>
  <c r="AL13" i="5"/>
  <c r="AO13" i="5"/>
  <c r="AP13" i="5"/>
  <c r="AQ13" i="5"/>
  <c r="AR13" i="5"/>
  <c r="AS13" i="5"/>
  <c r="AT13" i="5"/>
  <c r="AU13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 s="1"/>
  <c r="AJ14" i="5"/>
  <c r="AK14" i="5"/>
  <c r="AL14" i="5"/>
  <c r="AO14" i="5"/>
  <c r="AP14" i="5"/>
  <c r="AQ14" i="5"/>
  <c r="AR14" i="5"/>
  <c r="AS14" i="5"/>
  <c r="AT14" i="5"/>
  <c r="AU14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 s="1"/>
  <c r="AJ15" i="5"/>
  <c r="AK15" i="5"/>
  <c r="AL15" i="5"/>
  <c r="AO15" i="5"/>
  <c r="AP15" i="5"/>
  <c r="AQ15" i="5"/>
  <c r="AR15" i="5"/>
  <c r="AS15" i="5"/>
  <c r="AT15" i="5"/>
  <c r="AU15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 s="1"/>
  <c r="AJ16" i="5"/>
  <c r="AK16" i="5"/>
  <c r="AL16" i="5"/>
  <c r="AO16" i="5"/>
  <c r="AP16" i="5"/>
  <c r="AQ16" i="5"/>
  <c r="AR16" i="5"/>
  <c r="AS16" i="5"/>
  <c r="AT16" i="5"/>
  <c r="AU16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 s="1"/>
  <c r="AJ17" i="5"/>
  <c r="AK17" i="5"/>
  <c r="AL17" i="5"/>
  <c r="AO17" i="5"/>
  <c r="AP17" i="5"/>
  <c r="AQ17" i="5"/>
  <c r="AR17" i="5"/>
  <c r="AS17" i="5"/>
  <c r="AT17" i="5"/>
  <c r="AU17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 s="1"/>
  <c r="AJ18" i="5"/>
  <c r="AK18" i="5"/>
  <c r="AL18" i="5"/>
  <c r="AO18" i="5"/>
  <c r="AP18" i="5"/>
  <c r="AQ18" i="5"/>
  <c r="AR18" i="5"/>
  <c r="AS18" i="5"/>
  <c r="AT18" i="5"/>
  <c r="AU18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 s="1"/>
  <c r="AJ19" i="5"/>
  <c r="AK19" i="5"/>
  <c r="AL19" i="5"/>
  <c r="AO19" i="5"/>
  <c r="AP19" i="5"/>
  <c r="AQ19" i="5"/>
  <c r="AR19" i="5"/>
  <c r="AS19" i="5"/>
  <c r="AT19" i="5"/>
  <c r="AU19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 s="1"/>
  <c r="AJ20" i="5"/>
  <c r="AK20" i="5"/>
  <c r="AL20" i="5"/>
  <c r="AO20" i="5"/>
  <c r="AP20" i="5"/>
  <c r="AQ20" i="5"/>
  <c r="AR20" i="5"/>
  <c r="AS20" i="5"/>
  <c r="AT20" i="5"/>
  <c r="AU20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 s="1"/>
  <c r="AJ21" i="5"/>
  <c r="AK21" i="5"/>
  <c r="AL21" i="5"/>
  <c r="AO21" i="5"/>
  <c r="AP21" i="5"/>
  <c r="AQ21" i="5"/>
  <c r="AR21" i="5"/>
  <c r="AS21" i="5"/>
  <c r="AT21" i="5"/>
  <c r="AU21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 s="1"/>
  <c r="AJ22" i="5"/>
  <c r="AK22" i="5"/>
  <c r="AL22" i="5"/>
  <c r="AO22" i="5"/>
  <c r="AP22" i="5"/>
  <c r="AQ22" i="5"/>
  <c r="AR22" i="5"/>
  <c r="AS22" i="5"/>
  <c r="AT22" i="5"/>
  <c r="AU22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 s="1"/>
  <c r="AJ23" i="5"/>
  <c r="AK23" i="5"/>
  <c r="AL23" i="5"/>
  <c r="AO23" i="5"/>
  <c r="AP23" i="5"/>
  <c r="AQ23" i="5"/>
  <c r="AR23" i="5"/>
  <c r="AS23" i="5"/>
  <c r="AT23" i="5"/>
  <c r="AU23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 s="1"/>
  <c r="AJ24" i="5"/>
  <c r="AK24" i="5"/>
  <c r="AL24" i="5"/>
  <c r="AO24" i="5"/>
  <c r="AP24" i="5"/>
  <c r="AQ24" i="5"/>
  <c r="AR24" i="5"/>
  <c r="AS24" i="5"/>
  <c r="AT24" i="5"/>
  <c r="AU24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 s="1"/>
  <c r="AJ25" i="5"/>
  <c r="AK25" i="5"/>
  <c r="AL25" i="5"/>
  <c r="AO25" i="5"/>
  <c r="AP25" i="5"/>
  <c r="AQ25" i="5"/>
  <c r="AR25" i="5"/>
  <c r="AS25" i="5"/>
  <c r="AT25" i="5"/>
  <c r="AU25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 s="1"/>
  <c r="AJ26" i="5"/>
  <c r="AK26" i="5"/>
  <c r="AL26" i="5"/>
  <c r="AO26" i="5"/>
  <c r="AP26" i="5"/>
  <c r="AQ26" i="5"/>
  <c r="AR26" i="5"/>
  <c r="AS26" i="5"/>
  <c r="AT26" i="5"/>
  <c r="AU26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 s="1"/>
  <c r="AJ27" i="5"/>
  <c r="AK27" i="5"/>
  <c r="AL27" i="5"/>
  <c r="AO27" i="5"/>
  <c r="AP27" i="5"/>
  <c r="AQ27" i="5"/>
  <c r="AR27" i="5"/>
  <c r="AS27" i="5"/>
  <c r="AT27" i="5"/>
  <c r="AU27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 s="1"/>
  <c r="AJ28" i="5"/>
  <c r="AK28" i="5"/>
  <c r="AL28" i="5"/>
  <c r="AO28" i="5"/>
  <c r="AP28" i="5"/>
  <c r="AQ28" i="5"/>
  <c r="AR28" i="5"/>
  <c r="AS28" i="5"/>
  <c r="AT28" i="5"/>
  <c r="AU28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 s="1"/>
  <c r="AJ29" i="5"/>
  <c r="AK29" i="5"/>
  <c r="AL29" i="5"/>
  <c r="AO29" i="5"/>
  <c r="AP29" i="5"/>
  <c r="AQ29" i="5"/>
  <c r="AR29" i="5"/>
  <c r="AS29" i="5"/>
  <c r="AT29" i="5"/>
  <c r="AU29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 s="1"/>
  <c r="AJ30" i="5"/>
  <c r="AK30" i="5"/>
  <c r="AL30" i="5"/>
  <c r="AO30" i="5"/>
  <c r="AP30" i="5"/>
  <c r="AQ30" i="5"/>
  <c r="AR30" i="5"/>
  <c r="AS30" i="5"/>
  <c r="AT30" i="5"/>
  <c r="AU30" i="5"/>
  <c r="AR2" i="5"/>
  <c r="AJ2" i="5"/>
  <c r="AH2" i="5"/>
  <c r="AI2" i="5" s="1"/>
  <c r="AF2" i="5"/>
  <c r="AC2" i="5"/>
  <c r="AA2" i="5"/>
  <c r="Y2" i="5"/>
  <c r="U3" i="5"/>
  <c r="U4" i="5"/>
  <c r="U5" i="5"/>
  <c r="U6" i="5"/>
  <c r="U7" i="5"/>
  <c r="U8" i="5"/>
  <c r="U9" i="5"/>
  <c r="U10" i="5"/>
  <c r="U11" i="5"/>
  <c r="U12" i="5"/>
  <c r="U13" i="5"/>
  <c r="U14" i="5"/>
  <c r="U15" i="5"/>
  <c r="U16" i="5"/>
  <c r="U17" i="5"/>
  <c r="U18" i="5"/>
  <c r="U19" i="5"/>
  <c r="U20" i="5"/>
  <c r="U21" i="5"/>
  <c r="U22" i="5"/>
  <c r="U23" i="5"/>
  <c r="U24" i="5"/>
  <c r="U25" i="5"/>
  <c r="U26" i="5"/>
  <c r="U27" i="5"/>
  <c r="U28" i="5"/>
  <c r="U29" i="5"/>
  <c r="U30" i="5"/>
  <c r="U2" i="5"/>
  <c r="S2" i="5"/>
  <c r="AU2" i="5"/>
  <c r="AT2" i="5"/>
  <c r="AS2" i="5"/>
  <c r="AQ2" i="5"/>
  <c r="AP2" i="5"/>
  <c r="AO2" i="5"/>
  <c r="AL2" i="5"/>
  <c r="AK2" i="5"/>
  <c r="AG2" i="5"/>
  <c r="AE2" i="5"/>
  <c r="AD2" i="5"/>
  <c r="AB2" i="5"/>
  <c r="Z2" i="5"/>
  <c r="X2" i="5"/>
  <c r="W2" i="5"/>
  <c r="V2" i="5"/>
  <c r="T2" i="5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2" i="5"/>
  <c r="R3" i="5"/>
  <c r="R4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2" i="5"/>
  <c r="S3" i="5"/>
  <c r="S4" i="5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B3" i="5"/>
  <c r="C3" i="5"/>
  <c r="D3" i="5"/>
  <c r="E3" i="5"/>
  <c r="F3" i="5"/>
  <c r="G3" i="5"/>
  <c r="H3" i="5"/>
  <c r="I3" i="5"/>
  <c r="K3" i="5"/>
  <c r="L3" i="5"/>
  <c r="M3" i="5"/>
  <c r="N3" i="5"/>
  <c r="O3" i="5"/>
  <c r="P3" i="5"/>
  <c r="B4" i="5"/>
  <c r="C4" i="5"/>
  <c r="D4" i="5"/>
  <c r="E4" i="5"/>
  <c r="F4" i="5"/>
  <c r="G4" i="5"/>
  <c r="H4" i="5"/>
  <c r="I4" i="5"/>
  <c r="K4" i="5"/>
  <c r="L4" i="5"/>
  <c r="M4" i="5"/>
  <c r="N4" i="5"/>
  <c r="O4" i="5"/>
  <c r="P4" i="5"/>
  <c r="B5" i="5"/>
  <c r="C5" i="5"/>
  <c r="D5" i="5"/>
  <c r="E5" i="5"/>
  <c r="F5" i="5"/>
  <c r="G5" i="5"/>
  <c r="H5" i="5"/>
  <c r="I5" i="5"/>
  <c r="K5" i="5"/>
  <c r="L5" i="5"/>
  <c r="M5" i="5"/>
  <c r="N5" i="5"/>
  <c r="O5" i="5"/>
  <c r="P5" i="5"/>
  <c r="B6" i="5"/>
  <c r="C6" i="5"/>
  <c r="D6" i="5"/>
  <c r="E6" i="5"/>
  <c r="F6" i="5"/>
  <c r="G6" i="5"/>
  <c r="H6" i="5"/>
  <c r="I6" i="5"/>
  <c r="K6" i="5"/>
  <c r="L6" i="5"/>
  <c r="M6" i="5"/>
  <c r="N6" i="5"/>
  <c r="O6" i="5"/>
  <c r="P6" i="5"/>
  <c r="B7" i="5"/>
  <c r="C7" i="5"/>
  <c r="D7" i="5"/>
  <c r="E7" i="5"/>
  <c r="F7" i="5"/>
  <c r="G7" i="5"/>
  <c r="H7" i="5"/>
  <c r="I7" i="5"/>
  <c r="K7" i="5"/>
  <c r="L7" i="5"/>
  <c r="M7" i="5"/>
  <c r="N7" i="5"/>
  <c r="O7" i="5"/>
  <c r="P7" i="5"/>
  <c r="B8" i="5"/>
  <c r="C8" i="5"/>
  <c r="D8" i="5"/>
  <c r="E8" i="5"/>
  <c r="F8" i="5"/>
  <c r="G8" i="5"/>
  <c r="H8" i="5"/>
  <c r="I8" i="5"/>
  <c r="K8" i="5"/>
  <c r="L8" i="5"/>
  <c r="M8" i="5"/>
  <c r="N8" i="5"/>
  <c r="O8" i="5"/>
  <c r="P8" i="5"/>
  <c r="B9" i="5"/>
  <c r="C9" i="5"/>
  <c r="D9" i="5"/>
  <c r="E9" i="5"/>
  <c r="F9" i="5"/>
  <c r="G9" i="5"/>
  <c r="H9" i="5"/>
  <c r="I9" i="5"/>
  <c r="K9" i="5"/>
  <c r="L9" i="5"/>
  <c r="M9" i="5"/>
  <c r="N9" i="5"/>
  <c r="O9" i="5"/>
  <c r="P9" i="5"/>
  <c r="B10" i="5"/>
  <c r="C10" i="5"/>
  <c r="D10" i="5"/>
  <c r="E10" i="5"/>
  <c r="F10" i="5"/>
  <c r="G10" i="5"/>
  <c r="H10" i="5"/>
  <c r="I10" i="5"/>
  <c r="K10" i="5"/>
  <c r="L10" i="5"/>
  <c r="M10" i="5"/>
  <c r="N10" i="5"/>
  <c r="O10" i="5"/>
  <c r="P10" i="5"/>
  <c r="B11" i="5"/>
  <c r="C11" i="5"/>
  <c r="D11" i="5"/>
  <c r="E11" i="5"/>
  <c r="F11" i="5"/>
  <c r="G11" i="5"/>
  <c r="H11" i="5"/>
  <c r="I11" i="5"/>
  <c r="K11" i="5"/>
  <c r="L11" i="5"/>
  <c r="M11" i="5"/>
  <c r="N11" i="5"/>
  <c r="O11" i="5"/>
  <c r="P11" i="5"/>
  <c r="B12" i="5"/>
  <c r="C12" i="5"/>
  <c r="D12" i="5"/>
  <c r="E12" i="5"/>
  <c r="F12" i="5"/>
  <c r="G12" i="5"/>
  <c r="H12" i="5"/>
  <c r="I12" i="5"/>
  <c r="K12" i="5"/>
  <c r="L12" i="5"/>
  <c r="M12" i="5"/>
  <c r="N12" i="5"/>
  <c r="O12" i="5"/>
  <c r="P12" i="5"/>
  <c r="B13" i="5"/>
  <c r="C13" i="5"/>
  <c r="D13" i="5"/>
  <c r="E13" i="5"/>
  <c r="F13" i="5"/>
  <c r="G13" i="5"/>
  <c r="H13" i="5"/>
  <c r="I13" i="5"/>
  <c r="K13" i="5"/>
  <c r="L13" i="5"/>
  <c r="M13" i="5"/>
  <c r="N13" i="5"/>
  <c r="O13" i="5"/>
  <c r="P13" i="5"/>
  <c r="B14" i="5"/>
  <c r="C14" i="5"/>
  <c r="D14" i="5"/>
  <c r="E14" i="5"/>
  <c r="F14" i="5"/>
  <c r="G14" i="5"/>
  <c r="H14" i="5"/>
  <c r="I14" i="5"/>
  <c r="K14" i="5"/>
  <c r="L14" i="5"/>
  <c r="M14" i="5"/>
  <c r="N14" i="5"/>
  <c r="O14" i="5"/>
  <c r="P14" i="5"/>
  <c r="B15" i="5"/>
  <c r="C15" i="5"/>
  <c r="D15" i="5"/>
  <c r="E15" i="5"/>
  <c r="F15" i="5"/>
  <c r="G15" i="5"/>
  <c r="H15" i="5"/>
  <c r="I15" i="5"/>
  <c r="K15" i="5"/>
  <c r="L15" i="5"/>
  <c r="M15" i="5"/>
  <c r="N15" i="5"/>
  <c r="O15" i="5"/>
  <c r="P15" i="5"/>
  <c r="B16" i="5"/>
  <c r="C16" i="5"/>
  <c r="D16" i="5"/>
  <c r="E16" i="5"/>
  <c r="F16" i="5"/>
  <c r="G16" i="5"/>
  <c r="H16" i="5"/>
  <c r="I16" i="5"/>
  <c r="K16" i="5"/>
  <c r="L16" i="5"/>
  <c r="M16" i="5"/>
  <c r="N16" i="5"/>
  <c r="O16" i="5"/>
  <c r="P16" i="5"/>
  <c r="B17" i="5"/>
  <c r="C17" i="5"/>
  <c r="D17" i="5"/>
  <c r="E17" i="5"/>
  <c r="F17" i="5"/>
  <c r="G17" i="5"/>
  <c r="H17" i="5"/>
  <c r="I17" i="5"/>
  <c r="K17" i="5"/>
  <c r="L17" i="5"/>
  <c r="M17" i="5"/>
  <c r="N17" i="5"/>
  <c r="O17" i="5"/>
  <c r="P17" i="5"/>
  <c r="B18" i="5"/>
  <c r="C18" i="5"/>
  <c r="D18" i="5"/>
  <c r="E18" i="5"/>
  <c r="F18" i="5"/>
  <c r="G18" i="5"/>
  <c r="H18" i="5"/>
  <c r="I18" i="5"/>
  <c r="K18" i="5"/>
  <c r="L18" i="5"/>
  <c r="M18" i="5"/>
  <c r="N18" i="5"/>
  <c r="O18" i="5"/>
  <c r="P18" i="5"/>
  <c r="B19" i="5"/>
  <c r="C19" i="5"/>
  <c r="D19" i="5"/>
  <c r="E19" i="5"/>
  <c r="F19" i="5"/>
  <c r="G19" i="5"/>
  <c r="H19" i="5"/>
  <c r="I19" i="5"/>
  <c r="K19" i="5"/>
  <c r="L19" i="5"/>
  <c r="M19" i="5"/>
  <c r="N19" i="5"/>
  <c r="O19" i="5"/>
  <c r="P19" i="5"/>
  <c r="B20" i="5"/>
  <c r="C20" i="5"/>
  <c r="D20" i="5"/>
  <c r="E20" i="5"/>
  <c r="F20" i="5"/>
  <c r="G20" i="5"/>
  <c r="H20" i="5"/>
  <c r="I20" i="5"/>
  <c r="K20" i="5"/>
  <c r="L20" i="5"/>
  <c r="M20" i="5"/>
  <c r="N20" i="5"/>
  <c r="O20" i="5"/>
  <c r="P20" i="5"/>
  <c r="B21" i="5"/>
  <c r="C21" i="5"/>
  <c r="D21" i="5"/>
  <c r="E21" i="5"/>
  <c r="F21" i="5"/>
  <c r="G21" i="5"/>
  <c r="H21" i="5"/>
  <c r="I21" i="5"/>
  <c r="K21" i="5"/>
  <c r="L21" i="5"/>
  <c r="M21" i="5"/>
  <c r="N21" i="5"/>
  <c r="O21" i="5"/>
  <c r="P21" i="5"/>
  <c r="B22" i="5"/>
  <c r="C22" i="5"/>
  <c r="D22" i="5"/>
  <c r="E22" i="5"/>
  <c r="F22" i="5"/>
  <c r="G22" i="5"/>
  <c r="H22" i="5"/>
  <c r="I22" i="5"/>
  <c r="K22" i="5"/>
  <c r="L22" i="5"/>
  <c r="M22" i="5"/>
  <c r="N22" i="5"/>
  <c r="O22" i="5"/>
  <c r="P22" i="5"/>
  <c r="B23" i="5"/>
  <c r="C23" i="5"/>
  <c r="D23" i="5"/>
  <c r="E23" i="5"/>
  <c r="F23" i="5"/>
  <c r="G23" i="5"/>
  <c r="H23" i="5"/>
  <c r="I23" i="5"/>
  <c r="K23" i="5"/>
  <c r="L23" i="5"/>
  <c r="M23" i="5"/>
  <c r="N23" i="5"/>
  <c r="O23" i="5"/>
  <c r="P23" i="5"/>
  <c r="B24" i="5"/>
  <c r="C24" i="5"/>
  <c r="D24" i="5"/>
  <c r="E24" i="5"/>
  <c r="F24" i="5"/>
  <c r="G24" i="5"/>
  <c r="H24" i="5"/>
  <c r="I24" i="5"/>
  <c r="K24" i="5"/>
  <c r="L24" i="5"/>
  <c r="M24" i="5"/>
  <c r="N24" i="5"/>
  <c r="O24" i="5"/>
  <c r="P24" i="5"/>
  <c r="B25" i="5"/>
  <c r="C25" i="5"/>
  <c r="D25" i="5"/>
  <c r="E25" i="5"/>
  <c r="F25" i="5"/>
  <c r="G25" i="5"/>
  <c r="H25" i="5"/>
  <c r="I25" i="5"/>
  <c r="K25" i="5"/>
  <c r="L25" i="5"/>
  <c r="M25" i="5"/>
  <c r="N25" i="5"/>
  <c r="O25" i="5"/>
  <c r="P25" i="5"/>
  <c r="B26" i="5"/>
  <c r="C26" i="5"/>
  <c r="D26" i="5"/>
  <c r="E26" i="5"/>
  <c r="F26" i="5"/>
  <c r="G26" i="5"/>
  <c r="H26" i="5"/>
  <c r="I26" i="5"/>
  <c r="K26" i="5"/>
  <c r="L26" i="5"/>
  <c r="M26" i="5"/>
  <c r="N26" i="5"/>
  <c r="O26" i="5"/>
  <c r="P26" i="5"/>
  <c r="B27" i="5"/>
  <c r="C27" i="5"/>
  <c r="D27" i="5"/>
  <c r="E27" i="5"/>
  <c r="F27" i="5"/>
  <c r="G27" i="5"/>
  <c r="H27" i="5"/>
  <c r="I27" i="5"/>
  <c r="K27" i="5"/>
  <c r="L27" i="5"/>
  <c r="M27" i="5"/>
  <c r="N27" i="5"/>
  <c r="O27" i="5"/>
  <c r="P27" i="5"/>
  <c r="B28" i="5"/>
  <c r="C28" i="5"/>
  <c r="D28" i="5"/>
  <c r="E28" i="5"/>
  <c r="F28" i="5"/>
  <c r="G28" i="5"/>
  <c r="H28" i="5"/>
  <c r="I28" i="5"/>
  <c r="K28" i="5"/>
  <c r="L28" i="5"/>
  <c r="M28" i="5"/>
  <c r="N28" i="5"/>
  <c r="O28" i="5"/>
  <c r="P28" i="5"/>
  <c r="B29" i="5"/>
  <c r="C29" i="5"/>
  <c r="D29" i="5"/>
  <c r="E29" i="5"/>
  <c r="F29" i="5"/>
  <c r="G29" i="5"/>
  <c r="H29" i="5"/>
  <c r="I29" i="5"/>
  <c r="K29" i="5"/>
  <c r="L29" i="5"/>
  <c r="M29" i="5"/>
  <c r="N29" i="5"/>
  <c r="O29" i="5"/>
  <c r="P29" i="5"/>
  <c r="B30" i="5"/>
  <c r="C30" i="5"/>
  <c r="D30" i="5"/>
  <c r="E30" i="5"/>
  <c r="F30" i="5"/>
  <c r="G30" i="5"/>
  <c r="H30" i="5"/>
  <c r="I30" i="5"/>
  <c r="K30" i="5"/>
  <c r="L30" i="5"/>
  <c r="M30" i="5"/>
  <c r="N30" i="5"/>
  <c r="O30" i="5"/>
  <c r="P30" i="5"/>
  <c r="M2" i="5"/>
  <c r="L2" i="5"/>
  <c r="I2" i="5"/>
  <c r="E2" i="5"/>
  <c r="C2" i="5"/>
  <c r="P2" i="5"/>
  <c r="O2" i="5"/>
  <c r="N2" i="5"/>
  <c r="K2" i="5"/>
  <c r="H2" i="5"/>
  <c r="G2" i="5"/>
  <c r="F2" i="5"/>
  <c r="D2" i="5"/>
  <c r="B2" i="5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2" i="5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AG3" i="3"/>
  <c r="AH3" i="3"/>
  <c r="AI3" i="3"/>
  <c r="AJ3" i="3"/>
  <c r="AK3" i="3"/>
  <c r="AL3" i="3"/>
  <c r="AM3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AF4" i="3"/>
  <c r="AG4" i="3"/>
  <c r="AH4" i="3"/>
  <c r="AI4" i="3"/>
  <c r="AJ4" i="3"/>
  <c r="AK4" i="3"/>
  <c r="AL4" i="3"/>
  <c r="AM4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AF5" i="3"/>
  <c r="AG5" i="3"/>
  <c r="AH5" i="3"/>
  <c r="AI5" i="3"/>
  <c r="AJ5" i="3"/>
  <c r="AK5" i="3"/>
  <c r="AL5" i="3"/>
  <c r="AM5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AF6" i="3"/>
  <c r="AG6" i="3"/>
  <c r="AH6" i="3"/>
  <c r="AI6" i="3"/>
  <c r="AJ6" i="3"/>
  <c r="AK6" i="3"/>
  <c r="AL6" i="3"/>
  <c r="AM6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AG7" i="3"/>
  <c r="AH7" i="3"/>
  <c r="AI7" i="3"/>
  <c r="AJ7" i="3"/>
  <c r="AK7" i="3"/>
  <c r="AL7" i="3"/>
  <c r="AM7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AG8" i="3"/>
  <c r="AH8" i="3"/>
  <c r="AI8" i="3"/>
  <c r="AJ8" i="3"/>
  <c r="AK8" i="3"/>
  <c r="AL8" i="3"/>
  <c r="AM8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AF9" i="3"/>
  <c r="AG9" i="3"/>
  <c r="AH9" i="3"/>
  <c r="AI9" i="3"/>
  <c r="AJ9" i="3"/>
  <c r="AK9" i="3"/>
  <c r="AL9" i="3"/>
  <c r="AM9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AF10" i="3"/>
  <c r="AG10" i="3"/>
  <c r="AH10" i="3"/>
  <c r="AI10" i="3"/>
  <c r="AJ10" i="3"/>
  <c r="AK10" i="3"/>
  <c r="AL10" i="3"/>
  <c r="AM10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AF11" i="3"/>
  <c r="AG11" i="3"/>
  <c r="AH11" i="3"/>
  <c r="AI11" i="3"/>
  <c r="AJ11" i="3"/>
  <c r="AK11" i="3"/>
  <c r="AL11" i="3"/>
  <c r="AM11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AF12" i="3"/>
  <c r="AG12" i="3"/>
  <c r="AH12" i="3"/>
  <c r="AI12" i="3"/>
  <c r="AJ12" i="3"/>
  <c r="AK12" i="3"/>
  <c r="AL12" i="3"/>
  <c r="AM12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AG13" i="3"/>
  <c r="AH13" i="3"/>
  <c r="AI13" i="3"/>
  <c r="AJ13" i="3"/>
  <c r="AK13" i="3"/>
  <c r="AL13" i="3"/>
  <c r="AM13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AG14" i="3"/>
  <c r="AH14" i="3"/>
  <c r="AI14" i="3"/>
  <c r="AJ14" i="3"/>
  <c r="AK14" i="3"/>
  <c r="AL14" i="3"/>
  <c r="AM14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AG15" i="3"/>
  <c r="AH15" i="3"/>
  <c r="AI15" i="3"/>
  <c r="AJ15" i="3"/>
  <c r="AK15" i="3"/>
  <c r="AL15" i="3"/>
  <c r="AM15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AF16" i="3"/>
  <c r="AG16" i="3"/>
  <c r="AH16" i="3"/>
  <c r="AI16" i="3"/>
  <c r="AJ16" i="3"/>
  <c r="AK16" i="3"/>
  <c r="AL16" i="3"/>
  <c r="AM16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AG17" i="3"/>
  <c r="AH17" i="3"/>
  <c r="AI17" i="3"/>
  <c r="AJ17" i="3"/>
  <c r="AK17" i="3"/>
  <c r="AL17" i="3"/>
  <c r="AM17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AG18" i="3"/>
  <c r="AH18" i="3"/>
  <c r="AI18" i="3"/>
  <c r="AJ18" i="3"/>
  <c r="AK18" i="3"/>
  <c r="AL18" i="3"/>
  <c r="AM18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AE19" i="3"/>
  <c r="AF19" i="3"/>
  <c r="AG19" i="3"/>
  <c r="AH19" i="3"/>
  <c r="AI19" i="3"/>
  <c r="AJ19" i="3"/>
  <c r="AK19" i="3"/>
  <c r="AL19" i="3"/>
  <c r="AM19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AF20" i="3"/>
  <c r="AG20" i="3"/>
  <c r="AH20" i="3"/>
  <c r="AI20" i="3"/>
  <c r="AJ20" i="3"/>
  <c r="AK20" i="3"/>
  <c r="AL20" i="3"/>
  <c r="AM20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AF21" i="3"/>
  <c r="AG21" i="3"/>
  <c r="AH21" i="3"/>
  <c r="AI21" i="3"/>
  <c r="AJ21" i="3"/>
  <c r="AK21" i="3"/>
  <c r="AL21" i="3"/>
  <c r="AM21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AC22" i="3"/>
  <c r="AD22" i="3"/>
  <c r="AE22" i="3"/>
  <c r="AF22" i="3"/>
  <c r="AG22" i="3"/>
  <c r="AH22" i="3"/>
  <c r="AI22" i="3"/>
  <c r="AJ22" i="3"/>
  <c r="AK22" i="3"/>
  <c r="AL22" i="3"/>
  <c r="AM22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AB23" i="3"/>
  <c r="AC23" i="3"/>
  <c r="AD23" i="3"/>
  <c r="AE23" i="3"/>
  <c r="AF23" i="3"/>
  <c r="AG23" i="3"/>
  <c r="AH23" i="3"/>
  <c r="AI23" i="3"/>
  <c r="AJ23" i="3"/>
  <c r="AK23" i="3"/>
  <c r="AL23" i="3"/>
  <c r="AM23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AD24" i="3"/>
  <c r="AE24" i="3"/>
  <c r="AF24" i="3"/>
  <c r="AG24" i="3"/>
  <c r="AH24" i="3"/>
  <c r="AI24" i="3"/>
  <c r="AJ24" i="3"/>
  <c r="AK24" i="3"/>
  <c r="AL24" i="3"/>
  <c r="AM24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AB25" i="3"/>
  <c r="AC25" i="3"/>
  <c r="AD25" i="3"/>
  <c r="AE25" i="3"/>
  <c r="AF25" i="3"/>
  <c r="AG25" i="3"/>
  <c r="AH25" i="3"/>
  <c r="AI25" i="3"/>
  <c r="AJ25" i="3"/>
  <c r="AK25" i="3"/>
  <c r="AL25" i="3"/>
  <c r="AM25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AA26" i="3"/>
  <c r="AB26" i="3"/>
  <c r="AC26" i="3"/>
  <c r="AD26" i="3"/>
  <c r="AE26" i="3"/>
  <c r="AF26" i="3"/>
  <c r="AG26" i="3"/>
  <c r="AH26" i="3"/>
  <c r="AI26" i="3"/>
  <c r="AJ26" i="3"/>
  <c r="AK26" i="3"/>
  <c r="AL26" i="3"/>
  <c r="AM26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AA27" i="3"/>
  <c r="AB27" i="3"/>
  <c r="AC27" i="3"/>
  <c r="AD27" i="3"/>
  <c r="AE27" i="3"/>
  <c r="AF27" i="3"/>
  <c r="AG27" i="3"/>
  <c r="AH27" i="3"/>
  <c r="AI27" i="3"/>
  <c r="AJ27" i="3"/>
  <c r="AK27" i="3"/>
  <c r="AL27" i="3"/>
  <c r="AM27" i="3"/>
  <c r="M28" i="3"/>
  <c r="N28" i="3"/>
  <c r="O28" i="3"/>
  <c r="P28" i="3"/>
  <c r="Q28" i="3"/>
  <c r="R28" i="3"/>
  <c r="S28" i="3"/>
  <c r="T28" i="3"/>
  <c r="U28" i="3"/>
  <c r="V28" i="3"/>
  <c r="W28" i="3"/>
  <c r="X28" i="3"/>
  <c r="Y28" i="3"/>
  <c r="Z28" i="3"/>
  <c r="AA28" i="3"/>
  <c r="AB28" i="3"/>
  <c r="AC28" i="3"/>
  <c r="AD28" i="3"/>
  <c r="AE28" i="3"/>
  <c r="AF28" i="3"/>
  <c r="AG28" i="3"/>
  <c r="AH28" i="3"/>
  <c r="AI28" i="3"/>
  <c r="AJ28" i="3"/>
  <c r="AK28" i="3"/>
  <c r="AL28" i="3"/>
  <c r="AM28" i="3"/>
  <c r="M29" i="3"/>
  <c r="N29" i="3"/>
  <c r="O29" i="3"/>
  <c r="P29" i="3"/>
  <c r="Q29" i="3"/>
  <c r="R29" i="3"/>
  <c r="S29" i="3"/>
  <c r="T29" i="3"/>
  <c r="U29" i="3"/>
  <c r="V29" i="3"/>
  <c r="W29" i="3"/>
  <c r="X29" i="3"/>
  <c r="Y29" i="3"/>
  <c r="Z29" i="3"/>
  <c r="AA29" i="3"/>
  <c r="AB29" i="3"/>
  <c r="AC29" i="3"/>
  <c r="AD29" i="3"/>
  <c r="AE29" i="3"/>
  <c r="AF29" i="3"/>
  <c r="AG29" i="3"/>
  <c r="AH29" i="3"/>
  <c r="AI29" i="3"/>
  <c r="AJ29" i="3"/>
  <c r="AK29" i="3"/>
  <c r="AL29" i="3"/>
  <c r="AM29" i="3"/>
  <c r="M30" i="3"/>
  <c r="N30" i="3"/>
  <c r="O30" i="3"/>
  <c r="P30" i="3"/>
  <c r="Q30" i="3"/>
  <c r="R30" i="3"/>
  <c r="S30" i="3"/>
  <c r="T30" i="3"/>
  <c r="U30" i="3"/>
  <c r="V30" i="3"/>
  <c r="W30" i="3"/>
  <c r="X30" i="3"/>
  <c r="Y30" i="3"/>
  <c r="Z30" i="3"/>
  <c r="AA30" i="3"/>
  <c r="AB30" i="3"/>
  <c r="AC30" i="3"/>
  <c r="AD30" i="3"/>
  <c r="AE30" i="3"/>
  <c r="AF30" i="3"/>
  <c r="AG30" i="3"/>
  <c r="AH30" i="3"/>
  <c r="AI30" i="3"/>
  <c r="AJ30" i="3"/>
  <c r="AK30" i="3"/>
  <c r="AL30" i="3"/>
  <c r="AM30" i="3"/>
  <c r="AK2" i="3"/>
  <c r="AH2" i="3"/>
  <c r="AE2" i="3"/>
  <c r="AB2" i="3" l="1"/>
  <c r="Y2" i="3"/>
  <c r="V2" i="3"/>
  <c r="S2" i="3"/>
  <c r="P2" i="3"/>
  <c r="M2" i="3"/>
  <c r="J2" i="3"/>
  <c r="AI2" i="3"/>
  <c r="AF2" i="3"/>
  <c r="AC2" i="3"/>
  <c r="Z2" i="3"/>
  <c r="W2" i="3"/>
  <c r="T2" i="3"/>
  <c r="Q2" i="3"/>
  <c r="N2" i="3"/>
  <c r="AM2" i="3"/>
  <c r="AL2" i="3"/>
  <c r="AJ2" i="3"/>
  <c r="AG2" i="3"/>
  <c r="AD2" i="3"/>
  <c r="AA2" i="3"/>
  <c r="X2" i="3"/>
  <c r="U2" i="3"/>
  <c r="R2" i="3"/>
  <c r="O2" i="3"/>
  <c r="G2" i="3"/>
  <c r="AO3" i="4" l="1"/>
  <c r="AP3" i="4"/>
  <c r="AQ3" i="4"/>
  <c r="AR3" i="4"/>
  <c r="AS3" i="4"/>
  <c r="AT3" i="4"/>
  <c r="AU3" i="4"/>
  <c r="AV3" i="4"/>
  <c r="AW3" i="4"/>
  <c r="AX3" i="4"/>
  <c r="AY3" i="4"/>
  <c r="AZ3" i="4"/>
  <c r="BA3" i="4"/>
  <c r="BB3" i="4"/>
  <c r="BC3" i="4"/>
  <c r="BD3" i="4"/>
  <c r="BE3" i="4"/>
  <c r="BF3" i="4"/>
  <c r="BG3" i="4"/>
  <c r="BH3" i="4"/>
  <c r="BI3" i="4"/>
  <c r="BJ3" i="4"/>
  <c r="BK3" i="4"/>
  <c r="BL3" i="4"/>
  <c r="BM3" i="4"/>
  <c r="BN3" i="4"/>
  <c r="BO3" i="4"/>
  <c r="BP3" i="4"/>
  <c r="BQ3" i="4"/>
  <c r="BR3" i="4"/>
  <c r="BS3" i="4"/>
  <c r="BT3" i="4"/>
  <c r="BU3" i="4"/>
  <c r="BV3" i="4"/>
  <c r="BW3" i="4"/>
  <c r="BX3" i="4"/>
  <c r="BY3" i="4"/>
  <c r="BZ3" i="4"/>
  <c r="AO4" i="4"/>
  <c r="AP4" i="4"/>
  <c r="AQ4" i="4"/>
  <c r="AR4" i="4"/>
  <c r="AS4" i="4"/>
  <c r="AT4" i="4"/>
  <c r="AU4" i="4"/>
  <c r="AV4" i="4"/>
  <c r="AW4" i="4"/>
  <c r="AX4" i="4"/>
  <c r="AY4" i="4"/>
  <c r="AZ4" i="4"/>
  <c r="BA4" i="4"/>
  <c r="BB4" i="4"/>
  <c r="BC4" i="4"/>
  <c r="BD4" i="4"/>
  <c r="BE4" i="4"/>
  <c r="BF4" i="4"/>
  <c r="BG4" i="4"/>
  <c r="BH4" i="4"/>
  <c r="BI4" i="4"/>
  <c r="BJ4" i="4"/>
  <c r="BK4" i="4"/>
  <c r="BL4" i="4"/>
  <c r="BM4" i="4"/>
  <c r="BN4" i="4"/>
  <c r="BO4" i="4"/>
  <c r="BP4" i="4"/>
  <c r="BQ4" i="4"/>
  <c r="BR4" i="4"/>
  <c r="BS4" i="4"/>
  <c r="BT4" i="4"/>
  <c r="BU4" i="4"/>
  <c r="BV4" i="4"/>
  <c r="BW4" i="4"/>
  <c r="BX4" i="4"/>
  <c r="BY4" i="4"/>
  <c r="BZ4" i="4"/>
  <c r="AO5" i="4"/>
  <c r="AP5" i="4"/>
  <c r="AQ5" i="4"/>
  <c r="AR5" i="4"/>
  <c r="AS5" i="4"/>
  <c r="AT5" i="4"/>
  <c r="AU5" i="4"/>
  <c r="AV5" i="4"/>
  <c r="AW5" i="4"/>
  <c r="AX5" i="4"/>
  <c r="AY5" i="4"/>
  <c r="AZ5" i="4"/>
  <c r="BA5" i="4"/>
  <c r="BB5" i="4"/>
  <c r="BC5" i="4"/>
  <c r="BD5" i="4"/>
  <c r="BE5" i="4"/>
  <c r="BF5" i="4"/>
  <c r="BG5" i="4"/>
  <c r="BH5" i="4"/>
  <c r="BI5" i="4"/>
  <c r="BJ5" i="4"/>
  <c r="BK5" i="4"/>
  <c r="BL5" i="4"/>
  <c r="BM5" i="4"/>
  <c r="BN5" i="4"/>
  <c r="BO5" i="4"/>
  <c r="BP5" i="4"/>
  <c r="BQ5" i="4"/>
  <c r="BR5" i="4"/>
  <c r="BS5" i="4"/>
  <c r="BT5" i="4"/>
  <c r="BU5" i="4"/>
  <c r="BV5" i="4"/>
  <c r="BW5" i="4"/>
  <c r="BX5" i="4"/>
  <c r="BY5" i="4"/>
  <c r="BZ5" i="4"/>
  <c r="AO6" i="4"/>
  <c r="AP6" i="4"/>
  <c r="AQ6" i="4"/>
  <c r="AR6" i="4"/>
  <c r="AS6" i="4"/>
  <c r="AT6" i="4"/>
  <c r="AU6" i="4"/>
  <c r="AV6" i="4"/>
  <c r="AW6" i="4"/>
  <c r="AX6" i="4"/>
  <c r="AY6" i="4"/>
  <c r="AZ6" i="4"/>
  <c r="BA6" i="4"/>
  <c r="BB6" i="4"/>
  <c r="BC6" i="4"/>
  <c r="BD6" i="4"/>
  <c r="BE6" i="4"/>
  <c r="BF6" i="4"/>
  <c r="BG6" i="4"/>
  <c r="BH6" i="4"/>
  <c r="BI6" i="4"/>
  <c r="BJ6" i="4"/>
  <c r="BK6" i="4"/>
  <c r="BL6" i="4"/>
  <c r="BM6" i="4"/>
  <c r="BN6" i="4"/>
  <c r="BO6" i="4"/>
  <c r="BP6" i="4"/>
  <c r="BQ6" i="4"/>
  <c r="BR6" i="4"/>
  <c r="BS6" i="4"/>
  <c r="BT6" i="4"/>
  <c r="BU6" i="4"/>
  <c r="BV6" i="4"/>
  <c r="BW6" i="4"/>
  <c r="BX6" i="4"/>
  <c r="BY6" i="4"/>
  <c r="BZ6" i="4"/>
  <c r="AO7" i="4"/>
  <c r="AP7" i="4"/>
  <c r="AQ7" i="4"/>
  <c r="AR7" i="4"/>
  <c r="AS7" i="4"/>
  <c r="AT7" i="4"/>
  <c r="AU7" i="4"/>
  <c r="AV7" i="4"/>
  <c r="AW7" i="4"/>
  <c r="AX7" i="4"/>
  <c r="AY7" i="4"/>
  <c r="AZ7" i="4"/>
  <c r="BA7" i="4"/>
  <c r="BB7" i="4"/>
  <c r="BC7" i="4"/>
  <c r="BD7" i="4"/>
  <c r="BE7" i="4"/>
  <c r="BF7" i="4"/>
  <c r="BG7" i="4"/>
  <c r="BH7" i="4"/>
  <c r="BI7" i="4"/>
  <c r="BJ7" i="4"/>
  <c r="BK7" i="4"/>
  <c r="BL7" i="4"/>
  <c r="BM7" i="4"/>
  <c r="BN7" i="4"/>
  <c r="BO7" i="4"/>
  <c r="BP7" i="4"/>
  <c r="BQ7" i="4"/>
  <c r="BR7" i="4"/>
  <c r="BS7" i="4"/>
  <c r="BT7" i="4"/>
  <c r="BU7" i="4"/>
  <c r="BV7" i="4"/>
  <c r="BW7" i="4"/>
  <c r="BX7" i="4"/>
  <c r="BY7" i="4"/>
  <c r="BZ7" i="4"/>
  <c r="AO8" i="4"/>
  <c r="AP8" i="4"/>
  <c r="AQ8" i="4"/>
  <c r="AR8" i="4"/>
  <c r="AS8" i="4"/>
  <c r="AT8" i="4"/>
  <c r="AU8" i="4"/>
  <c r="AV8" i="4"/>
  <c r="AW8" i="4"/>
  <c r="AX8" i="4"/>
  <c r="AY8" i="4"/>
  <c r="AZ8" i="4"/>
  <c r="BA8" i="4"/>
  <c r="BB8" i="4"/>
  <c r="BC8" i="4"/>
  <c r="BD8" i="4"/>
  <c r="BE8" i="4"/>
  <c r="BF8" i="4"/>
  <c r="BG8" i="4"/>
  <c r="BH8" i="4"/>
  <c r="BI8" i="4"/>
  <c r="BJ8" i="4"/>
  <c r="BK8" i="4"/>
  <c r="BL8" i="4"/>
  <c r="BM8" i="4"/>
  <c r="BN8" i="4"/>
  <c r="BO8" i="4"/>
  <c r="BP8" i="4"/>
  <c r="BQ8" i="4"/>
  <c r="BR8" i="4"/>
  <c r="BS8" i="4"/>
  <c r="BT8" i="4"/>
  <c r="BU8" i="4"/>
  <c r="BV8" i="4"/>
  <c r="BW8" i="4"/>
  <c r="BX8" i="4"/>
  <c r="BY8" i="4"/>
  <c r="BZ8" i="4"/>
  <c r="AO9" i="4"/>
  <c r="AP9" i="4"/>
  <c r="AQ9" i="4"/>
  <c r="AR9" i="4"/>
  <c r="AS9" i="4"/>
  <c r="AT9" i="4"/>
  <c r="AU9" i="4"/>
  <c r="AV9" i="4"/>
  <c r="AW9" i="4"/>
  <c r="AX9" i="4"/>
  <c r="AY9" i="4"/>
  <c r="AZ9" i="4"/>
  <c r="BA9" i="4"/>
  <c r="BB9" i="4"/>
  <c r="BC9" i="4"/>
  <c r="BD9" i="4"/>
  <c r="BE9" i="4"/>
  <c r="BF9" i="4"/>
  <c r="BG9" i="4"/>
  <c r="BH9" i="4"/>
  <c r="BI9" i="4"/>
  <c r="BJ9" i="4"/>
  <c r="BK9" i="4"/>
  <c r="BL9" i="4"/>
  <c r="BM9" i="4"/>
  <c r="BN9" i="4"/>
  <c r="BO9" i="4"/>
  <c r="BP9" i="4"/>
  <c r="BQ9" i="4"/>
  <c r="BR9" i="4"/>
  <c r="BS9" i="4"/>
  <c r="BT9" i="4"/>
  <c r="BU9" i="4"/>
  <c r="BV9" i="4"/>
  <c r="BW9" i="4"/>
  <c r="BX9" i="4"/>
  <c r="BY9" i="4"/>
  <c r="BZ9" i="4"/>
  <c r="AO10" i="4"/>
  <c r="AP10" i="4"/>
  <c r="AQ10" i="4"/>
  <c r="AR10" i="4"/>
  <c r="AS10" i="4"/>
  <c r="AT10" i="4"/>
  <c r="AU10" i="4"/>
  <c r="AV10" i="4"/>
  <c r="AW10" i="4"/>
  <c r="AX10" i="4"/>
  <c r="AY10" i="4"/>
  <c r="AZ10" i="4"/>
  <c r="BA10" i="4"/>
  <c r="BB10" i="4"/>
  <c r="BC10" i="4"/>
  <c r="BD10" i="4"/>
  <c r="BE10" i="4"/>
  <c r="BF10" i="4"/>
  <c r="BG10" i="4"/>
  <c r="BH10" i="4"/>
  <c r="BI10" i="4"/>
  <c r="BJ10" i="4"/>
  <c r="BK10" i="4"/>
  <c r="BL10" i="4"/>
  <c r="BM10" i="4"/>
  <c r="BN10" i="4"/>
  <c r="BO10" i="4"/>
  <c r="BP10" i="4"/>
  <c r="BQ10" i="4"/>
  <c r="BR10" i="4"/>
  <c r="BS10" i="4"/>
  <c r="BT10" i="4"/>
  <c r="BU10" i="4"/>
  <c r="BV10" i="4"/>
  <c r="BW10" i="4"/>
  <c r="BX10" i="4"/>
  <c r="BY10" i="4"/>
  <c r="BZ10" i="4"/>
  <c r="AO11" i="4"/>
  <c r="AP11" i="4"/>
  <c r="AQ11" i="4"/>
  <c r="AR11" i="4"/>
  <c r="AS11" i="4"/>
  <c r="AT11" i="4"/>
  <c r="AU11" i="4"/>
  <c r="AV11" i="4"/>
  <c r="AW11" i="4"/>
  <c r="AX11" i="4"/>
  <c r="AY11" i="4"/>
  <c r="AZ11" i="4"/>
  <c r="BA11" i="4"/>
  <c r="BB11" i="4"/>
  <c r="BC11" i="4"/>
  <c r="BD11" i="4"/>
  <c r="BE11" i="4"/>
  <c r="BF11" i="4"/>
  <c r="BG11" i="4"/>
  <c r="BH11" i="4"/>
  <c r="BI11" i="4"/>
  <c r="BJ11" i="4"/>
  <c r="BK11" i="4"/>
  <c r="BL11" i="4"/>
  <c r="BM11" i="4"/>
  <c r="BN11" i="4"/>
  <c r="BO11" i="4"/>
  <c r="BP11" i="4"/>
  <c r="BQ11" i="4"/>
  <c r="BR11" i="4"/>
  <c r="BS11" i="4"/>
  <c r="BT11" i="4"/>
  <c r="BU11" i="4"/>
  <c r="BV11" i="4"/>
  <c r="BW11" i="4"/>
  <c r="BX11" i="4"/>
  <c r="BY11" i="4"/>
  <c r="BZ11" i="4"/>
  <c r="AO12" i="4"/>
  <c r="AP12" i="4"/>
  <c r="AQ12" i="4"/>
  <c r="AR12" i="4"/>
  <c r="AS12" i="4"/>
  <c r="AT12" i="4"/>
  <c r="AU12" i="4"/>
  <c r="AV12" i="4"/>
  <c r="AW12" i="4"/>
  <c r="AX12" i="4"/>
  <c r="AY12" i="4"/>
  <c r="AZ12" i="4"/>
  <c r="BA12" i="4"/>
  <c r="BB12" i="4"/>
  <c r="BC12" i="4"/>
  <c r="BD12" i="4"/>
  <c r="BE12" i="4"/>
  <c r="BF12" i="4"/>
  <c r="BG12" i="4"/>
  <c r="BH12" i="4"/>
  <c r="BI12" i="4"/>
  <c r="BJ12" i="4"/>
  <c r="BK12" i="4"/>
  <c r="BL12" i="4"/>
  <c r="BM12" i="4"/>
  <c r="BN12" i="4"/>
  <c r="BO12" i="4"/>
  <c r="BP12" i="4"/>
  <c r="BQ12" i="4"/>
  <c r="BR12" i="4"/>
  <c r="BS12" i="4"/>
  <c r="BT12" i="4"/>
  <c r="BU12" i="4"/>
  <c r="BV12" i="4"/>
  <c r="BW12" i="4"/>
  <c r="BX12" i="4"/>
  <c r="BY12" i="4"/>
  <c r="BZ12" i="4"/>
  <c r="AO13" i="4"/>
  <c r="AP13" i="4"/>
  <c r="AQ13" i="4"/>
  <c r="AR13" i="4"/>
  <c r="AS13" i="4"/>
  <c r="AT13" i="4"/>
  <c r="AU13" i="4"/>
  <c r="AV13" i="4"/>
  <c r="AW13" i="4"/>
  <c r="AX13" i="4"/>
  <c r="AY13" i="4"/>
  <c r="AZ13" i="4"/>
  <c r="BA13" i="4"/>
  <c r="BB13" i="4"/>
  <c r="BC13" i="4"/>
  <c r="BD13" i="4"/>
  <c r="BE13" i="4"/>
  <c r="BF13" i="4"/>
  <c r="BG13" i="4"/>
  <c r="BH13" i="4"/>
  <c r="BI13" i="4"/>
  <c r="BJ13" i="4"/>
  <c r="BK13" i="4"/>
  <c r="BL13" i="4"/>
  <c r="BM13" i="4"/>
  <c r="BN13" i="4"/>
  <c r="BO13" i="4"/>
  <c r="BP13" i="4"/>
  <c r="BQ13" i="4"/>
  <c r="BR13" i="4"/>
  <c r="BS13" i="4"/>
  <c r="BT13" i="4"/>
  <c r="BU13" i="4"/>
  <c r="BV13" i="4"/>
  <c r="BW13" i="4"/>
  <c r="BX13" i="4"/>
  <c r="BY13" i="4"/>
  <c r="BZ13" i="4"/>
  <c r="AO14" i="4"/>
  <c r="AP14" i="4"/>
  <c r="AQ14" i="4"/>
  <c r="AR14" i="4"/>
  <c r="AS14" i="4"/>
  <c r="AT14" i="4"/>
  <c r="AU14" i="4"/>
  <c r="AV14" i="4"/>
  <c r="AW14" i="4"/>
  <c r="AX14" i="4"/>
  <c r="AY14" i="4"/>
  <c r="AZ14" i="4"/>
  <c r="BA14" i="4"/>
  <c r="BB14" i="4"/>
  <c r="BC14" i="4"/>
  <c r="BD14" i="4"/>
  <c r="BE14" i="4"/>
  <c r="BF14" i="4"/>
  <c r="BG14" i="4"/>
  <c r="BH14" i="4"/>
  <c r="BI14" i="4"/>
  <c r="BJ14" i="4"/>
  <c r="BK14" i="4"/>
  <c r="BL14" i="4"/>
  <c r="BM14" i="4"/>
  <c r="BN14" i="4"/>
  <c r="BO14" i="4"/>
  <c r="BP14" i="4"/>
  <c r="BQ14" i="4"/>
  <c r="BR14" i="4"/>
  <c r="BS14" i="4"/>
  <c r="BT14" i="4"/>
  <c r="BU14" i="4"/>
  <c r="BV14" i="4"/>
  <c r="BW14" i="4"/>
  <c r="BX14" i="4"/>
  <c r="BY14" i="4"/>
  <c r="BZ14" i="4"/>
  <c r="AO15" i="4"/>
  <c r="AP15" i="4"/>
  <c r="AQ15" i="4"/>
  <c r="AR15" i="4"/>
  <c r="AS15" i="4"/>
  <c r="AT15" i="4"/>
  <c r="AU15" i="4"/>
  <c r="AV15" i="4"/>
  <c r="AW15" i="4"/>
  <c r="AX15" i="4"/>
  <c r="AY15" i="4"/>
  <c r="AZ15" i="4"/>
  <c r="BA15" i="4"/>
  <c r="BB15" i="4"/>
  <c r="BC15" i="4"/>
  <c r="BD15" i="4"/>
  <c r="BE15" i="4"/>
  <c r="BF15" i="4"/>
  <c r="BG15" i="4"/>
  <c r="BH15" i="4"/>
  <c r="BI15" i="4"/>
  <c r="BJ15" i="4"/>
  <c r="BK15" i="4"/>
  <c r="BL15" i="4"/>
  <c r="BM15" i="4"/>
  <c r="BN15" i="4"/>
  <c r="BO15" i="4"/>
  <c r="BP15" i="4"/>
  <c r="BQ15" i="4"/>
  <c r="BR15" i="4"/>
  <c r="BS15" i="4"/>
  <c r="BT15" i="4"/>
  <c r="BU15" i="4"/>
  <c r="BV15" i="4"/>
  <c r="BW15" i="4"/>
  <c r="BX15" i="4"/>
  <c r="BY15" i="4"/>
  <c r="BZ15" i="4"/>
  <c r="AO16" i="4"/>
  <c r="AP16" i="4"/>
  <c r="AQ16" i="4"/>
  <c r="AR16" i="4"/>
  <c r="AS16" i="4"/>
  <c r="AT16" i="4"/>
  <c r="AU16" i="4"/>
  <c r="AV16" i="4"/>
  <c r="AW16" i="4"/>
  <c r="AX16" i="4"/>
  <c r="AY16" i="4"/>
  <c r="AZ16" i="4"/>
  <c r="BA16" i="4"/>
  <c r="BB16" i="4"/>
  <c r="BC16" i="4"/>
  <c r="BD16" i="4"/>
  <c r="BE16" i="4"/>
  <c r="BF16" i="4"/>
  <c r="BG16" i="4"/>
  <c r="BH16" i="4"/>
  <c r="BI16" i="4"/>
  <c r="BJ16" i="4"/>
  <c r="BK16" i="4"/>
  <c r="BL16" i="4"/>
  <c r="BM16" i="4"/>
  <c r="BN16" i="4"/>
  <c r="BO16" i="4"/>
  <c r="BP16" i="4"/>
  <c r="BQ16" i="4"/>
  <c r="BR16" i="4"/>
  <c r="BS16" i="4"/>
  <c r="BT16" i="4"/>
  <c r="BU16" i="4"/>
  <c r="BV16" i="4"/>
  <c r="BW16" i="4"/>
  <c r="BX16" i="4"/>
  <c r="BY16" i="4"/>
  <c r="BZ16" i="4"/>
  <c r="AO17" i="4"/>
  <c r="AP17" i="4"/>
  <c r="AQ17" i="4"/>
  <c r="AR17" i="4"/>
  <c r="AS17" i="4"/>
  <c r="AT17" i="4"/>
  <c r="AU17" i="4"/>
  <c r="AV17" i="4"/>
  <c r="AW17" i="4"/>
  <c r="AX17" i="4"/>
  <c r="AY17" i="4"/>
  <c r="AZ17" i="4"/>
  <c r="BA17" i="4"/>
  <c r="BB17" i="4"/>
  <c r="BC17" i="4"/>
  <c r="BD17" i="4"/>
  <c r="BE17" i="4"/>
  <c r="BF17" i="4"/>
  <c r="BG17" i="4"/>
  <c r="BH17" i="4"/>
  <c r="BI17" i="4"/>
  <c r="BJ17" i="4"/>
  <c r="BK17" i="4"/>
  <c r="BL17" i="4"/>
  <c r="BM17" i="4"/>
  <c r="BN17" i="4"/>
  <c r="BO17" i="4"/>
  <c r="BP17" i="4"/>
  <c r="BQ17" i="4"/>
  <c r="BR17" i="4"/>
  <c r="BS17" i="4"/>
  <c r="BT17" i="4"/>
  <c r="BU17" i="4"/>
  <c r="BV17" i="4"/>
  <c r="BW17" i="4"/>
  <c r="BX17" i="4"/>
  <c r="BY17" i="4"/>
  <c r="BZ17" i="4"/>
  <c r="AO18" i="4"/>
  <c r="AP18" i="4"/>
  <c r="AQ18" i="4"/>
  <c r="AR18" i="4"/>
  <c r="AS18" i="4"/>
  <c r="AT18" i="4"/>
  <c r="AU18" i="4"/>
  <c r="AV18" i="4"/>
  <c r="AW18" i="4"/>
  <c r="AX18" i="4"/>
  <c r="AY18" i="4"/>
  <c r="AZ18" i="4"/>
  <c r="BA18" i="4"/>
  <c r="BB18" i="4"/>
  <c r="BC18" i="4"/>
  <c r="BD18" i="4"/>
  <c r="BE18" i="4"/>
  <c r="BF18" i="4"/>
  <c r="BG18" i="4"/>
  <c r="BH18" i="4"/>
  <c r="BI18" i="4"/>
  <c r="BJ18" i="4"/>
  <c r="BK18" i="4"/>
  <c r="BL18" i="4"/>
  <c r="BM18" i="4"/>
  <c r="BN18" i="4"/>
  <c r="BO18" i="4"/>
  <c r="BP18" i="4"/>
  <c r="BQ18" i="4"/>
  <c r="BR18" i="4"/>
  <c r="BS18" i="4"/>
  <c r="BT18" i="4"/>
  <c r="BU18" i="4"/>
  <c r="BV18" i="4"/>
  <c r="BW18" i="4"/>
  <c r="BX18" i="4"/>
  <c r="BY18" i="4"/>
  <c r="BZ18" i="4"/>
  <c r="AO19" i="4"/>
  <c r="AP19" i="4"/>
  <c r="AQ19" i="4"/>
  <c r="AR19" i="4"/>
  <c r="AS19" i="4"/>
  <c r="AT19" i="4"/>
  <c r="AU19" i="4"/>
  <c r="AV19" i="4"/>
  <c r="AW19" i="4"/>
  <c r="AX19" i="4"/>
  <c r="AY19" i="4"/>
  <c r="AZ19" i="4"/>
  <c r="BA19" i="4"/>
  <c r="BB19" i="4"/>
  <c r="BC19" i="4"/>
  <c r="BD19" i="4"/>
  <c r="BE19" i="4"/>
  <c r="BF19" i="4"/>
  <c r="BG19" i="4"/>
  <c r="BH19" i="4"/>
  <c r="BI19" i="4"/>
  <c r="BJ19" i="4"/>
  <c r="BK19" i="4"/>
  <c r="BL19" i="4"/>
  <c r="BM19" i="4"/>
  <c r="BN19" i="4"/>
  <c r="BO19" i="4"/>
  <c r="BP19" i="4"/>
  <c r="BQ19" i="4"/>
  <c r="BR19" i="4"/>
  <c r="BS19" i="4"/>
  <c r="BT19" i="4"/>
  <c r="BU19" i="4"/>
  <c r="BV19" i="4"/>
  <c r="BW19" i="4"/>
  <c r="BX19" i="4"/>
  <c r="BY19" i="4"/>
  <c r="BZ19" i="4"/>
  <c r="AO20" i="4"/>
  <c r="AP20" i="4"/>
  <c r="AQ20" i="4"/>
  <c r="AR20" i="4"/>
  <c r="AS20" i="4"/>
  <c r="AT20" i="4"/>
  <c r="AU20" i="4"/>
  <c r="AV20" i="4"/>
  <c r="AW20" i="4"/>
  <c r="AX20" i="4"/>
  <c r="AY20" i="4"/>
  <c r="AZ20" i="4"/>
  <c r="BA20" i="4"/>
  <c r="BB20" i="4"/>
  <c r="BC20" i="4"/>
  <c r="BD20" i="4"/>
  <c r="BE20" i="4"/>
  <c r="BF20" i="4"/>
  <c r="BG20" i="4"/>
  <c r="BH20" i="4"/>
  <c r="BI20" i="4"/>
  <c r="BJ20" i="4"/>
  <c r="BK20" i="4"/>
  <c r="BL20" i="4"/>
  <c r="BM20" i="4"/>
  <c r="BN20" i="4"/>
  <c r="BO20" i="4"/>
  <c r="BP20" i="4"/>
  <c r="BQ20" i="4"/>
  <c r="BR20" i="4"/>
  <c r="BS20" i="4"/>
  <c r="BT20" i="4"/>
  <c r="BU20" i="4"/>
  <c r="BV20" i="4"/>
  <c r="BW20" i="4"/>
  <c r="BX20" i="4"/>
  <c r="BY20" i="4"/>
  <c r="BZ20" i="4"/>
  <c r="AO21" i="4"/>
  <c r="AP21" i="4"/>
  <c r="AQ21" i="4"/>
  <c r="AR21" i="4"/>
  <c r="AS21" i="4"/>
  <c r="AT21" i="4"/>
  <c r="AU21" i="4"/>
  <c r="AV21" i="4"/>
  <c r="AW21" i="4"/>
  <c r="AX21" i="4"/>
  <c r="AY21" i="4"/>
  <c r="AZ21" i="4"/>
  <c r="BA21" i="4"/>
  <c r="BB21" i="4"/>
  <c r="BC21" i="4"/>
  <c r="BD21" i="4"/>
  <c r="BE21" i="4"/>
  <c r="BF21" i="4"/>
  <c r="BG21" i="4"/>
  <c r="BH21" i="4"/>
  <c r="BI21" i="4"/>
  <c r="BJ21" i="4"/>
  <c r="BK21" i="4"/>
  <c r="BL21" i="4"/>
  <c r="BM21" i="4"/>
  <c r="BN21" i="4"/>
  <c r="BO21" i="4"/>
  <c r="BP21" i="4"/>
  <c r="BQ21" i="4"/>
  <c r="BR21" i="4"/>
  <c r="BS21" i="4"/>
  <c r="BT21" i="4"/>
  <c r="BU21" i="4"/>
  <c r="BV21" i="4"/>
  <c r="BW21" i="4"/>
  <c r="BX21" i="4"/>
  <c r="BY21" i="4"/>
  <c r="BZ21" i="4"/>
  <c r="AO22" i="4"/>
  <c r="AP22" i="4"/>
  <c r="AQ22" i="4"/>
  <c r="AR22" i="4"/>
  <c r="AS22" i="4"/>
  <c r="AT22" i="4"/>
  <c r="AU22" i="4"/>
  <c r="AV22" i="4"/>
  <c r="AW22" i="4"/>
  <c r="AX22" i="4"/>
  <c r="AY22" i="4"/>
  <c r="AZ22" i="4"/>
  <c r="BA22" i="4"/>
  <c r="BB22" i="4"/>
  <c r="BC22" i="4"/>
  <c r="BD22" i="4"/>
  <c r="BE22" i="4"/>
  <c r="BF22" i="4"/>
  <c r="BG22" i="4"/>
  <c r="BH22" i="4"/>
  <c r="BI22" i="4"/>
  <c r="BJ22" i="4"/>
  <c r="BK22" i="4"/>
  <c r="BL22" i="4"/>
  <c r="BM22" i="4"/>
  <c r="BN22" i="4"/>
  <c r="BO22" i="4"/>
  <c r="BP22" i="4"/>
  <c r="BQ22" i="4"/>
  <c r="BR22" i="4"/>
  <c r="BS22" i="4"/>
  <c r="BT22" i="4"/>
  <c r="BU22" i="4"/>
  <c r="BV22" i="4"/>
  <c r="BW22" i="4"/>
  <c r="BX22" i="4"/>
  <c r="BY22" i="4"/>
  <c r="BZ22" i="4"/>
  <c r="AO23" i="4"/>
  <c r="AP23" i="4"/>
  <c r="AQ23" i="4"/>
  <c r="AR23" i="4"/>
  <c r="AS23" i="4"/>
  <c r="AT23" i="4"/>
  <c r="AU23" i="4"/>
  <c r="AV23" i="4"/>
  <c r="AW23" i="4"/>
  <c r="AX23" i="4"/>
  <c r="AY23" i="4"/>
  <c r="AZ23" i="4"/>
  <c r="BA23" i="4"/>
  <c r="BB23" i="4"/>
  <c r="BC23" i="4"/>
  <c r="BD23" i="4"/>
  <c r="BE23" i="4"/>
  <c r="BF23" i="4"/>
  <c r="BG23" i="4"/>
  <c r="BH23" i="4"/>
  <c r="BI23" i="4"/>
  <c r="BJ23" i="4"/>
  <c r="BK23" i="4"/>
  <c r="BL23" i="4"/>
  <c r="BM23" i="4"/>
  <c r="BN23" i="4"/>
  <c r="BO23" i="4"/>
  <c r="BP23" i="4"/>
  <c r="BQ23" i="4"/>
  <c r="BR23" i="4"/>
  <c r="BS23" i="4"/>
  <c r="BT23" i="4"/>
  <c r="BU23" i="4"/>
  <c r="BV23" i="4"/>
  <c r="BW23" i="4"/>
  <c r="BX23" i="4"/>
  <c r="BY23" i="4"/>
  <c r="BZ23" i="4"/>
  <c r="AO24" i="4"/>
  <c r="AP24" i="4"/>
  <c r="AQ24" i="4"/>
  <c r="AR24" i="4"/>
  <c r="AS24" i="4"/>
  <c r="AT24" i="4"/>
  <c r="AU24" i="4"/>
  <c r="AV24" i="4"/>
  <c r="AW24" i="4"/>
  <c r="AX24" i="4"/>
  <c r="AY24" i="4"/>
  <c r="AZ24" i="4"/>
  <c r="BA24" i="4"/>
  <c r="BB24" i="4"/>
  <c r="BC24" i="4"/>
  <c r="BD24" i="4"/>
  <c r="BE24" i="4"/>
  <c r="BF24" i="4"/>
  <c r="BG24" i="4"/>
  <c r="BH24" i="4"/>
  <c r="BI24" i="4"/>
  <c r="BJ24" i="4"/>
  <c r="BK24" i="4"/>
  <c r="BL24" i="4"/>
  <c r="BM24" i="4"/>
  <c r="BN24" i="4"/>
  <c r="BO24" i="4"/>
  <c r="BP24" i="4"/>
  <c r="BQ24" i="4"/>
  <c r="BR24" i="4"/>
  <c r="BS24" i="4"/>
  <c r="BT24" i="4"/>
  <c r="BU24" i="4"/>
  <c r="BV24" i="4"/>
  <c r="BW24" i="4"/>
  <c r="BX24" i="4"/>
  <c r="BY24" i="4"/>
  <c r="BZ24" i="4"/>
  <c r="AO25" i="4"/>
  <c r="AP25" i="4"/>
  <c r="AQ25" i="4"/>
  <c r="AR25" i="4"/>
  <c r="AS25" i="4"/>
  <c r="AT25" i="4"/>
  <c r="AU25" i="4"/>
  <c r="AV25" i="4"/>
  <c r="AW25" i="4"/>
  <c r="AX25" i="4"/>
  <c r="AY25" i="4"/>
  <c r="AZ25" i="4"/>
  <c r="BA25" i="4"/>
  <c r="BB25" i="4"/>
  <c r="BC25" i="4"/>
  <c r="BD25" i="4"/>
  <c r="BE25" i="4"/>
  <c r="BF25" i="4"/>
  <c r="BG25" i="4"/>
  <c r="BH25" i="4"/>
  <c r="BI25" i="4"/>
  <c r="BJ25" i="4"/>
  <c r="BK25" i="4"/>
  <c r="BL25" i="4"/>
  <c r="BM25" i="4"/>
  <c r="BN25" i="4"/>
  <c r="BO25" i="4"/>
  <c r="BP25" i="4"/>
  <c r="BQ25" i="4"/>
  <c r="BR25" i="4"/>
  <c r="BS25" i="4"/>
  <c r="BT25" i="4"/>
  <c r="BU25" i="4"/>
  <c r="BV25" i="4"/>
  <c r="BW25" i="4"/>
  <c r="BX25" i="4"/>
  <c r="BY25" i="4"/>
  <c r="BZ25" i="4"/>
  <c r="AO26" i="4"/>
  <c r="AP26" i="4"/>
  <c r="AQ26" i="4"/>
  <c r="AR26" i="4"/>
  <c r="AS26" i="4"/>
  <c r="AT26" i="4"/>
  <c r="AU26" i="4"/>
  <c r="AV26" i="4"/>
  <c r="AW26" i="4"/>
  <c r="AX26" i="4"/>
  <c r="AY26" i="4"/>
  <c r="AZ26" i="4"/>
  <c r="BA26" i="4"/>
  <c r="BB26" i="4"/>
  <c r="BC26" i="4"/>
  <c r="BD26" i="4"/>
  <c r="BE26" i="4"/>
  <c r="BF26" i="4"/>
  <c r="BG26" i="4"/>
  <c r="BH26" i="4"/>
  <c r="BI26" i="4"/>
  <c r="BJ26" i="4"/>
  <c r="BK26" i="4"/>
  <c r="BL26" i="4"/>
  <c r="BM26" i="4"/>
  <c r="BN26" i="4"/>
  <c r="BO26" i="4"/>
  <c r="BP26" i="4"/>
  <c r="BQ26" i="4"/>
  <c r="BR26" i="4"/>
  <c r="BS26" i="4"/>
  <c r="BT26" i="4"/>
  <c r="BU26" i="4"/>
  <c r="BV26" i="4"/>
  <c r="BW26" i="4"/>
  <c r="BX26" i="4"/>
  <c r="BY26" i="4"/>
  <c r="BZ26" i="4"/>
  <c r="AO27" i="4"/>
  <c r="AP27" i="4"/>
  <c r="AQ27" i="4"/>
  <c r="AR27" i="4"/>
  <c r="AS27" i="4"/>
  <c r="AT27" i="4"/>
  <c r="AU27" i="4"/>
  <c r="AV27" i="4"/>
  <c r="AW27" i="4"/>
  <c r="AX27" i="4"/>
  <c r="AY27" i="4"/>
  <c r="AZ27" i="4"/>
  <c r="BA27" i="4"/>
  <c r="BB27" i="4"/>
  <c r="BC27" i="4"/>
  <c r="BD27" i="4"/>
  <c r="BE27" i="4"/>
  <c r="BF27" i="4"/>
  <c r="BG27" i="4"/>
  <c r="BH27" i="4"/>
  <c r="BI27" i="4"/>
  <c r="BJ27" i="4"/>
  <c r="BK27" i="4"/>
  <c r="BL27" i="4"/>
  <c r="BM27" i="4"/>
  <c r="BN27" i="4"/>
  <c r="BO27" i="4"/>
  <c r="BP27" i="4"/>
  <c r="BQ27" i="4"/>
  <c r="BR27" i="4"/>
  <c r="BS27" i="4"/>
  <c r="BT27" i="4"/>
  <c r="BU27" i="4"/>
  <c r="BV27" i="4"/>
  <c r="BW27" i="4"/>
  <c r="BX27" i="4"/>
  <c r="BY27" i="4"/>
  <c r="BZ27" i="4"/>
  <c r="AO28" i="4"/>
  <c r="AP28" i="4"/>
  <c r="AQ28" i="4"/>
  <c r="AR28" i="4"/>
  <c r="AS28" i="4"/>
  <c r="AT28" i="4"/>
  <c r="AU28" i="4"/>
  <c r="AV28" i="4"/>
  <c r="AW28" i="4"/>
  <c r="AX28" i="4"/>
  <c r="AY28" i="4"/>
  <c r="AZ28" i="4"/>
  <c r="BA28" i="4"/>
  <c r="BB28" i="4"/>
  <c r="BC28" i="4"/>
  <c r="BD28" i="4"/>
  <c r="BE28" i="4"/>
  <c r="BF28" i="4"/>
  <c r="BG28" i="4"/>
  <c r="BH28" i="4"/>
  <c r="BI28" i="4"/>
  <c r="BJ28" i="4"/>
  <c r="BK28" i="4"/>
  <c r="BL28" i="4"/>
  <c r="BM28" i="4"/>
  <c r="BN28" i="4"/>
  <c r="BO28" i="4"/>
  <c r="BP28" i="4"/>
  <c r="BQ28" i="4"/>
  <c r="BR28" i="4"/>
  <c r="BS28" i="4"/>
  <c r="BT28" i="4"/>
  <c r="BU28" i="4"/>
  <c r="BV28" i="4"/>
  <c r="BW28" i="4"/>
  <c r="BX28" i="4"/>
  <c r="BY28" i="4"/>
  <c r="BZ28" i="4"/>
  <c r="AO29" i="4"/>
  <c r="AP29" i="4"/>
  <c r="AQ29" i="4"/>
  <c r="AR29" i="4"/>
  <c r="AS29" i="4"/>
  <c r="AT29" i="4"/>
  <c r="AU29" i="4"/>
  <c r="AV29" i="4"/>
  <c r="AW29" i="4"/>
  <c r="AX29" i="4"/>
  <c r="AY29" i="4"/>
  <c r="AZ29" i="4"/>
  <c r="BA29" i="4"/>
  <c r="BB29" i="4"/>
  <c r="BC29" i="4"/>
  <c r="BD29" i="4"/>
  <c r="BE29" i="4"/>
  <c r="BF29" i="4"/>
  <c r="BG29" i="4"/>
  <c r="BH29" i="4"/>
  <c r="BI29" i="4"/>
  <c r="BJ29" i="4"/>
  <c r="BK29" i="4"/>
  <c r="BL29" i="4"/>
  <c r="BM29" i="4"/>
  <c r="BN29" i="4"/>
  <c r="BO29" i="4"/>
  <c r="BP29" i="4"/>
  <c r="BQ29" i="4"/>
  <c r="BR29" i="4"/>
  <c r="BS29" i="4"/>
  <c r="BT29" i="4"/>
  <c r="BU29" i="4"/>
  <c r="BV29" i="4"/>
  <c r="BW29" i="4"/>
  <c r="BX29" i="4"/>
  <c r="BY29" i="4"/>
  <c r="BZ29" i="4"/>
  <c r="AO30" i="4"/>
  <c r="AP30" i="4"/>
  <c r="AQ30" i="4"/>
  <c r="AR30" i="4"/>
  <c r="AS30" i="4"/>
  <c r="AT30" i="4"/>
  <c r="AU30" i="4"/>
  <c r="AV30" i="4"/>
  <c r="AW30" i="4"/>
  <c r="AX30" i="4"/>
  <c r="AY30" i="4"/>
  <c r="AZ30" i="4"/>
  <c r="BA30" i="4"/>
  <c r="BB30" i="4"/>
  <c r="BC30" i="4"/>
  <c r="BD30" i="4"/>
  <c r="BE30" i="4"/>
  <c r="BF30" i="4"/>
  <c r="BG30" i="4"/>
  <c r="BH30" i="4"/>
  <c r="BI30" i="4"/>
  <c r="BJ30" i="4"/>
  <c r="BK30" i="4"/>
  <c r="BL30" i="4"/>
  <c r="BM30" i="4"/>
  <c r="BN30" i="4"/>
  <c r="BO30" i="4"/>
  <c r="BP30" i="4"/>
  <c r="BQ30" i="4"/>
  <c r="BR30" i="4"/>
  <c r="BS30" i="4"/>
  <c r="BT30" i="4"/>
  <c r="BU30" i="4"/>
  <c r="BV30" i="4"/>
  <c r="BW30" i="4"/>
  <c r="BX30" i="4"/>
  <c r="BY30" i="4"/>
  <c r="BZ30" i="4"/>
  <c r="AO31" i="4"/>
  <c r="AP31" i="4"/>
  <c r="AQ31" i="4"/>
  <c r="AR31" i="4"/>
  <c r="AS31" i="4"/>
  <c r="AT31" i="4"/>
  <c r="AU31" i="4"/>
  <c r="AV31" i="4"/>
  <c r="AW31" i="4"/>
  <c r="AX31" i="4"/>
  <c r="AY31" i="4"/>
  <c r="AZ31" i="4"/>
  <c r="BA31" i="4"/>
  <c r="BB31" i="4"/>
  <c r="BC31" i="4"/>
  <c r="BD31" i="4"/>
  <c r="BE31" i="4"/>
  <c r="BF31" i="4"/>
  <c r="BG31" i="4"/>
  <c r="BH31" i="4"/>
  <c r="BI31" i="4"/>
  <c r="BJ31" i="4"/>
  <c r="BK31" i="4"/>
  <c r="BL31" i="4"/>
  <c r="BM31" i="4"/>
  <c r="BN31" i="4"/>
  <c r="BO31" i="4"/>
  <c r="BP31" i="4"/>
  <c r="BQ31" i="4"/>
  <c r="BR31" i="4"/>
  <c r="BS31" i="4"/>
  <c r="BT31" i="4"/>
  <c r="BU31" i="4"/>
  <c r="BV31" i="4"/>
  <c r="BW31" i="4"/>
  <c r="BX31" i="4"/>
  <c r="BY31" i="4"/>
  <c r="BZ31" i="4"/>
  <c r="BZ2" i="4"/>
  <c r="BY2" i="4"/>
  <c r="BW2" i="4"/>
  <c r="BX2" i="4"/>
  <c r="BU2" i="4"/>
  <c r="BR2" i="4"/>
  <c r="BO2" i="4"/>
  <c r="BL2" i="4"/>
  <c r="BI2" i="4"/>
  <c r="BF2" i="4"/>
  <c r="BB2" i="4"/>
  <c r="BA2" i="4"/>
  <c r="AX2" i="4"/>
  <c r="AU2" i="4"/>
  <c r="BV2" i="4"/>
  <c r="BS2" i="4"/>
  <c r="BP2" i="4"/>
  <c r="BM2" i="4"/>
  <c r="BJ2" i="4"/>
  <c r="BG2" i="4"/>
  <c r="BD2" i="4"/>
  <c r="AY2" i="4"/>
  <c r="AV2" i="4"/>
  <c r="AS2" i="4"/>
  <c r="AQ2" i="4"/>
  <c r="BT2" i="4"/>
  <c r="BQ2" i="4"/>
  <c r="BN2" i="4"/>
  <c r="BK2" i="4"/>
  <c r="BH2" i="4"/>
  <c r="BE2" i="4"/>
  <c r="BC2" i="4"/>
  <c r="AZ2" i="4"/>
  <c r="AW2" i="4"/>
  <c r="AT2" i="4"/>
  <c r="AR2" i="4"/>
  <c r="AP2" i="4"/>
  <c r="AO2" i="4"/>
  <c r="AN3" i="4"/>
  <c r="AN4" i="4"/>
  <c r="AN5" i="4"/>
  <c r="AN6" i="4"/>
  <c r="AN7" i="4"/>
  <c r="AN8" i="4"/>
  <c r="AN9" i="4"/>
  <c r="AN10" i="4"/>
  <c r="AN11" i="4"/>
  <c r="AN12" i="4"/>
  <c r="AN13" i="4"/>
  <c r="AN14" i="4"/>
  <c r="AN15" i="4"/>
  <c r="AN16" i="4"/>
  <c r="AN17" i="4"/>
  <c r="AN18" i="4"/>
  <c r="AN19" i="4"/>
  <c r="AN20" i="4"/>
  <c r="AN21" i="4"/>
  <c r="AN22" i="4"/>
  <c r="AN23" i="4"/>
  <c r="AN24" i="4"/>
  <c r="AN25" i="4"/>
  <c r="AN26" i="4"/>
  <c r="AN27" i="4"/>
  <c r="AN28" i="4"/>
  <c r="AN29" i="4"/>
  <c r="AN30" i="4"/>
  <c r="AN31" i="4"/>
  <c r="AN2" i="4"/>
  <c r="A3" i="4"/>
  <c r="B3" i="4"/>
  <c r="C3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AE3" i="4"/>
  <c r="AF3" i="4"/>
  <c r="AG3" i="4"/>
  <c r="AH3" i="4"/>
  <c r="AI3" i="4"/>
  <c r="AJ3" i="4"/>
  <c r="AK3" i="4"/>
  <c r="AL3" i="4"/>
  <c r="AM3" i="4"/>
  <c r="A4" i="4"/>
  <c r="B4" i="4"/>
  <c r="C4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AE4" i="4"/>
  <c r="AF4" i="4"/>
  <c r="AG4" i="4"/>
  <c r="AH4" i="4"/>
  <c r="AI4" i="4"/>
  <c r="AJ4" i="4"/>
  <c r="AK4" i="4"/>
  <c r="AL4" i="4"/>
  <c r="AM4" i="4"/>
  <c r="A5" i="4"/>
  <c r="B5" i="4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AG5" i="4"/>
  <c r="AH5" i="4"/>
  <c r="AI5" i="4"/>
  <c r="AJ5" i="4"/>
  <c r="AK5" i="4"/>
  <c r="AL5" i="4"/>
  <c r="AM5" i="4"/>
  <c r="A6" i="4"/>
  <c r="B6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AG6" i="4"/>
  <c r="AH6" i="4"/>
  <c r="AI6" i="4"/>
  <c r="AJ6" i="4"/>
  <c r="AK6" i="4"/>
  <c r="AL6" i="4"/>
  <c r="AM6" i="4"/>
  <c r="A7" i="4"/>
  <c r="B7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AG7" i="4"/>
  <c r="AH7" i="4"/>
  <c r="AI7" i="4"/>
  <c r="AJ7" i="4"/>
  <c r="AK7" i="4"/>
  <c r="AL7" i="4"/>
  <c r="AM7" i="4"/>
  <c r="A8" i="4"/>
  <c r="B8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AG8" i="4"/>
  <c r="AH8" i="4"/>
  <c r="AI8" i="4"/>
  <c r="AJ8" i="4"/>
  <c r="AK8" i="4"/>
  <c r="AL8" i="4"/>
  <c r="AM8" i="4"/>
  <c r="A9" i="4"/>
  <c r="B9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AG9" i="4"/>
  <c r="AH9" i="4"/>
  <c r="AI9" i="4"/>
  <c r="AJ9" i="4"/>
  <c r="AK9" i="4"/>
  <c r="AL9" i="4"/>
  <c r="AM9" i="4"/>
  <c r="A10" i="4"/>
  <c r="B10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AG10" i="4"/>
  <c r="AH10" i="4"/>
  <c r="AI10" i="4"/>
  <c r="AJ10" i="4"/>
  <c r="AK10" i="4"/>
  <c r="AL10" i="4"/>
  <c r="AM10" i="4"/>
  <c r="A11" i="4"/>
  <c r="B11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AG11" i="4"/>
  <c r="AH11" i="4"/>
  <c r="AI11" i="4"/>
  <c r="AJ11" i="4"/>
  <c r="AK11" i="4"/>
  <c r="AL11" i="4"/>
  <c r="AM11" i="4"/>
  <c r="A12" i="4"/>
  <c r="B12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AG12" i="4"/>
  <c r="AH12" i="4"/>
  <c r="AI12" i="4"/>
  <c r="AJ12" i="4"/>
  <c r="AK12" i="4"/>
  <c r="AL12" i="4"/>
  <c r="AM12" i="4"/>
  <c r="A13" i="4"/>
  <c r="B13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AG13" i="4"/>
  <c r="AH13" i="4"/>
  <c r="AI13" i="4"/>
  <c r="AJ13" i="4"/>
  <c r="AK13" i="4"/>
  <c r="AL13" i="4"/>
  <c r="AM13" i="4"/>
  <c r="A14" i="4"/>
  <c r="B14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AG14" i="4"/>
  <c r="AH14" i="4"/>
  <c r="AI14" i="4"/>
  <c r="AJ14" i="4"/>
  <c r="AK14" i="4"/>
  <c r="AL14" i="4"/>
  <c r="AM14" i="4"/>
  <c r="A15" i="4"/>
  <c r="B15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AG15" i="4"/>
  <c r="AH15" i="4"/>
  <c r="AI15" i="4"/>
  <c r="AJ15" i="4"/>
  <c r="AK15" i="4"/>
  <c r="AL15" i="4"/>
  <c r="AM15" i="4"/>
  <c r="A16" i="4"/>
  <c r="B16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AG16" i="4"/>
  <c r="AH16" i="4"/>
  <c r="AI16" i="4"/>
  <c r="AJ16" i="4"/>
  <c r="AK16" i="4"/>
  <c r="AL16" i="4"/>
  <c r="AM16" i="4"/>
  <c r="A17" i="4"/>
  <c r="B17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H17" i="4"/>
  <c r="AI17" i="4"/>
  <c r="AJ17" i="4"/>
  <c r="AK17" i="4"/>
  <c r="AL17" i="4"/>
  <c r="AM17" i="4"/>
  <c r="A18" i="4"/>
  <c r="B18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AG18" i="4"/>
  <c r="AH18" i="4"/>
  <c r="AI18" i="4"/>
  <c r="AJ18" i="4"/>
  <c r="AK18" i="4"/>
  <c r="AL18" i="4"/>
  <c r="AM18" i="4"/>
  <c r="A19" i="4"/>
  <c r="B19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AG19" i="4"/>
  <c r="AH19" i="4"/>
  <c r="AI19" i="4"/>
  <c r="AJ19" i="4"/>
  <c r="AK19" i="4"/>
  <c r="AL19" i="4"/>
  <c r="AM19" i="4"/>
  <c r="A20" i="4"/>
  <c r="B20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AG20" i="4"/>
  <c r="AH20" i="4"/>
  <c r="AI20" i="4"/>
  <c r="AJ20" i="4"/>
  <c r="AK20" i="4"/>
  <c r="AL20" i="4"/>
  <c r="AM20" i="4"/>
  <c r="A21" i="4"/>
  <c r="B21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AG21" i="4"/>
  <c r="AH21" i="4"/>
  <c r="AI21" i="4"/>
  <c r="AJ21" i="4"/>
  <c r="AK21" i="4"/>
  <c r="AL21" i="4"/>
  <c r="AM21" i="4"/>
  <c r="A22" i="4"/>
  <c r="B22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AG22" i="4"/>
  <c r="AH22" i="4"/>
  <c r="AI22" i="4"/>
  <c r="AJ22" i="4"/>
  <c r="AK22" i="4"/>
  <c r="AL22" i="4"/>
  <c r="AM22" i="4"/>
  <c r="A23" i="4"/>
  <c r="B23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AG23" i="4"/>
  <c r="AH23" i="4"/>
  <c r="AI23" i="4"/>
  <c r="AJ23" i="4"/>
  <c r="AK23" i="4"/>
  <c r="AL23" i="4"/>
  <c r="AM23" i="4"/>
  <c r="A24" i="4"/>
  <c r="B24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AG24" i="4"/>
  <c r="AH24" i="4"/>
  <c r="AI24" i="4"/>
  <c r="AJ24" i="4"/>
  <c r="AK24" i="4"/>
  <c r="AL24" i="4"/>
  <c r="AM24" i="4"/>
  <c r="A25" i="4"/>
  <c r="B25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AG25" i="4"/>
  <c r="AH25" i="4"/>
  <c r="AI25" i="4"/>
  <c r="AJ25" i="4"/>
  <c r="AK25" i="4"/>
  <c r="AL25" i="4"/>
  <c r="AM25" i="4"/>
  <c r="A26" i="4"/>
  <c r="B26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AG26" i="4"/>
  <c r="AH26" i="4"/>
  <c r="AI26" i="4"/>
  <c r="AJ26" i="4"/>
  <c r="AK26" i="4"/>
  <c r="AL26" i="4"/>
  <c r="AM26" i="4"/>
  <c r="A27" i="4"/>
  <c r="B27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AG27" i="4"/>
  <c r="AH27" i="4"/>
  <c r="AI27" i="4"/>
  <c r="AJ27" i="4"/>
  <c r="AK27" i="4"/>
  <c r="AL27" i="4"/>
  <c r="AM27" i="4"/>
  <c r="A28" i="4"/>
  <c r="B28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AG28" i="4"/>
  <c r="AH28" i="4"/>
  <c r="AI28" i="4"/>
  <c r="AJ28" i="4"/>
  <c r="AK28" i="4"/>
  <c r="AL28" i="4"/>
  <c r="AM28" i="4"/>
  <c r="A29" i="4"/>
  <c r="B29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AG29" i="4"/>
  <c r="AH29" i="4"/>
  <c r="AI29" i="4"/>
  <c r="AJ29" i="4"/>
  <c r="AK29" i="4"/>
  <c r="AL29" i="4"/>
  <c r="AM29" i="4"/>
  <c r="A30" i="4"/>
  <c r="B30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AG30" i="4"/>
  <c r="AH30" i="4"/>
  <c r="AI30" i="4"/>
  <c r="AJ30" i="4"/>
  <c r="AK30" i="4"/>
  <c r="AL30" i="4"/>
  <c r="AM30" i="4"/>
  <c r="A31" i="4"/>
  <c r="B31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AG31" i="4"/>
  <c r="AH31" i="4"/>
  <c r="AI31" i="4"/>
  <c r="AJ31" i="4"/>
  <c r="AK31" i="4"/>
  <c r="AL31" i="4"/>
  <c r="AM31" i="4"/>
  <c r="AM2" i="4"/>
  <c r="AL2" i="4"/>
  <c r="AJ2" i="4"/>
  <c r="AK2" i="4"/>
  <c r="AI2" i="4"/>
  <c r="AH2" i="4"/>
  <c r="AF2" i="4"/>
  <c r="AE2" i="4"/>
  <c r="AC2" i="4"/>
  <c r="AB2" i="4"/>
  <c r="Z2" i="4"/>
  <c r="Y2" i="4"/>
  <c r="W2" i="4"/>
  <c r="V2" i="4"/>
  <c r="T2" i="4"/>
  <c r="S2" i="4"/>
  <c r="Q2" i="4"/>
  <c r="O2" i="4"/>
  <c r="N2" i="4"/>
  <c r="L2" i="4"/>
  <c r="K2" i="4"/>
  <c r="AG2" i="4"/>
  <c r="AD2" i="4"/>
  <c r="AA2" i="4"/>
  <c r="X2" i="4"/>
  <c r="U2" i="4"/>
  <c r="R2" i="4"/>
  <c r="P2" i="4"/>
  <c r="M2" i="4"/>
  <c r="J2" i="4"/>
  <c r="I2" i="4"/>
  <c r="H2" i="4"/>
  <c r="G2" i="4"/>
  <c r="A3" i="10"/>
  <c r="B3" i="10"/>
  <c r="C3" i="10"/>
  <c r="D3" i="10"/>
  <c r="F3" i="10"/>
  <c r="G3" i="10"/>
  <c r="H3" i="10"/>
  <c r="I3" i="10"/>
  <c r="J3" i="10"/>
  <c r="K3" i="10"/>
  <c r="L3" i="10"/>
  <c r="M3" i="10"/>
  <c r="N3" i="10"/>
  <c r="O3" i="10"/>
  <c r="P3" i="10"/>
  <c r="Q3" i="10"/>
  <c r="R3" i="10"/>
  <c r="T3" i="10"/>
  <c r="U3" i="10"/>
  <c r="V3" i="10"/>
  <c r="W3" i="10"/>
  <c r="X3" i="10"/>
  <c r="Y3" i="10"/>
  <c r="A4" i="10"/>
  <c r="B4" i="10"/>
  <c r="C4" i="10"/>
  <c r="D4" i="10"/>
  <c r="F4" i="10"/>
  <c r="G4" i="10"/>
  <c r="H4" i="10"/>
  <c r="I4" i="10"/>
  <c r="J4" i="10"/>
  <c r="K4" i="10"/>
  <c r="L4" i="10"/>
  <c r="M4" i="10"/>
  <c r="N4" i="10"/>
  <c r="O4" i="10"/>
  <c r="P4" i="10"/>
  <c r="Q4" i="10"/>
  <c r="R4" i="10"/>
  <c r="T4" i="10"/>
  <c r="U4" i="10"/>
  <c r="V4" i="10"/>
  <c r="W4" i="10"/>
  <c r="X4" i="10"/>
  <c r="Y4" i="10"/>
  <c r="A5" i="10"/>
  <c r="B5" i="10"/>
  <c r="C5" i="10"/>
  <c r="D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T5" i="10"/>
  <c r="U5" i="10"/>
  <c r="V5" i="10"/>
  <c r="W5" i="10"/>
  <c r="X5" i="10"/>
  <c r="Y5" i="10"/>
  <c r="A6" i="10"/>
  <c r="B6" i="10"/>
  <c r="C6" i="10"/>
  <c r="D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T6" i="10"/>
  <c r="U6" i="10"/>
  <c r="V6" i="10"/>
  <c r="W6" i="10"/>
  <c r="X6" i="10"/>
  <c r="Y6" i="10"/>
  <c r="A7" i="10"/>
  <c r="B7" i="10"/>
  <c r="C7" i="10"/>
  <c r="D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T7" i="10"/>
  <c r="U7" i="10"/>
  <c r="V7" i="10"/>
  <c r="W7" i="10"/>
  <c r="X7" i="10"/>
  <c r="Y7" i="10"/>
  <c r="A8" i="10"/>
  <c r="B8" i="10"/>
  <c r="C8" i="10"/>
  <c r="D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T8" i="10"/>
  <c r="U8" i="10"/>
  <c r="V8" i="10"/>
  <c r="W8" i="10"/>
  <c r="X8" i="10"/>
  <c r="Y8" i="10"/>
  <c r="A9" i="10"/>
  <c r="B9" i="10"/>
  <c r="C9" i="10"/>
  <c r="D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T9" i="10"/>
  <c r="U9" i="10"/>
  <c r="V9" i="10"/>
  <c r="W9" i="10"/>
  <c r="X9" i="10"/>
  <c r="Y9" i="10"/>
  <c r="A10" i="10"/>
  <c r="B10" i="10"/>
  <c r="C10" i="10"/>
  <c r="D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T10" i="10"/>
  <c r="U10" i="10"/>
  <c r="V10" i="10"/>
  <c r="W10" i="10"/>
  <c r="X10" i="10"/>
  <c r="Y10" i="10"/>
  <c r="A11" i="10"/>
  <c r="B11" i="10"/>
  <c r="C11" i="10"/>
  <c r="D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T11" i="10"/>
  <c r="U11" i="10"/>
  <c r="V11" i="10"/>
  <c r="W11" i="10"/>
  <c r="X11" i="10"/>
  <c r="Y11" i="10"/>
  <c r="A12" i="10"/>
  <c r="B12" i="10"/>
  <c r="C12" i="10"/>
  <c r="D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T12" i="10"/>
  <c r="U12" i="10"/>
  <c r="V12" i="10"/>
  <c r="W12" i="10"/>
  <c r="X12" i="10"/>
  <c r="Y12" i="10"/>
  <c r="A13" i="10"/>
  <c r="B13" i="10"/>
  <c r="C13" i="10"/>
  <c r="D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T13" i="10"/>
  <c r="U13" i="10"/>
  <c r="V13" i="10"/>
  <c r="W13" i="10"/>
  <c r="X13" i="10"/>
  <c r="Y13" i="10"/>
  <c r="A14" i="10"/>
  <c r="B14" i="10"/>
  <c r="C14" i="10"/>
  <c r="D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A15" i="10"/>
  <c r="B15" i="10"/>
  <c r="C15" i="10"/>
  <c r="D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A16" i="10"/>
  <c r="B16" i="10"/>
  <c r="C16" i="10"/>
  <c r="D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A17" i="10"/>
  <c r="B17" i="10"/>
  <c r="C17" i="10"/>
  <c r="D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A18" i="10"/>
  <c r="B18" i="10"/>
  <c r="C18" i="10"/>
  <c r="D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A19" i="10"/>
  <c r="B19" i="10"/>
  <c r="C19" i="10"/>
  <c r="D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A20" i="10"/>
  <c r="B20" i="10"/>
  <c r="C20" i="10"/>
  <c r="D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A21" i="10"/>
  <c r="B21" i="10"/>
  <c r="C21" i="10"/>
  <c r="D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A22" i="10"/>
  <c r="B22" i="10"/>
  <c r="C22" i="10"/>
  <c r="D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A23" i="10"/>
  <c r="B23" i="10"/>
  <c r="C23" i="10"/>
  <c r="D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A24" i="10"/>
  <c r="B24" i="10"/>
  <c r="C24" i="10"/>
  <c r="D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A25" i="10"/>
  <c r="B25" i="10"/>
  <c r="C25" i="10"/>
  <c r="D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A26" i="10"/>
  <c r="B26" i="10"/>
  <c r="C26" i="10"/>
  <c r="D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A27" i="10"/>
  <c r="B27" i="10"/>
  <c r="C27" i="10"/>
  <c r="D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A28" i="10"/>
  <c r="B28" i="10"/>
  <c r="C28" i="10"/>
  <c r="D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A29" i="10"/>
  <c r="B29" i="10"/>
  <c r="C29" i="10"/>
  <c r="D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A30" i="10"/>
  <c r="B30" i="10"/>
  <c r="C30" i="10"/>
  <c r="D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Y2" i="10"/>
  <c r="X2" i="10"/>
  <c r="W2" i="10"/>
  <c r="V2" i="10"/>
  <c r="U2" i="10"/>
  <c r="T2" i="10"/>
  <c r="R2" i="10"/>
  <c r="Q2" i="10"/>
  <c r="P2" i="10"/>
  <c r="O2" i="10"/>
  <c r="N2" i="10"/>
  <c r="M2" i="10"/>
  <c r="L2" i="10"/>
  <c r="K2" i="10"/>
  <c r="J2" i="10"/>
  <c r="I2" i="10"/>
  <c r="H2" i="10"/>
  <c r="G2" i="10"/>
  <c r="F2" i="10"/>
  <c r="D2" i="10"/>
  <c r="C2" i="10"/>
  <c r="B2" i="10"/>
  <c r="A2" i="10"/>
  <c r="A3" i="8"/>
  <c r="B3" i="8"/>
  <c r="C3" i="8"/>
  <c r="D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K3" i="8"/>
  <c r="AL3" i="8"/>
  <c r="AM3" i="8"/>
  <c r="AN3" i="8"/>
  <c r="AO3" i="8"/>
  <c r="AP3" i="8"/>
  <c r="AQ3" i="8"/>
  <c r="AR3" i="8"/>
  <c r="AS3" i="8"/>
  <c r="AT3" i="8"/>
  <c r="AU3" i="8"/>
  <c r="AV3" i="8"/>
  <c r="AW3" i="8"/>
  <c r="AX3" i="8"/>
  <c r="AY3" i="8"/>
  <c r="A4" i="8"/>
  <c r="B4" i="8"/>
  <c r="C4" i="8"/>
  <c r="D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K4" i="8"/>
  <c r="AL4" i="8"/>
  <c r="AM4" i="8"/>
  <c r="AN4" i="8"/>
  <c r="AO4" i="8"/>
  <c r="AP4" i="8"/>
  <c r="AQ4" i="8"/>
  <c r="AR4" i="8"/>
  <c r="AS4" i="8"/>
  <c r="AT4" i="8"/>
  <c r="AU4" i="8"/>
  <c r="AV4" i="8"/>
  <c r="AW4" i="8"/>
  <c r="AX4" i="8"/>
  <c r="AY4" i="8"/>
  <c r="A5" i="8"/>
  <c r="B5" i="8"/>
  <c r="C5" i="8"/>
  <c r="D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K5" i="8"/>
  <c r="AL5" i="8"/>
  <c r="AM5" i="8"/>
  <c r="AN5" i="8"/>
  <c r="AO5" i="8"/>
  <c r="AP5" i="8"/>
  <c r="AQ5" i="8"/>
  <c r="AR5" i="8"/>
  <c r="AS5" i="8"/>
  <c r="AT5" i="8"/>
  <c r="AU5" i="8"/>
  <c r="AV5" i="8"/>
  <c r="AW5" i="8"/>
  <c r="AX5" i="8"/>
  <c r="AY5" i="8"/>
  <c r="A6" i="8"/>
  <c r="B6" i="8"/>
  <c r="C6" i="8"/>
  <c r="D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K6" i="8"/>
  <c r="AL6" i="8"/>
  <c r="AM6" i="8"/>
  <c r="AN6" i="8"/>
  <c r="AO6" i="8"/>
  <c r="AP6" i="8"/>
  <c r="AQ6" i="8"/>
  <c r="AR6" i="8"/>
  <c r="AS6" i="8"/>
  <c r="AT6" i="8"/>
  <c r="AU6" i="8"/>
  <c r="AV6" i="8"/>
  <c r="AW6" i="8"/>
  <c r="AX6" i="8"/>
  <c r="AY6" i="8"/>
  <c r="A7" i="8"/>
  <c r="B7" i="8"/>
  <c r="C7" i="8"/>
  <c r="D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K7" i="8"/>
  <c r="AL7" i="8"/>
  <c r="AM7" i="8"/>
  <c r="AN7" i="8"/>
  <c r="AO7" i="8"/>
  <c r="AP7" i="8"/>
  <c r="AQ7" i="8"/>
  <c r="AR7" i="8"/>
  <c r="AS7" i="8"/>
  <c r="AT7" i="8"/>
  <c r="AU7" i="8"/>
  <c r="AV7" i="8"/>
  <c r="AW7" i="8"/>
  <c r="AX7" i="8"/>
  <c r="AY7" i="8"/>
  <c r="A8" i="8"/>
  <c r="B8" i="8"/>
  <c r="C8" i="8"/>
  <c r="D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K8" i="8"/>
  <c r="AL8" i="8"/>
  <c r="AM8" i="8"/>
  <c r="AN8" i="8"/>
  <c r="AO8" i="8"/>
  <c r="AP8" i="8"/>
  <c r="AQ8" i="8"/>
  <c r="AR8" i="8"/>
  <c r="AS8" i="8"/>
  <c r="AT8" i="8"/>
  <c r="AU8" i="8"/>
  <c r="AV8" i="8"/>
  <c r="AW8" i="8"/>
  <c r="AX8" i="8"/>
  <c r="AY8" i="8"/>
  <c r="A9" i="8"/>
  <c r="B9" i="8"/>
  <c r="C9" i="8"/>
  <c r="D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K9" i="8"/>
  <c r="AL9" i="8"/>
  <c r="AM9" i="8"/>
  <c r="AN9" i="8"/>
  <c r="AO9" i="8"/>
  <c r="AP9" i="8"/>
  <c r="AQ9" i="8"/>
  <c r="AR9" i="8"/>
  <c r="AS9" i="8"/>
  <c r="AT9" i="8"/>
  <c r="AU9" i="8"/>
  <c r="AV9" i="8"/>
  <c r="AW9" i="8"/>
  <c r="AX9" i="8"/>
  <c r="AY9" i="8"/>
  <c r="A10" i="8"/>
  <c r="B10" i="8"/>
  <c r="C10" i="8"/>
  <c r="D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K10" i="8"/>
  <c r="AL10" i="8"/>
  <c r="AM10" i="8"/>
  <c r="AN10" i="8"/>
  <c r="AO10" i="8"/>
  <c r="AP10" i="8"/>
  <c r="AQ10" i="8"/>
  <c r="AR10" i="8"/>
  <c r="AS10" i="8"/>
  <c r="AT10" i="8"/>
  <c r="AU10" i="8"/>
  <c r="AV10" i="8"/>
  <c r="AW10" i="8"/>
  <c r="AX10" i="8"/>
  <c r="AY10" i="8"/>
  <c r="A11" i="8"/>
  <c r="B11" i="8"/>
  <c r="C11" i="8"/>
  <c r="D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K11" i="8"/>
  <c r="AL11" i="8"/>
  <c r="AM11" i="8"/>
  <c r="AN11" i="8"/>
  <c r="AO11" i="8"/>
  <c r="AP11" i="8"/>
  <c r="AQ11" i="8"/>
  <c r="AR11" i="8"/>
  <c r="AS11" i="8"/>
  <c r="AT11" i="8"/>
  <c r="AU11" i="8"/>
  <c r="AV11" i="8"/>
  <c r="AW11" i="8"/>
  <c r="AX11" i="8"/>
  <c r="AY11" i="8"/>
  <c r="A12" i="8"/>
  <c r="B12" i="8"/>
  <c r="C12" i="8"/>
  <c r="D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K12" i="8"/>
  <c r="AL12" i="8"/>
  <c r="AM12" i="8"/>
  <c r="AN12" i="8"/>
  <c r="AO12" i="8"/>
  <c r="AP12" i="8"/>
  <c r="AQ12" i="8"/>
  <c r="AR12" i="8"/>
  <c r="AS12" i="8"/>
  <c r="AT12" i="8"/>
  <c r="AU12" i="8"/>
  <c r="AV12" i="8"/>
  <c r="AW12" i="8"/>
  <c r="AX12" i="8"/>
  <c r="AY12" i="8"/>
  <c r="A13" i="8"/>
  <c r="B13" i="8"/>
  <c r="C13" i="8"/>
  <c r="D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K13" i="8"/>
  <c r="AL13" i="8"/>
  <c r="AM13" i="8"/>
  <c r="AN13" i="8"/>
  <c r="AO13" i="8"/>
  <c r="AP13" i="8"/>
  <c r="AQ13" i="8"/>
  <c r="AR13" i="8"/>
  <c r="AS13" i="8"/>
  <c r="AT13" i="8"/>
  <c r="AU13" i="8"/>
  <c r="AV13" i="8"/>
  <c r="AW13" i="8"/>
  <c r="AX13" i="8"/>
  <c r="AY13" i="8"/>
  <c r="A14" i="8"/>
  <c r="B14" i="8"/>
  <c r="C14" i="8"/>
  <c r="D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K14" i="8"/>
  <c r="AL14" i="8"/>
  <c r="AM14" i="8"/>
  <c r="AN14" i="8"/>
  <c r="AO14" i="8"/>
  <c r="AP14" i="8"/>
  <c r="AQ14" i="8"/>
  <c r="AR14" i="8"/>
  <c r="AS14" i="8"/>
  <c r="AT14" i="8"/>
  <c r="AU14" i="8"/>
  <c r="AV14" i="8"/>
  <c r="AW14" i="8"/>
  <c r="AX14" i="8"/>
  <c r="AY14" i="8"/>
  <c r="A15" i="8"/>
  <c r="B15" i="8"/>
  <c r="C15" i="8"/>
  <c r="D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K15" i="8"/>
  <c r="AL15" i="8"/>
  <c r="AM15" i="8"/>
  <c r="AN15" i="8"/>
  <c r="AO15" i="8"/>
  <c r="AP15" i="8"/>
  <c r="AQ15" i="8"/>
  <c r="AR15" i="8"/>
  <c r="AS15" i="8"/>
  <c r="AT15" i="8"/>
  <c r="AU15" i="8"/>
  <c r="AV15" i="8"/>
  <c r="AW15" i="8"/>
  <c r="AX15" i="8"/>
  <c r="AY15" i="8"/>
  <c r="AZ15" i="8"/>
  <c r="A16" i="8"/>
  <c r="B16" i="8"/>
  <c r="C16" i="8"/>
  <c r="D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K16" i="8"/>
  <c r="AL16" i="8"/>
  <c r="AM16" i="8"/>
  <c r="AN16" i="8"/>
  <c r="AO16" i="8"/>
  <c r="AP16" i="8"/>
  <c r="AQ16" i="8"/>
  <c r="AR16" i="8"/>
  <c r="AS16" i="8"/>
  <c r="AT16" i="8"/>
  <c r="AU16" i="8"/>
  <c r="AV16" i="8"/>
  <c r="AW16" i="8"/>
  <c r="AX16" i="8"/>
  <c r="AY16" i="8"/>
  <c r="AZ16" i="8"/>
  <c r="A17" i="8"/>
  <c r="B17" i="8"/>
  <c r="C17" i="8"/>
  <c r="D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K17" i="8"/>
  <c r="AL17" i="8"/>
  <c r="AM17" i="8"/>
  <c r="AN17" i="8"/>
  <c r="AO17" i="8"/>
  <c r="AP17" i="8"/>
  <c r="AQ17" i="8"/>
  <c r="AR17" i="8"/>
  <c r="AS17" i="8"/>
  <c r="AT17" i="8"/>
  <c r="AU17" i="8"/>
  <c r="AV17" i="8"/>
  <c r="AW17" i="8"/>
  <c r="AX17" i="8"/>
  <c r="AY17" i="8"/>
  <c r="AZ17" i="8"/>
  <c r="A18" i="8"/>
  <c r="B18" i="8"/>
  <c r="C18" i="8"/>
  <c r="D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K18" i="8"/>
  <c r="AL18" i="8"/>
  <c r="AM18" i="8"/>
  <c r="AN18" i="8"/>
  <c r="AO18" i="8"/>
  <c r="AP18" i="8"/>
  <c r="AQ18" i="8"/>
  <c r="AR18" i="8"/>
  <c r="AS18" i="8"/>
  <c r="AT18" i="8"/>
  <c r="AU18" i="8"/>
  <c r="AV18" i="8"/>
  <c r="AW18" i="8"/>
  <c r="AX18" i="8"/>
  <c r="AY18" i="8"/>
  <c r="AZ18" i="8"/>
  <c r="A19" i="8"/>
  <c r="B19" i="8"/>
  <c r="C19" i="8"/>
  <c r="D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K19" i="8"/>
  <c r="AL19" i="8"/>
  <c r="AM19" i="8"/>
  <c r="AN19" i="8"/>
  <c r="AO19" i="8"/>
  <c r="AP19" i="8"/>
  <c r="AQ19" i="8"/>
  <c r="AR19" i="8"/>
  <c r="AS19" i="8"/>
  <c r="AT19" i="8"/>
  <c r="AU19" i="8"/>
  <c r="AV19" i="8"/>
  <c r="AW19" i="8"/>
  <c r="AX19" i="8"/>
  <c r="AY19" i="8"/>
  <c r="AZ19" i="8"/>
  <c r="A20" i="8"/>
  <c r="B20" i="8"/>
  <c r="C20" i="8"/>
  <c r="D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K20" i="8"/>
  <c r="AL20" i="8"/>
  <c r="AM20" i="8"/>
  <c r="AN20" i="8"/>
  <c r="AO20" i="8"/>
  <c r="AP20" i="8"/>
  <c r="AQ20" i="8"/>
  <c r="AR20" i="8"/>
  <c r="AS20" i="8"/>
  <c r="AT20" i="8"/>
  <c r="AU20" i="8"/>
  <c r="AV20" i="8"/>
  <c r="AW20" i="8"/>
  <c r="AX20" i="8"/>
  <c r="AY20" i="8"/>
  <c r="AZ20" i="8"/>
  <c r="A21" i="8"/>
  <c r="B21" i="8"/>
  <c r="C21" i="8"/>
  <c r="D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K21" i="8"/>
  <c r="AL21" i="8"/>
  <c r="AM21" i="8"/>
  <c r="AN21" i="8"/>
  <c r="AO21" i="8"/>
  <c r="AP21" i="8"/>
  <c r="AQ21" i="8"/>
  <c r="AR21" i="8"/>
  <c r="AS21" i="8"/>
  <c r="AT21" i="8"/>
  <c r="AU21" i="8"/>
  <c r="AV21" i="8"/>
  <c r="AW21" i="8"/>
  <c r="AX21" i="8"/>
  <c r="AY21" i="8"/>
  <c r="AZ21" i="8"/>
  <c r="A22" i="8"/>
  <c r="B22" i="8"/>
  <c r="C22" i="8"/>
  <c r="D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K22" i="8"/>
  <c r="AL22" i="8"/>
  <c r="AM22" i="8"/>
  <c r="AN22" i="8"/>
  <c r="AO22" i="8"/>
  <c r="AP22" i="8"/>
  <c r="AQ22" i="8"/>
  <c r="AR22" i="8"/>
  <c r="AS22" i="8"/>
  <c r="AT22" i="8"/>
  <c r="AU22" i="8"/>
  <c r="AV22" i="8"/>
  <c r="AW22" i="8"/>
  <c r="AX22" i="8"/>
  <c r="AY22" i="8"/>
  <c r="AZ22" i="8"/>
  <c r="A23" i="8"/>
  <c r="B23" i="8"/>
  <c r="C23" i="8"/>
  <c r="D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K23" i="8"/>
  <c r="AL23" i="8"/>
  <c r="AM23" i="8"/>
  <c r="AN23" i="8"/>
  <c r="AO23" i="8"/>
  <c r="AP23" i="8"/>
  <c r="AQ23" i="8"/>
  <c r="AR23" i="8"/>
  <c r="AS23" i="8"/>
  <c r="AT23" i="8"/>
  <c r="AU23" i="8"/>
  <c r="AV23" i="8"/>
  <c r="AW23" i="8"/>
  <c r="AX23" i="8"/>
  <c r="AY23" i="8"/>
  <c r="AZ23" i="8"/>
  <c r="A24" i="8"/>
  <c r="B24" i="8"/>
  <c r="C24" i="8"/>
  <c r="D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K24" i="8"/>
  <c r="AL24" i="8"/>
  <c r="AM24" i="8"/>
  <c r="AN24" i="8"/>
  <c r="AO24" i="8"/>
  <c r="AP24" i="8"/>
  <c r="AQ24" i="8"/>
  <c r="AR24" i="8"/>
  <c r="AS24" i="8"/>
  <c r="AT24" i="8"/>
  <c r="AU24" i="8"/>
  <c r="AV24" i="8"/>
  <c r="AW24" i="8"/>
  <c r="AX24" i="8"/>
  <c r="AY24" i="8"/>
  <c r="AZ24" i="8"/>
  <c r="A25" i="8"/>
  <c r="B25" i="8"/>
  <c r="C25" i="8"/>
  <c r="D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K25" i="8"/>
  <c r="AL25" i="8"/>
  <c r="AM25" i="8"/>
  <c r="AN25" i="8"/>
  <c r="AO25" i="8"/>
  <c r="AP25" i="8"/>
  <c r="AQ25" i="8"/>
  <c r="AR25" i="8"/>
  <c r="AS25" i="8"/>
  <c r="AT25" i="8"/>
  <c r="AU25" i="8"/>
  <c r="AV25" i="8"/>
  <c r="AW25" i="8"/>
  <c r="AX25" i="8"/>
  <c r="AY25" i="8"/>
  <c r="AZ25" i="8"/>
  <c r="A26" i="8"/>
  <c r="B26" i="8"/>
  <c r="C26" i="8"/>
  <c r="D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K26" i="8"/>
  <c r="AL26" i="8"/>
  <c r="AM26" i="8"/>
  <c r="AN26" i="8"/>
  <c r="AO26" i="8"/>
  <c r="AP26" i="8"/>
  <c r="AQ26" i="8"/>
  <c r="AR26" i="8"/>
  <c r="AS26" i="8"/>
  <c r="AT26" i="8"/>
  <c r="AU26" i="8"/>
  <c r="AV26" i="8"/>
  <c r="AW26" i="8"/>
  <c r="AX26" i="8"/>
  <c r="AY26" i="8"/>
  <c r="AZ26" i="8"/>
  <c r="A27" i="8"/>
  <c r="B27" i="8"/>
  <c r="C27" i="8"/>
  <c r="D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K27" i="8"/>
  <c r="AL27" i="8"/>
  <c r="AM27" i="8"/>
  <c r="AN27" i="8"/>
  <c r="AO27" i="8"/>
  <c r="AP27" i="8"/>
  <c r="AQ27" i="8"/>
  <c r="AR27" i="8"/>
  <c r="AS27" i="8"/>
  <c r="AT27" i="8"/>
  <c r="AU27" i="8"/>
  <c r="AV27" i="8"/>
  <c r="AW27" i="8"/>
  <c r="AX27" i="8"/>
  <c r="AY27" i="8"/>
  <c r="AZ27" i="8"/>
  <c r="A28" i="8"/>
  <c r="B28" i="8"/>
  <c r="C28" i="8"/>
  <c r="D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K28" i="8"/>
  <c r="AL28" i="8"/>
  <c r="AM28" i="8"/>
  <c r="AN28" i="8"/>
  <c r="AO28" i="8"/>
  <c r="AP28" i="8"/>
  <c r="AQ28" i="8"/>
  <c r="AR28" i="8"/>
  <c r="AS28" i="8"/>
  <c r="AT28" i="8"/>
  <c r="AU28" i="8"/>
  <c r="AV28" i="8"/>
  <c r="AW28" i="8"/>
  <c r="AX28" i="8"/>
  <c r="AY28" i="8"/>
  <c r="AZ28" i="8"/>
  <c r="A29" i="8"/>
  <c r="B29" i="8"/>
  <c r="C29" i="8"/>
  <c r="D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K29" i="8"/>
  <c r="AL29" i="8"/>
  <c r="AM29" i="8"/>
  <c r="AN29" i="8"/>
  <c r="AO29" i="8"/>
  <c r="AP29" i="8"/>
  <c r="AQ29" i="8"/>
  <c r="AR29" i="8"/>
  <c r="AS29" i="8"/>
  <c r="AT29" i="8"/>
  <c r="AU29" i="8"/>
  <c r="AV29" i="8"/>
  <c r="AW29" i="8"/>
  <c r="AX29" i="8"/>
  <c r="AY29" i="8"/>
  <c r="AZ29" i="8"/>
  <c r="A30" i="8"/>
  <c r="B30" i="8"/>
  <c r="C30" i="8"/>
  <c r="D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K30" i="8"/>
  <c r="AL30" i="8"/>
  <c r="AM30" i="8"/>
  <c r="AN30" i="8"/>
  <c r="AO30" i="8"/>
  <c r="AP30" i="8"/>
  <c r="AQ30" i="8"/>
  <c r="AR30" i="8"/>
  <c r="AS30" i="8"/>
  <c r="AT30" i="8"/>
  <c r="AU30" i="8"/>
  <c r="AV30" i="8"/>
  <c r="AW30" i="8"/>
  <c r="AX30" i="8"/>
  <c r="AY30" i="8"/>
  <c r="AZ30" i="8"/>
  <c r="AY2" i="8"/>
  <c r="AX2" i="8"/>
  <c r="AW2" i="8"/>
  <c r="AV2" i="8"/>
  <c r="AU2" i="8"/>
  <c r="AT2" i="8"/>
  <c r="AS2" i="8"/>
  <c r="AR2" i="8"/>
  <c r="AQ2" i="8"/>
  <c r="AP2" i="8"/>
  <c r="AO2" i="8"/>
  <c r="AN2" i="8"/>
  <c r="AM2" i="8"/>
  <c r="AL2" i="8"/>
  <c r="AK2" i="8"/>
  <c r="AJ2" i="8"/>
  <c r="AH2" i="8"/>
  <c r="AG2" i="8"/>
  <c r="AF2" i="8"/>
  <c r="AE2" i="8"/>
  <c r="AD2" i="8"/>
  <c r="AC2" i="8"/>
  <c r="AA2" i="8"/>
  <c r="Z2" i="8"/>
  <c r="Y2" i="8"/>
  <c r="X2" i="8"/>
  <c r="W2" i="8"/>
  <c r="V2" i="8"/>
  <c r="U2" i="8"/>
  <c r="S2" i="8"/>
  <c r="R2" i="8"/>
  <c r="Q2" i="8"/>
  <c r="P2" i="8"/>
  <c r="O2" i="8"/>
  <c r="N2" i="8"/>
  <c r="M2" i="8"/>
  <c r="L2" i="8"/>
  <c r="K2" i="8"/>
  <c r="J2" i="8"/>
  <c r="H2" i="8"/>
  <c r="G2" i="8"/>
  <c r="F2" i="8"/>
  <c r="D2" i="8"/>
  <c r="C2" i="8"/>
  <c r="B2" i="8"/>
  <c r="A2" i="8"/>
  <c r="A3" i="9"/>
  <c r="B3" i="9"/>
  <c r="C3" i="9"/>
  <c r="D3" i="9"/>
  <c r="F3" i="9"/>
  <c r="A4" i="9"/>
  <c r="B4" i="9"/>
  <c r="C4" i="9"/>
  <c r="D4" i="9"/>
  <c r="F4" i="9"/>
  <c r="A5" i="9"/>
  <c r="B5" i="9"/>
  <c r="C5" i="9"/>
  <c r="D5" i="9"/>
  <c r="F5" i="9"/>
  <c r="A6" i="9"/>
  <c r="B6" i="9"/>
  <c r="C6" i="9"/>
  <c r="D6" i="9"/>
  <c r="F6" i="9"/>
  <c r="A7" i="9"/>
  <c r="B7" i="9"/>
  <c r="C7" i="9"/>
  <c r="D7" i="9"/>
  <c r="F7" i="9"/>
  <c r="A8" i="9"/>
  <c r="B8" i="9"/>
  <c r="C8" i="9"/>
  <c r="D8" i="9"/>
  <c r="F8" i="9"/>
  <c r="A9" i="9"/>
  <c r="B9" i="9"/>
  <c r="C9" i="9"/>
  <c r="D9" i="9"/>
  <c r="F9" i="9"/>
  <c r="A10" i="9"/>
  <c r="B10" i="9"/>
  <c r="C10" i="9"/>
  <c r="D10" i="9"/>
  <c r="F10" i="9"/>
  <c r="A11" i="9"/>
  <c r="B11" i="9"/>
  <c r="C11" i="9"/>
  <c r="D11" i="9"/>
  <c r="F11" i="9"/>
  <c r="A12" i="9"/>
  <c r="B12" i="9"/>
  <c r="C12" i="9"/>
  <c r="D12" i="9"/>
  <c r="F12" i="9"/>
  <c r="A13" i="9"/>
  <c r="B13" i="9"/>
  <c r="C13" i="9"/>
  <c r="D13" i="9"/>
  <c r="F13" i="9"/>
  <c r="A14" i="9"/>
  <c r="B14" i="9"/>
  <c r="C14" i="9"/>
  <c r="D14" i="9"/>
  <c r="E14" i="9"/>
  <c r="F14" i="9"/>
  <c r="A15" i="9"/>
  <c r="B15" i="9"/>
  <c r="C15" i="9"/>
  <c r="D15" i="9"/>
  <c r="E15" i="9"/>
  <c r="F15" i="9"/>
  <c r="A16" i="9"/>
  <c r="B16" i="9"/>
  <c r="C16" i="9"/>
  <c r="D16" i="9"/>
  <c r="E16" i="9"/>
  <c r="F16" i="9"/>
  <c r="A17" i="9"/>
  <c r="B17" i="9"/>
  <c r="C17" i="9"/>
  <c r="D17" i="9"/>
  <c r="E17" i="9"/>
  <c r="F17" i="9"/>
  <c r="A18" i="9"/>
  <c r="B18" i="9"/>
  <c r="C18" i="9"/>
  <c r="D18" i="9"/>
  <c r="E18" i="9"/>
  <c r="F18" i="9"/>
  <c r="A19" i="9"/>
  <c r="B19" i="9"/>
  <c r="C19" i="9"/>
  <c r="D19" i="9"/>
  <c r="E19" i="9"/>
  <c r="F19" i="9"/>
  <c r="A20" i="9"/>
  <c r="B20" i="9"/>
  <c r="C20" i="9"/>
  <c r="D20" i="9"/>
  <c r="E20" i="9"/>
  <c r="F20" i="9"/>
  <c r="A21" i="9"/>
  <c r="B21" i="9"/>
  <c r="C21" i="9"/>
  <c r="D21" i="9"/>
  <c r="E21" i="9"/>
  <c r="F21" i="9"/>
  <c r="A22" i="9"/>
  <c r="B22" i="9"/>
  <c r="C22" i="9"/>
  <c r="D22" i="9"/>
  <c r="E22" i="9"/>
  <c r="F22" i="9"/>
  <c r="A23" i="9"/>
  <c r="B23" i="9"/>
  <c r="C23" i="9"/>
  <c r="D23" i="9"/>
  <c r="E23" i="9"/>
  <c r="F23" i="9"/>
  <c r="A24" i="9"/>
  <c r="B24" i="9"/>
  <c r="C24" i="9"/>
  <c r="D24" i="9"/>
  <c r="E24" i="9"/>
  <c r="F24" i="9"/>
  <c r="A25" i="9"/>
  <c r="B25" i="9"/>
  <c r="C25" i="9"/>
  <c r="D25" i="9"/>
  <c r="E25" i="9"/>
  <c r="F25" i="9"/>
  <c r="A26" i="9"/>
  <c r="B26" i="9"/>
  <c r="C26" i="9"/>
  <c r="D26" i="9"/>
  <c r="E26" i="9"/>
  <c r="F26" i="9"/>
  <c r="A27" i="9"/>
  <c r="B27" i="9"/>
  <c r="C27" i="9"/>
  <c r="D27" i="9"/>
  <c r="E27" i="9"/>
  <c r="F27" i="9"/>
  <c r="A28" i="9"/>
  <c r="B28" i="9"/>
  <c r="C28" i="9"/>
  <c r="D28" i="9"/>
  <c r="E28" i="9"/>
  <c r="F28" i="9"/>
  <c r="A29" i="9"/>
  <c r="B29" i="9"/>
  <c r="C29" i="9"/>
  <c r="D29" i="9"/>
  <c r="E29" i="9"/>
  <c r="F29" i="9"/>
  <c r="A30" i="9"/>
  <c r="B30" i="9"/>
  <c r="C30" i="9"/>
  <c r="D30" i="9"/>
  <c r="E30" i="9"/>
  <c r="F30" i="9"/>
  <c r="F2" i="9"/>
  <c r="D2" i="9"/>
  <c r="C2" i="9"/>
  <c r="B2" i="9"/>
  <c r="A2" i="9"/>
  <c r="G3" i="9"/>
  <c r="H3" i="9"/>
  <c r="I3" i="9"/>
  <c r="J3" i="9"/>
  <c r="K3" i="9"/>
  <c r="L3" i="9" s="1"/>
  <c r="M3" i="9"/>
  <c r="O3" i="9"/>
  <c r="Q3" i="9"/>
  <c r="S3" i="9"/>
  <c r="U3" i="9"/>
  <c r="W3" i="9"/>
  <c r="Y3" i="9"/>
  <c r="AA3" i="9"/>
  <c r="AB3" i="9"/>
  <c r="AC3" i="9"/>
  <c r="AD3" i="9"/>
  <c r="AE3" i="9"/>
  <c r="AF3" i="9"/>
  <c r="AG3" i="9"/>
  <c r="AH3" i="9"/>
  <c r="AI3" i="9"/>
  <c r="AJ3" i="9"/>
  <c r="AL3" i="9"/>
  <c r="AM3" i="9"/>
  <c r="AN3" i="9"/>
  <c r="AO3" i="9"/>
  <c r="AP3" i="9"/>
  <c r="AQ3" i="9"/>
  <c r="AR3" i="9"/>
  <c r="AS3" i="9"/>
  <c r="AT3" i="9"/>
  <c r="AU3" i="9"/>
  <c r="AV3" i="9"/>
  <c r="AW3" i="9"/>
  <c r="AX3" i="9"/>
  <c r="AY3" i="9"/>
  <c r="AZ3" i="9"/>
  <c r="BA3" i="9"/>
  <c r="BB3" i="9"/>
  <c r="G4" i="9"/>
  <c r="H4" i="9"/>
  <c r="I4" i="9"/>
  <c r="J4" i="9"/>
  <c r="K4" i="9"/>
  <c r="N4" i="9" s="1"/>
  <c r="M4" i="9"/>
  <c r="O4" i="9"/>
  <c r="Q4" i="9"/>
  <c r="S4" i="9"/>
  <c r="U4" i="9"/>
  <c r="W4" i="9"/>
  <c r="Y4" i="9"/>
  <c r="AA4" i="9"/>
  <c r="AB4" i="9"/>
  <c r="AC4" i="9"/>
  <c r="AD4" i="9"/>
  <c r="AE4" i="9"/>
  <c r="AF4" i="9"/>
  <c r="AG4" i="9"/>
  <c r="AH4" i="9"/>
  <c r="AI4" i="9"/>
  <c r="AJ4" i="9"/>
  <c r="AL4" i="9"/>
  <c r="AM4" i="9"/>
  <c r="AN4" i="9"/>
  <c r="AO4" i="9"/>
  <c r="AP4" i="9"/>
  <c r="AQ4" i="9"/>
  <c r="AR4" i="9"/>
  <c r="AS4" i="9"/>
  <c r="AT4" i="9"/>
  <c r="AU4" i="9"/>
  <c r="AV4" i="9"/>
  <c r="AW4" i="9"/>
  <c r="AX4" i="9"/>
  <c r="AY4" i="9"/>
  <c r="AZ4" i="9"/>
  <c r="BA4" i="9"/>
  <c r="BB4" i="9"/>
  <c r="G5" i="9"/>
  <c r="H5" i="9"/>
  <c r="I5" i="9"/>
  <c r="J5" i="9"/>
  <c r="K5" i="9"/>
  <c r="L5" i="9" s="1"/>
  <c r="M5" i="9"/>
  <c r="O5" i="9"/>
  <c r="Q5" i="9"/>
  <c r="S5" i="9"/>
  <c r="U5" i="9"/>
  <c r="W5" i="9"/>
  <c r="Y5" i="9"/>
  <c r="AA5" i="9"/>
  <c r="AB5" i="9"/>
  <c r="AC5" i="9"/>
  <c r="AD5" i="9"/>
  <c r="AE5" i="9"/>
  <c r="AF5" i="9"/>
  <c r="AG5" i="9"/>
  <c r="AH5" i="9"/>
  <c r="AI5" i="9"/>
  <c r="AJ5" i="9"/>
  <c r="AL5" i="9"/>
  <c r="AM5" i="9"/>
  <c r="AN5" i="9"/>
  <c r="AO5" i="9"/>
  <c r="AP5" i="9"/>
  <c r="AQ5" i="9"/>
  <c r="AR5" i="9"/>
  <c r="AS5" i="9"/>
  <c r="AT5" i="9"/>
  <c r="AU5" i="9"/>
  <c r="AV5" i="9"/>
  <c r="AW5" i="9"/>
  <c r="AX5" i="9"/>
  <c r="AY5" i="9"/>
  <c r="AZ5" i="9"/>
  <c r="BA5" i="9"/>
  <c r="BB5" i="9"/>
  <c r="G6" i="9"/>
  <c r="H6" i="9"/>
  <c r="I6" i="9"/>
  <c r="J6" i="9"/>
  <c r="K6" i="9"/>
  <c r="L6" i="9" s="1"/>
  <c r="M6" i="9"/>
  <c r="O6" i="9"/>
  <c r="Q6" i="9"/>
  <c r="S6" i="9"/>
  <c r="U6" i="9"/>
  <c r="W6" i="9"/>
  <c r="Y6" i="9"/>
  <c r="AA6" i="9"/>
  <c r="AB6" i="9"/>
  <c r="AC6" i="9"/>
  <c r="AD6" i="9"/>
  <c r="AE6" i="9"/>
  <c r="AF6" i="9"/>
  <c r="AG6" i="9"/>
  <c r="AH6" i="9"/>
  <c r="AI6" i="9"/>
  <c r="AJ6" i="9"/>
  <c r="AL6" i="9"/>
  <c r="AM6" i="9"/>
  <c r="AN6" i="9"/>
  <c r="AO6" i="9"/>
  <c r="AP6" i="9"/>
  <c r="AQ6" i="9"/>
  <c r="AR6" i="9"/>
  <c r="AS6" i="9"/>
  <c r="AT6" i="9"/>
  <c r="AU6" i="9"/>
  <c r="AV6" i="9"/>
  <c r="AW6" i="9"/>
  <c r="AX6" i="9"/>
  <c r="AY6" i="9"/>
  <c r="AZ6" i="9"/>
  <c r="BA6" i="9"/>
  <c r="BB6" i="9"/>
  <c r="G7" i="9"/>
  <c r="H7" i="9"/>
  <c r="I7" i="9"/>
  <c r="J7" i="9"/>
  <c r="K7" i="9"/>
  <c r="L7" i="9" s="1"/>
  <c r="M7" i="9"/>
  <c r="O7" i="9"/>
  <c r="Q7" i="9"/>
  <c r="S7" i="9"/>
  <c r="U7" i="9"/>
  <c r="W7" i="9"/>
  <c r="Y7" i="9"/>
  <c r="AA7" i="9"/>
  <c r="AB7" i="9"/>
  <c r="AC7" i="9"/>
  <c r="AD7" i="9"/>
  <c r="AE7" i="9"/>
  <c r="AF7" i="9"/>
  <c r="AG7" i="9"/>
  <c r="AH7" i="9"/>
  <c r="AI7" i="9"/>
  <c r="AJ7" i="9"/>
  <c r="AL7" i="9"/>
  <c r="AM7" i="9"/>
  <c r="AN7" i="9"/>
  <c r="AO7" i="9"/>
  <c r="AP7" i="9"/>
  <c r="AQ7" i="9"/>
  <c r="AR7" i="9"/>
  <c r="AS7" i="9"/>
  <c r="AT7" i="9"/>
  <c r="AU7" i="9"/>
  <c r="AV7" i="9"/>
  <c r="AW7" i="9"/>
  <c r="AX7" i="9"/>
  <c r="AY7" i="9"/>
  <c r="AZ7" i="9"/>
  <c r="BA7" i="9"/>
  <c r="BB7" i="9"/>
  <c r="G8" i="9"/>
  <c r="H8" i="9"/>
  <c r="I8" i="9"/>
  <c r="J8" i="9"/>
  <c r="K8" i="9"/>
  <c r="N8" i="9" s="1"/>
  <c r="M8" i="9"/>
  <c r="O8" i="9"/>
  <c r="Q8" i="9"/>
  <c r="S8" i="9"/>
  <c r="U8" i="9"/>
  <c r="W8" i="9"/>
  <c r="Y8" i="9"/>
  <c r="AA8" i="9"/>
  <c r="AB8" i="9"/>
  <c r="AC8" i="9"/>
  <c r="AD8" i="9"/>
  <c r="AE8" i="9"/>
  <c r="AF8" i="9"/>
  <c r="AG8" i="9"/>
  <c r="AH8" i="9"/>
  <c r="AI8" i="9"/>
  <c r="AJ8" i="9"/>
  <c r="AL8" i="9"/>
  <c r="AM8" i="9"/>
  <c r="AN8" i="9"/>
  <c r="AO8" i="9"/>
  <c r="AP8" i="9"/>
  <c r="AQ8" i="9"/>
  <c r="AR8" i="9"/>
  <c r="AS8" i="9"/>
  <c r="AT8" i="9"/>
  <c r="AU8" i="9"/>
  <c r="AV8" i="9"/>
  <c r="AW8" i="9"/>
  <c r="AX8" i="9"/>
  <c r="AY8" i="9"/>
  <c r="AZ8" i="9"/>
  <c r="BA8" i="9"/>
  <c r="BB8" i="9"/>
  <c r="G9" i="9"/>
  <c r="H9" i="9"/>
  <c r="I9" i="9"/>
  <c r="J9" i="9"/>
  <c r="K9" i="9"/>
  <c r="N9" i="9" s="1"/>
  <c r="M9" i="9"/>
  <c r="O9" i="9"/>
  <c r="Q9" i="9"/>
  <c r="S9" i="9"/>
  <c r="U9" i="9"/>
  <c r="W9" i="9"/>
  <c r="Y9" i="9"/>
  <c r="AA9" i="9"/>
  <c r="AB9" i="9"/>
  <c r="AC9" i="9"/>
  <c r="AD9" i="9"/>
  <c r="AE9" i="9"/>
  <c r="AF9" i="9"/>
  <c r="AG9" i="9"/>
  <c r="AH9" i="9"/>
  <c r="AI9" i="9"/>
  <c r="AJ9" i="9"/>
  <c r="AL9" i="9"/>
  <c r="AM9" i="9"/>
  <c r="AN9" i="9"/>
  <c r="AO9" i="9"/>
  <c r="AP9" i="9"/>
  <c r="AQ9" i="9"/>
  <c r="AR9" i="9"/>
  <c r="AS9" i="9"/>
  <c r="AT9" i="9"/>
  <c r="AU9" i="9"/>
  <c r="AV9" i="9"/>
  <c r="AW9" i="9"/>
  <c r="AX9" i="9"/>
  <c r="AY9" i="9"/>
  <c r="AZ9" i="9"/>
  <c r="BA9" i="9"/>
  <c r="BB9" i="9"/>
  <c r="G10" i="9"/>
  <c r="H10" i="9"/>
  <c r="I10" i="9"/>
  <c r="J10" i="9"/>
  <c r="K10" i="9"/>
  <c r="L10" i="9" s="1"/>
  <c r="M10" i="9"/>
  <c r="O10" i="9"/>
  <c r="Q10" i="9"/>
  <c r="S10" i="9"/>
  <c r="U10" i="9"/>
  <c r="W10" i="9"/>
  <c r="Y10" i="9"/>
  <c r="AA10" i="9"/>
  <c r="AB10" i="9"/>
  <c r="AC10" i="9"/>
  <c r="AD10" i="9"/>
  <c r="AE10" i="9"/>
  <c r="AF10" i="9"/>
  <c r="AG10" i="9"/>
  <c r="AH10" i="9"/>
  <c r="AI10" i="9"/>
  <c r="AJ10" i="9"/>
  <c r="AL10" i="9"/>
  <c r="AM10" i="9"/>
  <c r="AN10" i="9"/>
  <c r="AO10" i="9"/>
  <c r="AP10" i="9"/>
  <c r="AQ10" i="9"/>
  <c r="AR10" i="9"/>
  <c r="AS10" i="9"/>
  <c r="AT10" i="9"/>
  <c r="AU10" i="9"/>
  <c r="AV10" i="9"/>
  <c r="AW10" i="9"/>
  <c r="AX10" i="9"/>
  <c r="AY10" i="9"/>
  <c r="AZ10" i="9"/>
  <c r="BA10" i="9"/>
  <c r="BB10" i="9"/>
  <c r="G11" i="9"/>
  <c r="H11" i="9"/>
  <c r="I11" i="9"/>
  <c r="J11" i="9"/>
  <c r="K11" i="9"/>
  <c r="L11" i="9" s="1"/>
  <c r="M11" i="9"/>
  <c r="O11" i="9"/>
  <c r="Q11" i="9"/>
  <c r="S11" i="9"/>
  <c r="U11" i="9"/>
  <c r="W11" i="9"/>
  <c r="Y11" i="9"/>
  <c r="AA11" i="9"/>
  <c r="AB11" i="9"/>
  <c r="AC11" i="9"/>
  <c r="AD11" i="9"/>
  <c r="AE11" i="9"/>
  <c r="AF11" i="9"/>
  <c r="AG11" i="9"/>
  <c r="AH11" i="9"/>
  <c r="AI11" i="9"/>
  <c r="AJ11" i="9"/>
  <c r="AL11" i="9"/>
  <c r="AM11" i="9"/>
  <c r="AN11" i="9"/>
  <c r="AO11" i="9"/>
  <c r="AP11" i="9"/>
  <c r="AQ11" i="9"/>
  <c r="AR11" i="9"/>
  <c r="AS11" i="9"/>
  <c r="AT11" i="9"/>
  <c r="AU11" i="9"/>
  <c r="AV11" i="9"/>
  <c r="AW11" i="9"/>
  <c r="AX11" i="9"/>
  <c r="AY11" i="9"/>
  <c r="AZ11" i="9"/>
  <c r="BA11" i="9"/>
  <c r="BB11" i="9"/>
  <c r="G12" i="9"/>
  <c r="H12" i="9"/>
  <c r="I12" i="9"/>
  <c r="J12" i="9"/>
  <c r="K12" i="9"/>
  <c r="L12" i="9" s="1"/>
  <c r="M12" i="9"/>
  <c r="O12" i="9"/>
  <c r="Q12" i="9"/>
  <c r="S12" i="9"/>
  <c r="U12" i="9"/>
  <c r="W12" i="9"/>
  <c r="X12" i="9"/>
  <c r="Y12" i="9"/>
  <c r="Z12" i="9"/>
  <c r="AA12" i="9"/>
  <c r="AB12" i="9"/>
  <c r="AC12" i="9"/>
  <c r="AD12" i="9"/>
  <c r="AE12" i="9"/>
  <c r="AF12" i="9"/>
  <c r="AG12" i="9"/>
  <c r="AH12" i="9"/>
  <c r="AI12" i="9"/>
  <c r="AJ12" i="9"/>
  <c r="AL12" i="9"/>
  <c r="AM12" i="9"/>
  <c r="AN12" i="9"/>
  <c r="AO12" i="9"/>
  <c r="AP12" i="9"/>
  <c r="AQ12" i="9"/>
  <c r="AR12" i="9"/>
  <c r="AS12" i="9"/>
  <c r="AT12" i="9"/>
  <c r="AU12" i="9"/>
  <c r="AV12" i="9"/>
  <c r="AW12" i="9"/>
  <c r="AX12" i="9"/>
  <c r="AY12" i="9"/>
  <c r="AZ12" i="9"/>
  <c r="BA12" i="9"/>
  <c r="BB12" i="9"/>
  <c r="G13" i="9"/>
  <c r="H13" i="9"/>
  <c r="I13" i="9"/>
  <c r="J13" i="9"/>
  <c r="K13" i="9"/>
  <c r="N13" i="9" s="1"/>
  <c r="M13" i="9"/>
  <c r="O13" i="9"/>
  <c r="Q13" i="9"/>
  <c r="S13" i="9"/>
  <c r="U13" i="9"/>
  <c r="W13" i="9"/>
  <c r="Y13" i="9"/>
  <c r="AA13" i="9"/>
  <c r="AB13" i="9"/>
  <c r="AC13" i="9"/>
  <c r="AD13" i="9"/>
  <c r="AE13" i="9"/>
  <c r="AF13" i="9"/>
  <c r="AG13" i="9"/>
  <c r="AH13" i="9"/>
  <c r="AI13" i="9"/>
  <c r="AJ13" i="9"/>
  <c r="AL13" i="9"/>
  <c r="AM13" i="9"/>
  <c r="AN13" i="9"/>
  <c r="AO13" i="9"/>
  <c r="AP13" i="9"/>
  <c r="AQ13" i="9"/>
  <c r="AR13" i="9"/>
  <c r="AS13" i="9"/>
  <c r="AT13" i="9"/>
  <c r="AU13" i="9"/>
  <c r="AV13" i="9"/>
  <c r="AW13" i="9"/>
  <c r="AX13" i="9"/>
  <c r="AY13" i="9"/>
  <c r="AZ13" i="9"/>
  <c r="BA13" i="9"/>
  <c r="BB13" i="9"/>
  <c r="G14" i="9"/>
  <c r="H14" i="9"/>
  <c r="I14" i="9"/>
  <c r="J14" i="9"/>
  <c r="K14" i="9"/>
  <c r="L14" i="9" s="1"/>
  <c r="M14" i="9"/>
  <c r="O14" i="9"/>
  <c r="Q14" i="9"/>
  <c r="S14" i="9"/>
  <c r="U14" i="9"/>
  <c r="W14" i="9"/>
  <c r="Y14" i="9"/>
  <c r="AA14" i="9"/>
  <c r="AB14" i="9"/>
  <c r="AC14" i="9"/>
  <c r="AD14" i="9"/>
  <c r="AE14" i="9"/>
  <c r="AF14" i="9"/>
  <c r="AG14" i="9"/>
  <c r="AH14" i="9"/>
  <c r="AI14" i="9"/>
  <c r="AJ14" i="9"/>
  <c r="AK14" i="9"/>
  <c r="AL14" i="9"/>
  <c r="AM14" i="9"/>
  <c r="AN14" i="9"/>
  <c r="AO14" i="9"/>
  <c r="AP14" i="9"/>
  <c r="AQ14" i="9"/>
  <c r="AR14" i="9"/>
  <c r="AS14" i="9"/>
  <c r="AT14" i="9"/>
  <c r="AU14" i="9"/>
  <c r="AV14" i="9"/>
  <c r="AW14" i="9"/>
  <c r="AX14" i="9"/>
  <c r="AY14" i="9"/>
  <c r="AZ14" i="9"/>
  <c r="BA14" i="9"/>
  <c r="BB14" i="9"/>
  <c r="BC14" i="9"/>
  <c r="G15" i="9"/>
  <c r="H15" i="9"/>
  <c r="I15" i="9"/>
  <c r="J15" i="9"/>
  <c r="K15" i="9"/>
  <c r="L15" i="9"/>
  <c r="M15" i="9"/>
  <c r="N15" i="9"/>
  <c r="O15" i="9"/>
  <c r="P15" i="9"/>
  <c r="Q15" i="9"/>
  <c r="R15" i="9"/>
  <c r="S15" i="9"/>
  <c r="T15" i="9"/>
  <c r="U15" i="9"/>
  <c r="V15" i="9"/>
  <c r="W15" i="9"/>
  <c r="X15" i="9"/>
  <c r="Y15" i="9"/>
  <c r="Z15" i="9"/>
  <c r="AA15" i="9"/>
  <c r="AB15" i="9"/>
  <c r="AC15" i="9"/>
  <c r="AD15" i="9"/>
  <c r="AE15" i="9"/>
  <c r="AF15" i="9"/>
  <c r="AG15" i="9"/>
  <c r="AH15" i="9"/>
  <c r="AI15" i="9"/>
  <c r="AJ15" i="9"/>
  <c r="AK15" i="9"/>
  <c r="AL15" i="9"/>
  <c r="AM15" i="9"/>
  <c r="AN15" i="9"/>
  <c r="AO15" i="9"/>
  <c r="AP15" i="9"/>
  <c r="AQ15" i="9"/>
  <c r="AR15" i="9"/>
  <c r="AS15" i="9"/>
  <c r="AT15" i="9"/>
  <c r="AU15" i="9"/>
  <c r="AV15" i="9"/>
  <c r="AW15" i="9"/>
  <c r="AX15" i="9"/>
  <c r="AY15" i="9"/>
  <c r="AZ15" i="9"/>
  <c r="BA15" i="9"/>
  <c r="BB15" i="9"/>
  <c r="BC15" i="9"/>
  <c r="G16" i="9"/>
  <c r="H16" i="9"/>
  <c r="I16" i="9"/>
  <c r="J16" i="9"/>
  <c r="K16" i="9"/>
  <c r="L16" i="9"/>
  <c r="M16" i="9"/>
  <c r="N16" i="9"/>
  <c r="O16" i="9"/>
  <c r="P16" i="9"/>
  <c r="Q16" i="9"/>
  <c r="R16" i="9"/>
  <c r="S16" i="9"/>
  <c r="T16" i="9"/>
  <c r="U16" i="9"/>
  <c r="V16" i="9"/>
  <c r="W16" i="9"/>
  <c r="X16" i="9"/>
  <c r="Y16" i="9"/>
  <c r="Z16" i="9"/>
  <c r="AA16" i="9"/>
  <c r="AB16" i="9"/>
  <c r="AC16" i="9"/>
  <c r="AD16" i="9"/>
  <c r="AE16" i="9"/>
  <c r="AF16" i="9"/>
  <c r="AG16" i="9"/>
  <c r="AH16" i="9"/>
  <c r="AI16" i="9"/>
  <c r="AJ16" i="9"/>
  <c r="AK16" i="9"/>
  <c r="AL16" i="9"/>
  <c r="AM16" i="9"/>
  <c r="AN16" i="9"/>
  <c r="AO16" i="9"/>
  <c r="AP16" i="9"/>
  <c r="AQ16" i="9"/>
  <c r="AR16" i="9"/>
  <c r="AS16" i="9"/>
  <c r="AT16" i="9"/>
  <c r="AU16" i="9"/>
  <c r="AV16" i="9"/>
  <c r="AW16" i="9"/>
  <c r="AX16" i="9"/>
  <c r="AY16" i="9"/>
  <c r="AZ16" i="9"/>
  <c r="BA16" i="9"/>
  <c r="BB16" i="9"/>
  <c r="BC16" i="9"/>
  <c r="G17" i="9"/>
  <c r="H17" i="9"/>
  <c r="I17" i="9"/>
  <c r="J17" i="9"/>
  <c r="K17" i="9"/>
  <c r="L17" i="9"/>
  <c r="M17" i="9"/>
  <c r="N17" i="9"/>
  <c r="O17" i="9"/>
  <c r="P17" i="9"/>
  <c r="Q17" i="9"/>
  <c r="R17" i="9"/>
  <c r="S17" i="9"/>
  <c r="T17" i="9"/>
  <c r="U17" i="9"/>
  <c r="V17" i="9"/>
  <c r="W17" i="9"/>
  <c r="X17" i="9"/>
  <c r="Y17" i="9"/>
  <c r="Z17" i="9"/>
  <c r="AA17" i="9"/>
  <c r="AB17" i="9"/>
  <c r="AC17" i="9"/>
  <c r="AD17" i="9"/>
  <c r="AE17" i="9"/>
  <c r="AF17" i="9"/>
  <c r="AG17" i="9"/>
  <c r="AH17" i="9"/>
  <c r="AI17" i="9"/>
  <c r="AJ17" i="9"/>
  <c r="AK17" i="9"/>
  <c r="AL17" i="9"/>
  <c r="AM17" i="9"/>
  <c r="AN17" i="9"/>
  <c r="AO17" i="9"/>
  <c r="AP17" i="9"/>
  <c r="AQ17" i="9"/>
  <c r="AR17" i="9"/>
  <c r="AS17" i="9"/>
  <c r="AT17" i="9"/>
  <c r="AU17" i="9"/>
  <c r="AV17" i="9"/>
  <c r="AW17" i="9"/>
  <c r="AX17" i="9"/>
  <c r="AY17" i="9"/>
  <c r="AZ17" i="9"/>
  <c r="BA17" i="9"/>
  <c r="BB17" i="9"/>
  <c r="BC17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T18" i="9"/>
  <c r="U18" i="9"/>
  <c r="V18" i="9"/>
  <c r="W18" i="9"/>
  <c r="X18" i="9"/>
  <c r="Y18" i="9"/>
  <c r="Z18" i="9"/>
  <c r="AA18" i="9"/>
  <c r="AB18" i="9"/>
  <c r="AC18" i="9"/>
  <c r="AD18" i="9"/>
  <c r="AE18" i="9"/>
  <c r="AF18" i="9"/>
  <c r="AG18" i="9"/>
  <c r="AH18" i="9"/>
  <c r="AI18" i="9"/>
  <c r="AJ18" i="9"/>
  <c r="AK18" i="9"/>
  <c r="AL18" i="9"/>
  <c r="AM18" i="9"/>
  <c r="AN18" i="9"/>
  <c r="AO18" i="9"/>
  <c r="AP18" i="9"/>
  <c r="AQ18" i="9"/>
  <c r="AR18" i="9"/>
  <c r="AS18" i="9"/>
  <c r="AT18" i="9"/>
  <c r="AU18" i="9"/>
  <c r="AV18" i="9"/>
  <c r="AW18" i="9"/>
  <c r="AX18" i="9"/>
  <c r="AY18" i="9"/>
  <c r="AZ18" i="9"/>
  <c r="BA18" i="9"/>
  <c r="BB18" i="9"/>
  <c r="BC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T19" i="9"/>
  <c r="U19" i="9"/>
  <c r="V19" i="9"/>
  <c r="W19" i="9"/>
  <c r="X19" i="9"/>
  <c r="Y19" i="9"/>
  <c r="Z19" i="9"/>
  <c r="AA19" i="9"/>
  <c r="AB19" i="9"/>
  <c r="AC19" i="9"/>
  <c r="AD19" i="9"/>
  <c r="AE19" i="9"/>
  <c r="AF19" i="9"/>
  <c r="AG19" i="9"/>
  <c r="AH19" i="9"/>
  <c r="AI19" i="9"/>
  <c r="AJ19" i="9"/>
  <c r="AK19" i="9"/>
  <c r="AL19" i="9"/>
  <c r="AM19" i="9"/>
  <c r="AN19" i="9"/>
  <c r="AO19" i="9"/>
  <c r="AP19" i="9"/>
  <c r="AQ19" i="9"/>
  <c r="AR19" i="9"/>
  <c r="AS19" i="9"/>
  <c r="AT19" i="9"/>
  <c r="AU19" i="9"/>
  <c r="AV19" i="9"/>
  <c r="AW19" i="9"/>
  <c r="AX19" i="9"/>
  <c r="AY19" i="9"/>
  <c r="AZ19" i="9"/>
  <c r="BA19" i="9"/>
  <c r="BB19" i="9"/>
  <c r="BC19" i="9"/>
  <c r="G20" i="9"/>
  <c r="H20" i="9"/>
  <c r="I20" i="9"/>
  <c r="J20" i="9"/>
  <c r="K20" i="9"/>
  <c r="L20" i="9"/>
  <c r="M20" i="9"/>
  <c r="N20" i="9"/>
  <c r="O20" i="9"/>
  <c r="P20" i="9"/>
  <c r="Q20" i="9"/>
  <c r="R20" i="9"/>
  <c r="S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AI20" i="9"/>
  <c r="AJ20" i="9"/>
  <c r="AK20" i="9"/>
  <c r="AL20" i="9"/>
  <c r="AM20" i="9"/>
  <c r="AN20" i="9"/>
  <c r="AO20" i="9"/>
  <c r="AP20" i="9"/>
  <c r="AQ20" i="9"/>
  <c r="AR20" i="9"/>
  <c r="AS20" i="9"/>
  <c r="AT20" i="9"/>
  <c r="AU20" i="9"/>
  <c r="AV20" i="9"/>
  <c r="AW20" i="9"/>
  <c r="AX20" i="9"/>
  <c r="AY20" i="9"/>
  <c r="AZ20" i="9"/>
  <c r="BA20" i="9"/>
  <c r="BB20" i="9"/>
  <c r="BC20" i="9"/>
  <c r="G21" i="9"/>
  <c r="H21" i="9"/>
  <c r="I21" i="9"/>
  <c r="J21" i="9"/>
  <c r="K21" i="9"/>
  <c r="L21" i="9"/>
  <c r="M21" i="9"/>
  <c r="N21" i="9"/>
  <c r="O21" i="9"/>
  <c r="P21" i="9"/>
  <c r="Q21" i="9"/>
  <c r="R21" i="9"/>
  <c r="S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AI21" i="9"/>
  <c r="AJ21" i="9"/>
  <c r="AK21" i="9"/>
  <c r="AL21" i="9"/>
  <c r="AM21" i="9"/>
  <c r="AN21" i="9"/>
  <c r="AO21" i="9"/>
  <c r="AP21" i="9"/>
  <c r="AQ21" i="9"/>
  <c r="AR21" i="9"/>
  <c r="AS21" i="9"/>
  <c r="AT21" i="9"/>
  <c r="AU21" i="9"/>
  <c r="AV21" i="9"/>
  <c r="AW21" i="9"/>
  <c r="AX21" i="9"/>
  <c r="AY21" i="9"/>
  <c r="AZ21" i="9"/>
  <c r="BA21" i="9"/>
  <c r="BB21" i="9"/>
  <c r="BC21" i="9"/>
  <c r="G22" i="9"/>
  <c r="H22" i="9"/>
  <c r="I22" i="9"/>
  <c r="J22" i="9"/>
  <c r="K22" i="9"/>
  <c r="L22" i="9"/>
  <c r="M22" i="9"/>
  <c r="N22" i="9"/>
  <c r="O22" i="9"/>
  <c r="P22" i="9"/>
  <c r="Q22" i="9"/>
  <c r="R22" i="9"/>
  <c r="S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AI22" i="9"/>
  <c r="AJ22" i="9"/>
  <c r="AK22" i="9"/>
  <c r="AL22" i="9"/>
  <c r="AM22" i="9"/>
  <c r="AN22" i="9"/>
  <c r="AO22" i="9"/>
  <c r="AP22" i="9"/>
  <c r="AQ22" i="9"/>
  <c r="AR22" i="9"/>
  <c r="AS22" i="9"/>
  <c r="AT22" i="9"/>
  <c r="AU22" i="9"/>
  <c r="AV22" i="9"/>
  <c r="AW22" i="9"/>
  <c r="AX22" i="9"/>
  <c r="AY22" i="9"/>
  <c r="AZ22" i="9"/>
  <c r="BA22" i="9"/>
  <c r="BB22" i="9"/>
  <c r="BC22" i="9"/>
  <c r="G23" i="9"/>
  <c r="H23" i="9"/>
  <c r="I23" i="9"/>
  <c r="J23" i="9"/>
  <c r="K23" i="9"/>
  <c r="L23" i="9"/>
  <c r="M23" i="9"/>
  <c r="N23" i="9"/>
  <c r="O23" i="9"/>
  <c r="P23" i="9"/>
  <c r="Q23" i="9"/>
  <c r="R23" i="9"/>
  <c r="S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AI23" i="9"/>
  <c r="AJ23" i="9"/>
  <c r="AK23" i="9"/>
  <c r="AL23" i="9"/>
  <c r="AM23" i="9"/>
  <c r="AN23" i="9"/>
  <c r="AO23" i="9"/>
  <c r="AP23" i="9"/>
  <c r="AQ23" i="9"/>
  <c r="AR23" i="9"/>
  <c r="AS23" i="9"/>
  <c r="AT23" i="9"/>
  <c r="AU23" i="9"/>
  <c r="AV23" i="9"/>
  <c r="AW23" i="9"/>
  <c r="AX23" i="9"/>
  <c r="AY23" i="9"/>
  <c r="AZ23" i="9"/>
  <c r="BA23" i="9"/>
  <c r="BB23" i="9"/>
  <c r="BC23" i="9"/>
  <c r="G24" i="9"/>
  <c r="H24" i="9"/>
  <c r="I24" i="9"/>
  <c r="J24" i="9"/>
  <c r="K24" i="9"/>
  <c r="L24" i="9"/>
  <c r="M24" i="9"/>
  <c r="N24" i="9"/>
  <c r="O24" i="9"/>
  <c r="P24" i="9"/>
  <c r="Q24" i="9"/>
  <c r="R24" i="9"/>
  <c r="S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H24" i="9"/>
  <c r="AI24" i="9"/>
  <c r="AJ24" i="9"/>
  <c r="AK24" i="9"/>
  <c r="AL24" i="9"/>
  <c r="AM24" i="9"/>
  <c r="AN24" i="9"/>
  <c r="AO24" i="9"/>
  <c r="AP24" i="9"/>
  <c r="AQ24" i="9"/>
  <c r="AR24" i="9"/>
  <c r="AS24" i="9"/>
  <c r="AT24" i="9"/>
  <c r="AU24" i="9"/>
  <c r="AV24" i="9"/>
  <c r="AW24" i="9"/>
  <c r="AX24" i="9"/>
  <c r="AY24" i="9"/>
  <c r="AZ24" i="9"/>
  <c r="BA24" i="9"/>
  <c r="BB24" i="9"/>
  <c r="BC24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AJ25" i="9"/>
  <c r="AK25" i="9"/>
  <c r="AL25" i="9"/>
  <c r="AM25" i="9"/>
  <c r="AN25" i="9"/>
  <c r="AO25" i="9"/>
  <c r="AP25" i="9"/>
  <c r="AQ25" i="9"/>
  <c r="AR25" i="9"/>
  <c r="AS25" i="9"/>
  <c r="AT25" i="9"/>
  <c r="AU25" i="9"/>
  <c r="AV25" i="9"/>
  <c r="AW25" i="9"/>
  <c r="AX25" i="9"/>
  <c r="AY25" i="9"/>
  <c r="AZ25" i="9"/>
  <c r="BA25" i="9"/>
  <c r="BB25" i="9"/>
  <c r="BC25" i="9"/>
  <c r="G26" i="9"/>
  <c r="H26" i="9"/>
  <c r="I26" i="9"/>
  <c r="J26" i="9"/>
  <c r="K26" i="9"/>
  <c r="L26" i="9"/>
  <c r="M26" i="9"/>
  <c r="N26" i="9"/>
  <c r="O26" i="9"/>
  <c r="P26" i="9"/>
  <c r="Q26" i="9"/>
  <c r="R26" i="9"/>
  <c r="S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AJ26" i="9"/>
  <c r="AK26" i="9"/>
  <c r="AL26" i="9"/>
  <c r="AM26" i="9"/>
  <c r="AN26" i="9"/>
  <c r="AO26" i="9"/>
  <c r="AP26" i="9"/>
  <c r="AQ26" i="9"/>
  <c r="AR26" i="9"/>
  <c r="AS26" i="9"/>
  <c r="AT26" i="9"/>
  <c r="AU26" i="9"/>
  <c r="AV26" i="9"/>
  <c r="AW26" i="9"/>
  <c r="AX26" i="9"/>
  <c r="AY26" i="9"/>
  <c r="AZ26" i="9"/>
  <c r="BA26" i="9"/>
  <c r="BB26" i="9"/>
  <c r="BC26" i="9"/>
  <c r="G27" i="9"/>
  <c r="H27" i="9"/>
  <c r="I27" i="9"/>
  <c r="J27" i="9"/>
  <c r="K27" i="9"/>
  <c r="L27" i="9"/>
  <c r="M27" i="9"/>
  <c r="N27" i="9"/>
  <c r="O27" i="9"/>
  <c r="P27" i="9"/>
  <c r="Q27" i="9"/>
  <c r="R27" i="9"/>
  <c r="S27" i="9"/>
  <c r="T27" i="9"/>
  <c r="U27" i="9"/>
  <c r="V27" i="9"/>
  <c r="W27" i="9"/>
  <c r="X27" i="9"/>
  <c r="Y27" i="9"/>
  <c r="Z27" i="9"/>
  <c r="AA27" i="9"/>
  <c r="AB27" i="9"/>
  <c r="AC27" i="9"/>
  <c r="AD27" i="9"/>
  <c r="AE27" i="9"/>
  <c r="AF27" i="9"/>
  <c r="AG27" i="9"/>
  <c r="AH27" i="9"/>
  <c r="AI27" i="9"/>
  <c r="AJ27" i="9"/>
  <c r="AK27" i="9"/>
  <c r="AL27" i="9"/>
  <c r="AM27" i="9"/>
  <c r="AN27" i="9"/>
  <c r="AO27" i="9"/>
  <c r="AP27" i="9"/>
  <c r="AQ27" i="9"/>
  <c r="AR27" i="9"/>
  <c r="AS27" i="9"/>
  <c r="AT27" i="9"/>
  <c r="AU27" i="9"/>
  <c r="AV27" i="9"/>
  <c r="AW27" i="9"/>
  <c r="AX27" i="9"/>
  <c r="AY27" i="9"/>
  <c r="AZ27" i="9"/>
  <c r="BA27" i="9"/>
  <c r="BB27" i="9"/>
  <c r="BC27" i="9"/>
  <c r="G28" i="9"/>
  <c r="H28" i="9"/>
  <c r="I28" i="9"/>
  <c r="J28" i="9"/>
  <c r="K28" i="9"/>
  <c r="L28" i="9"/>
  <c r="M28" i="9"/>
  <c r="N28" i="9"/>
  <c r="O28" i="9"/>
  <c r="P28" i="9"/>
  <c r="Q28" i="9"/>
  <c r="R28" i="9"/>
  <c r="S28" i="9"/>
  <c r="T28" i="9"/>
  <c r="U28" i="9"/>
  <c r="V28" i="9"/>
  <c r="W28" i="9"/>
  <c r="X28" i="9"/>
  <c r="Y28" i="9"/>
  <c r="Z28" i="9"/>
  <c r="AA28" i="9"/>
  <c r="AB28" i="9"/>
  <c r="AC28" i="9"/>
  <c r="AD28" i="9"/>
  <c r="AE28" i="9"/>
  <c r="AF28" i="9"/>
  <c r="AG28" i="9"/>
  <c r="AH28" i="9"/>
  <c r="AI28" i="9"/>
  <c r="AJ28" i="9"/>
  <c r="AK28" i="9"/>
  <c r="AL28" i="9"/>
  <c r="AM28" i="9"/>
  <c r="AN28" i="9"/>
  <c r="AO28" i="9"/>
  <c r="AP28" i="9"/>
  <c r="AQ28" i="9"/>
  <c r="AR28" i="9"/>
  <c r="AS28" i="9"/>
  <c r="AT28" i="9"/>
  <c r="AU28" i="9"/>
  <c r="AV28" i="9"/>
  <c r="AW28" i="9"/>
  <c r="AX28" i="9"/>
  <c r="AY28" i="9"/>
  <c r="AZ28" i="9"/>
  <c r="BA28" i="9"/>
  <c r="BB28" i="9"/>
  <c r="BC28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T29" i="9"/>
  <c r="U29" i="9"/>
  <c r="V29" i="9"/>
  <c r="W29" i="9"/>
  <c r="X29" i="9"/>
  <c r="Y29" i="9"/>
  <c r="Z29" i="9"/>
  <c r="AA29" i="9"/>
  <c r="AB29" i="9"/>
  <c r="AC29" i="9"/>
  <c r="AD29" i="9"/>
  <c r="AE29" i="9"/>
  <c r="AF29" i="9"/>
  <c r="AG29" i="9"/>
  <c r="AH29" i="9"/>
  <c r="AI29" i="9"/>
  <c r="AJ29" i="9"/>
  <c r="AK29" i="9"/>
  <c r="AL29" i="9"/>
  <c r="AM29" i="9"/>
  <c r="AN29" i="9"/>
  <c r="AO29" i="9"/>
  <c r="AP29" i="9"/>
  <c r="AQ29" i="9"/>
  <c r="AR29" i="9"/>
  <c r="AS29" i="9"/>
  <c r="AT29" i="9"/>
  <c r="AU29" i="9"/>
  <c r="AV29" i="9"/>
  <c r="AW29" i="9"/>
  <c r="AX29" i="9"/>
  <c r="AY29" i="9"/>
  <c r="AZ29" i="9"/>
  <c r="BA29" i="9"/>
  <c r="BB29" i="9"/>
  <c r="BC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T30" i="9"/>
  <c r="U30" i="9"/>
  <c r="V30" i="9"/>
  <c r="W30" i="9"/>
  <c r="X30" i="9"/>
  <c r="Y30" i="9"/>
  <c r="Z30" i="9"/>
  <c r="AA30" i="9"/>
  <c r="AB30" i="9"/>
  <c r="AC30" i="9"/>
  <c r="AD30" i="9"/>
  <c r="AE30" i="9"/>
  <c r="AF30" i="9"/>
  <c r="AG30" i="9"/>
  <c r="AH30" i="9"/>
  <c r="AI30" i="9"/>
  <c r="AJ30" i="9"/>
  <c r="AK30" i="9"/>
  <c r="AL30" i="9"/>
  <c r="AM30" i="9"/>
  <c r="AN30" i="9"/>
  <c r="AO30" i="9"/>
  <c r="AP30" i="9"/>
  <c r="AQ30" i="9"/>
  <c r="AR30" i="9"/>
  <c r="AS30" i="9"/>
  <c r="AT30" i="9"/>
  <c r="AU30" i="9"/>
  <c r="AV30" i="9"/>
  <c r="AW30" i="9"/>
  <c r="AX30" i="9"/>
  <c r="AY30" i="9"/>
  <c r="AZ30" i="9"/>
  <c r="BA30" i="9"/>
  <c r="BB30" i="9"/>
  <c r="BC30" i="9"/>
  <c r="BB2" i="9"/>
  <c r="BA2" i="9"/>
  <c r="AZ2" i="9"/>
  <c r="AY2" i="9"/>
  <c r="AX2" i="9"/>
  <c r="AW2" i="9"/>
  <c r="AV2" i="9"/>
  <c r="AU2" i="9"/>
  <c r="AT2" i="9"/>
  <c r="AS2" i="9"/>
  <c r="AR2" i="9"/>
  <c r="AQ2" i="9"/>
  <c r="AP2" i="9"/>
  <c r="AO2" i="9"/>
  <c r="AN2" i="9"/>
  <c r="AM2" i="9"/>
  <c r="AL2" i="9"/>
  <c r="AJ2" i="9"/>
  <c r="AI2" i="9"/>
  <c r="AH2" i="9"/>
  <c r="AG2" i="9"/>
  <c r="AF2" i="9"/>
  <c r="AE2" i="9"/>
  <c r="AD2" i="9"/>
  <c r="AC2" i="9"/>
  <c r="AB2" i="9"/>
  <c r="AA2" i="9"/>
  <c r="Y2" i="9"/>
  <c r="W2" i="9"/>
  <c r="U2" i="9"/>
  <c r="S2" i="9"/>
  <c r="Q2" i="9"/>
  <c r="O2" i="9"/>
  <c r="M2" i="9"/>
  <c r="K2" i="9"/>
  <c r="X2" i="9" s="1"/>
  <c r="J2" i="9"/>
  <c r="I2" i="9"/>
  <c r="H2" i="9"/>
  <c r="G2" i="9"/>
  <c r="A3" i="7"/>
  <c r="B3" i="7"/>
  <c r="C3" i="7"/>
  <c r="D3" i="7"/>
  <c r="E3" i="7"/>
  <c r="F3" i="7"/>
  <c r="A4" i="7"/>
  <c r="B4" i="7"/>
  <c r="C4" i="7"/>
  <c r="D4" i="7"/>
  <c r="E4" i="7"/>
  <c r="F4" i="7"/>
  <c r="A5" i="7"/>
  <c r="B5" i="7"/>
  <c r="C5" i="7"/>
  <c r="D5" i="7"/>
  <c r="E5" i="7"/>
  <c r="F5" i="7"/>
  <c r="A6" i="7"/>
  <c r="B6" i="7"/>
  <c r="C6" i="7"/>
  <c r="D6" i="7"/>
  <c r="E6" i="7"/>
  <c r="F6" i="7"/>
  <c r="A7" i="7"/>
  <c r="B7" i="7"/>
  <c r="C7" i="7"/>
  <c r="D7" i="7"/>
  <c r="E7" i="7"/>
  <c r="F7" i="7"/>
  <c r="A8" i="7"/>
  <c r="B8" i="7"/>
  <c r="C8" i="7"/>
  <c r="D8" i="7"/>
  <c r="E8" i="7"/>
  <c r="F8" i="7"/>
  <c r="A9" i="7"/>
  <c r="B9" i="7"/>
  <c r="C9" i="7"/>
  <c r="D9" i="7"/>
  <c r="E9" i="7"/>
  <c r="F9" i="7"/>
  <c r="A10" i="7"/>
  <c r="B10" i="7"/>
  <c r="C10" i="7"/>
  <c r="D10" i="7"/>
  <c r="E10" i="7"/>
  <c r="F10" i="7"/>
  <c r="A11" i="7"/>
  <c r="B11" i="7"/>
  <c r="C11" i="7"/>
  <c r="D11" i="7"/>
  <c r="E11" i="7"/>
  <c r="F11" i="7"/>
  <c r="A12" i="7"/>
  <c r="B12" i="7"/>
  <c r="C12" i="7"/>
  <c r="D12" i="7"/>
  <c r="E12" i="7"/>
  <c r="F12" i="7"/>
  <c r="A13" i="7"/>
  <c r="B13" i="7"/>
  <c r="C13" i="7"/>
  <c r="D13" i="7"/>
  <c r="E13" i="7"/>
  <c r="F13" i="7"/>
  <c r="A14" i="7"/>
  <c r="B14" i="7"/>
  <c r="C14" i="7"/>
  <c r="D14" i="7"/>
  <c r="E14" i="7"/>
  <c r="F14" i="7"/>
  <c r="A15" i="7"/>
  <c r="B15" i="7"/>
  <c r="C15" i="7"/>
  <c r="D15" i="7"/>
  <c r="E15" i="7"/>
  <c r="F15" i="7"/>
  <c r="A16" i="7"/>
  <c r="B16" i="7"/>
  <c r="C16" i="7"/>
  <c r="D16" i="7"/>
  <c r="E16" i="7"/>
  <c r="F16" i="7"/>
  <c r="A17" i="7"/>
  <c r="B17" i="7"/>
  <c r="C17" i="7"/>
  <c r="D17" i="7"/>
  <c r="E17" i="7"/>
  <c r="F17" i="7"/>
  <c r="A18" i="7"/>
  <c r="B18" i="7"/>
  <c r="C18" i="7"/>
  <c r="D18" i="7"/>
  <c r="E18" i="7"/>
  <c r="F18" i="7"/>
  <c r="A19" i="7"/>
  <c r="B19" i="7"/>
  <c r="C19" i="7"/>
  <c r="D19" i="7"/>
  <c r="E19" i="7"/>
  <c r="F19" i="7"/>
  <c r="A20" i="7"/>
  <c r="B20" i="7"/>
  <c r="C20" i="7"/>
  <c r="D20" i="7"/>
  <c r="E20" i="7"/>
  <c r="F20" i="7"/>
  <c r="A21" i="7"/>
  <c r="B21" i="7"/>
  <c r="C21" i="7"/>
  <c r="D21" i="7"/>
  <c r="E21" i="7"/>
  <c r="F21" i="7"/>
  <c r="A22" i="7"/>
  <c r="B22" i="7"/>
  <c r="C22" i="7"/>
  <c r="D22" i="7"/>
  <c r="E22" i="7"/>
  <c r="F22" i="7"/>
  <c r="A23" i="7"/>
  <c r="B23" i="7"/>
  <c r="C23" i="7"/>
  <c r="D23" i="7"/>
  <c r="E23" i="7"/>
  <c r="F23" i="7"/>
  <c r="A24" i="7"/>
  <c r="B24" i="7"/>
  <c r="C24" i="7"/>
  <c r="D24" i="7"/>
  <c r="E24" i="7"/>
  <c r="F24" i="7"/>
  <c r="A25" i="7"/>
  <c r="B25" i="7"/>
  <c r="C25" i="7"/>
  <c r="D25" i="7"/>
  <c r="E25" i="7"/>
  <c r="F25" i="7"/>
  <c r="A26" i="7"/>
  <c r="B26" i="7"/>
  <c r="C26" i="7"/>
  <c r="D26" i="7"/>
  <c r="E26" i="7"/>
  <c r="F26" i="7"/>
  <c r="A27" i="7"/>
  <c r="B27" i="7"/>
  <c r="C27" i="7"/>
  <c r="D27" i="7"/>
  <c r="E27" i="7"/>
  <c r="F27" i="7"/>
  <c r="A28" i="7"/>
  <c r="B28" i="7"/>
  <c r="C28" i="7"/>
  <c r="D28" i="7"/>
  <c r="E28" i="7"/>
  <c r="F28" i="7"/>
  <c r="A29" i="7"/>
  <c r="B29" i="7"/>
  <c r="C29" i="7"/>
  <c r="D29" i="7"/>
  <c r="E29" i="7"/>
  <c r="F29" i="7"/>
  <c r="A30" i="7"/>
  <c r="B30" i="7"/>
  <c r="C30" i="7"/>
  <c r="D30" i="7"/>
  <c r="E30" i="7"/>
  <c r="F30" i="7"/>
  <c r="F2" i="7"/>
  <c r="E2" i="7"/>
  <c r="D2" i="7"/>
  <c r="C2" i="7"/>
  <c r="B2" i="7"/>
  <c r="A2" i="7"/>
  <c r="A3" i="6"/>
  <c r="B3" i="6"/>
  <c r="C3" i="6"/>
  <c r="D3" i="6"/>
  <c r="E3" i="6"/>
  <c r="F3" i="6"/>
  <c r="G3" i="6"/>
  <c r="A4" i="6"/>
  <c r="B4" i="6"/>
  <c r="C4" i="6"/>
  <c r="D4" i="6"/>
  <c r="E4" i="6"/>
  <c r="F4" i="6"/>
  <c r="G4" i="6"/>
  <c r="A5" i="6"/>
  <c r="B5" i="6"/>
  <c r="C5" i="6"/>
  <c r="D5" i="6"/>
  <c r="E5" i="6"/>
  <c r="F5" i="6"/>
  <c r="G5" i="6"/>
  <c r="A6" i="6"/>
  <c r="B6" i="6"/>
  <c r="C6" i="6"/>
  <c r="D6" i="6"/>
  <c r="E6" i="6"/>
  <c r="F6" i="6"/>
  <c r="G6" i="6"/>
  <c r="A7" i="6"/>
  <c r="B7" i="6"/>
  <c r="C7" i="6"/>
  <c r="D7" i="6"/>
  <c r="E7" i="6"/>
  <c r="F7" i="6"/>
  <c r="G7" i="6"/>
  <c r="A8" i="6"/>
  <c r="B8" i="6"/>
  <c r="C8" i="6"/>
  <c r="D8" i="6"/>
  <c r="E8" i="6"/>
  <c r="F8" i="6"/>
  <c r="G8" i="6"/>
  <c r="A9" i="6"/>
  <c r="B9" i="6"/>
  <c r="C9" i="6"/>
  <c r="D9" i="6"/>
  <c r="E9" i="6"/>
  <c r="F9" i="6"/>
  <c r="G9" i="6"/>
  <c r="A10" i="6"/>
  <c r="B10" i="6"/>
  <c r="C10" i="6"/>
  <c r="D10" i="6"/>
  <c r="E10" i="6"/>
  <c r="F10" i="6"/>
  <c r="G10" i="6"/>
  <c r="A11" i="6"/>
  <c r="B11" i="6"/>
  <c r="C11" i="6"/>
  <c r="D11" i="6"/>
  <c r="E11" i="6"/>
  <c r="F11" i="6"/>
  <c r="G11" i="6"/>
  <c r="A12" i="6"/>
  <c r="B12" i="6"/>
  <c r="C12" i="6"/>
  <c r="D12" i="6"/>
  <c r="E12" i="6"/>
  <c r="F12" i="6"/>
  <c r="G12" i="6"/>
  <c r="A13" i="6"/>
  <c r="B13" i="6"/>
  <c r="C13" i="6"/>
  <c r="D13" i="6"/>
  <c r="E13" i="6"/>
  <c r="F13" i="6"/>
  <c r="G13" i="6"/>
  <c r="A14" i="6"/>
  <c r="B14" i="6"/>
  <c r="C14" i="6"/>
  <c r="D14" i="6"/>
  <c r="E14" i="6"/>
  <c r="F14" i="6"/>
  <c r="G14" i="6"/>
  <c r="A15" i="6"/>
  <c r="B15" i="6"/>
  <c r="C15" i="6"/>
  <c r="D15" i="6"/>
  <c r="E15" i="6"/>
  <c r="F15" i="6"/>
  <c r="G15" i="6"/>
  <c r="A16" i="6"/>
  <c r="B16" i="6"/>
  <c r="C16" i="6"/>
  <c r="D16" i="6"/>
  <c r="E16" i="6"/>
  <c r="F16" i="6"/>
  <c r="G16" i="6"/>
  <c r="A17" i="6"/>
  <c r="B17" i="6"/>
  <c r="C17" i="6"/>
  <c r="D17" i="6"/>
  <c r="E17" i="6"/>
  <c r="F17" i="6"/>
  <c r="G17" i="6"/>
  <c r="A18" i="6"/>
  <c r="B18" i="6"/>
  <c r="C18" i="6"/>
  <c r="D18" i="6"/>
  <c r="E18" i="6"/>
  <c r="F18" i="6"/>
  <c r="G18" i="6"/>
  <c r="A19" i="6"/>
  <c r="B19" i="6"/>
  <c r="C19" i="6"/>
  <c r="D19" i="6"/>
  <c r="E19" i="6"/>
  <c r="F19" i="6"/>
  <c r="G19" i="6"/>
  <c r="A20" i="6"/>
  <c r="B20" i="6"/>
  <c r="C20" i="6"/>
  <c r="D20" i="6"/>
  <c r="E20" i="6"/>
  <c r="F20" i="6"/>
  <c r="G20" i="6"/>
  <c r="A21" i="6"/>
  <c r="B21" i="6"/>
  <c r="C21" i="6"/>
  <c r="D21" i="6"/>
  <c r="E21" i="6"/>
  <c r="F21" i="6"/>
  <c r="G21" i="6"/>
  <c r="A22" i="6"/>
  <c r="B22" i="6"/>
  <c r="C22" i="6"/>
  <c r="D22" i="6"/>
  <c r="E22" i="6"/>
  <c r="F22" i="6"/>
  <c r="G22" i="6"/>
  <c r="A23" i="6"/>
  <c r="B23" i="6"/>
  <c r="C23" i="6"/>
  <c r="D23" i="6"/>
  <c r="E23" i="6"/>
  <c r="F23" i="6"/>
  <c r="G23" i="6"/>
  <c r="A24" i="6"/>
  <c r="B24" i="6"/>
  <c r="C24" i="6"/>
  <c r="D24" i="6"/>
  <c r="E24" i="6"/>
  <c r="F24" i="6"/>
  <c r="G24" i="6"/>
  <c r="A25" i="6"/>
  <c r="B25" i="6"/>
  <c r="C25" i="6"/>
  <c r="D25" i="6"/>
  <c r="E25" i="6"/>
  <c r="F25" i="6"/>
  <c r="G25" i="6"/>
  <c r="A26" i="6"/>
  <c r="B26" i="6"/>
  <c r="C26" i="6"/>
  <c r="D26" i="6"/>
  <c r="E26" i="6"/>
  <c r="F26" i="6"/>
  <c r="G26" i="6"/>
  <c r="A27" i="6"/>
  <c r="B27" i="6"/>
  <c r="C27" i="6"/>
  <c r="D27" i="6"/>
  <c r="E27" i="6"/>
  <c r="F27" i="6"/>
  <c r="G27" i="6"/>
  <c r="A28" i="6"/>
  <c r="B28" i="6"/>
  <c r="C28" i="6"/>
  <c r="D28" i="6"/>
  <c r="E28" i="6"/>
  <c r="F28" i="6"/>
  <c r="G28" i="6"/>
  <c r="A29" i="6"/>
  <c r="B29" i="6"/>
  <c r="C29" i="6"/>
  <c r="D29" i="6"/>
  <c r="E29" i="6"/>
  <c r="F29" i="6"/>
  <c r="G29" i="6"/>
  <c r="A30" i="6"/>
  <c r="B30" i="6"/>
  <c r="C30" i="6"/>
  <c r="D30" i="6"/>
  <c r="E30" i="6"/>
  <c r="F30" i="6"/>
  <c r="G30" i="6"/>
  <c r="G2" i="6"/>
  <c r="F2" i="6"/>
  <c r="E2" i="6"/>
  <c r="D2" i="6"/>
  <c r="C2" i="6"/>
  <c r="B2" i="6"/>
  <c r="A2" i="6"/>
  <c r="V3" i="9" l="1"/>
  <c r="P13" i="9"/>
  <c r="T13" i="9"/>
  <c r="X13" i="9"/>
  <c r="T12" i="9"/>
  <c r="V12" i="9"/>
  <c r="P12" i="9"/>
  <c r="R5" i="9"/>
  <c r="Z3" i="9"/>
  <c r="V7" i="9"/>
  <c r="Z7" i="9"/>
  <c r="R7" i="9"/>
  <c r="V5" i="9"/>
  <c r="Z14" i="9"/>
  <c r="V14" i="9"/>
  <c r="R14" i="9"/>
  <c r="N14" i="9"/>
  <c r="X14" i="9"/>
  <c r="T14" i="9"/>
  <c r="P14" i="9"/>
  <c r="Z13" i="9"/>
  <c r="V13" i="9"/>
  <c r="R13" i="9"/>
  <c r="L13" i="9"/>
  <c r="R12" i="9"/>
  <c r="N12" i="9"/>
  <c r="Z11" i="9"/>
  <c r="V11" i="9"/>
  <c r="R11" i="9"/>
  <c r="N11" i="9"/>
  <c r="X11" i="9"/>
  <c r="T11" i="9"/>
  <c r="P11" i="9"/>
  <c r="P9" i="9"/>
  <c r="N3" i="9"/>
  <c r="T9" i="9"/>
  <c r="R3" i="9"/>
  <c r="X9" i="9"/>
  <c r="L9" i="9"/>
  <c r="N7" i="9"/>
  <c r="Z6" i="9"/>
  <c r="V6" i="9"/>
  <c r="N6" i="9"/>
  <c r="Z9" i="9"/>
  <c r="V9" i="9"/>
  <c r="R9" i="9"/>
  <c r="X7" i="9"/>
  <c r="T7" i="9"/>
  <c r="P7" i="9"/>
  <c r="Z5" i="9"/>
  <c r="X3" i="9"/>
  <c r="T3" i="9"/>
  <c r="P3" i="9"/>
  <c r="R6" i="9"/>
  <c r="X6" i="9"/>
  <c r="T6" i="9"/>
  <c r="P6" i="9"/>
  <c r="N5" i="9"/>
  <c r="X5" i="9"/>
  <c r="T5" i="9"/>
  <c r="P5" i="9"/>
  <c r="X8" i="9"/>
  <c r="T8" i="9"/>
  <c r="P8" i="9"/>
  <c r="L8" i="9"/>
  <c r="X4" i="9"/>
  <c r="T4" i="9"/>
  <c r="P4" i="9"/>
  <c r="L4" i="9"/>
  <c r="Z8" i="9"/>
  <c r="V8" i="9"/>
  <c r="R8" i="9"/>
  <c r="Z4" i="9"/>
  <c r="V4" i="9"/>
  <c r="R4" i="9"/>
  <c r="V10" i="9"/>
  <c r="N10" i="9"/>
  <c r="Z10" i="9"/>
  <c r="R10" i="9"/>
  <c r="X10" i="9"/>
  <c r="T10" i="9"/>
  <c r="P10" i="9"/>
  <c r="N2" i="9"/>
  <c r="R2" i="9"/>
  <c r="V2" i="9"/>
  <c r="Z2" i="9"/>
  <c r="L2" i="9"/>
  <c r="P2" i="9"/>
  <c r="T2" i="9"/>
  <c r="C2" i="15" l="1"/>
  <c r="A3" i="17" l="1"/>
  <c r="B3" i="17"/>
  <c r="C3" i="17"/>
  <c r="D3" i="17"/>
  <c r="E3" i="17"/>
  <c r="F3" i="17"/>
  <c r="G3" i="17"/>
  <c r="H3" i="17"/>
  <c r="I3" i="17"/>
  <c r="J3" i="17"/>
  <c r="K3" i="17"/>
  <c r="L3" i="17"/>
  <c r="A4" i="17"/>
  <c r="B4" i="17"/>
  <c r="C4" i="17"/>
  <c r="D4" i="17"/>
  <c r="E4" i="17"/>
  <c r="F4" i="17"/>
  <c r="G4" i="17"/>
  <c r="H4" i="17"/>
  <c r="I4" i="17"/>
  <c r="J4" i="17"/>
  <c r="K4" i="17"/>
  <c r="L4" i="17"/>
  <c r="A5" i="17"/>
  <c r="B5" i="17"/>
  <c r="C5" i="17"/>
  <c r="D5" i="17"/>
  <c r="E5" i="17"/>
  <c r="F5" i="17"/>
  <c r="G5" i="17"/>
  <c r="H5" i="17"/>
  <c r="I5" i="17"/>
  <c r="J5" i="17"/>
  <c r="K5" i="17"/>
  <c r="L5" i="17"/>
  <c r="A6" i="17"/>
  <c r="B6" i="17"/>
  <c r="C6" i="17"/>
  <c r="D6" i="17"/>
  <c r="E6" i="17"/>
  <c r="F6" i="17"/>
  <c r="G6" i="17"/>
  <c r="H6" i="17"/>
  <c r="I6" i="17"/>
  <c r="J6" i="17"/>
  <c r="K6" i="17"/>
  <c r="L6" i="17"/>
  <c r="A7" i="17"/>
  <c r="B7" i="17"/>
  <c r="C7" i="17"/>
  <c r="D7" i="17"/>
  <c r="E7" i="17"/>
  <c r="F7" i="17"/>
  <c r="G7" i="17"/>
  <c r="H7" i="17"/>
  <c r="I7" i="17"/>
  <c r="J7" i="17"/>
  <c r="K7" i="17"/>
  <c r="L7" i="17"/>
  <c r="A8" i="17"/>
  <c r="B8" i="17"/>
  <c r="C8" i="17"/>
  <c r="D8" i="17"/>
  <c r="E8" i="17"/>
  <c r="F8" i="17"/>
  <c r="G8" i="17"/>
  <c r="H8" i="17"/>
  <c r="I8" i="17"/>
  <c r="J8" i="17"/>
  <c r="K8" i="17"/>
  <c r="L8" i="17"/>
  <c r="A9" i="17"/>
  <c r="B9" i="17"/>
  <c r="C9" i="17"/>
  <c r="D9" i="17"/>
  <c r="E9" i="17"/>
  <c r="F9" i="17"/>
  <c r="G9" i="17"/>
  <c r="H9" i="17"/>
  <c r="I9" i="17"/>
  <c r="J9" i="17"/>
  <c r="K9" i="17"/>
  <c r="L9" i="17"/>
  <c r="A10" i="17"/>
  <c r="B10" i="17"/>
  <c r="C10" i="17"/>
  <c r="D10" i="17"/>
  <c r="E10" i="17"/>
  <c r="F10" i="17"/>
  <c r="G10" i="17"/>
  <c r="H10" i="17"/>
  <c r="I10" i="17"/>
  <c r="J10" i="17"/>
  <c r="K10" i="17"/>
  <c r="L10" i="17"/>
  <c r="A11" i="17"/>
  <c r="B11" i="17"/>
  <c r="C11" i="17"/>
  <c r="D11" i="17"/>
  <c r="E11" i="17"/>
  <c r="F11" i="17"/>
  <c r="G11" i="17"/>
  <c r="H11" i="17"/>
  <c r="I11" i="17"/>
  <c r="J11" i="17"/>
  <c r="K11" i="17"/>
  <c r="L11" i="17"/>
  <c r="A12" i="17"/>
  <c r="B12" i="17"/>
  <c r="C12" i="17"/>
  <c r="D12" i="17"/>
  <c r="E12" i="17"/>
  <c r="F12" i="17"/>
  <c r="G12" i="17"/>
  <c r="H12" i="17"/>
  <c r="I12" i="17"/>
  <c r="J12" i="17"/>
  <c r="K12" i="17"/>
  <c r="L12" i="17"/>
  <c r="A13" i="17"/>
  <c r="B13" i="17"/>
  <c r="C13" i="17"/>
  <c r="D13" i="17"/>
  <c r="E13" i="17"/>
  <c r="F13" i="17"/>
  <c r="G13" i="17"/>
  <c r="H13" i="17"/>
  <c r="I13" i="17"/>
  <c r="J13" i="17"/>
  <c r="K13" i="17"/>
  <c r="L13" i="17"/>
  <c r="A14" i="17"/>
  <c r="B14" i="17"/>
  <c r="C14" i="17"/>
  <c r="D14" i="17"/>
  <c r="E14" i="17"/>
  <c r="F14" i="17"/>
  <c r="G14" i="17"/>
  <c r="H14" i="17"/>
  <c r="I14" i="17"/>
  <c r="J14" i="17"/>
  <c r="K14" i="17"/>
  <c r="L14" i="17"/>
  <c r="A15" i="17"/>
  <c r="B15" i="17"/>
  <c r="C15" i="17"/>
  <c r="D15" i="17"/>
  <c r="E15" i="17"/>
  <c r="F15" i="17"/>
  <c r="G15" i="17"/>
  <c r="H15" i="17"/>
  <c r="I15" i="17"/>
  <c r="J15" i="17"/>
  <c r="K15" i="17"/>
  <c r="L15" i="17"/>
  <c r="A16" i="17"/>
  <c r="B16" i="17"/>
  <c r="C16" i="17"/>
  <c r="D16" i="17"/>
  <c r="E16" i="17"/>
  <c r="F16" i="17"/>
  <c r="G16" i="17"/>
  <c r="H16" i="17"/>
  <c r="I16" i="17"/>
  <c r="J16" i="17"/>
  <c r="K16" i="17"/>
  <c r="L16" i="17"/>
  <c r="A17" i="17"/>
  <c r="B17" i="17"/>
  <c r="C17" i="17"/>
  <c r="D17" i="17"/>
  <c r="E17" i="17"/>
  <c r="F17" i="17"/>
  <c r="G17" i="17"/>
  <c r="H17" i="17"/>
  <c r="I17" i="17"/>
  <c r="J17" i="17"/>
  <c r="K17" i="17"/>
  <c r="L17" i="17"/>
  <c r="A18" i="17"/>
  <c r="B18" i="17"/>
  <c r="C18" i="17"/>
  <c r="D18" i="17"/>
  <c r="E18" i="17"/>
  <c r="F18" i="17"/>
  <c r="G18" i="17"/>
  <c r="H18" i="17"/>
  <c r="I18" i="17"/>
  <c r="J18" i="17"/>
  <c r="K18" i="17"/>
  <c r="L18" i="17"/>
  <c r="A19" i="17"/>
  <c r="B19" i="17"/>
  <c r="C19" i="17"/>
  <c r="D19" i="17"/>
  <c r="E19" i="17"/>
  <c r="F19" i="17"/>
  <c r="G19" i="17"/>
  <c r="H19" i="17"/>
  <c r="I19" i="17"/>
  <c r="J19" i="17"/>
  <c r="K19" i="17"/>
  <c r="L19" i="17"/>
  <c r="A20" i="17"/>
  <c r="B20" i="17"/>
  <c r="C20" i="17"/>
  <c r="D20" i="17"/>
  <c r="E20" i="17"/>
  <c r="F20" i="17"/>
  <c r="G20" i="17"/>
  <c r="H20" i="17"/>
  <c r="I20" i="17"/>
  <c r="J20" i="17"/>
  <c r="K20" i="17"/>
  <c r="L20" i="17"/>
  <c r="A21" i="17"/>
  <c r="B21" i="17"/>
  <c r="C21" i="17"/>
  <c r="D21" i="17"/>
  <c r="E21" i="17"/>
  <c r="F21" i="17"/>
  <c r="G21" i="17"/>
  <c r="H21" i="17"/>
  <c r="I21" i="17"/>
  <c r="J21" i="17"/>
  <c r="K21" i="17"/>
  <c r="L21" i="17"/>
  <c r="A22" i="17"/>
  <c r="B22" i="17"/>
  <c r="C22" i="17"/>
  <c r="D22" i="17"/>
  <c r="E22" i="17"/>
  <c r="F22" i="17"/>
  <c r="G22" i="17"/>
  <c r="H22" i="17"/>
  <c r="I22" i="17"/>
  <c r="J22" i="17"/>
  <c r="K22" i="17"/>
  <c r="L22" i="17"/>
  <c r="A23" i="17"/>
  <c r="B23" i="17"/>
  <c r="C23" i="17"/>
  <c r="D23" i="17"/>
  <c r="E23" i="17"/>
  <c r="F23" i="17"/>
  <c r="G23" i="17"/>
  <c r="H23" i="17"/>
  <c r="I23" i="17"/>
  <c r="J23" i="17"/>
  <c r="K23" i="17"/>
  <c r="L23" i="17"/>
  <c r="A24" i="17"/>
  <c r="B24" i="17"/>
  <c r="C24" i="17"/>
  <c r="D24" i="17"/>
  <c r="E24" i="17"/>
  <c r="F24" i="17"/>
  <c r="G24" i="17"/>
  <c r="H24" i="17"/>
  <c r="I24" i="17"/>
  <c r="J24" i="17"/>
  <c r="K24" i="17"/>
  <c r="L24" i="17"/>
  <c r="A25" i="17"/>
  <c r="B25" i="17"/>
  <c r="C25" i="17"/>
  <c r="D25" i="17"/>
  <c r="E25" i="17"/>
  <c r="F25" i="17"/>
  <c r="G25" i="17"/>
  <c r="H25" i="17"/>
  <c r="I25" i="17"/>
  <c r="J25" i="17"/>
  <c r="K25" i="17"/>
  <c r="L25" i="17"/>
  <c r="A26" i="17"/>
  <c r="B26" i="17"/>
  <c r="C26" i="17"/>
  <c r="D26" i="17"/>
  <c r="E26" i="17"/>
  <c r="F26" i="17"/>
  <c r="G26" i="17"/>
  <c r="H26" i="17"/>
  <c r="I26" i="17"/>
  <c r="J26" i="17"/>
  <c r="K26" i="17"/>
  <c r="L26" i="17"/>
  <c r="A27" i="17"/>
  <c r="B27" i="17"/>
  <c r="C27" i="17"/>
  <c r="D27" i="17"/>
  <c r="E27" i="17"/>
  <c r="F27" i="17"/>
  <c r="G27" i="17"/>
  <c r="H27" i="17"/>
  <c r="I27" i="17"/>
  <c r="J27" i="17"/>
  <c r="K27" i="17"/>
  <c r="L27" i="17"/>
  <c r="A28" i="17"/>
  <c r="B28" i="17"/>
  <c r="C28" i="17"/>
  <c r="D28" i="17"/>
  <c r="E28" i="17"/>
  <c r="F28" i="17"/>
  <c r="G28" i="17"/>
  <c r="H28" i="17"/>
  <c r="I28" i="17"/>
  <c r="J28" i="17"/>
  <c r="K28" i="17"/>
  <c r="L28" i="17"/>
  <c r="A29" i="17"/>
  <c r="B29" i="17"/>
  <c r="C29" i="17"/>
  <c r="D29" i="17"/>
  <c r="E29" i="17"/>
  <c r="F29" i="17"/>
  <c r="G29" i="17"/>
  <c r="H29" i="17"/>
  <c r="I29" i="17"/>
  <c r="J29" i="17"/>
  <c r="K29" i="17"/>
  <c r="L29" i="17"/>
  <c r="A30" i="17"/>
  <c r="B30" i="17"/>
  <c r="C30" i="17"/>
  <c r="D30" i="17"/>
  <c r="E30" i="17"/>
  <c r="F30" i="17"/>
  <c r="G30" i="17"/>
  <c r="H30" i="17"/>
  <c r="I30" i="17"/>
  <c r="J30" i="17"/>
  <c r="K30" i="17"/>
  <c r="L30" i="17"/>
  <c r="A2" i="17"/>
  <c r="L2" i="17"/>
  <c r="K2" i="17"/>
  <c r="H2" i="17"/>
  <c r="F2" i="17"/>
  <c r="C2" i="17"/>
  <c r="A25" i="16"/>
  <c r="B25" i="16"/>
  <c r="C25" i="16"/>
  <c r="D25" i="16"/>
  <c r="E25" i="16"/>
  <c r="F25" i="16"/>
  <c r="G25" i="16"/>
  <c r="H25" i="16"/>
  <c r="I25" i="16"/>
  <c r="J25" i="16"/>
  <c r="K25" i="16"/>
  <c r="L25" i="16"/>
  <c r="M25" i="16"/>
  <c r="N25" i="16"/>
  <c r="O25" i="16"/>
  <c r="A26" i="16"/>
  <c r="B26" i="16"/>
  <c r="C26" i="16"/>
  <c r="D26" i="16"/>
  <c r="E26" i="16"/>
  <c r="F26" i="16"/>
  <c r="G26" i="16"/>
  <c r="H26" i="16"/>
  <c r="I26" i="16"/>
  <c r="J26" i="16"/>
  <c r="K26" i="16"/>
  <c r="L26" i="16"/>
  <c r="M26" i="16"/>
  <c r="N26" i="16"/>
  <c r="O26" i="16"/>
  <c r="A27" i="16"/>
  <c r="B27" i="16"/>
  <c r="C27" i="16"/>
  <c r="D27" i="16"/>
  <c r="E27" i="16"/>
  <c r="F27" i="16"/>
  <c r="G27" i="16"/>
  <c r="H27" i="16"/>
  <c r="I27" i="16"/>
  <c r="J27" i="16"/>
  <c r="K27" i="16"/>
  <c r="L27" i="16"/>
  <c r="M27" i="16"/>
  <c r="N27" i="16"/>
  <c r="O27" i="16"/>
  <c r="A28" i="16"/>
  <c r="B28" i="16"/>
  <c r="C28" i="16"/>
  <c r="D28" i="16"/>
  <c r="E28" i="16"/>
  <c r="F28" i="16"/>
  <c r="G28" i="16"/>
  <c r="H28" i="16"/>
  <c r="I28" i="16"/>
  <c r="J28" i="16"/>
  <c r="K28" i="16"/>
  <c r="L28" i="16"/>
  <c r="M28" i="16"/>
  <c r="N28" i="16"/>
  <c r="O28" i="16"/>
  <c r="A29" i="16"/>
  <c r="B29" i="16"/>
  <c r="C29" i="16"/>
  <c r="D29" i="16"/>
  <c r="E29" i="16"/>
  <c r="F29" i="16"/>
  <c r="G29" i="16"/>
  <c r="H29" i="16"/>
  <c r="I29" i="16"/>
  <c r="J29" i="16"/>
  <c r="K29" i="16"/>
  <c r="L29" i="16"/>
  <c r="M29" i="16"/>
  <c r="N29" i="16"/>
  <c r="O29" i="16"/>
  <c r="A30" i="16"/>
  <c r="B30" i="16"/>
  <c r="C30" i="16"/>
  <c r="D30" i="16"/>
  <c r="E30" i="16"/>
  <c r="F30" i="16"/>
  <c r="G30" i="16"/>
  <c r="H30" i="16"/>
  <c r="I30" i="16"/>
  <c r="J30" i="16"/>
  <c r="K30" i="16"/>
  <c r="L30" i="16"/>
  <c r="M30" i="16"/>
  <c r="N30" i="16"/>
  <c r="O30" i="16"/>
  <c r="A2" i="16"/>
  <c r="B2" i="16"/>
  <c r="C2" i="16"/>
  <c r="D2" i="16"/>
  <c r="E2" i="16"/>
  <c r="F2" i="16"/>
  <c r="G2" i="16"/>
  <c r="H2" i="16"/>
  <c r="I2" i="16"/>
  <c r="J2" i="16"/>
  <c r="K2" i="16"/>
  <c r="L2" i="16"/>
  <c r="M2" i="16"/>
  <c r="N2" i="16"/>
  <c r="A3" i="16"/>
  <c r="B3" i="16"/>
  <c r="C3" i="16"/>
  <c r="D3" i="16"/>
  <c r="E3" i="16"/>
  <c r="F3" i="16"/>
  <c r="G3" i="16"/>
  <c r="H3" i="16"/>
  <c r="I3" i="16"/>
  <c r="J3" i="16"/>
  <c r="K3" i="16"/>
  <c r="L3" i="16"/>
  <c r="M3" i="16"/>
  <c r="N3" i="16"/>
  <c r="A4" i="16"/>
  <c r="B4" i="16"/>
  <c r="C4" i="16"/>
  <c r="D4" i="16"/>
  <c r="E4" i="16"/>
  <c r="F4" i="16"/>
  <c r="G4" i="16"/>
  <c r="H4" i="16"/>
  <c r="I4" i="16"/>
  <c r="J4" i="16"/>
  <c r="K4" i="16"/>
  <c r="L4" i="16"/>
  <c r="M4" i="16"/>
  <c r="N4" i="16"/>
  <c r="A5" i="16"/>
  <c r="B5" i="16"/>
  <c r="C5" i="16"/>
  <c r="D5" i="16"/>
  <c r="E5" i="16"/>
  <c r="F5" i="16"/>
  <c r="G5" i="16"/>
  <c r="H5" i="16"/>
  <c r="I5" i="16"/>
  <c r="J5" i="16"/>
  <c r="K5" i="16"/>
  <c r="L5" i="16"/>
  <c r="M5" i="16"/>
  <c r="N5" i="16"/>
  <c r="A6" i="16"/>
  <c r="B6" i="16"/>
  <c r="C6" i="16"/>
  <c r="D6" i="16"/>
  <c r="E6" i="16"/>
  <c r="F6" i="16"/>
  <c r="G6" i="16"/>
  <c r="H6" i="16"/>
  <c r="I6" i="16"/>
  <c r="J6" i="16"/>
  <c r="K6" i="16"/>
  <c r="L6" i="16"/>
  <c r="M6" i="16"/>
  <c r="N6" i="16"/>
  <c r="A7" i="16"/>
  <c r="B7" i="16"/>
  <c r="C7" i="16"/>
  <c r="D7" i="16"/>
  <c r="E7" i="16"/>
  <c r="F7" i="16"/>
  <c r="G7" i="16"/>
  <c r="H7" i="16"/>
  <c r="I7" i="16"/>
  <c r="J7" i="16"/>
  <c r="K7" i="16"/>
  <c r="L7" i="16"/>
  <c r="M7" i="16"/>
  <c r="N7" i="16"/>
  <c r="A8" i="16"/>
  <c r="B8" i="16"/>
  <c r="C8" i="16"/>
  <c r="D8" i="16"/>
  <c r="E8" i="16"/>
  <c r="F8" i="16"/>
  <c r="G8" i="16"/>
  <c r="H8" i="16"/>
  <c r="I8" i="16"/>
  <c r="J8" i="16"/>
  <c r="K8" i="16"/>
  <c r="L8" i="16"/>
  <c r="M8" i="16"/>
  <c r="N8" i="16"/>
  <c r="A9" i="16"/>
  <c r="B9" i="16"/>
  <c r="C9" i="16"/>
  <c r="D9" i="16"/>
  <c r="E9" i="16"/>
  <c r="F9" i="16"/>
  <c r="G9" i="16"/>
  <c r="H9" i="16"/>
  <c r="I9" i="16"/>
  <c r="J9" i="16"/>
  <c r="K9" i="16"/>
  <c r="L9" i="16"/>
  <c r="M9" i="16"/>
  <c r="N9" i="16"/>
  <c r="A10" i="16"/>
  <c r="B10" i="16"/>
  <c r="C10" i="16"/>
  <c r="D10" i="16"/>
  <c r="E10" i="16"/>
  <c r="F10" i="16"/>
  <c r="G10" i="16"/>
  <c r="H10" i="16"/>
  <c r="I10" i="16"/>
  <c r="J10" i="16"/>
  <c r="K10" i="16"/>
  <c r="L10" i="16"/>
  <c r="M10" i="16"/>
  <c r="N10" i="16"/>
  <c r="A11" i="16"/>
  <c r="B11" i="16"/>
  <c r="C11" i="16"/>
  <c r="D11" i="16"/>
  <c r="E11" i="16"/>
  <c r="F11" i="16"/>
  <c r="G11" i="16"/>
  <c r="H11" i="16"/>
  <c r="I11" i="16"/>
  <c r="J11" i="16"/>
  <c r="K11" i="16"/>
  <c r="L11" i="16"/>
  <c r="M11" i="16"/>
  <c r="N11" i="16"/>
  <c r="A12" i="16"/>
  <c r="B12" i="16"/>
  <c r="C12" i="16"/>
  <c r="D12" i="16"/>
  <c r="E12" i="16"/>
  <c r="F12" i="16"/>
  <c r="G12" i="16"/>
  <c r="H12" i="16"/>
  <c r="I12" i="16"/>
  <c r="J12" i="16"/>
  <c r="K12" i="16"/>
  <c r="L12" i="16"/>
  <c r="M12" i="16"/>
  <c r="N12" i="16"/>
  <c r="A13" i="16"/>
  <c r="B13" i="16"/>
  <c r="C13" i="16"/>
  <c r="D13" i="16"/>
  <c r="E13" i="16"/>
  <c r="F13" i="16"/>
  <c r="G13" i="16"/>
  <c r="H13" i="16"/>
  <c r="I13" i="16"/>
  <c r="J13" i="16"/>
  <c r="K13" i="16"/>
  <c r="L13" i="16"/>
  <c r="M13" i="16"/>
  <c r="N13" i="16"/>
  <c r="A14" i="16"/>
  <c r="C14" i="16"/>
  <c r="D14" i="16"/>
  <c r="E14" i="16"/>
  <c r="F14" i="16"/>
  <c r="G14" i="16"/>
  <c r="H14" i="16"/>
  <c r="I14" i="16"/>
  <c r="J14" i="16"/>
  <c r="K14" i="16"/>
  <c r="L14" i="16"/>
  <c r="M14" i="16"/>
  <c r="N14" i="16"/>
  <c r="O14" i="16"/>
  <c r="A15" i="16"/>
  <c r="C15" i="16"/>
  <c r="D15" i="16"/>
  <c r="E15" i="16"/>
  <c r="F15" i="16"/>
  <c r="G15" i="16"/>
  <c r="H15" i="16"/>
  <c r="I15" i="16"/>
  <c r="J15" i="16"/>
  <c r="K15" i="16"/>
  <c r="L15" i="16"/>
  <c r="M15" i="16"/>
  <c r="N15" i="16"/>
  <c r="O15" i="16"/>
  <c r="A16" i="16"/>
  <c r="B16" i="16"/>
  <c r="C16" i="16"/>
  <c r="D16" i="16"/>
  <c r="E16" i="16"/>
  <c r="F16" i="16"/>
  <c r="G16" i="16"/>
  <c r="H16" i="16"/>
  <c r="I16" i="16"/>
  <c r="J16" i="16"/>
  <c r="K16" i="16"/>
  <c r="L16" i="16"/>
  <c r="M16" i="16"/>
  <c r="N16" i="16"/>
  <c r="O16" i="16"/>
  <c r="A17" i="16"/>
  <c r="B17" i="16"/>
  <c r="C17" i="16"/>
  <c r="D17" i="16"/>
  <c r="E17" i="16"/>
  <c r="F17" i="16"/>
  <c r="G17" i="16"/>
  <c r="H17" i="16"/>
  <c r="I17" i="16"/>
  <c r="J17" i="16"/>
  <c r="K17" i="16"/>
  <c r="L17" i="16"/>
  <c r="M17" i="16"/>
  <c r="N17" i="16"/>
  <c r="O17" i="16"/>
  <c r="A18" i="16"/>
  <c r="B18" i="16"/>
  <c r="C18" i="16"/>
  <c r="D18" i="16"/>
  <c r="E18" i="16"/>
  <c r="F18" i="16"/>
  <c r="G18" i="16"/>
  <c r="H18" i="16"/>
  <c r="I18" i="16"/>
  <c r="J18" i="16"/>
  <c r="K18" i="16"/>
  <c r="L18" i="16"/>
  <c r="M18" i="16"/>
  <c r="N18" i="16"/>
  <c r="O18" i="16"/>
  <c r="A19" i="16"/>
  <c r="B19" i="16"/>
  <c r="C19" i="16"/>
  <c r="D19" i="16"/>
  <c r="E19" i="16"/>
  <c r="F19" i="16"/>
  <c r="G19" i="16"/>
  <c r="H19" i="16"/>
  <c r="I19" i="16"/>
  <c r="J19" i="16"/>
  <c r="K19" i="16"/>
  <c r="L19" i="16"/>
  <c r="M19" i="16"/>
  <c r="N19" i="16"/>
  <c r="O19" i="16"/>
  <c r="A20" i="16"/>
  <c r="B20" i="16"/>
  <c r="C20" i="16"/>
  <c r="D20" i="16"/>
  <c r="E20" i="16"/>
  <c r="F20" i="16"/>
  <c r="G20" i="16"/>
  <c r="H20" i="16"/>
  <c r="I20" i="16"/>
  <c r="J20" i="16"/>
  <c r="K20" i="16"/>
  <c r="L20" i="16"/>
  <c r="M20" i="16"/>
  <c r="N20" i="16"/>
  <c r="O20" i="16"/>
  <c r="A21" i="16"/>
  <c r="B21" i="16"/>
  <c r="C21" i="16"/>
  <c r="D21" i="16"/>
  <c r="E21" i="16"/>
  <c r="F21" i="16"/>
  <c r="G21" i="16"/>
  <c r="H21" i="16"/>
  <c r="I21" i="16"/>
  <c r="J21" i="16"/>
  <c r="K21" i="16"/>
  <c r="L21" i="16"/>
  <c r="M21" i="16"/>
  <c r="N21" i="16"/>
  <c r="O21" i="16"/>
  <c r="A22" i="16"/>
  <c r="B22" i="16"/>
  <c r="C22" i="16"/>
  <c r="D22" i="16"/>
  <c r="E22" i="16"/>
  <c r="F22" i="16"/>
  <c r="G22" i="16"/>
  <c r="H22" i="16"/>
  <c r="I22" i="16"/>
  <c r="J22" i="16"/>
  <c r="K22" i="16"/>
  <c r="L22" i="16"/>
  <c r="M22" i="16"/>
  <c r="N22" i="16"/>
  <c r="O22" i="16"/>
  <c r="A23" i="16"/>
  <c r="B23" i="16"/>
  <c r="C23" i="16"/>
  <c r="D23" i="16"/>
  <c r="E23" i="16"/>
  <c r="F23" i="16"/>
  <c r="G23" i="16"/>
  <c r="H23" i="16"/>
  <c r="I23" i="16"/>
  <c r="J23" i="16"/>
  <c r="K23" i="16"/>
  <c r="L23" i="16"/>
  <c r="M23" i="16"/>
  <c r="N23" i="16"/>
  <c r="O23" i="16"/>
  <c r="O24" i="16"/>
  <c r="N24" i="16"/>
  <c r="M24" i="16"/>
  <c r="L24" i="16"/>
  <c r="K24" i="16"/>
  <c r="J24" i="16"/>
  <c r="I24" i="16"/>
  <c r="H24" i="16"/>
  <c r="G24" i="16"/>
  <c r="F24" i="16"/>
  <c r="E24" i="16"/>
  <c r="D24" i="16"/>
  <c r="C24" i="16"/>
  <c r="B24" i="16"/>
  <c r="A24" i="16"/>
  <c r="P3" i="16"/>
  <c r="Q3" i="16"/>
  <c r="R3" i="16"/>
  <c r="S3" i="16"/>
  <c r="T3" i="16"/>
  <c r="U3" i="16"/>
  <c r="V3" i="16"/>
  <c r="W3" i="16"/>
  <c r="X3" i="16"/>
  <c r="Y3" i="16"/>
  <c r="Z3" i="16"/>
  <c r="AA3" i="16"/>
  <c r="AB3" i="16"/>
  <c r="AC3" i="16"/>
  <c r="P4" i="16"/>
  <c r="Q4" i="16"/>
  <c r="R4" i="16"/>
  <c r="S4" i="16"/>
  <c r="T4" i="16"/>
  <c r="U4" i="16"/>
  <c r="V4" i="16"/>
  <c r="W4" i="16"/>
  <c r="X4" i="16"/>
  <c r="Y4" i="16"/>
  <c r="Z4" i="16"/>
  <c r="AA4" i="16"/>
  <c r="AB4" i="16"/>
  <c r="AC4" i="16"/>
  <c r="P5" i="16"/>
  <c r="Q5" i="16"/>
  <c r="R5" i="16"/>
  <c r="S5" i="16"/>
  <c r="T5" i="16"/>
  <c r="U5" i="16"/>
  <c r="V5" i="16"/>
  <c r="W5" i="16"/>
  <c r="X5" i="16"/>
  <c r="Y5" i="16"/>
  <c r="Z5" i="16"/>
  <c r="AA5" i="16"/>
  <c r="AB5" i="16"/>
  <c r="AC5" i="16"/>
  <c r="P6" i="16"/>
  <c r="R6" i="16"/>
  <c r="S6" i="16"/>
  <c r="T6" i="16"/>
  <c r="U6" i="16"/>
  <c r="V6" i="16"/>
  <c r="W6" i="16"/>
  <c r="X6" i="16"/>
  <c r="Y6" i="16"/>
  <c r="Z6" i="16"/>
  <c r="AA6" i="16"/>
  <c r="AB6" i="16"/>
  <c r="AC6" i="16"/>
  <c r="P7" i="16"/>
  <c r="R7" i="16"/>
  <c r="S7" i="16"/>
  <c r="T7" i="16"/>
  <c r="U7" i="16"/>
  <c r="V7" i="16"/>
  <c r="W7" i="16"/>
  <c r="X7" i="16"/>
  <c r="Y7" i="16"/>
  <c r="Z7" i="16"/>
  <c r="AA7" i="16"/>
  <c r="AB7" i="16"/>
  <c r="AC7" i="16"/>
  <c r="P8" i="16"/>
  <c r="R8" i="16"/>
  <c r="S8" i="16"/>
  <c r="T8" i="16"/>
  <c r="U8" i="16"/>
  <c r="V8" i="16"/>
  <c r="W8" i="16"/>
  <c r="X8" i="16"/>
  <c r="Y8" i="16"/>
  <c r="Z8" i="16"/>
  <c r="AA8" i="16"/>
  <c r="AB8" i="16"/>
  <c r="AC8" i="16"/>
  <c r="P9" i="16"/>
  <c r="R9" i="16"/>
  <c r="S9" i="16"/>
  <c r="T9" i="16"/>
  <c r="U9" i="16"/>
  <c r="V9" i="16"/>
  <c r="W9" i="16"/>
  <c r="X9" i="16"/>
  <c r="Y9" i="16"/>
  <c r="Z9" i="16"/>
  <c r="AA9" i="16"/>
  <c r="AB9" i="16"/>
  <c r="AC9" i="16"/>
  <c r="AD9" i="16"/>
  <c r="P10" i="16"/>
  <c r="R10" i="16"/>
  <c r="S10" i="16"/>
  <c r="T10" i="16"/>
  <c r="U10" i="16"/>
  <c r="V10" i="16"/>
  <c r="W10" i="16"/>
  <c r="X10" i="16"/>
  <c r="Y10" i="16"/>
  <c r="Z10" i="16"/>
  <c r="AA10" i="16"/>
  <c r="AB10" i="16"/>
  <c r="AC10" i="16"/>
  <c r="AD10" i="16"/>
  <c r="P11" i="16"/>
  <c r="R11" i="16"/>
  <c r="S11" i="16"/>
  <c r="T11" i="16"/>
  <c r="U11" i="16"/>
  <c r="V11" i="16"/>
  <c r="W11" i="16"/>
  <c r="X11" i="16"/>
  <c r="Y11" i="16"/>
  <c r="Z11" i="16"/>
  <c r="AA11" i="16"/>
  <c r="AB11" i="16"/>
  <c r="AC11" i="16"/>
  <c r="AD11" i="16"/>
  <c r="P12" i="16"/>
  <c r="R12" i="16"/>
  <c r="S12" i="16"/>
  <c r="T12" i="16"/>
  <c r="U12" i="16"/>
  <c r="V12" i="16"/>
  <c r="W12" i="16"/>
  <c r="X12" i="16"/>
  <c r="Y12" i="16"/>
  <c r="Z12" i="16"/>
  <c r="AA12" i="16"/>
  <c r="AB12" i="16"/>
  <c r="AC12" i="16"/>
  <c r="AD12" i="16"/>
  <c r="P13" i="16"/>
  <c r="R13" i="16"/>
  <c r="S13" i="16"/>
  <c r="T13" i="16"/>
  <c r="U13" i="16"/>
  <c r="V13" i="16"/>
  <c r="W13" i="16"/>
  <c r="X13" i="16"/>
  <c r="Y13" i="16"/>
  <c r="Z13" i="16"/>
  <c r="AA13" i="16"/>
  <c r="AB13" i="16"/>
  <c r="AC13" i="16"/>
  <c r="AD13" i="16"/>
  <c r="P14" i="16"/>
  <c r="Q14" i="16"/>
  <c r="R14" i="16"/>
  <c r="S14" i="16"/>
  <c r="T14" i="16"/>
  <c r="U14" i="16"/>
  <c r="V14" i="16"/>
  <c r="W14" i="16"/>
  <c r="X14" i="16"/>
  <c r="Y14" i="16"/>
  <c r="Z14" i="16"/>
  <c r="AA14" i="16"/>
  <c r="AB14" i="16"/>
  <c r="AC14" i="16"/>
  <c r="AD14" i="16"/>
  <c r="P15" i="16"/>
  <c r="Q15" i="16"/>
  <c r="R15" i="16"/>
  <c r="S15" i="16"/>
  <c r="T15" i="16"/>
  <c r="U15" i="16"/>
  <c r="V15" i="16"/>
  <c r="W15" i="16"/>
  <c r="X15" i="16"/>
  <c r="Y15" i="16"/>
  <c r="Z15" i="16"/>
  <c r="AA15" i="16"/>
  <c r="AB15" i="16"/>
  <c r="AC15" i="16"/>
  <c r="AD15" i="16"/>
  <c r="P16" i="16"/>
  <c r="Q16" i="16"/>
  <c r="R16" i="16"/>
  <c r="S16" i="16"/>
  <c r="T16" i="16"/>
  <c r="U16" i="16"/>
  <c r="V16" i="16"/>
  <c r="W16" i="16"/>
  <c r="X16" i="16"/>
  <c r="Y16" i="16"/>
  <c r="Z16" i="16"/>
  <c r="AA16" i="16"/>
  <c r="AB16" i="16"/>
  <c r="AC16" i="16"/>
  <c r="AD16" i="16"/>
  <c r="P17" i="16"/>
  <c r="Q17" i="16"/>
  <c r="R17" i="16"/>
  <c r="S17" i="16"/>
  <c r="T17" i="16"/>
  <c r="U17" i="16"/>
  <c r="V17" i="16"/>
  <c r="W17" i="16"/>
  <c r="X17" i="16"/>
  <c r="Y17" i="16"/>
  <c r="Z17" i="16"/>
  <c r="AA17" i="16"/>
  <c r="AB17" i="16"/>
  <c r="AC17" i="16"/>
  <c r="AD17" i="16"/>
  <c r="P18" i="16"/>
  <c r="Q18" i="16"/>
  <c r="R18" i="16"/>
  <c r="S18" i="16"/>
  <c r="T18" i="16"/>
  <c r="U18" i="16"/>
  <c r="V18" i="16"/>
  <c r="W18" i="16"/>
  <c r="X18" i="16"/>
  <c r="Y18" i="16"/>
  <c r="Z18" i="16"/>
  <c r="AA18" i="16"/>
  <c r="AB18" i="16"/>
  <c r="AC18" i="16"/>
  <c r="AD18" i="16"/>
  <c r="P19" i="16"/>
  <c r="Q19" i="16"/>
  <c r="R19" i="16"/>
  <c r="S19" i="16"/>
  <c r="T19" i="16"/>
  <c r="U19" i="16"/>
  <c r="V19" i="16"/>
  <c r="W19" i="16"/>
  <c r="X19" i="16"/>
  <c r="Y19" i="16"/>
  <c r="Z19" i="16"/>
  <c r="AA19" i="16"/>
  <c r="AB19" i="16"/>
  <c r="AC19" i="16"/>
  <c r="AD19" i="16"/>
  <c r="P20" i="16"/>
  <c r="Q20" i="16"/>
  <c r="R20" i="16"/>
  <c r="S20" i="16"/>
  <c r="T20" i="16"/>
  <c r="U20" i="16"/>
  <c r="V20" i="16"/>
  <c r="W20" i="16"/>
  <c r="X20" i="16"/>
  <c r="Y20" i="16"/>
  <c r="Z20" i="16"/>
  <c r="AA20" i="16"/>
  <c r="AB20" i="16"/>
  <c r="AC20" i="16"/>
  <c r="AD20" i="16"/>
  <c r="P21" i="16"/>
  <c r="Q21" i="16"/>
  <c r="R21" i="16"/>
  <c r="S21" i="16"/>
  <c r="T21" i="16"/>
  <c r="U21" i="16"/>
  <c r="V21" i="16"/>
  <c r="W21" i="16"/>
  <c r="X21" i="16"/>
  <c r="Y21" i="16"/>
  <c r="Z21" i="16"/>
  <c r="AA21" i="16"/>
  <c r="AB21" i="16"/>
  <c r="AC21" i="16"/>
  <c r="AD21" i="16"/>
  <c r="P22" i="16"/>
  <c r="Q22" i="16"/>
  <c r="R22" i="16"/>
  <c r="S22" i="16"/>
  <c r="T22" i="16"/>
  <c r="U22" i="16"/>
  <c r="V22" i="16"/>
  <c r="W22" i="16"/>
  <c r="X22" i="16"/>
  <c r="Y22" i="16"/>
  <c r="Z22" i="16"/>
  <c r="AA22" i="16"/>
  <c r="AB22" i="16"/>
  <c r="AC22" i="16"/>
  <c r="AD22" i="16"/>
  <c r="P23" i="16"/>
  <c r="Q23" i="16"/>
  <c r="R23" i="16"/>
  <c r="S23" i="16"/>
  <c r="T23" i="16"/>
  <c r="U23" i="16"/>
  <c r="V23" i="16"/>
  <c r="W23" i="16"/>
  <c r="X23" i="16"/>
  <c r="Y23" i="16"/>
  <c r="Z23" i="16"/>
  <c r="AA23" i="16"/>
  <c r="AB23" i="16"/>
  <c r="AC23" i="16"/>
  <c r="AD23" i="16"/>
  <c r="P24" i="16"/>
  <c r="Q24" i="16"/>
  <c r="R24" i="16"/>
  <c r="S24" i="16"/>
  <c r="T24" i="16"/>
  <c r="U24" i="16"/>
  <c r="V24" i="16"/>
  <c r="W24" i="16"/>
  <c r="X24" i="16"/>
  <c r="Y24" i="16"/>
  <c r="Z24" i="16"/>
  <c r="AA24" i="16"/>
  <c r="AB24" i="16"/>
  <c r="AC24" i="16"/>
  <c r="AD24" i="16"/>
  <c r="P25" i="16"/>
  <c r="Q25" i="16"/>
  <c r="R25" i="16"/>
  <c r="S25" i="16"/>
  <c r="T25" i="16"/>
  <c r="U25" i="16"/>
  <c r="V25" i="16"/>
  <c r="W25" i="16"/>
  <c r="X25" i="16"/>
  <c r="Y25" i="16"/>
  <c r="Z25" i="16"/>
  <c r="AA25" i="16"/>
  <c r="AB25" i="16"/>
  <c r="AC25" i="16"/>
  <c r="AD25" i="16"/>
  <c r="P26" i="16"/>
  <c r="Q26" i="16"/>
  <c r="R26" i="16"/>
  <c r="S26" i="16"/>
  <c r="T26" i="16"/>
  <c r="U26" i="16"/>
  <c r="V26" i="16"/>
  <c r="W26" i="16"/>
  <c r="X26" i="16"/>
  <c r="Y26" i="16"/>
  <c r="Z26" i="16"/>
  <c r="AA26" i="16"/>
  <c r="AB26" i="16"/>
  <c r="AC26" i="16"/>
  <c r="AD26" i="16"/>
  <c r="P27" i="16"/>
  <c r="Q27" i="16"/>
  <c r="R27" i="16"/>
  <c r="S27" i="16"/>
  <c r="T27" i="16"/>
  <c r="U27" i="16"/>
  <c r="V27" i="16"/>
  <c r="W27" i="16"/>
  <c r="X27" i="16"/>
  <c r="Y27" i="16"/>
  <c r="Z27" i="16"/>
  <c r="AA27" i="16"/>
  <c r="AB27" i="16"/>
  <c r="AC27" i="16"/>
  <c r="AD27" i="16"/>
  <c r="P28" i="16"/>
  <c r="Q28" i="16"/>
  <c r="R28" i="16"/>
  <c r="S28" i="16"/>
  <c r="T28" i="16"/>
  <c r="U28" i="16"/>
  <c r="V28" i="16"/>
  <c r="W28" i="16"/>
  <c r="X28" i="16"/>
  <c r="Y28" i="16"/>
  <c r="Z28" i="16"/>
  <c r="AA28" i="16"/>
  <c r="AB28" i="16"/>
  <c r="AC28" i="16"/>
  <c r="AD28" i="16"/>
  <c r="P29" i="16"/>
  <c r="Q29" i="16"/>
  <c r="R29" i="16"/>
  <c r="S29" i="16"/>
  <c r="T29" i="16"/>
  <c r="U29" i="16"/>
  <c r="V29" i="16"/>
  <c r="W29" i="16"/>
  <c r="X29" i="16"/>
  <c r="Y29" i="16"/>
  <c r="Z29" i="16"/>
  <c r="AA29" i="16"/>
  <c r="AB29" i="16"/>
  <c r="AC29" i="16"/>
  <c r="AD29" i="16"/>
  <c r="P30" i="16"/>
  <c r="Q30" i="16"/>
  <c r="R30" i="16"/>
  <c r="S30" i="16"/>
  <c r="T30" i="16"/>
  <c r="U30" i="16"/>
  <c r="V30" i="16"/>
  <c r="W30" i="16"/>
  <c r="X30" i="16"/>
  <c r="Y30" i="16"/>
  <c r="Z30" i="16"/>
  <c r="AA30" i="16"/>
  <c r="AB30" i="16"/>
  <c r="AC30" i="16"/>
  <c r="AD30" i="16"/>
  <c r="AC2" i="16"/>
  <c r="AB2" i="16"/>
  <c r="AA2" i="16"/>
  <c r="Z2" i="16"/>
  <c r="Y2" i="16"/>
  <c r="X2" i="16"/>
  <c r="W2" i="16"/>
  <c r="V2" i="16"/>
  <c r="U2" i="16"/>
  <c r="T2" i="16"/>
  <c r="S2" i="16"/>
  <c r="R2" i="16"/>
  <c r="Q2" i="16"/>
  <c r="P2" i="16"/>
  <c r="F2" i="18" l="1"/>
  <c r="E2" i="18"/>
  <c r="C2" i="18"/>
  <c r="B2" i="18" l="1"/>
  <c r="A2" i="18"/>
  <c r="J2" i="17" l="1"/>
  <c r="I2" i="17"/>
  <c r="G2" i="17"/>
  <c r="E2" i="17"/>
  <c r="D2" i="17"/>
  <c r="B2" i="17"/>
  <c r="E2" i="15"/>
  <c r="D2" i="15"/>
  <c r="B2" i="15"/>
  <c r="A2" i="15"/>
  <c r="G3" i="13" l="1"/>
  <c r="G4" i="13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" i="13"/>
  <c r="E3" i="13"/>
  <c r="E4" i="13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" i="13"/>
  <c r="C3" i="13"/>
  <c r="D3" i="13"/>
  <c r="C4" i="13"/>
  <c r="D4" i="13"/>
  <c r="C5" i="13"/>
  <c r="D5" i="13"/>
  <c r="C6" i="13"/>
  <c r="D6" i="13"/>
  <c r="C7" i="13"/>
  <c r="D7" i="13"/>
  <c r="C8" i="13"/>
  <c r="D8" i="13"/>
  <c r="C9" i="13"/>
  <c r="D9" i="13"/>
  <c r="C10" i="13"/>
  <c r="D10" i="13"/>
  <c r="C11" i="13"/>
  <c r="D11" i="13"/>
  <c r="C12" i="13"/>
  <c r="D12" i="13"/>
  <c r="C13" i="13"/>
  <c r="D13" i="13"/>
  <c r="C14" i="13"/>
  <c r="D14" i="13"/>
  <c r="C15" i="13"/>
  <c r="D15" i="13"/>
  <c r="C16" i="13"/>
  <c r="D16" i="13"/>
  <c r="C17" i="13"/>
  <c r="D17" i="13"/>
  <c r="C18" i="13"/>
  <c r="D18" i="13"/>
  <c r="C19" i="13"/>
  <c r="D19" i="13"/>
  <c r="C20" i="13"/>
  <c r="D20" i="13"/>
  <c r="C21" i="13"/>
  <c r="D21" i="13"/>
  <c r="C22" i="13"/>
  <c r="D22" i="13"/>
  <c r="C23" i="13"/>
  <c r="D23" i="13"/>
  <c r="C24" i="13"/>
  <c r="D24" i="13"/>
  <c r="C2" i="13"/>
  <c r="H24" i="13"/>
  <c r="F24" i="13"/>
  <c r="B24" i="13"/>
  <c r="A24" i="13"/>
  <c r="H23" i="13"/>
  <c r="F23" i="13"/>
  <c r="B23" i="13"/>
  <c r="A23" i="13"/>
  <c r="H22" i="13"/>
  <c r="F22" i="13"/>
  <c r="B22" i="13"/>
  <c r="A22" i="13"/>
  <c r="H21" i="13"/>
  <c r="F21" i="13"/>
  <c r="B21" i="13"/>
  <c r="A21" i="13"/>
  <c r="H20" i="13"/>
  <c r="F20" i="13"/>
  <c r="B20" i="13"/>
  <c r="A20" i="13"/>
  <c r="H19" i="13"/>
  <c r="F19" i="13"/>
  <c r="B19" i="13"/>
  <c r="A19" i="13"/>
  <c r="H18" i="13"/>
  <c r="F18" i="13"/>
  <c r="B18" i="13"/>
  <c r="A18" i="13"/>
  <c r="H17" i="13"/>
  <c r="F17" i="13"/>
  <c r="B17" i="13"/>
  <c r="A17" i="13"/>
  <c r="H16" i="13"/>
  <c r="F16" i="13"/>
  <c r="B16" i="13"/>
  <c r="A16" i="13"/>
  <c r="H15" i="13"/>
  <c r="F15" i="13"/>
  <c r="B15" i="13"/>
  <c r="A15" i="13"/>
  <c r="H14" i="13"/>
  <c r="F14" i="13"/>
  <c r="B14" i="13"/>
  <c r="A14" i="13"/>
  <c r="H13" i="13"/>
  <c r="F13" i="13"/>
  <c r="B13" i="13"/>
  <c r="A13" i="13"/>
  <c r="H12" i="13"/>
  <c r="F12" i="13"/>
  <c r="B12" i="13"/>
  <c r="A12" i="13"/>
  <c r="H11" i="13"/>
  <c r="F11" i="13"/>
  <c r="B11" i="13"/>
  <c r="A11" i="13"/>
  <c r="H10" i="13"/>
  <c r="F10" i="13"/>
  <c r="B10" i="13"/>
  <c r="A10" i="13"/>
  <c r="H9" i="13"/>
  <c r="F9" i="13"/>
  <c r="B9" i="13"/>
  <c r="A9" i="13"/>
  <c r="H8" i="13"/>
  <c r="F8" i="13"/>
  <c r="B8" i="13"/>
  <c r="A8" i="13"/>
  <c r="H7" i="13"/>
  <c r="F7" i="13"/>
  <c r="B7" i="13"/>
  <c r="A7" i="13"/>
  <c r="H6" i="13"/>
  <c r="F6" i="13"/>
  <c r="B6" i="13"/>
  <c r="A6" i="13"/>
  <c r="H5" i="13"/>
  <c r="F5" i="13"/>
  <c r="B5" i="13"/>
  <c r="A5" i="13"/>
  <c r="H4" i="13"/>
  <c r="F4" i="13"/>
  <c r="B4" i="13"/>
  <c r="A4" i="13"/>
  <c r="H3" i="13"/>
  <c r="F3" i="13"/>
  <c r="B3" i="13"/>
  <c r="A3" i="13"/>
  <c r="H2" i="13"/>
  <c r="F2" i="13"/>
  <c r="D2" i="13"/>
  <c r="B2" i="13"/>
  <c r="A2" i="13"/>
  <c r="B30" i="12" l="1"/>
  <c r="B29" i="12"/>
  <c r="B28" i="12"/>
  <c r="B27" i="12"/>
  <c r="B26" i="12"/>
  <c r="B25" i="12"/>
  <c r="B24" i="12"/>
  <c r="B23" i="12"/>
  <c r="B22" i="12"/>
  <c r="B21" i="12"/>
  <c r="B20" i="12"/>
  <c r="B19" i="12"/>
  <c r="B18" i="12"/>
  <c r="B17" i="12"/>
  <c r="B16" i="12"/>
  <c r="B15" i="12"/>
  <c r="B14" i="12"/>
  <c r="B13" i="12"/>
  <c r="B12" i="12"/>
  <c r="B11" i="12"/>
  <c r="B10" i="12"/>
  <c r="B9" i="12"/>
  <c r="B8" i="12"/>
  <c r="B7" i="12"/>
  <c r="B6" i="12"/>
  <c r="B5" i="12"/>
  <c r="B4" i="12"/>
  <c r="B3" i="12"/>
  <c r="B2" i="12"/>
  <c r="H3" i="12"/>
  <c r="I3" i="12"/>
  <c r="H4" i="12"/>
  <c r="I4" i="12"/>
  <c r="H5" i="12"/>
  <c r="I5" i="12"/>
  <c r="H6" i="12"/>
  <c r="I6" i="12"/>
  <c r="H7" i="12"/>
  <c r="I7" i="12"/>
  <c r="H8" i="12"/>
  <c r="I8" i="12"/>
  <c r="H9" i="12"/>
  <c r="I9" i="12"/>
  <c r="H10" i="12"/>
  <c r="I10" i="12"/>
  <c r="H11" i="12"/>
  <c r="I11" i="12"/>
  <c r="H12" i="12"/>
  <c r="I12" i="12"/>
  <c r="H13" i="12"/>
  <c r="I13" i="12"/>
  <c r="H14" i="12"/>
  <c r="I14" i="12"/>
  <c r="H15" i="12"/>
  <c r="I15" i="12"/>
  <c r="H16" i="12"/>
  <c r="I16" i="12"/>
  <c r="H17" i="12"/>
  <c r="I17" i="12"/>
  <c r="H18" i="12"/>
  <c r="I18" i="12"/>
  <c r="H19" i="12"/>
  <c r="I19" i="12"/>
  <c r="H20" i="12"/>
  <c r="I20" i="12"/>
  <c r="H21" i="12"/>
  <c r="I21" i="12"/>
  <c r="H22" i="12"/>
  <c r="I22" i="12"/>
  <c r="H23" i="12"/>
  <c r="I23" i="12"/>
  <c r="H24" i="12"/>
  <c r="I24" i="12"/>
  <c r="H25" i="12"/>
  <c r="I25" i="12"/>
  <c r="H26" i="12"/>
  <c r="I26" i="12"/>
  <c r="H27" i="12"/>
  <c r="I27" i="12"/>
  <c r="H28" i="12"/>
  <c r="I28" i="12"/>
  <c r="H29" i="12"/>
  <c r="I29" i="12"/>
  <c r="H30" i="12"/>
  <c r="I30" i="12"/>
  <c r="I2" i="12"/>
  <c r="H2" i="12"/>
  <c r="A3" i="12"/>
  <c r="C3" i="12"/>
  <c r="D3" i="12"/>
  <c r="E3" i="12"/>
  <c r="F3" i="12"/>
  <c r="G3" i="12"/>
  <c r="A4" i="12"/>
  <c r="C4" i="12"/>
  <c r="D4" i="12"/>
  <c r="E4" i="12"/>
  <c r="F4" i="12"/>
  <c r="G4" i="12"/>
  <c r="A5" i="12"/>
  <c r="C5" i="12"/>
  <c r="D5" i="12"/>
  <c r="E5" i="12"/>
  <c r="F5" i="12"/>
  <c r="G5" i="12"/>
  <c r="A6" i="12"/>
  <c r="C6" i="12"/>
  <c r="D6" i="12"/>
  <c r="E6" i="12"/>
  <c r="F6" i="12"/>
  <c r="G6" i="12"/>
  <c r="A7" i="12"/>
  <c r="C7" i="12"/>
  <c r="D7" i="12"/>
  <c r="E7" i="12"/>
  <c r="F7" i="12"/>
  <c r="G7" i="12"/>
  <c r="A8" i="12"/>
  <c r="C8" i="12"/>
  <c r="D8" i="12"/>
  <c r="E8" i="12"/>
  <c r="F8" i="12"/>
  <c r="G8" i="12"/>
  <c r="A9" i="12"/>
  <c r="C9" i="12"/>
  <c r="D9" i="12"/>
  <c r="E9" i="12"/>
  <c r="F9" i="12"/>
  <c r="G9" i="12"/>
  <c r="A10" i="12"/>
  <c r="C10" i="12"/>
  <c r="D10" i="12"/>
  <c r="E10" i="12"/>
  <c r="F10" i="12"/>
  <c r="G10" i="12"/>
  <c r="A11" i="12"/>
  <c r="C11" i="12"/>
  <c r="D11" i="12"/>
  <c r="E11" i="12"/>
  <c r="F11" i="12"/>
  <c r="G11" i="12"/>
  <c r="A12" i="12"/>
  <c r="C12" i="12"/>
  <c r="D12" i="12"/>
  <c r="E12" i="12"/>
  <c r="F12" i="12"/>
  <c r="G12" i="12"/>
  <c r="A13" i="12"/>
  <c r="C13" i="12"/>
  <c r="D13" i="12"/>
  <c r="E13" i="12"/>
  <c r="F13" i="12"/>
  <c r="G13" i="12"/>
  <c r="A14" i="12"/>
  <c r="C14" i="12"/>
  <c r="D14" i="12"/>
  <c r="E14" i="12"/>
  <c r="F14" i="12"/>
  <c r="G14" i="12"/>
  <c r="A15" i="12"/>
  <c r="C15" i="12"/>
  <c r="D15" i="12"/>
  <c r="E15" i="12"/>
  <c r="F15" i="12"/>
  <c r="G15" i="12"/>
  <c r="A16" i="12"/>
  <c r="C16" i="12"/>
  <c r="D16" i="12"/>
  <c r="E16" i="12"/>
  <c r="F16" i="12"/>
  <c r="G16" i="12"/>
  <c r="A17" i="12"/>
  <c r="C17" i="12"/>
  <c r="D17" i="12"/>
  <c r="E17" i="12"/>
  <c r="F17" i="12"/>
  <c r="G17" i="12"/>
  <c r="A18" i="12"/>
  <c r="C18" i="12"/>
  <c r="D18" i="12"/>
  <c r="E18" i="12"/>
  <c r="F18" i="12"/>
  <c r="G18" i="12"/>
  <c r="A19" i="12"/>
  <c r="C19" i="12"/>
  <c r="D19" i="12"/>
  <c r="E19" i="12"/>
  <c r="F19" i="12"/>
  <c r="G19" i="12"/>
  <c r="A20" i="12"/>
  <c r="C20" i="12"/>
  <c r="D20" i="12"/>
  <c r="E20" i="12"/>
  <c r="F20" i="12"/>
  <c r="G20" i="12"/>
  <c r="A21" i="12"/>
  <c r="C21" i="12"/>
  <c r="D21" i="12"/>
  <c r="E21" i="12"/>
  <c r="F21" i="12"/>
  <c r="G21" i="12"/>
  <c r="A22" i="12"/>
  <c r="C22" i="12"/>
  <c r="D22" i="12"/>
  <c r="E22" i="12"/>
  <c r="F22" i="12"/>
  <c r="G22" i="12"/>
  <c r="A23" i="12"/>
  <c r="C23" i="12"/>
  <c r="D23" i="12"/>
  <c r="E23" i="12"/>
  <c r="F23" i="12"/>
  <c r="G23" i="12"/>
  <c r="A24" i="12"/>
  <c r="C24" i="12"/>
  <c r="D24" i="12"/>
  <c r="E24" i="12"/>
  <c r="F24" i="12"/>
  <c r="G24" i="12"/>
  <c r="A25" i="12"/>
  <c r="C25" i="12"/>
  <c r="D25" i="12"/>
  <c r="E25" i="12"/>
  <c r="F25" i="12"/>
  <c r="G25" i="12"/>
  <c r="A26" i="12"/>
  <c r="C26" i="12"/>
  <c r="D26" i="12"/>
  <c r="E26" i="12"/>
  <c r="F26" i="12"/>
  <c r="G26" i="12"/>
  <c r="A27" i="12"/>
  <c r="C27" i="12"/>
  <c r="D27" i="12"/>
  <c r="E27" i="12"/>
  <c r="F27" i="12"/>
  <c r="G27" i="12"/>
  <c r="A28" i="12"/>
  <c r="C28" i="12"/>
  <c r="D28" i="12"/>
  <c r="E28" i="12"/>
  <c r="F28" i="12"/>
  <c r="G28" i="12"/>
  <c r="A29" i="12"/>
  <c r="C29" i="12"/>
  <c r="D29" i="12"/>
  <c r="E29" i="12"/>
  <c r="F29" i="12"/>
  <c r="G29" i="12"/>
  <c r="A30" i="12"/>
  <c r="C30" i="12"/>
  <c r="D30" i="12"/>
  <c r="E30" i="12"/>
  <c r="F30" i="12"/>
  <c r="G30" i="12"/>
  <c r="G2" i="12"/>
  <c r="E2" i="12"/>
  <c r="C2" i="12"/>
  <c r="F2" i="12"/>
  <c r="D2" i="12"/>
  <c r="A2" i="12"/>
  <c r="L2" i="3"/>
  <c r="A3" i="3"/>
  <c r="B3" i="3"/>
  <c r="C3" i="3"/>
  <c r="D3" i="3"/>
  <c r="E3" i="3"/>
  <c r="F3" i="3"/>
  <c r="G3" i="3"/>
  <c r="H3" i="3"/>
  <c r="I3" i="3"/>
  <c r="J3" i="3"/>
  <c r="K3" i="3"/>
  <c r="L3" i="3"/>
  <c r="A4" i="3"/>
  <c r="B4" i="3"/>
  <c r="C4" i="3"/>
  <c r="D4" i="3"/>
  <c r="E4" i="3"/>
  <c r="F4" i="3"/>
  <c r="G4" i="3"/>
  <c r="H4" i="3"/>
  <c r="I4" i="3"/>
  <c r="J4" i="3"/>
  <c r="K4" i="3"/>
  <c r="L4" i="3"/>
  <c r="A5" i="3"/>
  <c r="B5" i="3"/>
  <c r="C5" i="3"/>
  <c r="D5" i="3"/>
  <c r="E5" i="3"/>
  <c r="F5" i="3"/>
  <c r="G5" i="3"/>
  <c r="H5" i="3"/>
  <c r="I5" i="3"/>
  <c r="J5" i="3"/>
  <c r="K5" i="3"/>
  <c r="L5" i="3"/>
  <c r="A6" i="3"/>
  <c r="B6" i="3"/>
  <c r="C6" i="3"/>
  <c r="D6" i="3"/>
  <c r="E6" i="3"/>
  <c r="F6" i="3"/>
  <c r="G6" i="3"/>
  <c r="H6" i="3"/>
  <c r="I6" i="3"/>
  <c r="J6" i="3"/>
  <c r="K6" i="3"/>
  <c r="L6" i="3"/>
  <c r="A7" i="3"/>
  <c r="B7" i="3"/>
  <c r="C7" i="3"/>
  <c r="D7" i="3"/>
  <c r="E7" i="3"/>
  <c r="F7" i="3"/>
  <c r="G7" i="3"/>
  <c r="H7" i="3"/>
  <c r="I7" i="3"/>
  <c r="J7" i="3"/>
  <c r="K7" i="3"/>
  <c r="L7" i="3"/>
  <c r="A8" i="3"/>
  <c r="B8" i="3"/>
  <c r="C8" i="3"/>
  <c r="D8" i="3"/>
  <c r="E8" i="3"/>
  <c r="F8" i="3"/>
  <c r="G8" i="3"/>
  <c r="H8" i="3"/>
  <c r="I8" i="3"/>
  <c r="J8" i="3"/>
  <c r="K8" i="3"/>
  <c r="L8" i="3"/>
  <c r="A9" i="3"/>
  <c r="B9" i="3"/>
  <c r="C9" i="3"/>
  <c r="D9" i="3"/>
  <c r="E9" i="3"/>
  <c r="F9" i="3"/>
  <c r="G9" i="3"/>
  <c r="H9" i="3"/>
  <c r="I9" i="3"/>
  <c r="J9" i="3"/>
  <c r="K9" i="3"/>
  <c r="L9" i="3"/>
  <c r="A10" i="3"/>
  <c r="B10" i="3"/>
  <c r="C10" i="3"/>
  <c r="D10" i="3"/>
  <c r="E10" i="3"/>
  <c r="F10" i="3"/>
  <c r="G10" i="3"/>
  <c r="H10" i="3"/>
  <c r="I10" i="3"/>
  <c r="J10" i="3"/>
  <c r="K10" i="3"/>
  <c r="L10" i="3"/>
  <c r="A11" i="3"/>
  <c r="B11" i="3"/>
  <c r="C11" i="3"/>
  <c r="D11" i="3"/>
  <c r="E11" i="3"/>
  <c r="F11" i="3"/>
  <c r="G11" i="3"/>
  <c r="H11" i="3"/>
  <c r="I11" i="3"/>
  <c r="J11" i="3"/>
  <c r="K11" i="3"/>
  <c r="L11" i="3"/>
  <c r="A12" i="3"/>
  <c r="B12" i="3"/>
  <c r="C12" i="3"/>
  <c r="D12" i="3"/>
  <c r="E12" i="3"/>
  <c r="F12" i="3"/>
  <c r="G12" i="3"/>
  <c r="H12" i="3"/>
  <c r="I12" i="3"/>
  <c r="J12" i="3"/>
  <c r="K12" i="3"/>
  <c r="L12" i="3"/>
  <c r="A13" i="3"/>
  <c r="B13" i="3"/>
  <c r="C13" i="3"/>
  <c r="D13" i="3"/>
  <c r="E13" i="3"/>
  <c r="F13" i="3"/>
  <c r="G13" i="3"/>
  <c r="H13" i="3"/>
  <c r="I13" i="3"/>
  <c r="J13" i="3"/>
  <c r="K13" i="3"/>
  <c r="L13" i="3"/>
  <c r="A14" i="3"/>
  <c r="B14" i="3"/>
  <c r="C14" i="3"/>
  <c r="D14" i="3"/>
  <c r="E14" i="3"/>
  <c r="F14" i="3"/>
  <c r="G14" i="3"/>
  <c r="H14" i="3"/>
  <c r="I14" i="3"/>
  <c r="J14" i="3"/>
  <c r="K14" i="3"/>
  <c r="L14" i="3"/>
  <c r="A15" i="3"/>
  <c r="B15" i="3"/>
  <c r="C15" i="3"/>
  <c r="D15" i="3"/>
  <c r="E15" i="3"/>
  <c r="F15" i="3"/>
  <c r="G15" i="3"/>
  <c r="H15" i="3"/>
  <c r="I15" i="3"/>
  <c r="J15" i="3"/>
  <c r="K15" i="3"/>
  <c r="L15" i="3"/>
  <c r="A16" i="3"/>
  <c r="B16" i="3"/>
  <c r="C16" i="3"/>
  <c r="D16" i="3"/>
  <c r="E16" i="3"/>
  <c r="F16" i="3"/>
  <c r="G16" i="3"/>
  <c r="H16" i="3"/>
  <c r="I16" i="3"/>
  <c r="J16" i="3"/>
  <c r="K16" i="3"/>
  <c r="L16" i="3"/>
  <c r="A17" i="3"/>
  <c r="B17" i="3"/>
  <c r="C17" i="3"/>
  <c r="D17" i="3"/>
  <c r="E17" i="3"/>
  <c r="F17" i="3"/>
  <c r="G17" i="3"/>
  <c r="H17" i="3"/>
  <c r="I17" i="3"/>
  <c r="J17" i="3"/>
  <c r="K17" i="3"/>
  <c r="L17" i="3"/>
  <c r="A18" i="3"/>
  <c r="B18" i="3"/>
  <c r="C18" i="3"/>
  <c r="D18" i="3"/>
  <c r="E18" i="3"/>
  <c r="F18" i="3"/>
  <c r="G18" i="3"/>
  <c r="H18" i="3"/>
  <c r="I18" i="3"/>
  <c r="J18" i="3"/>
  <c r="K18" i="3"/>
  <c r="L18" i="3"/>
  <c r="A19" i="3"/>
  <c r="B19" i="3"/>
  <c r="C19" i="3"/>
  <c r="D19" i="3"/>
  <c r="E19" i="3"/>
  <c r="F19" i="3"/>
  <c r="G19" i="3"/>
  <c r="H19" i="3"/>
  <c r="I19" i="3"/>
  <c r="J19" i="3"/>
  <c r="K19" i="3"/>
  <c r="L19" i="3"/>
  <c r="A20" i="3"/>
  <c r="B20" i="3"/>
  <c r="C20" i="3"/>
  <c r="D20" i="3"/>
  <c r="E20" i="3"/>
  <c r="F20" i="3"/>
  <c r="G20" i="3"/>
  <c r="H20" i="3"/>
  <c r="I20" i="3"/>
  <c r="J20" i="3"/>
  <c r="K20" i="3"/>
  <c r="L20" i="3"/>
  <c r="A21" i="3"/>
  <c r="B21" i="3"/>
  <c r="C21" i="3"/>
  <c r="D21" i="3"/>
  <c r="E21" i="3"/>
  <c r="F21" i="3"/>
  <c r="G21" i="3"/>
  <c r="H21" i="3"/>
  <c r="I21" i="3"/>
  <c r="J21" i="3"/>
  <c r="K21" i="3"/>
  <c r="L21" i="3"/>
  <c r="A22" i="3"/>
  <c r="B22" i="3"/>
  <c r="C22" i="3"/>
  <c r="D22" i="3"/>
  <c r="E22" i="3"/>
  <c r="F22" i="3"/>
  <c r="G22" i="3"/>
  <c r="H22" i="3"/>
  <c r="I22" i="3"/>
  <c r="J22" i="3"/>
  <c r="K22" i="3"/>
  <c r="L22" i="3"/>
  <c r="A23" i="3"/>
  <c r="B23" i="3"/>
  <c r="C23" i="3"/>
  <c r="D23" i="3"/>
  <c r="E23" i="3"/>
  <c r="F23" i="3"/>
  <c r="G23" i="3"/>
  <c r="H23" i="3"/>
  <c r="I23" i="3"/>
  <c r="J23" i="3"/>
  <c r="K23" i="3"/>
  <c r="L23" i="3"/>
  <c r="A24" i="3"/>
  <c r="B24" i="3"/>
  <c r="C24" i="3"/>
  <c r="D24" i="3"/>
  <c r="E24" i="3"/>
  <c r="F24" i="3"/>
  <c r="G24" i="3"/>
  <c r="H24" i="3"/>
  <c r="I24" i="3"/>
  <c r="J24" i="3"/>
  <c r="K24" i="3"/>
  <c r="L24" i="3"/>
  <c r="A25" i="3"/>
  <c r="B25" i="3"/>
  <c r="C25" i="3"/>
  <c r="D25" i="3"/>
  <c r="E25" i="3"/>
  <c r="F25" i="3"/>
  <c r="G25" i="3"/>
  <c r="H25" i="3"/>
  <c r="I25" i="3"/>
  <c r="J25" i="3"/>
  <c r="K25" i="3"/>
  <c r="L25" i="3"/>
  <c r="A26" i="3"/>
  <c r="B26" i="3"/>
  <c r="C26" i="3"/>
  <c r="D26" i="3"/>
  <c r="E26" i="3"/>
  <c r="F26" i="3"/>
  <c r="G26" i="3"/>
  <c r="H26" i="3"/>
  <c r="I26" i="3"/>
  <c r="J26" i="3"/>
  <c r="K26" i="3"/>
  <c r="L26" i="3"/>
  <c r="A27" i="3"/>
  <c r="B27" i="3"/>
  <c r="C27" i="3"/>
  <c r="D27" i="3"/>
  <c r="E27" i="3"/>
  <c r="F27" i="3"/>
  <c r="G27" i="3"/>
  <c r="H27" i="3"/>
  <c r="I27" i="3"/>
  <c r="J27" i="3"/>
  <c r="K27" i="3"/>
  <c r="L27" i="3"/>
  <c r="A28" i="3"/>
  <c r="B28" i="3"/>
  <c r="C28" i="3"/>
  <c r="D28" i="3"/>
  <c r="E28" i="3"/>
  <c r="F28" i="3"/>
  <c r="G28" i="3"/>
  <c r="H28" i="3"/>
  <c r="I28" i="3"/>
  <c r="J28" i="3"/>
  <c r="K28" i="3"/>
  <c r="L28" i="3"/>
  <c r="A29" i="3"/>
  <c r="B29" i="3"/>
  <c r="C29" i="3"/>
  <c r="D29" i="3"/>
  <c r="E29" i="3"/>
  <c r="F29" i="3"/>
  <c r="G29" i="3"/>
  <c r="H29" i="3"/>
  <c r="I29" i="3"/>
  <c r="J29" i="3"/>
  <c r="K29" i="3"/>
  <c r="L29" i="3"/>
  <c r="A30" i="3"/>
  <c r="B30" i="3"/>
  <c r="C30" i="3"/>
  <c r="D30" i="3"/>
  <c r="E30" i="3"/>
  <c r="F30" i="3"/>
  <c r="G30" i="3"/>
  <c r="H30" i="3"/>
  <c r="I30" i="3"/>
  <c r="J30" i="3"/>
  <c r="K30" i="3"/>
  <c r="L30" i="3"/>
  <c r="K2" i="3"/>
  <c r="I2" i="3"/>
  <c r="H2" i="3"/>
  <c r="F2" i="3"/>
  <c r="E2" i="3"/>
  <c r="D2" i="3"/>
  <c r="C2" i="3"/>
  <c r="B2" i="3"/>
  <c r="A2" i="3"/>
  <c r="D2" i="4"/>
  <c r="A2" i="4"/>
  <c r="B2" i="4"/>
  <c r="C2" i="4"/>
  <c r="E2" i="4"/>
  <c r="F2" i="4"/>
  <c r="A3" i="11"/>
  <c r="B3" i="11"/>
  <c r="C3" i="11"/>
  <c r="D3" i="11"/>
  <c r="F3" i="11"/>
  <c r="G3" i="11"/>
  <c r="H3" i="11"/>
  <c r="I3" i="11"/>
  <c r="A4" i="11"/>
  <c r="B4" i="11"/>
  <c r="C4" i="11"/>
  <c r="D4" i="11"/>
  <c r="F4" i="11"/>
  <c r="G4" i="11"/>
  <c r="H4" i="11"/>
  <c r="I4" i="11"/>
  <c r="A5" i="11"/>
  <c r="B5" i="11"/>
  <c r="C5" i="11"/>
  <c r="D5" i="11"/>
  <c r="F5" i="11"/>
  <c r="G5" i="11"/>
  <c r="H5" i="11"/>
  <c r="I5" i="11"/>
  <c r="A6" i="11"/>
  <c r="B6" i="11"/>
  <c r="C6" i="11"/>
  <c r="D6" i="11"/>
  <c r="F6" i="11"/>
  <c r="G6" i="11"/>
  <c r="H6" i="11"/>
  <c r="I6" i="11"/>
  <c r="A7" i="11"/>
  <c r="B7" i="11"/>
  <c r="C7" i="11"/>
  <c r="D7" i="11"/>
  <c r="F7" i="11"/>
  <c r="G7" i="11"/>
  <c r="H7" i="11"/>
  <c r="I7" i="11"/>
  <c r="A8" i="11"/>
  <c r="B8" i="11"/>
  <c r="C8" i="11"/>
  <c r="D8" i="11"/>
  <c r="F8" i="11"/>
  <c r="G8" i="11"/>
  <c r="H8" i="11"/>
  <c r="I8" i="11"/>
  <c r="A9" i="11"/>
  <c r="B9" i="11"/>
  <c r="C9" i="11"/>
  <c r="D9" i="11"/>
  <c r="F9" i="11"/>
  <c r="G9" i="11"/>
  <c r="H9" i="11"/>
  <c r="I9" i="11"/>
  <c r="A10" i="11"/>
  <c r="B10" i="11"/>
  <c r="C10" i="11"/>
  <c r="D10" i="11"/>
  <c r="F10" i="11"/>
  <c r="G10" i="11"/>
  <c r="H10" i="11"/>
  <c r="I10" i="11"/>
  <c r="A11" i="11"/>
  <c r="B11" i="11"/>
  <c r="C11" i="11"/>
  <c r="D11" i="11"/>
  <c r="F11" i="11"/>
  <c r="G11" i="11"/>
  <c r="H11" i="11"/>
  <c r="I11" i="11"/>
  <c r="A12" i="11"/>
  <c r="B12" i="11"/>
  <c r="C12" i="11"/>
  <c r="D12" i="11"/>
  <c r="F12" i="11"/>
  <c r="G12" i="11"/>
  <c r="H12" i="11"/>
  <c r="I12" i="11"/>
  <c r="A13" i="11"/>
  <c r="B13" i="11"/>
  <c r="C13" i="11"/>
  <c r="D13" i="11"/>
  <c r="F13" i="11"/>
  <c r="G13" i="11"/>
  <c r="H13" i="11"/>
  <c r="I13" i="11"/>
  <c r="A14" i="11"/>
  <c r="B14" i="11"/>
  <c r="C14" i="11"/>
  <c r="D14" i="11"/>
  <c r="F14" i="11"/>
  <c r="G14" i="11"/>
  <c r="H14" i="11"/>
  <c r="I14" i="11"/>
  <c r="A15" i="11"/>
  <c r="B15" i="11"/>
  <c r="C15" i="11"/>
  <c r="D15" i="11"/>
  <c r="F15" i="11"/>
  <c r="G15" i="11"/>
  <c r="H15" i="11"/>
  <c r="I15" i="11"/>
  <c r="A16" i="11"/>
  <c r="B16" i="11"/>
  <c r="C16" i="11"/>
  <c r="D16" i="11"/>
  <c r="F16" i="11"/>
  <c r="G16" i="11"/>
  <c r="H16" i="11"/>
  <c r="I16" i="11"/>
  <c r="A17" i="11"/>
  <c r="B17" i="11"/>
  <c r="C17" i="11"/>
  <c r="D17" i="11"/>
  <c r="F17" i="11"/>
  <c r="G17" i="11"/>
  <c r="H17" i="11"/>
  <c r="I17" i="11"/>
  <c r="A18" i="11"/>
  <c r="B18" i="11"/>
  <c r="C18" i="11"/>
  <c r="D18" i="11"/>
  <c r="F18" i="11"/>
  <c r="G18" i="11"/>
  <c r="H18" i="11"/>
  <c r="I18" i="11"/>
  <c r="A19" i="11"/>
  <c r="B19" i="11"/>
  <c r="C19" i="11"/>
  <c r="D19" i="11"/>
  <c r="F19" i="11"/>
  <c r="G19" i="11"/>
  <c r="H19" i="11"/>
  <c r="I19" i="11"/>
  <c r="A20" i="11"/>
  <c r="B20" i="11"/>
  <c r="C20" i="11"/>
  <c r="D20" i="11"/>
  <c r="F20" i="11"/>
  <c r="G20" i="11"/>
  <c r="H20" i="11"/>
  <c r="I20" i="11"/>
  <c r="A21" i="11"/>
  <c r="B21" i="11"/>
  <c r="C21" i="11"/>
  <c r="D21" i="11"/>
  <c r="F21" i="11"/>
  <c r="G21" i="11"/>
  <c r="H21" i="11"/>
  <c r="I21" i="11"/>
  <c r="A22" i="11"/>
  <c r="B22" i="11"/>
  <c r="C22" i="11"/>
  <c r="D22" i="11"/>
  <c r="F22" i="11"/>
  <c r="G22" i="11"/>
  <c r="H22" i="11"/>
  <c r="I22" i="11"/>
  <c r="A23" i="11"/>
  <c r="B23" i="11"/>
  <c r="C23" i="11"/>
  <c r="D23" i="11"/>
  <c r="F23" i="11"/>
  <c r="G23" i="11"/>
  <c r="H23" i="11"/>
  <c r="I23" i="11"/>
  <c r="A24" i="11"/>
  <c r="B24" i="11"/>
  <c r="C24" i="11"/>
  <c r="D24" i="11"/>
  <c r="F24" i="11"/>
  <c r="G24" i="11"/>
  <c r="H24" i="11"/>
  <c r="I24" i="11"/>
  <c r="A25" i="11"/>
  <c r="B25" i="11"/>
  <c r="C25" i="11"/>
  <c r="D25" i="11"/>
  <c r="F25" i="11"/>
  <c r="G25" i="11"/>
  <c r="H25" i="11"/>
  <c r="I25" i="11"/>
  <c r="A26" i="11"/>
  <c r="B26" i="11"/>
  <c r="C26" i="11"/>
  <c r="D26" i="11"/>
  <c r="F26" i="11"/>
  <c r="G26" i="11"/>
  <c r="H26" i="11"/>
  <c r="I26" i="11"/>
  <c r="A27" i="11"/>
  <c r="B27" i="11"/>
  <c r="C27" i="11"/>
  <c r="D27" i="11"/>
  <c r="F27" i="11"/>
  <c r="G27" i="11"/>
  <c r="H27" i="11"/>
  <c r="I27" i="11"/>
  <c r="A28" i="11"/>
  <c r="B28" i="11"/>
  <c r="C28" i="11"/>
  <c r="D28" i="11"/>
  <c r="F28" i="11"/>
  <c r="G28" i="11"/>
  <c r="H28" i="11"/>
  <c r="I28" i="11"/>
  <c r="A29" i="11"/>
  <c r="B29" i="11"/>
  <c r="C29" i="11"/>
  <c r="D29" i="11"/>
  <c r="F29" i="11"/>
  <c r="G29" i="11"/>
  <c r="H29" i="11"/>
  <c r="I29" i="11"/>
  <c r="A30" i="11"/>
  <c r="B30" i="11"/>
  <c r="C30" i="11"/>
  <c r="D30" i="11"/>
  <c r="F30" i="11"/>
  <c r="G30" i="11"/>
  <c r="H30" i="11"/>
  <c r="I30" i="11"/>
  <c r="J2" i="11"/>
  <c r="I2" i="11"/>
  <c r="H2" i="11"/>
  <c r="G2" i="11"/>
  <c r="F2" i="11"/>
  <c r="D2" i="11"/>
  <c r="C2" i="11"/>
  <c r="B2" i="11"/>
  <c r="A2" i="11"/>
  <c r="J3" i="11"/>
  <c r="K3" i="11"/>
  <c r="L3" i="11"/>
  <c r="M3" i="11"/>
  <c r="O3" i="11"/>
  <c r="P3" i="11"/>
  <c r="Q3" i="11"/>
  <c r="R3" i="11"/>
  <c r="J4" i="11"/>
  <c r="K4" i="11"/>
  <c r="L4" i="11"/>
  <c r="M4" i="11"/>
  <c r="O4" i="11"/>
  <c r="P4" i="11"/>
  <c r="Q4" i="11"/>
  <c r="R4" i="11"/>
  <c r="J5" i="11"/>
  <c r="K5" i="11"/>
  <c r="L5" i="11"/>
  <c r="M5" i="11"/>
  <c r="O5" i="11"/>
  <c r="P5" i="11"/>
  <c r="Q5" i="11"/>
  <c r="R5" i="11"/>
  <c r="J6" i="11"/>
  <c r="K6" i="11"/>
  <c r="L6" i="11"/>
  <c r="M6" i="11"/>
  <c r="O6" i="11"/>
  <c r="P6" i="11"/>
  <c r="Q6" i="11"/>
  <c r="R6" i="11"/>
  <c r="J7" i="11"/>
  <c r="K7" i="11"/>
  <c r="L7" i="11"/>
  <c r="M7" i="11"/>
  <c r="O7" i="11"/>
  <c r="P7" i="11"/>
  <c r="Q7" i="11"/>
  <c r="R7" i="11"/>
  <c r="J8" i="11"/>
  <c r="K8" i="11"/>
  <c r="L8" i="11"/>
  <c r="M8" i="11"/>
  <c r="O8" i="11"/>
  <c r="P8" i="11"/>
  <c r="Q8" i="11"/>
  <c r="R8" i="11"/>
  <c r="J9" i="11"/>
  <c r="K9" i="11"/>
  <c r="L9" i="11"/>
  <c r="M9" i="11"/>
  <c r="O9" i="11"/>
  <c r="P9" i="11"/>
  <c r="Q9" i="11"/>
  <c r="R9" i="11"/>
  <c r="J10" i="11"/>
  <c r="K10" i="11"/>
  <c r="L10" i="11"/>
  <c r="M10" i="11"/>
  <c r="O10" i="11"/>
  <c r="P10" i="11"/>
  <c r="Q10" i="11"/>
  <c r="R10" i="11"/>
  <c r="J11" i="11"/>
  <c r="K11" i="11"/>
  <c r="L11" i="11"/>
  <c r="M11" i="11"/>
  <c r="O11" i="11"/>
  <c r="P11" i="11"/>
  <c r="Q11" i="11"/>
  <c r="R11" i="11"/>
  <c r="J12" i="11"/>
  <c r="K12" i="11"/>
  <c r="L12" i="11"/>
  <c r="M12" i="11"/>
  <c r="O12" i="11"/>
  <c r="P12" i="11"/>
  <c r="Q12" i="11"/>
  <c r="R12" i="11"/>
  <c r="J13" i="11"/>
  <c r="K13" i="11"/>
  <c r="L13" i="11"/>
  <c r="M13" i="11"/>
  <c r="O13" i="11"/>
  <c r="P13" i="11"/>
  <c r="Q13" i="11"/>
  <c r="R13" i="11"/>
  <c r="J14" i="11"/>
  <c r="K14" i="11"/>
  <c r="L14" i="11"/>
  <c r="M14" i="11"/>
  <c r="O14" i="11"/>
  <c r="P14" i="11"/>
  <c r="Q14" i="11"/>
  <c r="R14" i="11"/>
  <c r="J15" i="11"/>
  <c r="K15" i="11"/>
  <c r="L15" i="11"/>
  <c r="M15" i="11"/>
  <c r="O15" i="11"/>
  <c r="P15" i="11"/>
  <c r="Q15" i="11"/>
  <c r="R15" i="11"/>
  <c r="J16" i="11"/>
  <c r="K16" i="11"/>
  <c r="L16" i="11"/>
  <c r="M16" i="11"/>
  <c r="O16" i="11"/>
  <c r="P16" i="11"/>
  <c r="Q16" i="11"/>
  <c r="R16" i="11"/>
  <c r="J17" i="11"/>
  <c r="K17" i="11"/>
  <c r="L17" i="11"/>
  <c r="M17" i="11"/>
  <c r="O17" i="11"/>
  <c r="P17" i="11"/>
  <c r="Q17" i="11"/>
  <c r="R17" i="11"/>
  <c r="J18" i="11"/>
  <c r="K18" i="11"/>
  <c r="L18" i="11"/>
  <c r="M18" i="11"/>
  <c r="O18" i="11"/>
  <c r="P18" i="11"/>
  <c r="Q18" i="11"/>
  <c r="R18" i="11"/>
  <c r="J19" i="11"/>
  <c r="K19" i="11"/>
  <c r="L19" i="11"/>
  <c r="M19" i="11"/>
  <c r="O19" i="11"/>
  <c r="P19" i="11"/>
  <c r="Q19" i="11"/>
  <c r="R19" i="11"/>
  <c r="J20" i="11"/>
  <c r="K20" i="11"/>
  <c r="L20" i="11"/>
  <c r="M20" i="11"/>
  <c r="O20" i="11"/>
  <c r="P20" i="11"/>
  <c r="Q20" i="11"/>
  <c r="R20" i="11"/>
  <c r="J21" i="11"/>
  <c r="K21" i="11"/>
  <c r="L21" i="11"/>
  <c r="M21" i="11"/>
  <c r="O21" i="11"/>
  <c r="P21" i="11"/>
  <c r="Q21" i="11"/>
  <c r="R21" i="11"/>
  <c r="J22" i="11"/>
  <c r="K22" i="11"/>
  <c r="L22" i="11"/>
  <c r="M22" i="11"/>
  <c r="O22" i="11"/>
  <c r="P22" i="11"/>
  <c r="Q22" i="11"/>
  <c r="R22" i="11"/>
  <c r="J23" i="11"/>
  <c r="K23" i="11"/>
  <c r="L23" i="11"/>
  <c r="M23" i="11"/>
  <c r="O23" i="11"/>
  <c r="P23" i="11"/>
  <c r="Q23" i="11"/>
  <c r="R23" i="11"/>
  <c r="J24" i="11"/>
  <c r="K24" i="11"/>
  <c r="L24" i="11"/>
  <c r="M24" i="11"/>
  <c r="O24" i="11"/>
  <c r="P24" i="11"/>
  <c r="Q24" i="11"/>
  <c r="R24" i="11"/>
  <c r="J25" i="11"/>
  <c r="K25" i="11"/>
  <c r="L25" i="11"/>
  <c r="M25" i="11"/>
  <c r="O25" i="11"/>
  <c r="P25" i="11"/>
  <c r="Q25" i="11"/>
  <c r="R25" i="11"/>
  <c r="J26" i="11"/>
  <c r="K26" i="11"/>
  <c r="L26" i="11"/>
  <c r="M26" i="11"/>
  <c r="O26" i="11"/>
  <c r="P26" i="11"/>
  <c r="Q26" i="11"/>
  <c r="R26" i="11"/>
  <c r="J27" i="11"/>
  <c r="K27" i="11"/>
  <c r="L27" i="11"/>
  <c r="M27" i="11"/>
  <c r="O27" i="11"/>
  <c r="P27" i="11"/>
  <c r="Q27" i="11"/>
  <c r="R27" i="11"/>
  <c r="J28" i="11"/>
  <c r="K28" i="11"/>
  <c r="L28" i="11"/>
  <c r="M28" i="11"/>
  <c r="O28" i="11"/>
  <c r="P28" i="11"/>
  <c r="Q28" i="11"/>
  <c r="R28" i="11"/>
  <c r="J29" i="11"/>
  <c r="K29" i="11"/>
  <c r="L29" i="11"/>
  <c r="M29" i="11"/>
  <c r="O29" i="11"/>
  <c r="P29" i="11"/>
  <c r="Q29" i="11"/>
  <c r="R29" i="11"/>
  <c r="J30" i="11"/>
  <c r="K30" i="11"/>
  <c r="L30" i="11"/>
  <c r="M30" i="11"/>
  <c r="O30" i="11"/>
  <c r="P30" i="11"/>
  <c r="Q30" i="11"/>
  <c r="R30" i="11"/>
  <c r="R2" i="11"/>
  <c r="Q2" i="11"/>
  <c r="P2" i="11"/>
  <c r="O2" i="11"/>
  <c r="K2" i="11"/>
  <c r="M2" i="11"/>
  <c r="L2" i="11"/>
  <c r="I2" i="8"/>
</calcChain>
</file>

<file path=xl/comments1.xml><?xml version="1.0" encoding="utf-8"?>
<comments xmlns="http://schemas.openxmlformats.org/spreadsheetml/2006/main">
  <authors>
    <author>JOVE Lionel</author>
  </authors>
  <commentList>
    <comment ref="D1" authorId="0" shapeId="0">
      <text>
        <r>
          <rPr>
            <b/>
            <sz val="9"/>
            <color indexed="81"/>
            <rFont val="Tahoma"/>
            <family val="2"/>
          </rPr>
          <t>JOVE Lionel:</t>
        </r>
        <r>
          <rPr>
            <sz val="9"/>
            <color indexed="81"/>
            <rFont val="Tahoma"/>
            <family val="2"/>
          </rPr>
          <t xml:space="preserve">
Opérating unit seulement . 
Si création complète alors Non.
 Si création d'une UO pour une société existante alors Oui
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JOVE Lionel:</t>
        </r>
        <r>
          <rPr>
            <sz val="9"/>
            <color indexed="81"/>
            <rFont val="Tahoma"/>
            <family val="2"/>
          </rPr>
          <t xml:space="preserve">
Si société  multi UO alors Oui sinon Non.
</t>
        </r>
      </text>
    </comment>
  </commentList>
</comments>
</file>

<file path=xl/sharedStrings.xml><?xml version="1.0" encoding="utf-8"?>
<sst xmlns="http://schemas.openxmlformats.org/spreadsheetml/2006/main" count="488" uniqueCount="110">
  <si>
    <t>Code conso</t>
  </si>
  <si>
    <t>Société</t>
  </si>
  <si>
    <t>Région</t>
  </si>
  <si>
    <t>DOS</t>
  </si>
  <si>
    <t>Tab</t>
  </si>
  <si>
    <t>Local</t>
  </si>
  <si>
    <t>Analytique</t>
  </si>
  <si>
    <t>Interco</t>
  </si>
  <si>
    <t>CF</t>
  </si>
  <si>
    <t>Affaire</t>
  </si>
  <si>
    <t>PF</t>
  </si>
  <si>
    <t>Flux</t>
  </si>
  <si>
    <t>Réserve 1</t>
  </si>
  <si>
    <t>Réserve 2</t>
  </si>
  <si>
    <t>Réserve 3</t>
  </si>
  <si>
    <t>ENT</t>
  </si>
  <si>
    <t>*SAVE</t>
  </si>
  <si>
    <t>\I</t>
  </si>
  <si>
    <t>*FN</t>
  </si>
  <si>
    <t>\E</t>
  </si>
  <si>
    <t>Nom</t>
  </si>
  <si>
    <t>Description</t>
  </si>
  <si>
    <t>Adresse 1</t>
  </si>
  <si>
    <t>CP</t>
  </si>
  <si>
    <t>Ville</t>
  </si>
  <si>
    <t>Code postal</t>
  </si>
  <si>
    <t>ville</t>
  </si>
  <si>
    <t>Numéro &amp; rue</t>
  </si>
  <si>
    <t>Complément</t>
  </si>
  <si>
    <t>Autre</t>
  </si>
  <si>
    <t>Comune</t>
  </si>
  <si>
    <t>Num pour TSA</t>
  </si>
  <si>
    <t>Adresse
Fact = Sté</t>
  </si>
  <si>
    <t>OU only</t>
  </si>
  <si>
    <t>Non</t>
  </si>
  <si>
    <t>Code</t>
  </si>
  <si>
    <t>Conso</t>
  </si>
  <si>
    <t>Région principale</t>
  </si>
  <si>
    <t>DCW</t>
  </si>
  <si>
    <t>DLS</t>
  </si>
  <si>
    <t>DMS</t>
  </si>
  <si>
    <t>DRW</t>
  </si>
  <si>
    <t>DSW</t>
  </si>
  <si>
    <t>DEW</t>
  </si>
  <si>
    <t>DNA</t>
  </si>
  <si>
    <t>CSP</t>
  </si>
  <si>
    <t>*SB</t>
  </si>
  <si>
    <t>Regroup</t>
  </si>
  <si>
    <t>ARGOS</t>
  </si>
  <si>
    <t>Activé</t>
  </si>
  <si>
    <t>Magnitude</t>
  </si>
  <si>
    <t>*Aé</t>
  </si>
  <si>
    <t>*DN</t>
  </si>
  <si>
    <t>Close</t>
  </si>
  <si>
    <t>Compte Banque</t>
  </si>
  <si>
    <t>Nom Banque</t>
  </si>
  <si>
    <t>Bud</t>
  </si>
  <si>
    <t>Imp</t>
  </si>
  <si>
    <t>Type</t>
  </si>
  <si>
    <t>Coll</t>
  </si>
  <si>
    <t>Rappro</t>
  </si>
  <si>
    <t>Ligne 0</t>
  </si>
  <si>
    <t>Projet FPS</t>
  </si>
  <si>
    <t>*UP</t>
  </si>
  <si>
    <t>Multi</t>
  </si>
  <si>
    <t>Bilan</t>
  </si>
  <si>
    <t>Code UO</t>
  </si>
  <si>
    <t>TAB</t>
  </si>
  <si>
    <t>TAB 4</t>
  </si>
  <si>
    <t>\Sécuriser les organisations par hiérarchie</t>
  </si>
  <si>
    <t>\Un profil de sécurité nommé</t>
  </si>
  <si>
    <t>UO</t>
  </si>
  <si>
    <t>Nom - Raiso sociale</t>
  </si>
  <si>
    <t>Sigle - Livre comptable</t>
  </si>
  <si>
    <t>Carrying Out Organization</t>
  </si>
  <si>
    <t>CF région</t>
  </si>
  <si>
    <t>Code Région</t>
  </si>
  <si>
    <t>B00001916C</t>
  </si>
  <si>
    <t>B00000001B</t>
  </si>
  <si>
    <t>B00001602W</t>
  </si>
  <si>
    <t>B00000004E</t>
  </si>
  <si>
    <t>B00001428Y</t>
  </si>
  <si>
    <t>B00000007H</t>
  </si>
  <si>
    <t>B00001046N</t>
  </si>
  <si>
    <t>B00000006G</t>
  </si>
  <si>
    <t>B00001135P</t>
  </si>
  <si>
    <t>B00000008J</t>
  </si>
  <si>
    <t>B00001660L</t>
  </si>
  <si>
    <t>B00000005F</t>
  </si>
  <si>
    <t>B00001691X</t>
  </si>
  <si>
    <t>B00000002C</t>
  </si>
  <si>
    <t>B00001732T</t>
  </si>
  <si>
    <t>B00000003D</t>
  </si>
  <si>
    <t>Tab 4</t>
  </si>
  <si>
    <t>Lyon</t>
  </si>
  <si>
    <t>Lille</t>
  </si>
  <si>
    <t>59784 LILLE CEDEX 9</t>
  </si>
  <si>
    <t>BNP PARIBAS</t>
  </si>
  <si>
    <t>0535</t>
  </si>
  <si>
    <t>CHARLEVILLE RENOUVELABLE</t>
  </si>
  <si>
    <t>S2301</t>
  </si>
  <si>
    <t>6, rue des Trézelots</t>
  </si>
  <si>
    <t>PULNOY</t>
  </si>
  <si>
    <t>TSA 15503</t>
  </si>
  <si>
    <t>FB0084973K</t>
  </si>
  <si>
    <t>0595</t>
  </si>
  <si>
    <t>MIRECOURT ENERGIES</t>
  </si>
  <si>
    <t>S2070</t>
  </si>
  <si>
    <t>SOCIETE GENERALE</t>
  </si>
  <si>
    <t>FB0090324R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</si>
</sst>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indexed="64"/>
      <name val="Microsoft Sans Serif"/>
      <family val="2"/>
    </font>
    <font>
      <sz val="8"/>
      <color rgb="FF000000"/>
      <name val="Arial"/>
      <family val="2"/>
    </font>
    <font>
      <b/>
      <sz val="10"/>
      <name val="MS Sans Serif"/>
      <family val="2"/>
    </font>
    <font>
      <b/>
      <sz val="11"/>
      <name val="Arial"/>
      <family val="2"/>
    </font>
    <font>
      <b/>
      <sz val="12.1"/>
      <color rgb="FF000000"/>
      <name val="Calibri"/>
      <family val="2"/>
      <scheme val="minor"/>
    </font>
    <font>
      <sz val="10"/>
      <name val="MS Sans Serif"/>
      <family val="2"/>
    </font>
    <font>
      <b/>
      <sz val="12"/>
      <color rgb="FF00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.1"/>
      <color rgb="FF00000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13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7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9" fillId="6" borderId="0" applyNumberFormat="0" applyBorder="0" applyAlignment="0" applyProtection="0"/>
    <xf numFmtId="0" fontId="10" fillId="7" borderId="4" applyNumberFormat="0" applyAlignment="0" applyProtection="0"/>
    <xf numFmtId="0" fontId="11" fillId="8" borderId="5" applyNumberFormat="0" applyAlignment="0" applyProtection="0"/>
    <xf numFmtId="0" fontId="12" fillId="8" borderId="4" applyNumberFormat="0" applyAlignment="0" applyProtection="0"/>
    <xf numFmtId="0" fontId="13" fillId="0" borderId="6" applyNumberFormat="0" applyFill="0" applyAlignment="0" applyProtection="0"/>
    <xf numFmtId="0" fontId="14" fillId="9" borderId="7" applyNumberFormat="0" applyAlignment="0" applyProtection="0"/>
    <xf numFmtId="0" fontId="15" fillId="0" borderId="0" applyNumberFormat="0" applyFill="0" applyBorder="0" applyAlignment="0" applyProtection="0"/>
    <xf numFmtId="0" fontId="2" fillId="10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18" fillId="34" borderId="0" applyNumberFormat="0" applyBorder="0" applyAlignment="0" applyProtection="0"/>
    <xf numFmtId="0" fontId="20" fillId="0" borderId="0"/>
    <xf numFmtId="0" fontId="21" fillId="0" borderId="0"/>
    <xf numFmtId="0" fontId="22" fillId="0" borderId="0"/>
    <xf numFmtId="0" fontId="1" fillId="0" borderId="0"/>
    <xf numFmtId="0" fontId="28" fillId="0" borderId="0"/>
  </cellStyleXfs>
  <cellXfs count="25">
    <xf numFmtId="0" fontId="0" fillId="0" borderId="0" xfId="0"/>
    <xf numFmtId="0" fontId="0" fillId="0" borderId="0" xfId="0" quotePrefix="1"/>
    <xf numFmtId="0" fontId="0" fillId="2" borderId="0" xfId="0" applyFill="1"/>
    <xf numFmtId="0" fontId="0" fillId="3" borderId="0" xfId="0" applyFill="1"/>
    <xf numFmtId="0" fontId="0" fillId="0" borderId="0" xfId="0" applyFill="1"/>
    <xf numFmtId="0" fontId="0" fillId="0" borderId="0" xfId="0" applyAlignment="1">
      <alignment vertical="top" wrapText="1"/>
    </xf>
    <xf numFmtId="0" fontId="0" fillId="0" borderId="0" xfId="0"/>
    <xf numFmtId="0" fontId="19" fillId="0" borderId="0" xfId="0" applyFont="1" applyAlignment="1">
      <alignment vertical="top" wrapText="1"/>
    </xf>
    <xf numFmtId="0" fontId="1" fillId="0" borderId="0" xfId="42" applyNumberFormat="1" applyFont="1"/>
    <xf numFmtId="0" fontId="0" fillId="2" borderId="0" xfId="0" applyFill="1" applyAlignment="1">
      <alignment vertical="top" wrapText="1"/>
    </xf>
    <xf numFmtId="49" fontId="23" fillId="0" borderId="0" xfId="0" applyNumberFormat="1" applyFont="1" applyBorder="1" applyAlignment="1">
      <alignment horizontal="center"/>
    </xf>
    <xf numFmtId="0" fontId="1" fillId="0" borderId="0" xfId="45"/>
    <xf numFmtId="0" fontId="19" fillId="0" borderId="0" xfId="45" applyFont="1"/>
    <xf numFmtId="49" fontId="1" fillId="0" borderId="0" xfId="45" applyNumberFormat="1" applyFont="1"/>
    <xf numFmtId="49" fontId="1" fillId="0" borderId="0" xfId="45" applyNumberFormat="1"/>
    <xf numFmtId="0" fontId="24" fillId="0" borderId="0" xfId="0" applyFont="1"/>
    <xf numFmtId="0" fontId="25" fillId="0" borderId="10" xfId="0" applyFont="1" applyBorder="1" applyAlignment="1">
      <alignment horizontal="center"/>
    </xf>
    <xf numFmtId="0" fontId="25" fillId="0" borderId="10" xfId="0" applyFont="1" applyBorder="1" applyAlignment="1">
      <alignment horizontal="left"/>
    </xf>
    <xf numFmtId="0" fontId="25" fillId="0" borderId="11" xfId="0" quotePrefix="1" applyFont="1" applyBorder="1" applyAlignment="1">
      <alignment horizontal="center"/>
    </xf>
    <xf numFmtId="0" fontId="26" fillId="35" borderId="12" xfId="0" applyFont="1" applyFill="1" applyBorder="1" applyAlignment="1">
      <alignment horizontal="center"/>
    </xf>
    <xf numFmtId="0" fontId="0" fillId="0" borderId="0" xfId="0" applyFill="1" applyBorder="1"/>
    <xf numFmtId="49" fontId="29" fillId="0" borderId="13" xfId="0" applyNumberFormat="1" applyFont="1" applyFill="1" applyBorder="1" applyAlignment="1">
      <alignment horizontal="center"/>
    </xf>
    <xf numFmtId="49" fontId="27" fillId="0" borderId="13" xfId="46" applyNumberFormat="1" applyFont="1" applyFill="1" applyBorder="1" applyAlignment="1">
      <alignment horizontal="center"/>
    </xf>
    <xf numFmtId="49" fontId="32" fillId="0" borderId="13" xfId="0" applyNumberFormat="1" applyFont="1" applyFill="1" applyBorder="1" applyAlignment="1">
      <alignment horizontal="center"/>
    </xf>
    <xf numFmtId="0" fontId="0" fillId="36" borderId="0" xfId="0" applyFill="1"/>
  </cellXfs>
  <cellStyles count="47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rmal 2" xfId="42"/>
    <cellStyle name="Normal 2 2" xfId="45"/>
    <cellStyle name="Normal 3" xfId="43"/>
    <cellStyle name="Normal 4" xfId="44"/>
    <cellStyle name="Normal 5" xfId="46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27"/>
  <sheetViews>
    <sheetView zoomScale="90" zoomScaleNormal="90" workbookViewId="0">
      <pane xSplit="6" ySplit="1" topLeftCell="G2" activePane="bottomRight" state="frozenSplit"/>
      <selection activeCell="G30" sqref="G30"/>
      <selection pane="topRight" activeCell="G30" sqref="G30"/>
      <selection pane="bottomLeft" activeCell="G30" sqref="G30"/>
      <selection pane="bottomRight" activeCell="L4" sqref="L4"/>
    </sheetView>
  </sheetViews>
  <sheetFormatPr baseColWidth="10" defaultRowHeight="14.5" x14ac:dyDescent="0.35"/>
  <cols>
    <col min="1" max="1" width="7.26953125" bestFit="1" customWidth="1"/>
    <col min="2" max="2" width="7" bestFit="1" customWidth="1"/>
    <col min="3" max="3" width="24.26953125" bestFit="1" customWidth="1"/>
    <col min="4" max="4" width="8.1796875" bestFit="1" customWidth="1"/>
    <col min="5" max="5" width="4.54296875" bestFit="1" customWidth="1"/>
    <col min="6" max="6" width="9.26953125" bestFit="1" customWidth="1"/>
    <col min="7" max="7" width="8.26953125" bestFit="1" customWidth="1"/>
    <col min="8" max="8" width="10.1796875" bestFit="1" customWidth="1"/>
    <col min="9" max="9" width="21.26953125" bestFit="1" customWidth="1"/>
    <col min="10" max="10" width="45.453125" bestFit="1" customWidth="1"/>
    <col min="11" max="11" width="7" bestFit="1" customWidth="1"/>
    <col min="12" max="12" width="29.7265625" bestFit="1" customWidth="1"/>
    <col min="13" max="13" width="9.81640625" bestFit="1" customWidth="1"/>
    <col min="14" max="14" width="11.26953125" bestFit="1" customWidth="1"/>
    <col min="15" max="15" width="21" bestFit="1" customWidth="1"/>
    <col min="16" max="16" width="8" bestFit="1" customWidth="1"/>
    <col min="17" max="17" width="17.7265625" bestFit="1" customWidth="1"/>
    <col min="18" max="18" width="12.81640625" bestFit="1" customWidth="1"/>
    <col min="19" max="19" width="5.453125" bestFit="1" customWidth="1"/>
  </cols>
  <sheetData>
    <row r="1" spans="1:19" s="5" customFormat="1" ht="30" customHeight="1" thickBot="1" x14ac:dyDescent="0.4">
      <c r="A1" s="5" t="s">
        <v>1</v>
      </c>
      <c r="B1" s="9" t="s">
        <v>2</v>
      </c>
      <c r="C1" s="9" t="s">
        <v>72</v>
      </c>
      <c r="D1" s="5" t="s">
        <v>33</v>
      </c>
      <c r="E1" s="5" t="s">
        <v>64</v>
      </c>
      <c r="F1" s="5" t="s">
        <v>32</v>
      </c>
      <c r="G1" s="5" t="s">
        <v>0</v>
      </c>
      <c r="H1" s="9" t="s">
        <v>37</v>
      </c>
      <c r="I1" s="9" t="s">
        <v>73</v>
      </c>
      <c r="J1" s="5" t="s">
        <v>27</v>
      </c>
      <c r="K1" s="5" t="s">
        <v>25</v>
      </c>
      <c r="L1" s="5" t="s">
        <v>26</v>
      </c>
      <c r="M1" s="5" t="s">
        <v>31</v>
      </c>
      <c r="N1" s="5" t="s">
        <v>27</v>
      </c>
      <c r="O1" s="5" t="s">
        <v>28</v>
      </c>
      <c r="P1" s="5" t="s">
        <v>54</v>
      </c>
      <c r="Q1" s="5" t="s">
        <v>55</v>
      </c>
      <c r="R1" s="5" t="s">
        <v>62</v>
      </c>
    </row>
    <row r="2" spans="1:19" s="6" customFormat="1" ht="16" thickBot="1" x14ac:dyDescent="0.4">
      <c r="A2" s="1" t="s">
        <v>98</v>
      </c>
      <c r="B2" s="6" t="s">
        <v>38</v>
      </c>
      <c r="C2" s="15" t="s">
        <v>99</v>
      </c>
      <c r="D2" s="6" t="s">
        <v>34</v>
      </c>
      <c r="E2" s="6" t="s">
        <v>34</v>
      </c>
      <c r="F2" s="6" t="s">
        <v>34</v>
      </c>
      <c r="G2" s="6" t="s">
        <v>100</v>
      </c>
      <c r="H2" s="4" t="s">
        <v>38</v>
      </c>
      <c r="I2" s="17" t="s">
        <v>99</v>
      </c>
      <c r="J2" s="6" t="s">
        <v>101</v>
      </c>
      <c r="K2" s="18">
        <v>54425</v>
      </c>
      <c r="L2" s="16" t="s">
        <v>102</v>
      </c>
      <c r="M2" s="6">
        <v>13535</v>
      </c>
      <c r="N2" s="6" t="s">
        <v>103</v>
      </c>
      <c r="O2" s="10" t="s">
        <v>96</v>
      </c>
      <c r="P2" s="19">
        <v>513578</v>
      </c>
      <c r="Q2" s="6" t="s">
        <v>97</v>
      </c>
      <c r="R2" s="23" t="s">
        <v>104</v>
      </c>
    </row>
    <row r="3" spans="1:19" s="6" customFormat="1" ht="16" thickBot="1" x14ac:dyDescent="0.4">
      <c r="A3" s="1"/>
      <c r="C3" s="15"/>
      <c r="H3" s="4"/>
      <c r="I3" s="17"/>
      <c r="K3" s="18"/>
      <c r="L3" s="16"/>
      <c r="O3" s="10"/>
      <c r="P3" s="19"/>
      <c r="R3" s="22"/>
    </row>
    <row r="4" spans="1:19" s="6" customFormat="1" ht="16" thickBot="1" x14ac:dyDescent="0.4">
      <c r="A4" s="1" t="s">
        <v>105</v>
      </c>
      <c r="B4" s="6" t="s">
        <v>38</v>
      </c>
      <c r="C4" s="15" t="s">
        <v>106</v>
      </c>
      <c r="D4" s="6" t="s">
        <v>34</v>
      </c>
      <c r="E4" s="6" t="s">
        <v>34</v>
      </c>
      <c r="F4" s="6" t="s">
        <v>34</v>
      </c>
      <c r="G4" s="6" t="s">
        <v>107</v>
      </c>
      <c r="H4" s="6" t="s">
        <v>38</v>
      </c>
      <c r="I4" s="17" t="s">
        <v>106</v>
      </c>
      <c r="J4" s="6" t="s">
        <v>101</v>
      </c>
      <c r="K4" s="18">
        <v>54425</v>
      </c>
      <c r="L4" s="16" t="s">
        <v>102</v>
      </c>
      <c r="M4" s="6">
        <v>13595</v>
      </c>
      <c r="N4" s="6" t="s">
        <v>103</v>
      </c>
      <c r="O4" s="10" t="s">
        <v>96</v>
      </c>
      <c r="P4" s="19">
        <v>513619</v>
      </c>
      <c r="Q4" s="6" t="s">
        <v>108</v>
      </c>
      <c r="R4" s="23" t="s">
        <v>109</v>
      </c>
    </row>
    <row r="5" spans="1:19" s="6" customFormat="1" ht="16" thickBot="1" x14ac:dyDescent="0.4">
      <c r="A5" s="1"/>
      <c r="C5" s="15"/>
      <c r="H5" s="4"/>
      <c r="I5" s="17"/>
      <c r="K5" s="18"/>
      <c r="L5" s="16"/>
      <c r="O5" s="10"/>
      <c r="P5" s="19"/>
      <c r="R5" s="23"/>
    </row>
    <row r="6" spans="1:19" s="6" customFormat="1" ht="16" thickBot="1" x14ac:dyDescent="0.4">
      <c r="A6" s="1"/>
      <c r="C6" s="15"/>
      <c r="H6" s="4"/>
      <c r="I6" s="17"/>
      <c r="K6" s="18"/>
      <c r="L6" s="16"/>
      <c r="O6" s="10"/>
      <c r="P6" s="19"/>
      <c r="R6" s="21"/>
    </row>
    <row r="7" spans="1:19" s="6" customFormat="1" ht="16" thickBot="1" x14ac:dyDescent="0.4">
      <c r="A7" s="1"/>
      <c r="C7" s="15"/>
      <c r="H7" s="4"/>
      <c r="I7" s="17"/>
      <c r="K7" s="18"/>
      <c r="L7" s="16"/>
      <c r="O7" s="10"/>
      <c r="P7" s="19"/>
      <c r="R7" s="23"/>
    </row>
    <row r="8" spans="1:19" s="6" customFormat="1" ht="16" thickBot="1" x14ac:dyDescent="0.4">
      <c r="A8" s="1"/>
      <c r="C8" s="15"/>
      <c r="H8" s="4"/>
      <c r="I8" s="17"/>
      <c r="K8" s="18"/>
      <c r="L8" s="16"/>
      <c r="O8" s="10"/>
      <c r="P8" s="19"/>
      <c r="R8" s="23"/>
    </row>
    <row r="9" spans="1:19" s="6" customFormat="1" ht="16" thickBot="1" x14ac:dyDescent="0.4">
      <c r="A9" s="1"/>
      <c r="C9" s="15"/>
      <c r="H9" s="4"/>
      <c r="I9" s="17"/>
      <c r="K9" s="18"/>
      <c r="L9" s="16"/>
      <c r="O9" s="10"/>
      <c r="P9" s="19"/>
      <c r="R9" s="23"/>
    </row>
    <row r="10" spans="1:19" ht="16" thickBot="1" x14ac:dyDescent="0.4">
      <c r="A10" s="1"/>
      <c r="B10" s="6"/>
      <c r="C10" s="15"/>
      <c r="D10" s="6"/>
      <c r="E10" s="6"/>
      <c r="F10" s="6"/>
      <c r="G10" s="6"/>
      <c r="H10" s="4"/>
      <c r="I10" s="17"/>
      <c r="J10" s="6"/>
      <c r="K10" s="18"/>
      <c r="L10" s="16"/>
      <c r="M10" s="6"/>
      <c r="N10" s="6"/>
      <c r="O10" s="10"/>
      <c r="P10" s="19"/>
      <c r="Q10" s="6"/>
      <c r="R10" s="23"/>
      <c r="S10" s="6"/>
    </row>
    <row r="11" spans="1:19" ht="16" thickBot="1" x14ac:dyDescent="0.4">
      <c r="A11" s="1"/>
      <c r="B11" s="6"/>
      <c r="C11" s="15"/>
      <c r="D11" s="6"/>
      <c r="E11" s="6"/>
      <c r="F11" s="6"/>
      <c r="G11" s="6"/>
      <c r="H11" s="4"/>
      <c r="I11" s="17"/>
      <c r="J11" s="6"/>
      <c r="K11" s="18"/>
      <c r="L11" s="16"/>
      <c r="M11" s="6"/>
      <c r="N11" s="6"/>
      <c r="O11" s="10"/>
      <c r="P11" s="19"/>
      <c r="Q11" s="6"/>
      <c r="R11" s="21"/>
      <c r="S11" s="6"/>
    </row>
    <row r="12" spans="1:19" ht="16" thickBot="1" x14ac:dyDescent="0.4">
      <c r="A12" s="1"/>
      <c r="B12" s="6"/>
      <c r="C12" s="15"/>
      <c r="D12" s="6"/>
      <c r="E12" s="6"/>
      <c r="F12" s="6"/>
      <c r="H12" s="4"/>
      <c r="I12" s="17"/>
      <c r="J12" s="6"/>
      <c r="K12" s="18"/>
      <c r="L12" s="16"/>
      <c r="M12" s="6"/>
      <c r="N12" s="6"/>
      <c r="O12" s="10"/>
      <c r="P12" s="19"/>
      <c r="Q12" s="6"/>
      <c r="R12" s="23"/>
      <c r="S12" s="6"/>
    </row>
    <row r="13" spans="1:19" ht="16" thickBot="1" x14ac:dyDescent="0.4">
      <c r="A13" s="1"/>
      <c r="B13" s="6"/>
      <c r="C13" s="15"/>
      <c r="D13" s="6"/>
      <c r="E13" s="6"/>
      <c r="F13" s="6"/>
      <c r="H13" s="4"/>
      <c r="I13" s="17"/>
      <c r="J13" s="6"/>
      <c r="K13" s="18"/>
      <c r="L13" s="16"/>
      <c r="M13" s="6"/>
      <c r="N13" s="6"/>
      <c r="O13" s="10"/>
      <c r="P13" s="19"/>
      <c r="Q13" s="6"/>
      <c r="R13" s="23"/>
      <c r="S13" s="6"/>
    </row>
    <row r="14" spans="1:19" ht="16" thickBot="1" x14ac:dyDescent="0.4">
      <c r="A14" s="1"/>
      <c r="D14" s="6"/>
      <c r="E14" s="6"/>
      <c r="F14" s="6"/>
      <c r="H14" s="20"/>
      <c r="I14" s="20"/>
      <c r="J14" s="20"/>
      <c r="K14" s="18"/>
      <c r="L14" s="16"/>
      <c r="R14" s="23"/>
      <c r="S14" s="6"/>
    </row>
    <row r="15" spans="1:19" x14ac:dyDescent="0.35">
      <c r="A15" s="1"/>
      <c r="S15" s="6"/>
    </row>
    <row r="16" spans="1:19" x14ac:dyDescent="0.35">
      <c r="A16" s="1"/>
      <c r="S16" s="6"/>
    </row>
    <row r="17" spans="1:19" x14ac:dyDescent="0.35">
      <c r="A17" s="1"/>
      <c r="S17" s="6"/>
    </row>
    <row r="18" spans="1:19" x14ac:dyDescent="0.35">
      <c r="A18" s="1"/>
      <c r="S18" s="6"/>
    </row>
    <row r="19" spans="1:19" x14ac:dyDescent="0.35">
      <c r="A19" s="1"/>
      <c r="S19" s="6"/>
    </row>
    <row r="20" spans="1:19" x14ac:dyDescent="0.35">
      <c r="A20" s="1"/>
      <c r="S20" s="6"/>
    </row>
    <row r="21" spans="1:19" x14ac:dyDescent="0.35">
      <c r="A21" s="1"/>
      <c r="S21" s="6"/>
    </row>
    <row r="22" spans="1:19" x14ac:dyDescent="0.35">
      <c r="A22" s="1"/>
      <c r="S22" s="6"/>
    </row>
    <row r="23" spans="1:19" x14ac:dyDescent="0.35">
      <c r="A23" s="1"/>
      <c r="S23" s="6"/>
    </row>
    <row r="24" spans="1:19" x14ac:dyDescent="0.35">
      <c r="A24" s="1"/>
      <c r="S24" s="6"/>
    </row>
    <row r="25" spans="1:19" x14ac:dyDescent="0.35">
      <c r="A25" s="1"/>
      <c r="D25" s="6"/>
    </row>
    <row r="26" spans="1:19" x14ac:dyDescent="0.35">
      <c r="A26" s="1"/>
      <c r="D26" s="6"/>
    </row>
    <row r="27" spans="1:19" x14ac:dyDescent="0.35">
      <c r="A27" s="1"/>
      <c r="D27" s="6"/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G30"/>
  <sheetViews>
    <sheetView zoomScale="90" zoomScaleNormal="90" workbookViewId="0">
      <pane ySplit="1" topLeftCell="A2" activePane="bottomLeft" state="frozenSplit"/>
      <selection activeCell="G30" sqref="G30"/>
      <selection pane="bottomLeft" activeCell="F4" sqref="F4"/>
    </sheetView>
  </sheetViews>
  <sheetFormatPr baseColWidth="10" defaultRowHeight="14.5" x14ac:dyDescent="0.35"/>
  <cols>
    <col min="1" max="1" width="4.26953125" bestFit="1" customWidth="1"/>
    <col min="3" max="3" width="4" bestFit="1" customWidth="1"/>
    <col min="5" max="5" width="4" bestFit="1" customWidth="1"/>
    <col min="7" max="7" width="6.1796875" bestFit="1" customWidth="1"/>
  </cols>
  <sheetData>
    <row r="1" spans="1:7" x14ac:dyDescent="0.35">
      <c r="A1" s="2" t="s">
        <v>18</v>
      </c>
      <c r="B1" t="s">
        <v>35</v>
      </c>
      <c r="C1" s="2" t="s">
        <v>4</v>
      </c>
      <c r="D1" t="s">
        <v>20</v>
      </c>
      <c r="E1" s="2" t="s">
        <v>4</v>
      </c>
      <c r="F1" t="s">
        <v>21</v>
      </c>
      <c r="G1" s="2" t="s">
        <v>16</v>
      </c>
    </row>
    <row r="2" spans="1:7" x14ac:dyDescent="0.35">
      <c r="A2" s="2" t="str">
        <f>IF(OR('A créer'!D2="Oui",LEN('A créer'!D2)=0),"","*FN")</f>
        <v>*FN</v>
      </c>
      <c r="B2" t="str">
        <f>IF(OR('A créer'!D2="Oui",LEN('A créer'!D2)=0),"",CONCATENATE("A",'A créer'!A2))</f>
        <v>A0535</v>
      </c>
      <c r="C2" s="2" t="str">
        <f>IF(OR('A créer'!D2="Oui",LEN('A créer'!D2)=0),"","Tab")</f>
        <v>Tab</v>
      </c>
      <c r="D2" t="str">
        <f>IF(OR('A créer'!D2="Oui",LEN('A créer'!D2)=0),"",CONCATENATE("A",'A créer'!A2))</f>
        <v>A0535</v>
      </c>
      <c r="E2" s="2" t="str">
        <f>IF(OR('A créer'!D2="Oui",LEN('A créer'!D2)=0),"","Tab")</f>
        <v>Tab</v>
      </c>
      <c r="F2" t="str">
        <f>IF(OR('A créer'!D2="Oui",LEN('A créer'!D2)=0),"",CONCATENATE("STE ",'A créer'!A2))</f>
        <v>STE 0535</v>
      </c>
      <c r="G2" s="2" t="str">
        <f>IF(OR('A créer'!D2="Oui",LEN('A créer'!D2)=0),"","*SAVE")</f>
        <v>*SAVE</v>
      </c>
    </row>
    <row r="3" spans="1:7" x14ac:dyDescent="0.35">
      <c r="A3" s="2" t="str">
        <f>IF(OR('A créer'!D3="Oui",LEN('A créer'!D3)=0),"","*FN")</f>
        <v/>
      </c>
      <c r="B3" s="6" t="str">
        <f>IF(OR('A créer'!D3="Oui",LEN('A créer'!D3)=0),"",CONCATENATE("A",'A créer'!A3))</f>
        <v/>
      </c>
      <c r="C3" s="2" t="str">
        <f>IF(OR('A créer'!D3="Oui",LEN('A créer'!D3)=0),"","Tab")</f>
        <v/>
      </c>
      <c r="D3" s="6" t="str">
        <f>IF(OR('A créer'!D3="Oui",LEN('A créer'!D3)=0),"",CONCATENATE("A",'A créer'!A3))</f>
        <v/>
      </c>
      <c r="E3" s="2" t="str">
        <f>IF(OR('A créer'!D3="Oui",LEN('A créer'!D3)=0),"","Tab")</f>
        <v/>
      </c>
      <c r="F3" s="6" t="str">
        <f>IF(OR('A créer'!D3="Oui",LEN('A créer'!D3)=0),"",CONCATENATE("STE ",'A créer'!A3))</f>
        <v/>
      </c>
      <c r="G3" s="2" t="str">
        <f>IF(OR('A créer'!D3="Oui",LEN('A créer'!D3)=0),"","*SAVE")</f>
        <v/>
      </c>
    </row>
    <row r="4" spans="1:7" x14ac:dyDescent="0.35">
      <c r="A4" s="2" t="str">
        <f>IF(OR('A créer'!D4="Oui",LEN('A créer'!D4)=0),"","*FN")</f>
        <v>*FN</v>
      </c>
      <c r="B4" s="6" t="str">
        <f>IF(OR('A créer'!D4="Oui",LEN('A créer'!D4)=0),"",CONCATENATE("A",'A créer'!A4))</f>
        <v>A0595</v>
      </c>
      <c r="C4" s="2" t="str">
        <f>IF(OR('A créer'!D4="Oui",LEN('A créer'!D4)=0),"","Tab")</f>
        <v>Tab</v>
      </c>
      <c r="D4" s="6" t="str">
        <f>IF(OR('A créer'!D4="Oui",LEN('A créer'!D4)=0),"",CONCATENATE("A",'A créer'!A4))</f>
        <v>A0595</v>
      </c>
      <c r="E4" s="2" t="str">
        <f>IF(OR('A créer'!D4="Oui",LEN('A créer'!D4)=0),"","Tab")</f>
        <v>Tab</v>
      </c>
      <c r="F4" s="6" t="str">
        <f>IF(OR('A créer'!D4="Oui",LEN('A créer'!D4)=0),"",CONCATENATE("STE ",'A créer'!A4))</f>
        <v>STE 0595</v>
      </c>
      <c r="G4" s="2" t="str">
        <f>IF(OR('A créer'!D4="Oui",LEN('A créer'!D4)=0),"","*SAVE")</f>
        <v>*SAVE</v>
      </c>
    </row>
    <row r="5" spans="1:7" x14ac:dyDescent="0.35">
      <c r="A5" s="2" t="str">
        <f>IF(OR('A créer'!D5="Oui",LEN('A créer'!D5)=0),"","*FN")</f>
        <v/>
      </c>
      <c r="B5" s="6" t="str">
        <f>IF(OR('A créer'!D5="Oui",LEN('A créer'!D5)=0),"",CONCATENATE("A",'A créer'!A5))</f>
        <v/>
      </c>
      <c r="C5" s="2" t="str">
        <f>IF(OR('A créer'!D5="Oui",LEN('A créer'!D5)=0),"","Tab")</f>
        <v/>
      </c>
      <c r="D5" s="6" t="str">
        <f>IF(OR('A créer'!D5="Oui",LEN('A créer'!D5)=0),"",CONCATENATE("A",'A créer'!A5))</f>
        <v/>
      </c>
      <c r="E5" s="2" t="str">
        <f>IF(OR('A créer'!D5="Oui",LEN('A créer'!D5)=0),"","Tab")</f>
        <v/>
      </c>
      <c r="F5" s="6" t="str">
        <f>IF(OR('A créer'!D5="Oui",LEN('A créer'!D5)=0),"",CONCATENATE("STE ",'A créer'!A5))</f>
        <v/>
      </c>
      <c r="G5" s="2" t="str">
        <f>IF(OR('A créer'!D5="Oui",LEN('A créer'!D5)=0),"","*SAVE")</f>
        <v/>
      </c>
    </row>
    <row r="6" spans="1:7" x14ac:dyDescent="0.35">
      <c r="A6" s="2" t="str">
        <f>IF(OR('A créer'!D6="Oui",LEN('A créer'!D6)=0),"","*FN")</f>
        <v/>
      </c>
      <c r="B6" s="6" t="str">
        <f>IF(OR('A créer'!D6="Oui",LEN('A créer'!D6)=0),"",CONCATENATE("A",'A créer'!A6))</f>
        <v/>
      </c>
      <c r="C6" s="2" t="str">
        <f>IF(OR('A créer'!D6="Oui",LEN('A créer'!D6)=0),"","Tab")</f>
        <v/>
      </c>
      <c r="D6" s="6" t="str">
        <f>IF(OR('A créer'!D6="Oui",LEN('A créer'!D6)=0),"",CONCATENATE("A",'A créer'!A6))</f>
        <v/>
      </c>
      <c r="E6" s="2" t="str">
        <f>IF(OR('A créer'!D6="Oui",LEN('A créer'!D6)=0),"","Tab")</f>
        <v/>
      </c>
      <c r="F6" s="6" t="str">
        <f>IF(OR('A créer'!D6="Oui",LEN('A créer'!D6)=0),"",CONCATENATE("STE ",'A créer'!A6))</f>
        <v/>
      </c>
      <c r="G6" s="2" t="str">
        <f>IF(OR('A créer'!D6="Oui",LEN('A créer'!D6)=0),"","*SAVE")</f>
        <v/>
      </c>
    </row>
    <row r="7" spans="1:7" x14ac:dyDescent="0.35">
      <c r="A7" s="2" t="str">
        <f>IF(OR('A créer'!D7="Oui",LEN('A créer'!D7)=0),"","*FN")</f>
        <v/>
      </c>
      <c r="B7" s="6" t="str">
        <f>IF(OR('A créer'!D7="Oui",LEN('A créer'!D7)=0),"",CONCATENATE("A",'A créer'!A7))</f>
        <v/>
      </c>
      <c r="C7" s="2" t="str">
        <f>IF(OR('A créer'!D7="Oui",LEN('A créer'!D7)=0),"","Tab")</f>
        <v/>
      </c>
      <c r="D7" s="6" t="str">
        <f>IF(OR('A créer'!D7="Oui",LEN('A créer'!D7)=0),"",CONCATENATE("A",'A créer'!A7))</f>
        <v/>
      </c>
      <c r="E7" s="2" t="str">
        <f>IF(OR('A créer'!D7="Oui",LEN('A créer'!D7)=0),"","Tab")</f>
        <v/>
      </c>
      <c r="F7" s="6" t="str">
        <f>IF(OR('A créer'!D7="Oui",LEN('A créer'!D7)=0),"",CONCATENATE("STE ",'A créer'!A7))</f>
        <v/>
      </c>
      <c r="G7" s="2" t="str">
        <f>IF(OR('A créer'!D7="Oui",LEN('A créer'!D7)=0),"","*SAVE")</f>
        <v/>
      </c>
    </row>
    <row r="8" spans="1:7" x14ac:dyDescent="0.35">
      <c r="A8" s="2" t="str">
        <f>IF(OR('A créer'!D8="Oui",LEN('A créer'!D8)=0),"","*FN")</f>
        <v/>
      </c>
      <c r="B8" s="6" t="str">
        <f>IF(OR('A créer'!D8="Oui",LEN('A créer'!D8)=0),"",CONCATENATE("A",'A créer'!A8))</f>
        <v/>
      </c>
      <c r="C8" s="2" t="str">
        <f>IF(OR('A créer'!D8="Oui",LEN('A créer'!D8)=0),"","Tab")</f>
        <v/>
      </c>
      <c r="D8" s="6" t="str">
        <f>IF(OR('A créer'!D8="Oui",LEN('A créer'!D8)=0),"",CONCATENATE("A",'A créer'!A8))</f>
        <v/>
      </c>
      <c r="E8" s="2" t="str">
        <f>IF(OR('A créer'!D8="Oui",LEN('A créer'!D8)=0),"","Tab")</f>
        <v/>
      </c>
      <c r="F8" s="6" t="str">
        <f>IF(OR('A créer'!D8="Oui",LEN('A créer'!D8)=0),"",CONCATENATE("STE ",'A créer'!A8))</f>
        <v/>
      </c>
      <c r="G8" s="2" t="str">
        <f>IF(OR('A créer'!D8="Oui",LEN('A créer'!D8)=0),"","*SAVE")</f>
        <v/>
      </c>
    </row>
    <row r="9" spans="1:7" x14ac:dyDescent="0.35">
      <c r="A9" s="2" t="str">
        <f>IF(OR('A créer'!D9="Oui",LEN('A créer'!D9)=0),"","*FN")</f>
        <v/>
      </c>
      <c r="B9" s="6" t="str">
        <f>IF(OR('A créer'!D9="Oui",LEN('A créer'!D9)=0),"",CONCATENATE("A",'A créer'!A9))</f>
        <v/>
      </c>
      <c r="C9" s="2" t="str">
        <f>IF(OR('A créer'!D9="Oui",LEN('A créer'!D9)=0),"","Tab")</f>
        <v/>
      </c>
      <c r="D9" s="6" t="str">
        <f>IF(OR('A créer'!D9="Oui",LEN('A créer'!D9)=0),"",CONCATENATE("A",'A créer'!A9))</f>
        <v/>
      </c>
      <c r="E9" s="2" t="str">
        <f>IF(OR('A créer'!D9="Oui",LEN('A créer'!D9)=0),"","Tab")</f>
        <v/>
      </c>
      <c r="F9" s="6" t="str">
        <f>IF(OR('A créer'!D9="Oui",LEN('A créer'!D9)=0),"",CONCATENATE("STE ",'A créer'!A9))</f>
        <v/>
      </c>
      <c r="G9" s="2" t="str">
        <f>IF(OR('A créer'!D9="Oui",LEN('A créer'!D9)=0),"","*SAVE")</f>
        <v/>
      </c>
    </row>
    <row r="10" spans="1:7" x14ac:dyDescent="0.35">
      <c r="A10" s="2" t="str">
        <f>IF(OR('A créer'!D10="Oui",LEN('A créer'!D10)=0),"","*FN")</f>
        <v/>
      </c>
      <c r="B10" s="6" t="str">
        <f>IF(OR('A créer'!D10="Oui",LEN('A créer'!D10)=0),"",CONCATENATE("A",'A créer'!A10))</f>
        <v/>
      </c>
      <c r="C10" s="2" t="str">
        <f>IF(OR('A créer'!D10="Oui",LEN('A créer'!D10)=0),"","Tab")</f>
        <v/>
      </c>
      <c r="D10" s="6" t="str">
        <f>IF(OR('A créer'!D10="Oui",LEN('A créer'!D10)=0),"",CONCATENATE("A",'A créer'!A10))</f>
        <v/>
      </c>
      <c r="E10" s="2" t="str">
        <f>IF(OR('A créer'!D10="Oui",LEN('A créer'!D10)=0),"","Tab")</f>
        <v/>
      </c>
      <c r="F10" s="6" t="str">
        <f>IF(OR('A créer'!D10="Oui",LEN('A créer'!D10)=0),"",CONCATENATE("STE ",'A créer'!A10))</f>
        <v/>
      </c>
      <c r="G10" s="2" t="str">
        <f>IF(OR('A créer'!D10="Oui",LEN('A créer'!D10)=0),"","*SAVE")</f>
        <v/>
      </c>
    </row>
    <row r="11" spans="1:7" x14ac:dyDescent="0.35">
      <c r="A11" s="2" t="str">
        <f>IF(OR('A créer'!D11="Oui",LEN('A créer'!D11)=0),"","*FN")</f>
        <v/>
      </c>
      <c r="B11" s="6" t="str">
        <f>IF(OR('A créer'!D11="Oui",LEN('A créer'!D11)=0),"",CONCATENATE("A",'A créer'!A11))</f>
        <v/>
      </c>
      <c r="C11" s="2" t="str">
        <f>IF(OR('A créer'!D11="Oui",LEN('A créer'!D11)=0),"","Tab")</f>
        <v/>
      </c>
      <c r="D11" s="6" t="str">
        <f>IF(OR('A créer'!D11="Oui",LEN('A créer'!D11)=0),"",CONCATENATE("A",'A créer'!A11))</f>
        <v/>
      </c>
      <c r="E11" s="2" t="str">
        <f>IF(OR('A créer'!D11="Oui",LEN('A créer'!D11)=0),"","Tab")</f>
        <v/>
      </c>
      <c r="F11" s="6" t="str">
        <f>IF(OR('A créer'!D11="Oui",LEN('A créer'!D11)=0),"",CONCATENATE("STE ",'A créer'!A11))</f>
        <v/>
      </c>
      <c r="G11" s="2" t="str">
        <f>IF(OR('A créer'!D11="Oui",LEN('A créer'!D11)=0),"","*SAVE")</f>
        <v/>
      </c>
    </row>
    <row r="12" spans="1:7" x14ac:dyDescent="0.35">
      <c r="A12" s="2" t="str">
        <f>IF(OR('A créer'!D12="Oui",LEN('A créer'!D12)=0),"","*FN")</f>
        <v/>
      </c>
      <c r="B12" s="6" t="str">
        <f>IF(OR('A créer'!D12="Oui",LEN('A créer'!D12)=0),"",CONCATENATE("A",'A créer'!A12))</f>
        <v/>
      </c>
      <c r="C12" s="2" t="str">
        <f>IF(OR('A créer'!D12="Oui",LEN('A créer'!D12)=0),"","Tab")</f>
        <v/>
      </c>
      <c r="D12" s="6" t="str">
        <f>IF(OR('A créer'!D12="Oui",LEN('A créer'!D12)=0),"",CONCATENATE("A",'A créer'!A12))</f>
        <v/>
      </c>
      <c r="E12" s="2" t="str">
        <f>IF(OR('A créer'!D12="Oui",LEN('A créer'!D12)=0),"","Tab")</f>
        <v/>
      </c>
      <c r="F12" s="6" t="str">
        <f>IF(OR('A créer'!D12="Oui",LEN('A créer'!D12)=0),"",CONCATENATE("STE ",'A créer'!A12))</f>
        <v/>
      </c>
      <c r="G12" s="2" t="str">
        <f>IF(OR('A créer'!D12="Oui",LEN('A créer'!D12)=0),"","*SAVE")</f>
        <v/>
      </c>
    </row>
    <row r="13" spans="1:7" x14ac:dyDescent="0.35">
      <c r="A13" s="2" t="str">
        <f>IF(OR('A créer'!D13="Oui",LEN('A créer'!D13)=0),"","*FN")</f>
        <v/>
      </c>
      <c r="B13" s="6" t="str">
        <f>IF(OR('A créer'!D13="Oui",LEN('A créer'!D13)=0),"",CONCATENATE("A",'A créer'!A13))</f>
        <v/>
      </c>
      <c r="C13" s="2" t="str">
        <f>IF(OR('A créer'!D13="Oui",LEN('A créer'!D13)=0),"","Tab")</f>
        <v/>
      </c>
      <c r="D13" s="6" t="str">
        <f>IF(OR('A créer'!D13="Oui",LEN('A créer'!D13)=0),"",CONCATENATE("A",'A créer'!A13))</f>
        <v/>
      </c>
      <c r="E13" s="2" t="str">
        <f>IF(OR('A créer'!D13="Oui",LEN('A créer'!D13)=0),"","Tab")</f>
        <v/>
      </c>
      <c r="F13" s="6" t="str">
        <f>IF(OR('A créer'!D13="Oui",LEN('A créer'!D13)=0),"",CONCATENATE("STE ",'A créer'!A13))</f>
        <v/>
      </c>
      <c r="G13" s="2" t="str">
        <f>IF(OR('A créer'!D13="Oui",LEN('A créer'!D13)=0),"","*SAVE")</f>
        <v/>
      </c>
    </row>
    <row r="14" spans="1:7" x14ac:dyDescent="0.35">
      <c r="A14" s="2" t="str">
        <f>IF(OR('A créer'!D14="Oui",LEN('A créer'!D14)=0),"","*FN")</f>
        <v/>
      </c>
      <c r="B14" s="6" t="str">
        <f>IF(OR('A créer'!D14="Oui",LEN('A créer'!D14)=0),"",CONCATENATE("A",'A créer'!A14))</f>
        <v/>
      </c>
      <c r="C14" s="2" t="str">
        <f>IF(OR('A créer'!D14="Oui",LEN('A créer'!D14)=0),"","Tab")</f>
        <v/>
      </c>
      <c r="D14" s="6" t="str">
        <f>IF(OR('A créer'!D14="Oui",LEN('A créer'!D14)=0),"",CONCATENATE("A",'A créer'!A14))</f>
        <v/>
      </c>
      <c r="E14" s="2" t="str">
        <f>IF(OR('A créer'!D14="Oui",LEN('A créer'!D14)=0),"","Tab")</f>
        <v/>
      </c>
      <c r="F14" s="6" t="str">
        <f>IF(OR('A créer'!D14="Oui",LEN('A créer'!D14)=0),"",CONCATENATE("STE ",'A créer'!A14))</f>
        <v/>
      </c>
      <c r="G14" s="2" t="str">
        <f>IF(OR('A créer'!D14="Oui",LEN('A créer'!D14)=0),"","*SAVE")</f>
        <v/>
      </c>
    </row>
    <row r="15" spans="1:7" x14ac:dyDescent="0.35">
      <c r="A15" s="2" t="str">
        <f>IF(OR('A créer'!D15="Oui",LEN('A créer'!D15)=0),"","*FN")</f>
        <v/>
      </c>
      <c r="B15" s="6" t="str">
        <f>IF(OR('A créer'!D15="Oui",LEN('A créer'!D15)=0),"",CONCATENATE("A",'A créer'!A15))</f>
        <v/>
      </c>
      <c r="C15" s="2" t="str">
        <f>IF(OR('A créer'!D15="Oui",LEN('A créer'!D15)=0),"","Tab")</f>
        <v/>
      </c>
      <c r="D15" s="6" t="str">
        <f>IF(OR('A créer'!D15="Oui",LEN('A créer'!D15)=0),"",CONCATENATE("A",'A créer'!A15))</f>
        <v/>
      </c>
      <c r="E15" s="2" t="str">
        <f>IF(OR('A créer'!D15="Oui",LEN('A créer'!D15)=0),"","Tab")</f>
        <v/>
      </c>
      <c r="F15" s="6" t="str">
        <f>IF(OR('A créer'!D15="Oui",LEN('A créer'!D15)=0),"",CONCATENATE("STE ",'A créer'!A15))</f>
        <v/>
      </c>
      <c r="G15" s="2" t="str">
        <f>IF(OR('A créer'!D15="Oui",LEN('A créer'!D15)=0),"","*SAVE")</f>
        <v/>
      </c>
    </row>
    <row r="16" spans="1:7" x14ac:dyDescent="0.35">
      <c r="A16" s="2" t="str">
        <f>IF(OR('A créer'!D16="Oui",LEN('A créer'!D16)=0),"","*FN")</f>
        <v/>
      </c>
      <c r="B16" s="6" t="str">
        <f>IF(OR('A créer'!D16="Oui",LEN('A créer'!D16)=0),"",CONCATENATE("A",'A créer'!A16))</f>
        <v/>
      </c>
      <c r="C16" s="2" t="str">
        <f>IF(OR('A créer'!D16="Oui",LEN('A créer'!D16)=0),"","Tab")</f>
        <v/>
      </c>
      <c r="D16" s="6" t="str">
        <f>IF(OR('A créer'!D16="Oui",LEN('A créer'!D16)=0),"",CONCATENATE("A",'A créer'!A16))</f>
        <v/>
      </c>
      <c r="E16" s="2" t="str">
        <f>IF(OR('A créer'!D16="Oui",LEN('A créer'!D16)=0),"","Tab")</f>
        <v/>
      </c>
      <c r="F16" s="6" t="str">
        <f>IF(OR('A créer'!D16="Oui",LEN('A créer'!D16)=0),"",CONCATENATE("STE ",'A créer'!A16))</f>
        <v/>
      </c>
      <c r="G16" s="2" t="str">
        <f>IF(OR('A créer'!D16="Oui",LEN('A créer'!D16)=0),"","*SAVE")</f>
        <v/>
      </c>
    </row>
    <row r="17" spans="1:7" x14ac:dyDescent="0.35">
      <c r="A17" s="2" t="str">
        <f>IF(OR('A créer'!D17="Oui",LEN('A créer'!D17)=0),"","*FN")</f>
        <v/>
      </c>
      <c r="B17" s="6" t="str">
        <f>IF(OR('A créer'!D17="Oui",LEN('A créer'!D17)=0),"",CONCATENATE("A",'A créer'!A17))</f>
        <v/>
      </c>
      <c r="C17" s="2" t="str">
        <f>IF(OR('A créer'!D17="Oui",LEN('A créer'!D17)=0),"","Tab")</f>
        <v/>
      </c>
      <c r="D17" s="6" t="str">
        <f>IF(OR('A créer'!D17="Oui",LEN('A créer'!D17)=0),"",CONCATENATE("A",'A créer'!A17))</f>
        <v/>
      </c>
      <c r="E17" s="2" t="str">
        <f>IF(OR('A créer'!D17="Oui",LEN('A créer'!D17)=0),"","Tab")</f>
        <v/>
      </c>
      <c r="F17" s="6" t="str">
        <f>IF(OR('A créer'!D17="Oui",LEN('A créer'!D17)=0),"",CONCATENATE("STE ",'A créer'!A17))</f>
        <v/>
      </c>
      <c r="G17" s="2" t="str">
        <f>IF(OR('A créer'!D17="Oui",LEN('A créer'!D17)=0),"","*SAVE")</f>
        <v/>
      </c>
    </row>
    <row r="18" spans="1:7" x14ac:dyDescent="0.35">
      <c r="A18" s="2" t="str">
        <f>IF(OR('A créer'!D18="Oui",LEN('A créer'!D18)=0),"","*FN")</f>
        <v/>
      </c>
      <c r="B18" s="6" t="str">
        <f>IF(OR('A créer'!D18="Oui",LEN('A créer'!D18)=0),"",CONCATENATE("A",'A créer'!A18))</f>
        <v/>
      </c>
      <c r="C18" s="2" t="str">
        <f>IF(OR('A créer'!D18="Oui",LEN('A créer'!D18)=0),"","Tab")</f>
        <v/>
      </c>
      <c r="D18" s="6" t="str">
        <f>IF(OR('A créer'!D18="Oui",LEN('A créer'!D18)=0),"",CONCATENATE("A",'A créer'!A18))</f>
        <v/>
      </c>
      <c r="E18" s="2" t="str">
        <f>IF(OR('A créer'!D18="Oui",LEN('A créer'!D18)=0),"","Tab")</f>
        <v/>
      </c>
      <c r="F18" s="6" t="str">
        <f>IF(OR('A créer'!D18="Oui",LEN('A créer'!D18)=0),"",CONCATENATE("STE ",'A créer'!A18))</f>
        <v/>
      </c>
      <c r="G18" s="2" t="str">
        <f>IF(OR('A créer'!D18="Oui",LEN('A créer'!D18)=0),"","*SAVE")</f>
        <v/>
      </c>
    </row>
    <row r="19" spans="1:7" x14ac:dyDescent="0.35">
      <c r="A19" s="2" t="str">
        <f>IF(OR('A créer'!D19="Oui",LEN('A créer'!D19)=0),"","*FN")</f>
        <v/>
      </c>
      <c r="B19" s="6" t="str">
        <f>IF(OR('A créer'!D19="Oui",LEN('A créer'!D19)=0),"",CONCATENATE("A",'A créer'!A19))</f>
        <v/>
      </c>
      <c r="C19" s="2" t="str">
        <f>IF(OR('A créer'!D19="Oui",LEN('A créer'!D19)=0),"","Tab")</f>
        <v/>
      </c>
      <c r="D19" s="6" t="str">
        <f>IF(OR('A créer'!D19="Oui",LEN('A créer'!D19)=0),"",CONCATENATE("A",'A créer'!A19))</f>
        <v/>
      </c>
      <c r="E19" s="2" t="str">
        <f>IF(OR('A créer'!D19="Oui",LEN('A créer'!D19)=0),"","Tab")</f>
        <v/>
      </c>
      <c r="F19" s="6" t="str">
        <f>IF(OR('A créer'!D19="Oui",LEN('A créer'!D19)=0),"",CONCATENATE("STE ",'A créer'!A19))</f>
        <v/>
      </c>
      <c r="G19" s="2" t="str">
        <f>IF(OR('A créer'!D19="Oui",LEN('A créer'!D19)=0),"","*SAVE")</f>
        <v/>
      </c>
    </row>
    <row r="20" spans="1:7" x14ac:dyDescent="0.35">
      <c r="A20" s="2" t="str">
        <f>IF(OR('A créer'!D20="Oui",LEN('A créer'!D20)=0),"","*FN")</f>
        <v/>
      </c>
      <c r="B20" s="6" t="str">
        <f>IF(OR('A créer'!D20="Oui",LEN('A créer'!D20)=0),"",CONCATENATE("A",'A créer'!A20))</f>
        <v/>
      </c>
      <c r="C20" s="2" t="str">
        <f>IF(OR('A créer'!D20="Oui",LEN('A créer'!D20)=0),"","Tab")</f>
        <v/>
      </c>
      <c r="D20" s="6" t="str">
        <f>IF(OR('A créer'!D20="Oui",LEN('A créer'!D20)=0),"",CONCATENATE("A",'A créer'!A20))</f>
        <v/>
      </c>
      <c r="E20" s="2" t="str">
        <f>IF(OR('A créer'!D20="Oui",LEN('A créer'!D20)=0),"","Tab")</f>
        <v/>
      </c>
      <c r="F20" s="6" t="str">
        <f>IF(OR('A créer'!D20="Oui",LEN('A créer'!D20)=0),"",CONCATENATE("STE ",'A créer'!A20))</f>
        <v/>
      </c>
      <c r="G20" s="2" t="str">
        <f>IF(OR('A créer'!D20="Oui",LEN('A créer'!D20)=0),"","*SAVE")</f>
        <v/>
      </c>
    </row>
    <row r="21" spans="1:7" x14ac:dyDescent="0.35">
      <c r="A21" s="2" t="str">
        <f>IF(OR('A créer'!D21="Oui",LEN('A créer'!D21)=0),"","*FN")</f>
        <v/>
      </c>
      <c r="B21" s="6" t="str">
        <f>IF(OR('A créer'!D21="Oui",LEN('A créer'!D21)=0),"",CONCATENATE("A",'A créer'!A21))</f>
        <v/>
      </c>
      <c r="C21" s="2" t="str">
        <f>IF(OR('A créer'!D21="Oui",LEN('A créer'!D21)=0),"","Tab")</f>
        <v/>
      </c>
      <c r="D21" s="6" t="str">
        <f>IF(OR('A créer'!D21="Oui",LEN('A créer'!D21)=0),"",CONCATENATE("A",'A créer'!A21))</f>
        <v/>
      </c>
      <c r="E21" s="2" t="str">
        <f>IF(OR('A créer'!D21="Oui",LEN('A créer'!D21)=0),"","Tab")</f>
        <v/>
      </c>
      <c r="F21" s="6" t="str">
        <f>IF(OR('A créer'!D21="Oui",LEN('A créer'!D21)=0),"",CONCATENATE("STE ",'A créer'!A21))</f>
        <v/>
      </c>
      <c r="G21" s="2" t="str">
        <f>IF(OR('A créer'!D21="Oui",LEN('A créer'!D21)=0),"","*SAVE")</f>
        <v/>
      </c>
    </row>
    <row r="22" spans="1:7" x14ac:dyDescent="0.35">
      <c r="A22" s="2" t="str">
        <f>IF(OR('A créer'!D22="Oui",LEN('A créer'!D22)=0),"","*FN")</f>
        <v/>
      </c>
      <c r="B22" s="6" t="str">
        <f>IF(OR('A créer'!D22="Oui",LEN('A créer'!D22)=0),"",CONCATENATE("A",'A créer'!A22))</f>
        <v/>
      </c>
      <c r="C22" s="2" t="str">
        <f>IF(OR('A créer'!D22="Oui",LEN('A créer'!D22)=0),"","Tab")</f>
        <v/>
      </c>
      <c r="D22" s="6" t="str">
        <f>IF(OR('A créer'!D22="Oui",LEN('A créer'!D22)=0),"",CONCATENATE("A",'A créer'!A22))</f>
        <v/>
      </c>
      <c r="E22" s="2" t="str">
        <f>IF(OR('A créer'!D22="Oui",LEN('A créer'!D22)=0),"","Tab")</f>
        <v/>
      </c>
      <c r="F22" s="6" t="str">
        <f>IF(OR('A créer'!D22="Oui",LEN('A créer'!D22)=0),"",CONCATENATE("STE ",'A créer'!A22))</f>
        <v/>
      </c>
      <c r="G22" s="2" t="str">
        <f>IF(OR('A créer'!D22="Oui",LEN('A créer'!D22)=0),"","*SAVE")</f>
        <v/>
      </c>
    </row>
    <row r="23" spans="1:7" x14ac:dyDescent="0.35">
      <c r="A23" s="2" t="str">
        <f>IF(OR('A créer'!D23="Oui",LEN('A créer'!D23)=0),"","*FN")</f>
        <v/>
      </c>
      <c r="B23" s="6" t="str">
        <f>IF(OR('A créer'!D23="Oui",LEN('A créer'!D23)=0),"",CONCATENATE("A",'A créer'!A23))</f>
        <v/>
      </c>
      <c r="C23" s="2" t="str">
        <f>IF(OR('A créer'!D23="Oui",LEN('A créer'!D23)=0),"","Tab")</f>
        <v/>
      </c>
      <c r="D23" s="6" t="str">
        <f>IF(OR('A créer'!D23="Oui",LEN('A créer'!D23)=0),"",CONCATENATE("A",'A créer'!A23))</f>
        <v/>
      </c>
      <c r="E23" s="2" t="str">
        <f>IF(OR('A créer'!D23="Oui",LEN('A créer'!D23)=0),"","Tab")</f>
        <v/>
      </c>
      <c r="F23" s="6" t="str">
        <f>IF(OR('A créer'!D23="Oui",LEN('A créer'!D23)=0),"",CONCATENATE("STE ",'A créer'!A23))</f>
        <v/>
      </c>
      <c r="G23" s="2" t="str">
        <f>IF(OR('A créer'!D23="Oui",LEN('A créer'!D23)=0),"","*SAVE")</f>
        <v/>
      </c>
    </row>
    <row r="24" spans="1:7" x14ac:dyDescent="0.35">
      <c r="A24" s="2" t="str">
        <f>IF(OR('A créer'!D24="Oui",LEN('A créer'!D24)=0),"","*FN")</f>
        <v/>
      </c>
      <c r="B24" s="6" t="str">
        <f>IF(OR('A créer'!D24="Oui",LEN('A créer'!D24)=0),"",CONCATENATE("A",'A créer'!A24))</f>
        <v/>
      </c>
      <c r="C24" s="2" t="str">
        <f>IF(OR('A créer'!D24="Oui",LEN('A créer'!D24)=0),"","Tab")</f>
        <v/>
      </c>
      <c r="D24" s="6" t="str">
        <f>IF(OR('A créer'!D24="Oui",LEN('A créer'!D24)=0),"",CONCATENATE("A",'A créer'!A24))</f>
        <v/>
      </c>
      <c r="E24" s="2" t="str">
        <f>IF(OR('A créer'!D24="Oui",LEN('A créer'!D24)=0),"","Tab")</f>
        <v/>
      </c>
      <c r="F24" s="6" t="str">
        <f>IF(OR('A créer'!D24="Oui",LEN('A créer'!D24)=0),"",CONCATENATE("STE ",'A créer'!A24))</f>
        <v/>
      </c>
      <c r="G24" s="2" t="str">
        <f>IF(OR('A créer'!D24="Oui",LEN('A créer'!D24)=0),"","*SAVE")</f>
        <v/>
      </c>
    </row>
    <row r="25" spans="1:7" x14ac:dyDescent="0.35">
      <c r="A25" s="2" t="str">
        <f>IF(OR('A créer'!D25="Oui",LEN('A créer'!D25)=0),"","*FN")</f>
        <v/>
      </c>
      <c r="B25" s="6" t="str">
        <f>IF(OR('A créer'!D25="Oui",LEN('A créer'!D25)=0),"",CONCATENATE("A",'A créer'!A25))</f>
        <v/>
      </c>
      <c r="C25" s="2" t="str">
        <f>IF(OR('A créer'!D25="Oui",LEN('A créer'!D25)=0),"","Tab")</f>
        <v/>
      </c>
      <c r="D25" s="6" t="str">
        <f>IF(OR('A créer'!D25="Oui",LEN('A créer'!D25)=0),"",CONCATENATE("A",'A créer'!A25))</f>
        <v/>
      </c>
      <c r="E25" s="2" t="str">
        <f>IF(OR('A créer'!D25="Oui",LEN('A créer'!D25)=0),"","Tab")</f>
        <v/>
      </c>
      <c r="F25" s="6" t="str">
        <f>IF(OR('A créer'!D25="Oui",LEN('A créer'!D25)=0),"",CONCATENATE("STE ",'A créer'!A25))</f>
        <v/>
      </c>
      <c r="G25" s="2" t="str">
        <f>IF(OR('A créer'!D25="Oui",LEN('A créer'!D25)=0),"","*SAVE")</f>
        <v/>
      </c>
    </row>
    <row r="26" spans="1:7" x14ac:dyDescent="0.35">
      <c r="A26" s="2" t="str">
        <f>IF(OR('A créer'!D26="Oui",LEN('A créer'!D26)=0),"","*FN")</f>
        <v/>
      </c>
      <c r="B26" s="6" t="str">
        <f>IF(OR('A créer'!D26="Oui",LEN('A créer'!D26)=0),"",CONCATENATE("A",'A créer'!A26))</f>
        <v/>
      </c>
      <c r="C26" s="2" t="str">
        <f>IF(OR('A créer'!D26="Oui",LEN('A créer'!D26)=0),"","Tab")</f>
        <v/>
      </c>
      <c r="D26" s="6" t="str">
        <f>IF(OR('A créer'!D26="Oui",LEN('A créer'!D26)=0),"",CONCATENATE("A",'A créer'!A26))</f>
        <v/>
      </c>
      <c r="E26" s="2" t="str">
        <f>IF(OR('A créer'!D26="Oui",LEN('A créer'!D26)=0),"","Tab")</f>
        <v/>
      </c>
      <c r="F26" s="6" t="str">
        <f>IF(OR('A créer'!D26="Oui",LEN('A créer'!D26)=0),"",CONCATENATE("STE ",'A créer'!A26))</f>
        <v/>
      </c>
      <c r="G26" s="2" t="str">
        <f>IF(OR('A créer'!D26="Oui",LEN('A créer'!D26)=0),"","*SAVE")</f>
        <v/>
      </c>
    </row>
    <row r="27" spans="1:7" x14ac:dyDescent="0.35">
      <c r="A27" s="2" t="str">
        <f>IF(OR('A créer'!D27="Oui",LEN('A créer'!D27)=0),"","*FN")</f>
        <v/>
      </c>
      <c r="B27" s="6" t="str">
        <f>IF(OR('A créer'!D27="Oui",LEN('A créer'!D27)=0),"",CONCATENATE("A",'A créer'!A27))</f>
        <v/>
      </c>
      <c r="C27" s="2" t="str">
        <f>IF(OR('A créer'!D27="Oui",LEN('A créer'!D27)=0),"","Tab")</f>
        <v/>
      </c>
      <c r="D27" s="6" t="str">
        <f>IF(OR('A créer'!D27="Oui",LEN('A créer'!D27)=0),"",CONCATENATE("A",'A créer'!A27))</f>
        <v/>
      </c>
      <c r="E27" s="2" t="str">
        <f>IF(OR('A créer'!D27="Oui",LEN('A créer'!D27)=0),"","Tab")</f>
        <v/>
      </c>
      <c r="F27" s="6" t="str">
        <f>IF(OR('A créer'!D27="Oui",LEN('A créer'!D27)=0),"",CONCATENATE("STE ",'A créer'!A27))</f>
        <v/>
      </c>
      <c r="G27" s="2" t="str">
        <f>IF(OR('A créer'!D27="Oui",LEN('A créer'!D27)=0),"","*SAVE")</f>
        <v/>
      </c>
    </row>
    <row r="28" spans="1:7" x14ac:dyDescent="0.35">
      <c r="A28" s="2" t="str">
        <f>IF(OR('A créer'!D28="Oui",LEN('A créer'!D28)=0),"","*FN")</f>
        <v/>
      </c>
      <c r="B28" s="6" t="str">
        <f>IF(OR('A créer'!D28="Oui",LEN('A créer'!D28)=0),"",CONCATENATE("A",'A créer'!A28))</f>
        <v/>
      </c>
      <c r="C28" s="2" t="str">
        <f>IF(OR('A créer'!D28="Oui",LEN('A créer'!D28)=0),"","Tab")</f>
        <v/>
      </c>
      <c r="D28" s="6" t="str">
        <f>IF(OR('A créer'!D28="Oui",LEN('A créer'!D28)=0),"",CONCATENATE("A",'A créer'!A28))</f>
        <v/>
      </c>
      <c r="E28" s="2" t="str">
        <f>IF(OR('A créer'!D28="Oui",LEN('A créer'!D28)=0),"","Tab")</f>
        <v/>
      </c>
      <c r="F28" s="6" t="str">
        <f>IF(OR('A créer'!D28="Oui",LEN('A créer'!D28)=0),"",CONCATENATE("STE ",'A créer'!A28))</f>
        <v/>
      </c>
      <c r="G28" s="2" t="str">
        <f>IF(OR('A créer'!D28="Oui",LEN('A créer'!D28)=0),"","*SAVE")</f>
        <v/>
      </c>
    </row>
    <row r="29" spans="1:7" x14ac:dyDescent="0.35">
      <c r="A29" s="2" t="str">
        <f>IF(OR('A créer'!D29="Oui",LEN('A créer'!D29)=0),"","*FN")</f>
        <v/>
      </c>
      <c r="B29" s="6" t="str">
        <f>IF(OR('A créer'!D29="Oui",LEN('A créer'!D29)=0),"",CONCATENATE("A",'A créer'!A29))</f>
        <v/>
      </c>
      <c r="C29" s="2" t="str">
        <f>IF(OR('A créer'!D29="Oui",LEN('A créer'!D29)=0),"","Tab")</f>
        <v/>
      </c>
      <c r="D29" s="6" t="str">
        <f>IF(OR('A créer'!D29="Oui",LEN('A créer'!D29)=0),"",CONCATENATE("A",'A créer'!A29))</f>
        <v/>
      </c>
      <c r="E29" s="2" t="str">
        <f>IF(OR('A créer'!D29="Oui",LEN('A créer'!D29)=0),"","Tab")</f>
        <v/>
      </c>
      <c r="F29" s="6" t="str">
        <f>IF(OR('A créer'!D29="Oui",LEN('A créer'!D29)=0),"",CONCATENATE("STE ",'A créer'!A29))</f>
        <v/>
      </c>
      <c r="G29" s="2" t="str">
        <f>IF(OR('A créer'!D29="Oui",LEN('A créer'!D29)=0),"","*SAVE")</f>
        <v/>
      </c>
    </row>
    <row r="30" spans="1:7" x14ac:dyDescent="0.35">
      <c r="A30" s="2" t="str">
        <f>IF(OR('A créer'!D30="Oui",LEN('A créer'!D30)=0),"","*FN")</f>
        <v/>
      </c>
      <c r="B30" s="6" t="str">
        <f>IF(OR('A créer'!D30="Oui",LEN('A créer'!D30)=0),"",CONCATENATE("A",'A créer'!A30))</f>
        <v/>
      </c>
      <c r="C30" s="2" t="str">
        <f>IF(OR('A créer'!D30="Oui",LEN('A créer'!D30)=0),"","Tab")</f>
        <v/>
      </c>
      <c r="D30" s="6" t="str">
        <f>IF(OR('A créer'!D30="Oui",LEN('A créer'!D30)=0),"",CONCATENATE("A",'A créer'!A30))</f>
        <v/>
      </c>
      <c r="E30" s="2" t="str">
        <f>IF(OR('A créer'!D30="Oui",LEN('A créer'!D30)=0),"","Tab")</f>
        <v/>
      </c>
      <c r="F30" s="6" t="str">
        <f>IF(OR('A créer'!D30="Oui",LEN('A créer'!D30)=0),"",CONCATENATE("STE ",'A créer'!A30))</f>
        <v/>
      </c>
      <c r="G30" s="2" t="str">
        <f>IF(OR('A créer'!D30="Oui",LEN('A créer'!D30)=0),"","*SAVE")</f>
        <v/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F30"/>
  <sheetViews>
    <sheetView zoomScale="80" zoomScaleNormal="80" workbookViewId="0">
      <pane ySplit="1" topLeftCell="A2" activePane="bottomLeft" state="frozenSplit"/>
      <selection activeCell="C2" sqref="C2"/>
      <selection pane="bottomLeft" activeCell="D32" sqref="D32"/>
    </sheetView>
  </sheetViews>
  <sheetFormatPr baseColWidth="10" defaultRowHeight="14.5" x14ac:dyDescent="0.35"/>
  <cols>
    <col min="1" max="1" width="4.26953125" bestFit="1" customWidth="1"/>
    <col min="3" max="3" width="4" bestFit="1" customWidth="1"/>
    <col min="4" max="4" width="27.26953125" bestFit="1" customWidth="1"/>
    <col min="5" max="5" width="4" bestFit="1" customWidth="1"/>
    <col min="6" max="6" width="6.1796875" bestFit="1" customWidth="1"/>
  </cols>
  <sheetData>
    <row r="1" spans="1:6" x14ac:dyDescent="0.35">
      <c r="A1" s="2" t="s">
        <v>18</v>
      </c>
      <c r="B1" t="s">
        <v>35</v>
      </c>
      <c r="C1" s="2" t="s">
        <v>4</v>
      </c>
      <c r="D1" t="s">
        <v>21</v>
      </c>
      <c r="E1" s="2" t="s">
        <v>4</v>
      </c>
      <c r="F1" s="2" t="s">
        <v>16</v>
      </c>
    </row>
    <row r="2" spans="1:6" x14ac:dyDescent="0.35">
      <c r="A2" s="2" t="str">
        <f>IF(LEN('A créer'!G2)=0,"","*FN")</f>
        <v>*FN</v>
      </c>
      <c r="B2" t="str">
        <f>IF(LEN('A créer'!G2)=0,"",'A créer'!G2)</f>
        <v>S2301</v>
      </c>
      <c r="C2" s="2" t="str">
        <f>IF(LEN('A créer'!G2)=0,"","Tab")</f>
        <v>Tab</v>
      </c>
      <c r="D2" s="6" t="str">
        <f>IF(LEN('A créer'!G2)=0,IF(LEN('A créer'!G2)&gt;0,CONCATENATE('A créer'!C2," ",'A créer'!B2),""),'A créer'!C2)</f>
        <v>CHARLEVILLE RENOUVELABLE</v>
      </c>
      <c r="E2" s="2" t="str">
        <f>IF(LEN('A créer'!G2)=0,"","Tab")</f>
        <v>Tab</v>
      </c>
      <c r="F2" s="2" t="str">
        <f>IF(LEN('A créer'!G2)=0,"","*SAVE")</f>
        <v>*SAVE</v>
      </c>
    </row>
    <row r="3" spans="1:6" x14ac:dyDescent="0.35">
      <c r="A3" s="2" t="str">
        <f>IF(LEN('A créer'!G3)=0,"","*FN")</f>
        <v/>
      </c>
      <c r="B3" s="6" t="str">
        <f>IF(LEN('A créer'!G3)=0,"",'A créer'!G3)</f>
        <v/>
      </c>
      <c r="C3" s="2" t="str">
        <f>IF(LEN('A créer'!G3)=0,"","Tab")</f>
        <v/>
      </c>
      <c r="D3" s="6" t="str">
        <f>IF(LEN('A créer'!G3)=0,IF(LEN('A créer'!G3)&gt;0,CONCATENATE('A créer'!C3," ",'A créer'!B3),""),'A créer'!C3)</f>
        <v/>
      </c>
      <c r="E3" s="2" t="str">
        <f>IF(LEN('A créer'!G3)=0,"","Tab")</f>
        <v/>
      </c>
      <c r="F3" s="2" t="str">
        <f>IF(LEN('A créer'!G3)=0,"","*SAVE")</f>
        <v/>
      </c>
    </row>
    <row r="4" spans="1:6" x14ac:dyDescent="0.35">
      <c r="A4" s="2" t="str">
        <f>IF(LEN('A créer'!G4)=0,"","*FN")</f>
        <v>*FN</v>
      </c>
      <c r="B4" s="6" t="str">
        <f>IF(LEN('A créer'!G4)=0,"",'A créer'!G4)</f>
        <v>S2070</v>
      </c>
      <c r="C4" s="2" t="str">
        <f>IF(LEN('A créer'!G4)=0,"","Tab")</f>
        <v>Tab</v>
      </c>
      <c r="D4" s="6" t="str">
        <f>IF(LEN('A créer'!G4)=0,IF(LEN('A créer'!G4)&gt;0,CONCATENATE('A créer'!C4," ",'A créer'!B4),""),'A créer'!C4)</f>
        <v>MIRECOURT ENERGIES</v>
      </c>
      <c r="E4" s="2" t="str">
        <f>IF(LEN('A créer'!G4)=0,"","Tab")</f>
        <v>Tab</v>
      </c>
      <c r="F4" s="2" t="str">
        <f>IF(LEN('A créer'!G4)=0,"","*SAVE")</f>
        <v>*SAVE</v>
      </c>
    </row>
    <row r="5" spans="1:6" x14ac:dyDescent="0.35">
      <c r="A5" s="2" t="str">
        <f>IF(LEN('A créer'!G5)=0,"","*FN")</f>
        <v/>
      </c>
      <c r="B5" s="6" t="str">
        <f>IF(LEN('A créer'!G5)=0,"",'A créer'!G5)</f>
        <v/>
      </c>
      <c r="C5" s="2" t="str">
        <f>IF(LEN('A créer'!G5)=0,"","Tab")</f>
        <v/>
      </c>
      <c r="D5" s="6" t="str">
        <f>IF(LEN('A créer'!G5)=0,IF(LEN('A créer'!G5)&gt;0,CONCATENATE('A créer'!C5," ",'A créer'!B5),""),'A créer'!C5)</f>
        <v/>
      </c>
      <c r="E5" s="2" t="str">
        <f>IF(LEN('A créer'!G5)=0,"","Tab")</f>
        <v/>
      </c>
      <c r="F5" s="2" t="str">
        <f>IF(LEN('A créer'!G5)=0,"","*SAVE")</f>
        <v/>
      </c>
    </row>
    <row r="6" spans="1:6" x14ac:dyDescent="0.35">
      <c r="A6" s="2" t="str">
        <f>IF(LEN('A créer'!G6)=0,"","*FN")</f>
        <v/>
      </c>
      <c r="B6" s="6" t="str">
        <f>IF(LEN('A créer'!G6)=0,"",'A créer'!G6)</f>
        <v/>
      </c>
      <c r="C6" s="2" t="str">
        <f>IF(LEN('A créer'!G6)=0,"","Tab")</f>
        <v/>
      </c>
      <c r="D6" s="6" t="str">
        <f>IF(LEN('A créer'!G6)=0,IF(LEN('A créer'!G6)&gt;0,CONCATENATE('A créer'!C6," ",'A créer'!B6),""),'A créer'!C6)</f>
        <v/>
      </c>
      <c r="E6" s="2" t="str">
        <f>IF(LEN('A créer'!G6)=0,"","Tab")</f>
        <v/>
      </c>
      <c r="F6" s="2" t="str">
        <f>IF(LEN('A créer'!G6)=0,"","*SAVE")</f>
        <v/>
      </c>
    </row>
    <row r="7" spans="1:6" x14ac:dyDescent="0.35">
      <c r="A7" s="2" t="str">
        <f>IF(LEN('A créer'!G7)=0,"","*FN")</f>
        <v/>
      </c>
      <c r="B7" s="6" t="str">
        <f>IF(LEN('A créer'!G7)=0,"",'A créer'!G7)</f>
        <v/>
      </c>
      <c r="C7" s="2" t="str">
        <f>IF(LEN('A créer'!G7)=0,"","Tab")</f>
        <v/>
      </c>
      <c r="D7" s="6" t="str">
        <f>IF(LEN('A créer'!G7)=0,IF(LEN('A créer'!G7)&gt;0,CONCATENATE('A créer'!C7," ",'A créer'!B7),""),'A créer'!C7)</f>
        <v/>
      </c>
      <c r="E7" s="2" t="str">
        <f>IF(LEN('A créer'!G7)=0,"","Tab")</f>
        <v/>
      </c>
      <c r="F7" s="2" t="str">
        <f>IF(LEN('A créer'!G7)=0,"","*SAVE")</f>
        <v/>
      </c>
    </row>
    <row r="8" spans="1:6" x14ac:dyDescent="0.35">
      <c r="A8" s="2" t="str">
        <f>IF(LEN('A créer'!G8)=0,"","*FN")</f>
        <v/>
      </c>
      <c r="B8" s="6" t="str">
        <f>IF(LEN('A créer'!G8)=0,"",'A créer'!G8)</f>
        <v/>
      </c>
      <c r="C8" s="2" t="str">
        <f>IF(LEN('A créer'!G8)=0,"","Tab")</f>
        <v/>
      </c>
      <c r="D8" s="6" t="str">
        <f>IF(LEN('A créer'!G8)=0,IF(LEN('A créer'!G8)&gt;0,CONCATENATE('A créer'!C8," ",'A créer'!B8),""),'A créer'!C8)</f>
        <v/>
      </c>
      <c r="E8" s="2" t="str">
        <f>IF(LEN('A créer'!G8)=0,"","Tab")</f>
        <v/>
      </c>
      <c r="F8" s="2" t="str">
        <f>IF(LEN('A créer'!G8)=0,"","*SAVE")</f>
        <v/>
      </c>
    </row>
    <row r="9" spans="1:6" x14ac:dyDescent="0.35">
      <c r="A9" s="2" t="str">
        <f>IF(LEN('A créer'!G9)=0,"","*FN")</f>
        <v/>
      </c>
      <c r="B9" s="6" t="str">
        <f>IF(LEN('A créer'!G9)=0,"",'A créer'!G9)</f>
        <v/>
      </c>
      <c r="C9" s="2" t="str">
        <f>IF(LEN('A créer'!G9)=0,"","Tab")</f>
        <v/>
      </c>
      <c r="D9" s="6" t="str">
        <f>IF(LEN('A créer'!G9)=0,IF(LEN('A créer'!G9)&gt;0,CONCATENATE('A créer'!C9," ",'A créer'!B9),""),'A créer'!C9)</f>
        <v/>
      </c>
      <c r="E9" s="2" t="str">
        <f>IF(LEN('A créer'!G9)=0,"","Tab")</f>
        <v/>
      </c>
      <c r="F9" s="2" t="str">
        <f>IF(LEN('A créer'!G9)=0,"","*SAVE")</f>
        <v/>
      </c>
    </row>
    <row r="10" spans="1:6" x14ac:dyDescent="0.35">
      <c r="A10" s="2" t="str">
        <f>IF(LEN('A créer'!G10)=0,"","*FN")</f>
        <v/>
      </c>
      <c r="B10" s="6" t="str">
        <f>IF(LEN('A créer'!G10)=0,"",'A créer'!G10)</f>
        <v/>
      </c>
      <c r="C10" s="2" t="str">
        <f>IF(LEN('A créer'!G10)=0,"","Tab")</f>
        <v/>
      </c>
      <c r="D10" s="6" t="str">
        <f>IF(LEN('A créer'!G10)=0,IF(LEN('A créer'!G10)&gt;0,CONCATENATE('A créer'!C10," ",'A créer'!B10),""),'A créer'!C10)</f>
        <v/>
      </c>
      <c r="E10" s="2" t="str">
        <f>IF(LEN('A créer'!G10)=0,"","Tab")</f>
        <v/>
      </c>
      <c r="F10" s="2" t="str">
        <f>IF(LEN('A créer'!G10)=0,"","*SAVE")</f>
        <v/>
      </c>
    </row>
    <row r="11" spans="1:6" x14ac:dyDescent="0.35">
      <c r="A11" s="2" t="str">
        <f>IF(LEN('A créer'!G11)=0,"","*FN")</f>
        <v/>
      </c>
      <c r="B11" s="6" t="str">
        <f>IF(LEN('A créer'!G11)=0,"",'A créer'!G11)</f>
        <v/>
      </c>
      <c r="C11" s="2" t="str">
        <f>IF(LEN('A créer'!G11)=0,"","Tab")</f>
        <v/>
      </c>
      <c r="D11" s="6" t="str">
        <f>IF(LEN('A créer'!G11)=0,IF(LEN('A créer'!G11)&gt;0,CONCATENATE('A créer'!C11," ",'A créer'!B11),""),'A créer'!C11)</f>
        <v/>
      </c>
      <c r="E11" s="2" t="str">
        <f>IF(LEN('A créer'!G11)=0,"","Tab")</f>
        <v/>
      </c>
      <c r="F11" s="2" t="str">
        <f>IF(LEN('A créer'!G11)=0,"","*SAVE")</f>
        <v/>
      </c>
    </row>
    <row r="12" spans="1:6" x14ac:dyDescent="0.35">
      <c r="A12" s="2" t="str">
        <f>IF(LEN('A créer'!G12)=0,"","*FN")</f>
        <v/>
      </c>
      <c r="B12" s="6" t="str">
        <f>IF(LEN('A créer'!G12)=0,"",'A créer'!G12)</f>
        <v/>
      </c>
      <c r="C12" s="2" t="str">
        <f>IF(LEN('A créer'!G12)=0,"","Tab")</f>
        <v/>
      </c>
      <c r="D12" s="6" t="str">
        <f>IF(LEN('A créer'!G12)=0,IF(LEN('A créer'!G12)&gt;0,CONCATENATE('A créer'!C12," ",'A créer'!B12),""),'A créer'!C12)</f>
        <v/>
      </c>
      <c r="E12" s="2" t="str">
        <f>IF(LEN('A créer'!G12)=0,"","Tab")</f>
        <v/>
      </c>
      <c r="F12" s="2" t="str">
        <f>IF(LEN('A créer'!G12)=0,"","*SAVE")</f>
        <v/>
      </c>
    </row>
    <row r="13" spans="1:6" x14ac:dyDescent="0.35">
      <c r="A13" s="2" t="str">
        <f>IF(LEN('A créer'!G13)=0,"","*FN")</f>
        <v/>
      </c>
      <c r="B13" s="6" t="str">
        <f>IF(LEN('A créer'!G13)=0,"",'A créer'!G13)</f>
        <v/>
      </c>
      <c r="C13" s="2" t="str">
        <f>IF(LEN('A créer'!G13)=0,"","Tab")</f>
        <v/>
      </c>
      <c r="D13" s="6" t="str">
        <f>IF(LEN('A créer'!G13)=0,IF(LEN('A créer'!G13)&gt;0,CONCATENATE('A créer'!C13," ",'A créer'!B13),""),'A créer'!C13)</f>
        <v/>
      </c>
      <c r="E13" s="2" t="str">
        <f>IF(LEN('A créer'!G13)=0,"","Tab")</f>
        <v/>
      </c>
      <c r="F13" s="2" t="str">
        <f>IF(LEN('A créer'!G13)=0,"","*SAVE")</f>
        <v/>
      </c>
    </row>
    <row r="14" spans="1:6" x14ac:dyDescent="0.35">
      <c r="A14" s="2" t="str">
        <f>IF(LEN('A créer'!G14)=0,"","*FN")</f>
        <v/>
      </c>
      <c r="B14" s="6" t="str">
        <f>IF(LEN('A créer'!G14)=0,"",'A créer'!G14)</f>
        <v/>
      </c>
      <c r="C14" s="2" t="str">
        <f>IF(LEN('A créer'!G14)=0,"","Tab")</f>
        <v/>
      </c>
      <c r="D14" s="6" t="str">
        <f>IF(LEN('A créer'!G14)=0,IF(LEN('A créer'!G14)&gt;0,CONCATENATE('A créer'!C14," ",'A créer'!B14),""),'A créer'!C14)</f>
        <v/>
      </c>
      <c r="E14" s="2" t="str">
        <f>IF(LEN('A créer'!G14)=0,"","Tab")</f>
        <v/>
      </c>
      <c r="F14" s="2" t="str">
        <f>IF(LEN('A créer'!G14)=0,"","*SAVE")</f>
        <v/>
      </c>
    </row>
    <row r="15" spans="1:6" x14ac:dyDescent="0.35">
      <c r="A15" s="2" t="str">
        <f>IF(LEN('A créer'!G15)=0,"","*FN")</f>
        <v/>
      </c>
      <c r="B15" s="6" t="str">
        <f>IF(LEN('A créer'!G15)=0,"",'A créer'!G15)</f>
        <v/>
      </c>
      <c r="C15" s="2" t="str">
        <f>IF(LEN('A créer'!G15)=0,"","Tab")</f>
        <v/>
      </c>
      <c r="D15" s="6" t="str">
        <f>IF(LEN('A créer'!G15)=0,IF(LEN('A créer'!G15)&gt;0,CONCATENATE('A créer'!C15," ",'A créer'!B15),""),'A créer'!C15)</f>
        <v/>
      </c>
      <c r="E15" s="2" t="str">
        <f>IF(LEN('A créer'!G15)=0,"","Tab")</f>
        <v/>
      </c>
      <c r="F15" s="2" t="str">
        <f>IF(LEN('A créer'!G15)=0,"","*SAVE")</f>
        <v/>
      </c>
    </row>
    <row r="16" spans="1:6" x14ac:dyDescent="0.35">
      <c r="A16" s="2" t="str">
        <f>IF(LEN('A créer'!G16)=0,"","*FN")</f>
        <v/>
      </c>
      <c r="B16" s="6" t="str">
        <f>IF(LEN('A créer'!G16)=0,"",'A créer'!G16)</f>
        <v/>
      </c>
      <c r="C16" s="2" t="str">
        <f>IF(LEN('A créer'!G16)=0,"","Tab")</f>
        <v/>
      </c>
      <c r="D16" s="6" t="str">
        <f>IF(LEN('A créer'!G16)=0,IF(LEN('A créer'!G16)&gt;0,CONCATENATE('A créer'!C16," ",'A créer'!B16),""),'A créer'!C16)</f>
        <v/>
      </c>
      <c r="E16" s="2" t="str">
        <f>IF(LEN('A créer'!G16)=0,"","Tab")</f>
        <v/>
      </c>
      <c r="F16" s="2" t="str">
        <f>IF(LEN('A créer'!G16)=0,"","*SAVE")</f>
        <v/>
      </c>
    </row>
    <row r="17" spans="1:6" x14ac:dyDescent="0.35">
      <c r="A17" s="2" t="str">
        <f>IF(LEN('A créer'!G17)=0,"","*FN")</f>
        <v/>
      </c>
      <c r="B17" s="6" t="str">
        <f>IF(LEN('A créer'!G17)=0,"",'A créer'!G17)</f>
        <v/>
      </c>
      <c r="C17" s="2" t="str">
        <f>IF(LEN('A créer'!G17)=0,"","Tab")</f>
        <v/>
      </c>
      <c r="D17" s="6" t="str">
        <f>IF(LEN('A créer'!G17)=0,IF(LEN('A créer'!G17)&gt;0,CONCATENATE('A créer'!C17," ",'A créer'!B17),""),'A créer'!C17)</f>
        <v/>
      </c>
      <c r="E17" s="2" t="str">
        <f>IF(LEN('A créer'!G17)=0,"","Tab")</f>
        <v/>
      </c>
      <c r="F17" s="2" t="str">
        <f>IF(LEN('A créer'!G17)=0,"","*SAVE")</f>
        <v/>
      </c>
    </row>
    <row r="18" spans="1:6" x14ac:dyDescent="0.35">
      <c r="A18" s="2" t="str">
        <f>IF(LEN('A créer'!G18)=0,"","*FN")</f>
        <v/>
      </c>
      <c r="B18" s="6" t="str">
        <f>IF(LEN('A créer'!G18)=0,"",'A créer'!G18)</f>
        <v/>
      </c>
      <c r="C18" s="2" t="str">
        <f>IF(LEN('A créer'!G18)=0,"","Tab")</f>
        <v/>
      </c>
      <c r="D18" s="6" t="str">
        <f>IF(LEN('A créer'!G18)=0,IF(LEN('A créer'!G18)&gt;0,CONCATENATE('A créer'!C18," ",'A créer'!B18),""),'A créer'!C18)</f>
        <v/>
      </c>
      <c r="E18" s="2" t="str">
        <f>IF(LEN('A créer'!G18)=0,"","Tab")</f>
        <v/>
      </c>
      <c r="F18" s="2" t="str">
        <f>IF(LEN('A créer'!G18)=0,"","*SAVE")</f>
        <v/>
      </c>
    </row>
    <row r="19" spans="1:6" x14ac:dyDescent="0.35">
      <c r="A19" s="2" t="str">
        <f>IF(LEN('A créer'!G19)=0,"","*FN")</f>
        <v/>
      </c>
      <c r="B19" s="6" t="str">
        <f>IF(LEN('A créer'!G19)=0,"",'A créer'!G19)</f>
        <v/>
      </c>
      <c r="C19" s="2" t="str">
        <f>IF(LEN('A créer'!G19)=0,"","Tab")</f>
        <v/>
      </c>
      <c r="D19" s="6" t="str">
        <f>IF(LEN('A créer'!G19)=0,IF(LEN('A créer'!G19)&gt;0,CONCATENATE('A créer'!C19," ",'A créer'!B19),""),'A créer'!C19)</f>
        <v/>
      </c>
      <c r="E19" s="2" t="str">
        <f>IF(LEN('A créer'!G19)=0,"","Tab")</f>
        <v/>
      </c>
      <c r="F19" s="2" t="str">
        <f>IF(LEN('A créer'!G19)=0,"","*SAVE")</f>
        <v/>
      </c>
    </row>
    <row r="20" spans="1:6" x14ac:dyDescent="0.35">
      <c r="A20" s="2" t="str">
        <f>IF(LEN('A créer'!G20)=0,"","*FN")</f>
        <v/>
      </c>
      <c r="B20" s="6" t="str">
        <f>IF(LEN('A créer'!G20)=0,"",'A créer'!G20)</f>
        <v/>
      </c>
      <c r="C20" s="2" t="str">
        <f>IF(LEN('A créer'!G20)=0,"","Tab")</f>
        <v/>
      </c>
      <c r="D20" s="6" t="str">
        <f>IF(LEN('A créer'!G20)=0,IF(LEN('A créer'!G20)&gt;0,CONCATENATE('A créer'!C20," ",'A créer'!B20),""),'A créer'!C20)</f>
        <v/>
      </c>
      <c r="E20" s="2" t="str">
        <f>IF(LEN('A créer'!G20)=0,"","Tab")</f>
        <v/>
      </c>
      <c r="F20" s="2" t="str">
        <f>IF(LEN('A créer'!G20)=0,"","*SAVE")</f>
        <v/>
      </c>
    </row>
    <row r="21" spans="1:6" x14ac:dyDescent="0.35">
      <c r="A21" s="2" t="str">
        <f>IF(LEN('A créer'!G21)=0,"","*FN")</f>
        <v/>
      </c>
      <c r="B21" s="6" t="str">
        <f>IF(LEN('A créer'!G21)=0,"",'A créer'!G21)</f>
        <v/>
      </c>
      <c r="C21" s="2" t="str">
        <f>IF(LEN('A créer'!G21)=0,"","Tab")</f>
        <v/>
      </c>
      <c r="D21" s="6" t="str">
        <f>IF(LEN('A créer'!G21)=0,IF(LEN('A créer'!G21)&gt;0,CONCATENATE('A créer'!C21," ",'A créer'!B21),""),'A créer'!C21)</f>
        <v/>
      </c>
      <c r="E21" s="2" t="str">
        <f>IF(LEN('A créer'!G21)=0,"","Tab")</f>
        <v/>
      </c>
      <c r="F21" s="2" t="str">
        <f>IF(LEN('A créer'!G21)=0,"","*SAVE")</f>
        <v/>
      </c>
    </row>
    <row r="22" spans="1:6" x14ac:dyDescent="0.35">
      <c r="A22" s="2" t="str">
        <f>IF(LEN('A créer'!G22)=0,"","*FN")</f>
        <v/>
      </c>
      <c r="B22" s="6" t="str">
        <f>IF(LEN('A créer'!G22)=0,"",'A créer'!G22)</f>
        <v/>
      </c>
      <c r="C22" s="2" t="str">
        <f>IF(LEN('A créer'!G22)=0,"","Tab")</f>
        <v/>
      </c>
      <c r="D22" s="6" t="str">
        <f>IF(LEN('A créer'!G22)=0,IF(LEN('A créer'!G22)&gt;0,CONCATENATE('A créer'!C22," ",'A créer'!B22),""),'A créer'!C22)</f>
        <v/>
      </c>
      <c r="E22" s="2" t="str">
        <f>IF(LEN('A créer'!G22)=0,"","Tab")</f>
        <v/>
      </c>
      <c r="F22" s="2" t="str">
        <f>IF(LEN('A créer'!G22)=0,"","*SAVE")</f>
        <v/>
      </c>
    </row>
    <row r="23" spans="1:6" x14ac:dyDescent="0.35">
      <c r="A23" s="2" t="str">
        <f>IF(LEN('A créer'!G23)=0,"","*FN")</f>
        <v/>
      </c>
      <c r="B23" s="6" t="str">
        <f>IF(LEN('A créer'!G23)=0,"",'A créer'!G23)</f>
        <v/>
      </c>
      <c r="C23" s="2" t="str">
        <f>IF(LEN('A créer'!G23)=0,"","Tab")</f>
        <v/>
      </c>
      <c r="D23" s="6" t="str">
        <f>IF(LEN('A créer'!G23)=0,IF(LEN('A créer'!G23)&gt;0,CONCATENATE('A créer'!C23," ",'A créer'!B23),""),'A créer'!C23)</f>
        <v/>
      </c>
      <c r="E23" s="2" t="str">
        <f>IF(LEN('A créer'!G23)=0,"","Tab")</f>
        <v/>
      </c>
      <c r="F23" s="2" t="str">
        <f>IF(LEN('A créer'!G23)=0,"","*SAVE")</f>
        <v/>
      </c>
    </row>
    <row r="24" spans="1:6" x14ac:dyDescent="0.35">
      <c r="A24" s="2" t="str">
        <f>IF(LEN('A créer'!G24)=0,"","*FN")</f>
        <v/>
      </c>
      <c r="B24" s="6" t="str">
        <f>IF(LEN('A créer'!G24)=0,"",'A créer'!G24)</f>
        <v/>
      </c>
      <c r="C24" s="2" t="str">
        <f>IF(LEN('A créer'!G24)=0,"","Tab")</f>
        <v/>
      </c>
      <c r="D24" s="6" t="str">
        <f>IF(LEN('A créer'!G24)=0,IF(LEN('A créer'!G24)&gt;0,CONCATENATE('A créer'!C24," ",'A créer'!B24),""),'A créer'!C24)</f>
        <v/>
      </c>
      <c r="E24" s="2" t="str">
        <f>IF(LEN('A créer'!G24)=0,"","Tab")</f>
        <v/>
      </c>
      <c r="F24" s="2" t="str">
        <f>IF(LEN('A créer'!G24)=0,"","*SAVE")</f>
        <v/>
      </c>
    </row>
    <row r="25" spans="1:6" x14ac:dyDescent="0.35">
      <c r="A25" s="2" t="str">
        <f>IF(LEN('A créer'!G25)=0,"","*FN")</f>
        <v/>
      </c>
      <c r="B25" s="6" t="str">
        <f>IF(LEN('A créer'!G25)=0,"",'A créer'!G25)</f>
        <v/>
      </c>
      <c r="C25" s="2" t="str">
        <f>IF(LEN('A créer'!G25)=0,"","Tab")</f>
        <v/>
      </c>
      <c r="D25" s="6" t="str">
        <f>IF(LEN('A créer'!G25)=0,IF(LEN('A créer'!G25)&gt;0,CONCATENATE('A créer'!C25," ",'A créer'!B25),""),'A créer'!C25)</f>
        <v/>
      </c>
      <c r="E25" s="2" t="str">
        <f>IF(LEN('A créer'!G25)=0,"","Tab")</f>
        <v/>
      </c>
      <c r="F25" s="2" t="str">
        <f>IF(LEN('A créer'!G25)=0,"","*SAVE")</f>
        <v/>
      </c>
    </row>
    <row r="26" spans="1:6" x14ac:dyDescent="0.35">
      <c r="A26" s="2" t="str">
        <f>IF(LEN('A créer'!G26)=0,"","*FN")</f>
        <v/>
      </c>
      <c r="B26" s="6" t="str">
        <f>IF(LEN('A créer'!G26)=0,"",'A créer'!G26)</f>
        <v/>
      </c>
      <c r="C26" s="2" t="str">
        <f>IF(LEN('A créer'!G26)=0,"","Tab")</f>
        <v/>
      </c>
      <c r="D26" s="6" t="str">
        <f>IF(LEN('A créer'!G26)=0,IF(LEN('A créer'!G26)&gt;0,CONCATENATE('A créer'!C26," ",'A créer'!B26),""),'A créer'!C26)</f>
        <v/>
      </c>
      <c r="E26" s="2" t="str">
        <f>IF(LEN('A créer'!G26)=0,"","Tab")</f>
        <v/>
      </c>
      <c r="F26" s="2" t="str">
        <f>IF(LEN('A créer'!G26)=0,"","*SAVE")</f>
        <v/>
      </c>
    </row>
    <row r="27" spans="1:6" x14ac:dyDescent="0.35">
      <c r="A27" s="2" t="str">
        <f>IF(LEN('A créer'!G27)=0,"","*FN")</f>
        <v/>
      </c>
      <c r="B27" s="6" t="str">
        <f>IF(LEN('A créer'!G27)=0,"",'A créer'!G27)</f>
        <v/>
      </c>
      <c r="C27" s="2" t="str">
        <f>IF(LEN('A créer'!G27)=0,"","Tab")</f>
        <v/>
      </c>
      <c r="D27" s="6" t="str">
        <f>IF(LEN('A créer'!G27)=0,IF(LEN('A créer'!G27)&gt;0,CONCATENATE('A créer'!C27," ",'A créer'!B27),""),'A créer'!C27)</f>
        <v/>
      </c>
      <c r="E27" s="2" t="str">
        <f>IF(LEN('A créer'!G27)=0,"","Tab")</f>
        <v/>
      </c>
      <c r="F27" s="2" t="str">
        <f>IF(LEN('A créer'!G27)=0,"","*SAVE")</f>
        <v/>
      </c>
    </row>
    <row r="28" spans="1:6" x14ac:dyDescent="0.35">
      <c r="A28" s="2" t="str">
        <f>IF(LEN('A créer'!G28)=0,"","*FN")</f>
        <v/>
      </c>
      <c r="B28" s="6" t="str">
        <f>IF(LEN('A créer'!G28)=0,"",'A créer'!G28)</f>
        <v/>
      </c>
      <c r="C28" s="2" t="str">
        <f>IF(LEN('A créer'!G28)=0,"","Tab")</f>
        <v/>
      </c>
      <c r="D28" s="6" t="str">
        <f>IF(LEN('A créer'!G28)=0,IF(LEN('A créer'!G28)&gt;0,CONCATENATE('A créer'!C28," ",'A créer'!B28),""),'A créer'!C28)</f>
        <v/>
      </c>
      <c r="E28" s="2" t="str">
        <f>IF(LEN('A créer'!G28)=0,"","Tab")</f>
        <v/>
      </c>
      <c r="F28" s="2" t="str">
        <f>IF(LEN('A créer'!G28)=0,"","*SAVE")</f>
        <v/>
      </c>
    </row>
    <row r="29" spans="1:6" x14ac:dyDescent="0.35">
      <c r="A29" s="2" t="str">
        <f>IF(LEN('A créer'!G29)=0,"","*FN")</f>
        <v/>
      </c>
      <c r="B29" s="6" t="str">
        <f>IF(LEN('A créer'!G29)=0,"",'A créer'!G29)</f>
        <v/>
      </c>
      <c r="C29" s="2" t="str">
        <f>IF(LEN('A créer'!G29)=0,"","Tab")</f>
        <v/>
      </c>
      <c r="D29" s="6" t="str">
        <f>IF(LEN('A créer'!G29)=0,IF(LEN('A créer'!G29)&gt;0,CONCATENATE('A créer'!C29," ",'A créer'!B29),""),'A créer'!C29)</f>
        <v/>
      </c>
      <c r="E29" s="2" t="str">
        <f>IF(LEN('A créer'!G29)=0,"","Tab")</f>
        <v/>
      </c>
      <c r="F29" s="2" t="str">
        <f>IF(LEN('A créer'!G29)=0,"","*SAVE")</f>
        <v/>
      </c>
    </row>
    <row r="30" spans="1:6" x14ac:dyDescent="0.35">
      <c r="A30" s="2" t="str">
        <f>IF(LEN('A créer'!G30)=0,"","*FN")</f>
        <v/>
      </c>
      <c r="B30" s="6" t="str">
        <f>IF(LEN('A créer'!G30)=0,"",'A créer'!G30)</f>
        <v/>
      </c>
      <c r="C30" s="2" t="str">
        <f>IF(LEN('A créer'!G30)=0,"","Tab")</f>
        <v/>
      </c>
      <c r="D30" s="6" t="str">
        <f>IF(LEN('A créer'!G30)=0,IF(LEN('A créer'!G30)&gt;0,CONCATENATE('A créer'!C30," ",'A créer'!B30),""),'A créer'!C30)</f>
        <v/>
      </c>
      <c r="E30" s="2" t="str">
        <f>IF(LEN('A créer'!G30)=0,"","Tab")</f>
        <v/>
      </c>
      <c r="F30" s="2" t="str">
        <f>IF(LEN('A créer'!G30)=0,"","*SAVE")</f>
        <v/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BC30"/>
  <sheetViews>
    <sheetView zoomScale="80" zoomScaleNormal="80" workbookViewId="0">
      <pane xSplit="1" ySplit="1" topLeftCell="U2" activePane="bottomRight" state="frozenSplit"/>
      <selection activeCell="G30" sqref="G30"/>
      <selection pane="topRight" activeCell="G30" sqref="G30"/>
      <selection pane="bottomLeft" activeCell="G30" sqref="G30"/>
      <selection pane="bottomRight" activeCell="AJ32" sqref="AJ32"/>
    </sheetView>
  </sheetViews>
  <sheetFormatPr baseColWidth="10" defaultRowHeight="14.5" x14ac:dyDescent="0.35"/>
  <cols>
    <col min="1" max="1" width="4.26953125" bestFit="1" customWidth="1"/>
    <col min="2" max="2" width="5.26953125" bestFit="1" customWidth="1"/>
    <col min="3" max="3" width="4" bestFit="1" customWidth="1"/>
    <col min="4" max="4" width="11.81640625" bestFit="1" customWidth="1"/>
    <col min="5" max="5" width="6.1796875" customWidth="1"/>
    <col min="6" max="7" width="4" bestFit="1" customWidth="1"/>
    <col min="8" max="8" width="4.26953125" bestFit="1" customWidth="1"/>
    <col min="9" max="9" width="6.1796875" bestFit="1" customWidth="1"/>
    <col min="10" max="10" width="4" bestFit="1" customWidth="1"/>
    <col min="11" max="11" width="6.54296875" bestFit="1" customWidth="1"/>
    <col min="12" max="12" width="7.54296875" customWidth="1"/>
    <col min="13" max="13" width="6.81640625" customWidth="1"/>
    <col min="14" max="14" width="6.453125" customWidth="1"/>
    <col min="15" max="15" width="6" customWidth="1"/>
    <col min="16" max="16" width="7.1796875" customWidth="1"/>
    <col min="17" max="17" width="6.54296875" customWidth="1"/>
    <col min="18" max="18" width="7" customWidth="1"/>
    <col min="19" max="19" width="4" bestFit="1" customWidth="1"/>
    <col min="20" max="20" width="7.54296875" customWidth="1"/>
    <col min="21" max="21" width="4" bestFit="1" customWidth="1"/>
    <col min="22" max="22" width="7.26953125" customWidth="1"/>
    <col min="23" max="23" width="4" bestFit="1" customWidth="1"/>
    <col min="24" max="24" width="7.26953125" customWidth="1"/>
    <col min="25" max="25" width="4" bestFit="1" customWidth="1"/>
    <col min="26" max="26" width="8.26953125" customWidth="1"/>
    <col min="27" max="27" width="5.81640625" customWidth="1"/>
    <col min="28" max="28" width="4" bestFit="1" customWidth="1"/>
    <col min="29" max="29" width="7.453125" customWidth="1"/>
    <col min="30" max="30" width="4" bestFit="1" customWidth="1"/>
    <col min="31" max="31" width="4.26953125" bestFit="1" customWidth="1"/>
    <col min="32" max="32" width="6.1796875" bestFit="1" customWidth="1"/>
    <col min="33" max="33" width="4.26953125" bestFit="1" customWidth="1"/>
    <col min="34" max="34" width="7.453125" customWidth="1"/>
    <col min="35" max="35" width="4" bestFit="1" customWidth="1"/>
    <col min="36" max="36" width="18.26953125" bestFit="1" customWidth="1"/>
    <col min="37" max="37" width="6.54296875" customWidth="1"/>
    <col min="38" max="38" width="4" bestFit="1" customWidth="1"/>
    <col min="39" max="39" width="4" customWidth="1"/>
    <col min="40" max="40" width="7.7265625" bestFit="1" customWidth="1"/>
    <col min="41" max="42" width="4" bestFit="1" customWidth="1"/>
    <col min="43" max="43" width="4.26953125" bestFit="1" customWidth="1"/>
    <col min="44" max="44" width="6.1796875" bestFit="1" customWidth="1"/>
    <col min="45" max="45" width="4" bestFit="1" customWidth="1"/>
    <col min="46" max="46" width="6.54296875" bestFit="1" customWidth="1"/>
    <col min="47" max="47" width="4" bestFit="1" customWidth="1"/>
    <col min="48" max="48" width="4.26953125" bestFit="1" customWidth="1"/>
    <col min="49" max="49" width="6.1796875" bestFit="1" customWidth="1"/>
    <col min="50" max="50" width="6.1796875" customWidth="1"/>
    <col min="51" max="51" width="4.1796875" bestFit="1" customWidth="1"/>
    <col min="52" max="52" width="5.26953125" bestFit="1" customWidth="1"/>
    <col min="53" max="53" width="4" bestFit="1" customWidth="1"/>
    <col min="54" max="54" width="6.1796875" bestFit="1" customWidth="1"/>
    <col min="55" max="55" width="13.453125" bestFit="1" customWidth="1"/>
  </cols>
  <sheetData>
    <row r="1" spans="1:55" x14ac:dyDescent="0.35">
      <c r="A1" s="2" t="s">
        <v>18</v>
      </c>
      <c r="B1" t="s">
        <v>35</v>
      </c>
      <c r="C1" s="2" t="s">
        <v>4</v>
      </c>
      <c r="D1" t="s">
        <v>21</v>
      </c>
      <c r="E1" s="2" t="s">
        <v>93</v>
      </c>
      <c r="F1" s="2" t="s">
        <v>4</v>
      </c>
      <c r="G1" s="2" t="s">
        <v>4</v>
      </c>
      <c r="H1" s="2" t="s">
        <v>15</v>
      </c>
      <c r="I1" s="4" t="s">
        <v>36</v>
      </c>
      <c r="J1" s="2" t="s">
        <v>4</v>
      </c>
      <c r="K1" s="4" t="s">
        <v>2</v>
      </c>
      <c r="L1" s="4" t="s">
        <v>38</v>
      </c>
      <c r="M1" s="2" t="s">
        <v>4</v>
      </c>
      <c r="N1" s="4" t="s">
        <v>39</v>
      </c>
      <c r="O1" s="2" t="s">
        <v>4</v>
      </c>
      <c r="P1" s="4" t="s">
        <v>40</v>
      </c>
      <c r="Q1" s="2" t="s">
        <v>4</v>
      </c>
      <c r="R1" s="4" t="s">
        <v>41</v>
      </c>
      <c r="S1" s="2" t="s">
        <v>4</v>
      </c>
      <c r="T1" s="4" t="s">
        <v>42</v>
      </c>
      <c r="U1" s="2" t="s">
        <v>4</v>
      </c>
      <c r="V1" t="s">
        <v>43</v>
      </c>
      <c r="W1" s="2" t="s">
        <v>4</v>
      </c>
      <c r="X1" t="s">
        <v>44</v>
      </c>
      <c r="Y1" s="2" t="s">
        <v>4</v>
      </c>
      <c r="Z1" t="s">
        <v>3</v>
      </c>
      <c r="AA1" s="2" t="s">
        <v>4</v>
      </c>
      <c r="AB1" s="2" t="s">
        <v>4</v>
      </c>
      <c r="AC1" t="s">
        <v>45</v>
      </c>
      <c r="AD1" s="2" t="s">
        <v>4</v>
      </c>
      <c r="AE1" s="2" t="s">
        <v>15</v>
      </c>
      <c r="AF1" s="2" t="s">
        <v>16</v>
      </c>
      <c r="AG1" s="2" t="s">
        <v>18</v>
      </c>
      <c r="AH1" t="s">
        <v>35</v>
      </c>
      <c r="AI1" s="2" t="s">
        <v>4</v>
      </c>
      <c r="AJ1" t="s">
        <v>21</v>
      </c>
      <c r="AK1" s="2" t="str">
        <f>IF(OR('A créer'!D1="Oui",LEN('A créer'!D1)=0),"","Tab 4")</f>
        <v>Tab 4</v>
      </c>
      <c r="AL1" s="2" t="s">
        <v>46</v>
      </c>
      <c r="AM1" s="2" t="s">
        <v>4</v>
      </c>
      <c r="AN1" s="4" t="s">
        <v>47</v>
      </c>
      <c r="AO1" s="2" t="s">
        <v>4</v>
      </c>
      <c r="AP1" s="2" t="s">
        <v>4</v>
      </c>
      <c r="AQ1" s="2" t="s">
        <v>15</v>
      </c>
      <c r="AR1" s="4" t="s">
        <v>36</v>
      </c>
      <c r="AS1" s="2" t="s">
        <v>4</v>
      </c>
      <c r="AT1" s="4" t="s">
        <v>2</v>
      </c>
      <c r="AU1" s="2" t="s">
        <v>4</v>
      </c>
      <c r="AV1" s="2" t="s">
        <v>15</v>
      </c>
      <c r="AW1" s="2" t="s">
        <v>16</v>
      </c>
      <c r="AX1" s="2" t="s">
        <v>63</v>
      </c>
      <c r="AY1" s="2" t="s">
        <v>51</v>
      </c>
      <c r="AZ1" t="s">
        <v>35</v>
      </c>
      <c r="BA1" s="2" t="s">
        <v>4</v>
      </c>
      <c r="BB1" s="2" t="s">
        <v>16</v>
      </c>
      <c r="BC1" s="2" t="s">
        <v>53</v>
      </c>
    </row>
    <row r="2" spans="1:55" x14ac:dyDescent="0.35">
      <c r="A2" s="2" t="str">
        <f>IF(OR('A créer'!D2="Oui",LEN('A créer'!D2)=0),"","*FN")</f>
        <v>*FN</v>
      </c>
      <c r="B2" t="str">
        <f>IF(OR('A créer'!D2="Oui",LEN('A créer'!D2)=0),"",'A créer'!A2)</f>
        <v>0535</v>
      </c>
      <c r="C2" s="2" t="str">
        <f>IF(OR('A créer'!D2="Oui",LEN('A créer'!D2)=0),"","Tab")</f>
        <v>Tab</v>
      </c>
      <c r="D2" t="str">
        <f>IF(OR('A créer'!D2="Oui",LEN('A créer'!D2)=0),"",'A créer'!C2)</f>
        <v>CHARLEVILLE RENOUVELABLE</v>
      </c>
      <c r="E2" s="2" t="s">
        <v>93</v>
      </c>
      <c r="F2" s="2" t="str">
        <f>IF(OR('A créer'!D2="Oui",LEN('A créer'!D2)=0),"","Tab")</f>
        <v>Tab</v>
      </c>
      <c r="G2" s="2" t="str">
        <f>IF(OR('A créer'!D2="Oui",LEN('A créer'!D2)=0),"","Tab")</f>
        <v>Tab</v>
      </c>
      <c r="H2" s="2" t="str">
        <f>IF(OR('A créer'!D2="Oui",LEN('A créer'!D2)=0),"","ENT")</f>
        <v>ENT</v>
      </c>
      <c r="I2" t="str">
        <f>IF(OR('A créer'!D2="Oui",LEN('A créer'!D2)=0),"","Oui")</f>
        <v>Oui</v>
      </c>
      <c r="J2" s="2" t="str">
        <f>IF(OR('A créer'!D2="Oui",LEN('A créer'!D2)=0),"","Tab")</f>
        <v>Tab</v>
      </c>
      <c r="K2" t="str">
        <f>IF(OR('A créer'!D2="Oui",LEN('A créer'!D2)=0),"",'A créer'!H2)</f>
        <v>DCW</v>
      </c>
      <c r="L2" t="str">
        <f>IF(OR('A créer'!D2="Oui",LEN('A créer'!D2)=0),"",IF($K2="DCW",'A créer'!G2,""))</f>
        <v>S2301</v>
      </c>
      <c r="M2" s="2" t="str">
        <f>IF(OR('A créer'!D2="Oui",LEN('A créer'!D2)=0),"","Tab")</f>
        <v>Tab</v>
      </c>
      <c r="N2" t="str">
        <f>IF(OR('A créer'!D2="Oui",LEN('A créer'!D2)=0),"",IF($K2="DLS",'A créer'!G2,""))</f>
        <v/>
      </c>
      <c r="O2" s="2" t="str">
        <f>IF(OR('A créer'!D2="Oui",LEN('A créer'!D2)=0),"","Tab")</f>
        <v>Tab</v>
      </c>
      <c r="P2" t="str">
        <f>IF(OR('A créer'!D2="Oui",LEN('A créer'!D2)=0),"",IF($K2="DMS",'A créer'!G2,""))</f>
        <v/>
      </c>
      <c r="Q2" s="2" t="str">
        <f>IF(OR('A créer'!D2="Oui",LEN('A créer'!D2)=0),"","Tab")</f>
        <v>Tab</v>
      </c>
      <c r="R2" t="str">
        <f>IF(OR('A créer'!D2="Oui",LEN('A créer'!D2)=0),"",IF($K2="DRW",'A créer'!G2,""))</f>
        <v/>
      </c>
      <c r="S2" s="2" t="str">
        <f>IF(OR('A créer'!D2="Oui",LEN('A créer'!D2)=0),"","Tab")</f>
        <v>Tab</v>
      </c>
      <c r="T2" t="str">
        <f>IF(OR('A créer'!D2="Oui",LEN('A créer'!D2)=0),"",IF($K2="DSW",'A créer'!G2,""))</f>
        <v/>
      </c>
      <c r="U2" s="2" t="str">
        <f>IF(OR('A créer'!D2="Oui",LEN('A créer'!D2)=0),"","Tab")</f>
        <v>Tab</v>
      </c>
      <c r="V2" t="str">
        <f>IF(OR('A créer'!D2="Oui",LEN('A créer'!D2)=0),"",IF($K2="DEW",'A créer'!G2,""))</f>
        <v/>
      </c>
      <c r="W2" s="2" t="str">
        <f>IF(OR('A créer'!D2="Oui",LEN('A créer'!D2)=0),"","Tab")</f>
        <v>Tab</v>
      </c>
      <c r="X2" t="str">
        <f>IF(OR('A créer'!D2="Oui",LEN('A créer'!D2)=0),"",IF($K2="DNA",'A créer'!G2,""))</f>
        <v/>
      </c>
      <c r="Y2" s="2" t="str">
        <f>IF(OR('A créer'!D2="Oui",LEN('A créer'!D2)=0),"","Tab")</f>
        <v>Tab</v>
      </c>
      <c r="Z2" t="str">
        <f>IF(OR('A créer'!D2="Oui",LEN('A créer'!D2)=0),"",IF($K2="DOS",'A créer'!G2,""))</f>
        <v/>
      </c>
      <c r="AA2" s="2" t="str">
        <f>IF(OR('A créer'!D2="Oui",LEN('A créer'!D2)=0),"","Tab")</f>
        <v>Tab</v>
      </c>
      <c r="AB2" s="2" t="str">
        <f>IF(OR('A créer'!D2="Oui",LEN('A créer'!D2)=0),"","Tab")</f>
        <v>Tab</v>
      </c>
      <c r="AC2" t="str">
        <f>IF(OR('A créer'!D2="Oui",LEN('A créer'!D2)=0),"","OUI")</f>
        <v>OUI</v>
      </c>
      <c r="AD2" s="2" t="str">
        <f>IF(OR('A créer'!D2="Oui",LEN('A créer'!D2)=0),"","Tab")</f>
        <v>Tab</v>
      </c>
      <c r="AE2" s="2" t="str">
        <f>IF(OR('A créer'!D2="Oui",LEN('A créer'!D2)=0),"","ENT")</f>
        <v>ENT</v>
      </c>
      <c r="AF2" s="2" t="str">
        <f>IF(OR('A créer'!D2="Oui",LEN('A créer'!D2)=0),"","*SAVE")</f>
        <v>*SAVE</v>
      </c>
      <c r="AG2" s="2" t="str">
        <f>IF(OR('A créer'!D2="Oui",LEN('A créer'!D2)=0),"","*FN")</f>
        <v>*FN</v>
      </c>
      <c r="AH2" t="str">
        <f>IF(OR('A créer'!D2="Oui",LEN('A créer'!D2)=0),"",CONCATENATE("A",RIGHT('A créer'!A2,3)))</f>
        <v>A535</v>
      </c>
      <c r="AI2" s="2" t="str">
        <f>IF(OR('A créer'!D2="Oui",LEN('A créer'!D2)=0),"","Tab")</f>
        <v>Tab</v>
      </c>
      <c r="AJ2" t="str">
        <f>IF(OR('A créer'!D2="Oui",LEN('A créer'!D2)=0),"",CONCATENATE('A créer'!A2," Regroupement"))</f>
        <v>0535 Regroupement</v>
      </c>
      <c r="AK2" s="2" t="str">
        <f>IF(OR('A créer'!D2="Oui",LEN('A créer'!D2)=0),"","Tab 4")</f>
        <v>Tab 4</v>
      </c>
      <c r="AL2" s="2" t="str">
        <f>IF(OR('A créer'!D2="Oui",LEN('A créer'!D2)=0),"","*SB")</f>
        <v>*SB</v>
      </c>
      <c r="AM2" s="2" t="str">
        <f>IF(OR('A créer'!D2="Oui",LEN('A créer'!D2)=0),"","Tab")</f>
        <v>Tab</v>
      </c>
      <c r="AN2" t="str">
        <f>IF(OR('A créer'!D2="Oui",LEN('A créer'!D2)=0),"",CONCATENATE("A",'A créer'!A2))</f>
        <v>A0535</v>
      </c>
      <c r="AO2" s="2" t="str">
        <f>IF(OR('A créer'!D2="Oui",LEN('A créer'!D2)=0),"","Tab")</f>
        <v>Tab</v>
      </c>
      <c r="AP2" s="2" t="str">
        <f>IF(OR('A créer'!D2="Oui",LEN('A créer'!D2)=0),"","Tab")</f>
        <v>Tab</v>
      </c>
      <c r="AQ2" s="2" t="str">
        <f>IF(OR('A créer'!D2="Oui",LEN('A créer'!D2)=0),"","ENT")</f>
        <v>ENT</v>
      </c>
      <c r="AR2" t="str">
        <f>IF(OR('A créer'!D2="Oui",LEN('A créer'!D2)=0),"","Non")</f>
        <v>Non</v>
      </c>
      <c r="AS2" s="2" t="str">
        <f>IF(OR('A créer'!D2="Oui",LEN('A créer'!D2)=0),"","Tab")</f>
        <v>Tab</v>
      </c>
      <c r="AT2" t="str">
        <f>IF(OR('A créer'!D2="Oui",LEN('A créer'!D2)=0),"","T")</f>
        <v>T</v>
      </c>
      <c r="AU2" s="2" t="str">
        <f>IF(OR('A créer'!D2="Oui",LEN('A créer'!D2)=0),"","Tab")</f>
        <v>Tab</v>
      </c>
      <c r="AV2" s="2" t="str">
        <f>IF(OR('A créer'!D2="Oui",LEN('A créer'!D2)=0),"","ENT")</f>
        <v>ENT</v>
      </c>
      <c r="AW2" s="2" t="str">
        <f>IF(OR('A créer'!D2="Oui",LEN('A créer'!D2)=0),"","*SAVE")</f>
        <v>*SAVE</v>
      </c>
      <c r="AX2" s="2" t="str">
        <f>IF(OR('A créer'!D2="Oui",LEN('A créer'!D2)=0),"","*UP")</f>
        <v>*UP</v>
      </c>
      <c r="AY2" s="2" t="str">
        <f>IF(OR('A créer'!D2="Oui",LEN('A créer'!D2)=0),"","*Aé")</f>
        <v>*Aé</v>
      </c>
      <c r="AZ2" t="str">
        <f>IF(OR('A créer'!D2="Oui",LEN('A créer'!D2)=0),"",'A créer'!A2)</f>
        <v>0535</v>
      </c>
      <c r="BA2" s="2" t="str">
        <f>IF(OR('A créer'!D2="Oui",LEN('A créer'!D2)=0),"","Tab")</f>
        <v>Tab</v>
      </c>
      <c r="BB2" s="2" t="str">
        <f>IF(OR('A créer'!D2="Oui",LEN('A créer'!D2)=0),"","*SAVE")</f>
        <v>*SAVE</v>
      </c>
      <c r="BC2" s="2" t="str">
        <f>IF(OR('A créer'!D2="Oui",LEN('A créer'!D2)=0),"","*ML(610,125)")</f>
        <v>*ML(610,125)</v>
      </c>
    </row>
    <row r="3" spans="1:55" x14ac:dyDescent="0.35">
      <c r="A3" s="2" t="str">
        <f>IF(OR('A créer'!D3="Oui",LEN('A créer'!D3)=0),"","*FN")</f>
        <v/>
      </c>
      <c r="B3" s="6" t="str">
        <f>IF(OR('A créer'!D3="Oui",LEN('A créer'!D3)=0),"",'A créer'!A3)</f>
        <v/>
      </c>
      <c r="C3" s="2" t="str">
        <f>IF(OR('A créer'!D3="Oui",LEN('A créer'!D3)=0),"","Tab")</f>
        <v/>
      </c>
      <c r="D3" s="6" t="str">
        <f>IF(OR('A créer'!D3="Oui",LEN('A créer'!D3)=0),"",'A créer'!C3)</f>
        <v/>
      </c>
      <c r="E3" s="2" t="s">
        <v>93</v>
      </c>
      <c r="F3" s="2" t="str">
        <f>IF(OR('A créer'!D3="Oui",LEN('A créer'!D3)=0),"","Tab")</f>
        <v/>
      </c>
      <c r="G3" s="2" t="str">
        <f>IF(OR('A créer'!D3="Oui",LEN('A créer'!D3)=0),"","Tab")</f>
        <v/>
      </c>
      <c r="H3" s="2" t="str">
        <f>IF(OR('A créer'!D3="Oui",LEN('A créer'!D3)=0),"","ENT")</f>
        <v/>
      </c>
      <c r="I3" s="6" t="str">
        <f>IF(OR('A créer'!D3="Oui",LEN('A créer'!D3)=0),"","Oui")</f>
        <v/>
      </c>
      <c r="J3" s="2" t="str">
        <f>IF(OR('A créer'!D3="Oui",LEN('A créer'!D3)=0),"","Tab")</f>
        <v/>
      </c>
      <c r="K3" s="6" t="str">
        <f>IF(OR('A créer'!D3="Oui",LEN('A créer'!D3)=0),"",'A créer'!H3)</f>
        <v/>
      </c>
      <c r="L3" s="6" t="str">
        <f>IF(OR('A créer'!D3="Oui",LEN('A créer'!D3)=0),"",IF($K3="DCW",'A créer'!G3,""))</f>
        <v/>
      </c>
      <c r="M3" s="2" t="str">
        <f>IF(OR('A créer'!D3="Oui",LEN('A créer'!D3)=0),"","Tab")</f>
        <v/>
      </c>
      <c r="N3" s="6" t="str">
        <f>IF(OR('A créer'!D3="Oui",LEN('A créer'!D3)=0),"",IF($K3="DLS",'A créer'!G3,""))</f>
        <v/>
      </c>
      <c r="O3" s="2" t="str">
        <f>IF(OR('A créer'!D3="Oui",LEN('A créer'!D3)=0),"","Tab")</f>
        <v/>
      </c>
      <c r="P3" s="6" t="str">
        <f>IF(OR('A créer'!D3="Oui",LEN('A créer'!D3)=0),"",IF($K3="DMS",'A créer'!G3,""))</f>
        <v/>
      </c>
      <c r="Q3" s="2" t="str">
        <f>IF(OR('A créer'!D3="Oui",LEN('A créer'!D3)=0),"","Tab")</f>
        <v/>
      </c>
      <c r="R3" s="6" t="str">
        <f>IF(OR('A créer'!D3="Oui",LEN('A créer'!D3)=0),"",IF($K3="DRW",'A créer'!G3,""))</f>
        <v/>
      </c>
      <c r="S3" s="2" t="str">
        <f>IF(OR('A créer'!D3="Oui",LEN('A créer'!D3)=0),"","Tab")</f>
        <v/>
      </c>
      <c r="T3" s="6" t="str">
        <f>IF(OR('A créer'!D3="Oui",LEN('A créer'!D3)=0),"",IF($K3="DSW",'A créer'!G3,""))</f>
        <v/>
      </c>
      <c r="U3" s="2" t="str">
        <f>IF(OR('A créer'!D3="Oui",LEN('A créer'!D3)=0),"","Tab")</f>
        <v/>
      </c>
      <c r="V3" s="6" t="str">
        <f>IF(OR('A créer'!D3="Oui",LEN('A créer'!D3)=0),"",IF($K3="DEW",'A créer'!G3,""))</f>
        <v/>
      </c>
      <c r="W3" s="2" t="str">
        <f>IF(OR('A créer'!D3="Oui",LEN('A créer'!D3)=0),"","Tab")</f>
        <v/>
      </c>
      <c r="X3" s="6" t="str">
        <f>IF(OR('A créer'!D3="Oui",LEN('A créer'!D3)=0),"",IF($K3="DNA",'A créer'!G3,""))</f>
        <v/>
      </c>
      <c r="Y3" s="2" t="str">
        <f>IF(OR('A créer'!D3="Oui",LEN('A créer'!D3)=0),"","Tab")</f>
        <v/>
      </c>
      <c r="Z3" s="6" t="str">
        <f>IF(OR('A créer'!D3="Oui",LEN('A créer'!D3)=0),"",IF($K3="DOS",'A créer'!G3,""))</f>
        <v/>
      </c>
      <c r="AA3" s="2" t="str">
        <f>IF(OR('A créer'!D3="Oui",LEN('A créer'!D3)=0),"","Tab")</f>
        <v/>
      </c>
      <c r="AB3" s="2" t="str">
        <f>IF(OR('A créer'!D3="Oui",LEN('A créer'!D3)=0),"","Tab")</f>
        <v/>
      </c>
      <c r="AC3" s="6" t="str">
        <f>IF(OR('A créer'!D3="Oui",LEN('A créer'!D3)=0),"","OUI")</f>
        <v/>
      </c>
      <c r="AD3" s="2" t="str">
        <f>IF(OR('A créer'!D3="Oui",LEN('A créer'!D3)=0),"","Tab")</f>
        <v/>
      </c>
      <c r="AE3" s="2" t="str">
        <f>IF(OR('A créer'!D3="Oui",LEN('A créer'!D3)=0),"","ENT")</f>
        <v/>
      </c>
      <c r="AF3" s="2" t="str">
        <f>IF(OR('A créer'!D3="Oui",LEN('A créer'!D3)=0),"","*SAVE")</f>
        <v/>
      </c>
      <c r="AG3" s="2" t="str">
        <f>IF(OR('A créer'!D3="Oui",LEN('A créer'!D3)=0),"","*FN")</f>
        <v/>
      </c>
      <c r="AH3" s="6" t="str">
        <f>IF(OR('A créer'!D3="Oui",LEN('A créer'!D3)=0),"",CONCATENATE("A",RIGHT('A créer'!A3,3)))</f>
        <v/>
      </c>
      <c r="AI3" s="2" t="str">
        <f>IF(OR('A créer'!D3="Oui",LEN('A créer'!D3)=0),"","Tab")</f>
        <v/>
      </c>
      <c r="AJ3" s="6" t="str">
        <f>IF(OR('A créer'!D3="Oui",LEN('A créer'!D3)=0),"",CONCATENATE('A créer'!A3," Regroupement"))</f>
        <v/>
      </c>
      <c r="AK3" s="2" t="str">
        <f>IF(OR('A créer'!D3="Oui",LEN('A créer'!D3)=0),"","Tab 4")</f>
        <v/>
      </c>
      <c r="AL3" s="2" t="str">
        <f>IF(OR('A créer'!D3="Oui",LEN('A créer'!D3)=0),"","*SB")</f>
        <v/>
      </c>
      <c r="AM3" s="2" t="str">
        <f>IF(OR('A créer'!D3="Oui",LEN('A créer'!D3)=0),"","Tab")</f>
        <v/>
      </c>
      <c r="AN3" s="6" t="str">
        <f>IF(OR('A créer'!D3="Oui",LEN('A créer'!D3)=0),"",CONCATENATE("A",'A créer'!A3))</f>
        <v/>
      </c>
      <c r="AO3" s="2" t="str">
        <f>IF(OR('A créer'!D3="Oui",LEN('A créer'!D3)=0),"","Tab")</f>
        <v/>
      </c>
      <c r="AP3" s="2" t="str">
        <f>IF(OR('A créer'!D3="Oui",LEN('A créer'!D3)=0),"","Tab")</f>
        <v/>
      </c>
      <c r="AQ3" s="2" t="str">
        <f>IF(OR('A créer'!D3="Oui",LEN('A créer'!D3)=0),"","ENT")</f>
        <v/>
      </c>
      <c r="AR3" s="6" t="str">
        <f>IF(OR('A créer'!D3="Oui",LEN('A créer'!D3)=0),"","Non")</f>
        <v/>
      </c>
      <c r="AS3" s="2" t="str">
        <f>IF(OR('A créer'!D3="Oui",LEN('A créer'!D3)=0),"","Tab")</f>
        <v/>
      </c>
      <c r="AT3" s="6" t="str">
        <f>IF(OR('A créer'!D3="Oui",LEN('A créer'!D3)=0),"","T")</f>
        <v/>
      </c>
      <c r="AU3" s="2" t="str">
        <f>IF(OR('A créer'!D3="Oui",LEN('A créer'!D3)=0),"","Tab")</f>
        <v/>
      </c>
      <c r="AV3" s="2" t="str">
        <f>IF(OR('A créer'!D3="Oui",LEN('A créer'!D3)=0),"","ENT")</f>
        <v/>
      </c>
      <c r="AW3" s="2" t="str">
        <f>IF(OR('A créer'!D3="Oui",LEN('A créer'!D3)=0),"","*SAVE")</f>
        <v/>
      </c>
      <c r="AX3" s="2" t="str">
        <f>IF(OR('A créer'!D3="Oui",LEN('A créer'!D3)=0),"","*UP")</f>
        <v/>
      </c>
      <c r="AY3" s="2" t="str">
        <f>IF(OR('A créer'!D3="Oui",LEN('A créer'!D3)=0),"","*Aé")</f>
        <v/>
      </c>
      <c r="AZ3" s="6" t="str">
        <f>IF(OR('A créer'!D3="Oui",LEN('A créer'!D3)=0),"",'A créer'!A3)</f>
        <v/>
      </c>
      <c r="BA3" s="2" t="str">
        <f>IF(OR('A créer'!D3="Oui",LEN('A créer'!D3)=0),"","Tab")</f>
        <v/>
      </c>
      <c r="BB3" s="2" t="str">
        <f>IF(OR('A créer'!D3="Oui",LEN('A créer'!D3)=0),"","*SAVE")</f>
        <v/>
      </c>
      <c r="BC3" s="2" t="str">
        <f>IF(OR('A créer'!D3="Oui",LEN('A créer'!D3)=0),"","*ML(610,125)")</f>
        <v/>
      </c>
    </row>
    <row r="4" spans="1:55" x14ac:dyDescent="0.35">
      <c r="A4" s="2" t="str">
        <f>IF(OR('A créer'!D4="Oui",LEN('A créer'!D4)=0),"","*FN")</f>
        <v>*FN</v>
      </c>
      <c r="B4" s="6" t="str">
        <f>IF(OR('A créer'!D4="Oui",LEN('A créer'!D4)=0),"",'A créer'!A4)</f>
        <v>0595</v>
      </c>
      <c r="C4" s="2" t="str">
        <f>IF(OR('A créer'!D4="Oui",LEN('A créer'!D4)=0),"","Tab")</f>
        <v>Tab</v>
      </c>
      <c r="D4" s="6" t="str">
        <f>IF(OR('A créer'!D4="Oui",LEN('A créer'!D4)=0),"",'A créer'!C4)</f>
        <v>MIRECOURT ENERGIES</v>
      </c>
      <c r="E4" s="2" t="s">
        <v>93</v>
      </c>
      <c r="F4" s="2" t="str">
        <f>IF(OR('A créer'!D4="Oui",LEN('A créer'!D4)=0),"","Tab")</f>
        <v>Tab</v>
      </c>
      <c r="G4" s="2" t="str">
        <f>IF(OR('A créer'!D4="Oui",LEN('A créer'!D4)=0),"","Tab")</f>
        <v>Tab</v>
      </c>
      <c r="H4" s="2" t="str">
        <f>IF(OR('A créer'!D4="Oui",LEN('A créer'!D4)=0),"","ENT")</f>
        <v>ENT</v>
      </c>
      <c r="I4" s="6" t="str">
        <f>IF(OR('A créer'!D4="Oui",LEN('A créer'!D4)=0),"","Oui")</f>
        <v>Oui</v>
      </c>
      <c r="J4" s="2" t="str">
        <f>IF(OR('A créer'!D4="Oui",LEN('A créer'!D4)=0),"","Tab")</f>
        <v>Tab</v>
      </c>
      <c r="K4" s="6" t="str">
        <f>IF(OR('A créer'!D4="Oui",LEN('A créer'!D4)=0),"",'A créer'!H4)</f>
        <v>DCW</v>
      </c>
      <c r="L4" s="6" t="str">
        <f>IF(OR('A créer'!D4="Oui",LEN('A créer'!D4)=0),"",IF($K4="DCW",'A créer'!G4,""))</f>
        <v>S2070</v>
      </c>
      <c r="M4" s="2" t="str">
        <f>IF(OR('A créer'!D4="Oui",LEN('A créer'!D4)=0),"","Tab")</f>
        <v>Tab</v>
      </c>
      <c r="N4" s="6" t="str">
        <f>IF(OR('A créer'!D4="Oui",LEN('A créer'!D4)=0),"",IF($K4="DLS",'A créer'!G4,""))</f>
        <v/>
      </c>
      <c r="O4" s="2" t="str">
        <f>IF(OR('A créer'!D4="Oui",LEN('A créer'!D4)=0),"","Tab")</f>
        <v>Tab</v>
      </c>
      <c r="P4" s="6" t="str">
        <f>IF(OR('A créer'!D4="Oui",LEN('A créer'!D4)=0),"",IF($K4="DMS",'A créer'!G4,""))</f>
        <v/>
      </c>
      <c r="Q4" s="2" t="str">
        <f>IF(OR('A créer'!D4="Oui",LEN('A créer'!D4)=0),"","Tab")</f>
        <v>Tab</v>
      </c>
      <c r="R4" s="6" t="str">
        <f>IF(OR('A créer'!D4="Oui",LEN('A créer'!D4)=0),"",IF($K4="DRW",'A créer'!G4,""))</f>
        <v/>
      </c>
      <c r="S4" s="2" t="str">
        <f>IF(OR('A créer'!D4="Oui",LEN('A créer'!D4)=0),"","Tab")</f>
        <v>Tab</v>
      </c>
      <c r="T4" s="6" t="str">
        <f>IF(OR('A créer'!D4="Oui",LEN('A créer'!D4)=0),"",IF($K4="DSW",'A créer'!G4,""))</f>
        <v/>
      </c>
      <c r="U4" s="2" t="str">
        <f>IF(OR('A créer'!D4="Oui",LEN('A créer'!D4)=0),"","Tab")</f>
        <v>Tab</v>
      </c>
      <c r="V4" s="6" t="str">
        <f>IF(OR('A créer'!D4="Oui",LEN('A créer'!D4)=0),"",IF($K4="DEW",'A créer'!G4,""))</f>
        <v/>
      </c>
      <c r="W4" s="2" t="str">
        <f>IF(OR('A créer'!D4="Oui",LEN('A créer'!D4)=0),"","Tab")</f>
        <v>Tab</v>
      </c>
      <c r="X4" s="6" t="str">
        <f>IF(OR('A créer'!D4="Oui",LEN('A créer'!D4)=0),"",IF($K4="DNA",'A créer'!G4,""))</f>
        <v/>
      </c>
      <c r="Y4" s="2" t="str">
        <f>IF(OR('A créer'!D4="Oui",LEN('A créer'!D4)=0),"","Tab")</f>
        <v>Tab</v>
      </c>
      <c r="Z4" s="6" t="str">
        <f>IF(OR('A créer'!D4="Oui",LEN('A créer'!D4)=0),"",IF($K4="DOS",'A créer'!G4,""))</f>
        <v/>
      </c>
      <c r="AA4" s="2" t="str">
        <f>IF(OR('A créer'!D4="Oui",LEN('A créer'!D4)=0),"","Tab")</f>
        <v>Tab</v>
      </c>
      <c r="AB4" s="2" t="str">
        <f>IF(OR('A créer'!D4="Oui",LEN('A créer'!D4)=0),"","Tab")</f>
        <v>Tab</v>
      </c>
      <c r="AC4" s="6" t="str">
        <f>IF(OR('A créer'!D4="Oui",LEN('A créer'!D4)=0),"","OUI")</f>
        <v>OUI</v>
      </c>
      <c r="AD4" s="2" t="str">
        <f>IF(OR('A créer'!D4="Oui",LEN('A créer'!D4)=0),"","Tab")</f>
        <v>Tab</v>
      </c>
      <c r="AE4" s="2" t="str">
        <f>IF(OR('A créer'!D4="Oui",LEN('A créer'!D4)=0),"","ENT")</f>
        <v>ENT</v>
      </c>
      <c r="AF4" s="2" t="str">
        <f>IF(OR('A créer'!D4="Oui",LEN('A créer'!D4)=0),"","*SAVE")</f>
        <v>*SAVE</v>
      </c>
      <c r="AG4" s="2" t="str">
        <f>IF(OR('A créer'!D4="Oui",LEN('A créer'!D4)=0),"","*FN")</f>
        <v>*FN</v>
      </c>
      <c r="AH4" s="6" t="str">
        <f>IF(OR('A créer'!D4="Oui",LEN('A créer'!D4)=0),"",CONCATENATE("A",RIGHT('A créer'!A4,3)))</f>
        <v>A595</v>
      </c>
      <c r="AI4" s="2" t="str">
        <f>IF(OR('A créer'!D4="Oui",LEN('A créer'!D4)=0),"","Tab")</f>
        <v>Tab</v>
      </c>
      <c r="AJ4" s="6" t="str">
        <f>IF(OR('A créer'!D4="Oui",LEN('A créer'!D4)=0),"",CONCATENATE('A créer'!A4," Regroupement"))</f>
        <v>0595 Regroupement</v>
      </c>
      <c r="AK4" s="2" t="str">
        <f>IF(OR('A créer'!D4="Oui",LEN('A créer'!D4)=0),"","Tab 4")</f>
        <v>Tab 4</v>
      </c>
      <c r="AL4" s="2" t="str">
        <f>IF(OR('A créer'!D4="Oui",LEN('A créer'!D4)=0),"","*SB")</f>
        <v>*SB</v>
      </c>
      <c r="AM4" s="2" t="str">
        <f>IF(OR('A créer'!D4="Oui",LEN('A créer'!D4)=0),"","Tab")</f>
        <v>Tab</v>
      </c>
      <c r="AN4" s="6" t="str">
        <f>IF(OR('A créer'!D4="Oui",LEN('A créer'!D4)=0),"",CONCATENATE("A",'A créer'!A4))</f>
        <v>A0595</v>
      </c>
      <c r="AO4" s="2" t="str">
        <f>IF(OR('A créer'!D4="Oui",LEN('A créer'!D4)=0),"","Tab")</f>
        <v>Tab</v>
      </c>
      <c r="AP4" s="2" t="str">
        <f>IF(OR('A créer'!D4="Oui",LEN('A créer'!D4)=0),"","Tab")</f>
        <v>Tab</v>
      </c>
      <c r="AQ4" s="2" t="str">
        <f>IF(OR('A créer'!D4="Oui",LEN('A créer'!D4)=0),"","ENT")</f>
        <v>ENT</v>
      </c>
      <c r="AR4" s="6" t="str">
        <f>IF(OR('A créer'!D4="Oui",LEN('A créer'!D4)=0),"","Non")</f>
        <v>Non</v>
      </c>
      <c r="AS4" s="2" t="str">
        <f>IF(OR('A créer'!D4="Oui",LEN('A créer'!D4)=0),"","Tab")</f>
        <v>Tab</v>
      </c>
      <c r="AT4" s="6" t="str">
        <f>IF(OR('A créer'!D4="Oui",LEN('A créer'!D4)=0),"","T")</f>
        <v>T</v>
      </c>
      <c r="AU4" s="2" t="str">
        <f>IF(OR('A créer'!D4="Oui",LEN('A créer'!D4)=0),"","Tab")</f>
        <v>Tab</v>
      </c>
      <c r="AV4" s="2" t="str">
        <f>IF(OR('A créer'!D4="Oui",LEN('A créer'!D4)=0),"","ENT")</f>
        <v>ENT</v>
      </c>
      <c r="AW4" s="2" t="str">
        <f>IF(OR('A créer'!D4="Oui",LEN('A créer'!D4)=0),"","*SAVE")</f>
        <v>*SAVE</v>
      </c>
      <c r="AX4" s="2" t="str">
        <f>IF(OR('A créer'!D4="Oui",LEN('A créer'!D4)=0),"","*UP")</f>
        <v>*UP</v>
      </c>
      <c r="AY4" s="2" t="str">
        <f>IF(OR('A créer'!D4="Oui",LEN('A créer'!D4)=0),"","*Aé")</f>
        <v>*Aé</v>
      </c>
      <c r="AZ4" s="6" t="str">
        <f>IF(OR('A créer'!D4="Oui",LEN('A créer'!D4)=0),"",'A créer'!A4)</f>
        <v>0595</v>
      </c>
      <c r="BA4" s="2" t="str">
        <f>IF(OR('A créer'!D4="Oui",LEN('A créer'!D4)=0),"","Tab")</f>
        <v>Tab</v>
      </c>
      <c r="BB4" s="2" t="str">
        <f>IF(OR('A créer'!D4="Oui",LEN('A créer'!D4)=0),"","*SAVE")</f>
        <v>*SAVE</v>
      </c>
      <c r="BC4" s="2" t="str">
        <f>IF(OR('A créer'!D4="Oui",LEN('A créer'!D4)=0),"","*ML(610,125)")</f>
        <v>*ML(610,125)</v>
      </c>
    </row>
    <row r="5" spans="1:55" x14ac:dyDescent="0.35">
      <c r="A5" s="2" t="str">
        <f>IF(OR('A créer'!D5="Oui",LEN('A créer'!D5)=0),"","*FN")</f>
        <v/>
      </c>
      <c r="B5" s="6" t="str">
        <f>IF(OR('A créer'!D5="Oui",LEN('A créer'!D5)=0),"",'A créer'!A5)</f>
        <v/>
      </c>
      <c r="C5" s="2" t="str">
        <f>IF(OR('A créer'!D5="Oui",LEN('A créer'!D5)=0),"","Tab")</f>
        <v/>
      </c>
      <c r="D5" s="6" t="str">
        <f>IF(OR('A créer'!D5="Oui",LEN('A créer'!D5)=0),"",'A créer'!C5)</f>
        <v/>
      </c>
      <c r="E5" s="2" t="s">
        <v>93</v>
      </c>
      <c r="F5" s="2" t="str">
        <f>IF(OR('A créer'!D5="Oui",LEN('A créer'!D5)=0),"","Tab")</f>
        <v/>
      </c>
      <c r="G5" s="2" t="str">
        <f>IF(OR('A créer'!D5="Oui",LEN('A créer'!D5)=0),"","Tab")</f>
        <v/>
      </c>
      <c r="H5" s="2" t="str">
        <f>IF(OR('A créer'!D5="Oui",LEN('A créer'!D5)=0),"","ENT")</f>
        <v/>
      </c>
      <c r="I5" s="6" t="str">
        <f>IF(OR('A créer'!D5="Oui",LEN('A créer'!D5)=0),"","Oui")</f>
        <v/>
      </c>
      <c r="J5" s="2" t="str">
        <f>IF(OR('A créer'!D5="Oui",LEN('A créer'!D5)=0),"","Tab")</f>
        <v/>
      </c>
      <c r="K5" s="6" t="str">
        <f>IF(OR('A créer'!D5="Oui",LEN('A créer'!D5)=0),"",'A créer'!H5)</f>
        <v/>
      </c>
      <c r="L5" s="6" t="str">
        <f>IF(OR('A créer'!D5="Oui",LEN('A créer'!D5)=0),"",IF($K5="DCW",'A créer'!G5,""))</f>
        <v/>
      </c>
      <c r="M5" s="2" t="str">
        <f>IF(OR('A créer'!D5="Oui",LEN('A créer'!D5)=0),"","Tab")</f>
        <v/>
      </c>
      <c r="N5" s="6" t="str">
        <f>IF(OR('A créer'!D5="Oui",LEN('A créer'!D5)=0),"",IF($K5="DLS",'A créer'!G5,""))</f>
        <v/>
      </c>
      <c r="O5" s="2" t="str">
        <f>IF(OR('A créer'!D5="Oui",LEN('A créer'!D5)=0),"","Tab")</f>
        <v/>
      </c>
      <c r="P5" s="6" t="str">
        <f>IF(OR('A créer'!D5="Oui",LEN('A créer'!D5)=0),"",IF($K5="DMS",'A créer'!G5,""))</f>
        <v/>
      </c>
      <c r="Q5" s="2" t="str">
        <f>IF(OR('A créer'!D5="Oui",LEN('A créer'!D5)=0),"","Tab")</f>
        <v/>
      </c>
      <c r="R5" s="6" t="str">
        <f>IF(OR('A créer'!D5="Oui",LEN('A créer'!D5)=0),"",IF($K5="DRW",'A créer'!G5,""))</f>
        <v/>
      </c>
      <c r="S5" s="2" t="str">
        <f>IF(OR('A créer'!D5="Oui",LEN('A créer'!D5)=0),"","Tab")</f>
        <v/>
      </c>
      <c r="T5" s="6" t="str">
        <f>IF(OR('A créer'!D5="Oui",LEN('A créer'!D5)=0),"",IF($K5="DSW",'A créer'!G5,""))</f>
        <v/>
      </c>
      <c r="U5" s="2" t="str">
        <f>IF(OR('A créer'!D5="Oui",LEN('A créer'!D5)=0),"","Tab")</f>
        <v/>
      </c>
      <c r="V5" s="6" t="str">
        <f>IF(OR('A créer'!D5="Oui",LEN('A créer'!D5)=0),"",IF($K5="DEW",'A créer'!G5,""))</f>
        <v/>
      </c>
      <c r="W5" s="2" t="str">
        <f>IF(OR('A créer'!D5="Oui",LEN('A créer'!D5)=0),"","Tab")</f>
        <v/>
      </c>
      <c r="X5" s="6" t="str">
        <f>IF(OR('A créer'!D5="Oui",LEN('A créer'!D5)=0),"",IF($K5="DNA",'A créer'!G5,""))</f>
        <v/>
      </c>
      <c r="Y5" s="2" t="str">
        <f>IF(OR('A créer'!D5="Oui",LEN('A créer'!D5)=0),"","Tab")</f>
        <v/>
      </c>
      <c r="Z5" s="6" t="str">
        <f>IF(OR('A créer'!D5="Oui",LEN('A créer'!D5)=0),"",IF($K5="DOS",'A créer'!G5,""))</f>
        <v/>
      </c>
      <c r="AA5" s="2" t="str">
        <f>IF(OR('A créer'!D5="Oui",LEN('A créer'!D5)=0),"","Tab")</f>
        <v/>
      </c>
      <c r="AB5" s="2" t="str">
        <f>IF(OR('A créer'!D5="Oui",LEN('A créer'!D5)=0),"","Tab")</f>
        <v/>
      </c>
      <c r="AC5" s="6" t="str">
        <f>IF(OR('A créer'!D5="Oui",LEN('A créer'!D5)=0),"","OUI")</f>
        <v/>
      </c>
      <c r="AD5" s="2" t="str">
        <f>IF(OR('A créer'!D5="Oui",LEN('A créer'!D5)=0),"","Tab")</f>
        <v/>
      </c>
      <c r="AE5" s="2" t="str">
        <f>IF(OR('A créer'!D5="Oui",LEN('A créer'!D5)=0),"","ENT")</f>
        <v/>
      </c>
      <c r="AF5" s="2" t="str">
        <f>IF(OR('A créer'!D5="Oui",LEN('A créer'!D5)=0),"","*SAVE")</f>
        <v/>
      </c>
      <c r="AG5" s="2" t="str">
        <f>IF(OR('A créer'!D5="Oui",LEN('A créer'!D5)=0),"","*FN")</f>
        <v/>
      </c>
      <c r="AH5" s="6" t="str">
        <f>IF(OR('A créer'!D5="Oui",LEN('A créer'!D5)=0),"",CONCATENATE("A",RIGHT('A créer'!A5,3)))</f>
        <v/>
      </c>
      <c r="AI5" s="2" t="str">
        <f>IF(OR('A créer'!D5="Oui",LEN('A créer'!D5)=0),"","Tab")</f>
        <v/>
      </c>
      <c r="AJ5" s="6" t="str">
        <f>IF(OR('A créer'!D5="Oui",LEN('A créer'!D5)=0),"",CONCATENATE('A créer'!A5," Regroupement"))</f>
        <v/>
      </c>
      <c r="AK5" s="2" t="str">
        <f>IF(OR('A créer'!D5="Oui",LEN('A créer'!D5)=0),"","Tab 4")</f>
        <v/>
      </c>
      <c r="AL5" s="2" t="str">
        <f>IF(OR('A créer'!D5="Oui",LEN('A créer'!D5)=0),"","*SB")</f>
        <v/>
      </c>
      <c r="AM5" s="2" t="str">
        <f>IF(OR('A créer'!D5="Oui",LEN('A créer'!D5)=0),"","Tab")</f>
        <v/>
      </c>
      <c r="AN5" s="6" t="str">
        <f>IF(OR('A créer'!D5="Oui",LEN('A créer'!D5)=0),"",CONCATENATE("A",'A créer'!A5))</f>
        <v/>
      </c>
      <c r="AO5" s="2" t="str">
        <f>IF(OR('A créer'!D5="Oui",LEN('A créer'!D5)=0),"","Tab")</f>
        <v/>
      </c>
      <c r="AP5" s="2" t="str">
        <f>IF(OR('A créer'!D5="Oui",LEN('A créer'!D5)=0),"","Tab")</f>
        <v/>
      </c>
      <c r="AQ5" s="2" t="str">
        <f>IF(OR('A créer'!D5="Oui",LEN('A créer'!D5)=0),"","ENT")</f>
        <v/>
      </c>
      <c r="AR5" s="6" t="str">
        <f>IF(OR('A créer'!D5="Oui",LEN('A créer'!D5)=0),"","Non")</f>
        <v/>
      </c>
      <c r="AS5" s="2" t="str">
        <f>IF(OR('A créer'!D5="Oui",LEN('A créer'!D5)=0),"","Tab")</f>
        <v/>
      </c>
      <c r="AT5" s="6" t="str">
        <f>IF(OR('A créer'!D5="Oui",LEN('A créer'!D5)=0),"","T")</f>
        <v/>
      </c>
      <c r="AU5" s="2" t="str">
        <f>IF(OR('A créer'!D5="Oui",LEN('A créer'!D5)=0),"","Tab")</f>
        <v/>
      </c>
      <c r="AV5" s="2" t="str">
        <f>IF(OR('A créer'!D5="Oui",LEN('A créer'!D5)=0),"","ENT")</f>
        <v/>
      </c>
      <c r="AW5" s="2" t="str">
        <f>IF(OR('A créer'!D5="Oui",LEN('A créer'!D5)=0),"","*SAVE")</f>
        <v/>
      </c>
      <c r="AX5" s="2" t="str">
        <f>IF(OR('A créer'!D5="Oui",LEN('A créer'!D5)=0),"","*UP")</f>
        <v/>
      </c>
      <c r="AY5" s="2" t="str">
        <f>IF(OR('A créer'!D5="Oui",LEN('A créer'!D5)=0),"","*Aé")</f>
        <v/>
      </c>
      <c r="AZ5" s="6" t="str">
        <f>IF(OR('A créer'!D5="Oui",LEN('A créer'!D5)=0),"",'A créer'!A5)</f>
        <v/>
      </c>
      <c r="BA5" s="2" t="str">
        <f>IF(OR('A créer'!D5="Oui",LEN('A créer'!D5)=0),"","Tab")</f>
        <v/>
      </c>
      <c r="BB5" s="2" t="str">
        <f>IF(OR('A créer'!D5="Oui",LEN('A créer'!D5)=0),"","*SAVE")</f>
        <v/>
      </c>
      <c r="BC5" s="2" t="str">
        <f>IF(OR('A créer'!D5="Oui",LEN('A créer'!D5)=0),"","*ML(610,125)")</f>
        <v/>
      </c>
    </row>
    <row r="6" spans="1:55" x14ac:dyDescent="0.35">
      <c r="A6" s="2" t="str">
        <f>IF(OR('A créer'!D6="Oui",LEN('A créer'!D6)=0),"","*FN")</f>
        <v/>
      </c>
      <c r="B6" s="6" t="str">
        <f>IF(OR('A créer'!D6="Oui",LEN('A créer'!D6)=0),"",'A créer'!A6)</f>
        <v/>
      </c>
      <c r="C6" s="2" t="str">
        <f>IF(OR('A créer'!D6="Oui",LEN('A créer'!D6)=0),"","Tab")</f>
        <v/>
      </c>
      <c r="D6" s="6" t="str">
        <f>IF(OR('A créer'!D6="Oui",LEN('A créer'!D6)=0),"",'A créer'!C6)</f>
        <v/>
      </c>
      <c r="E6" s="2" t="s">
        <v>93</v>
      </c>
      <c r="F6" s="2" t="str">
        <f>IF(OR('A créer'!D6="Oui",LEN('A créer'!D6)=0),"","Tab")</f>
        <v/>
      </c>
      <c r="G6" s="2" t="str">
        <f>IF(OR('A créer'!D6="Oui",LEN('A créer'!D6)=0),"","Tab")</f>
        <v/>
      </c>
      <c r="H6" s="2" t="str">
        <f>IF(OR('A créer'!D6="Oui",LEN('A créer'!D6)=0),"","ENT")</f>
        <v/>
      </c>
      <c r="I6" s="6" t="str">
        <f>IF(OR('A créer'!D6="Oui",LEN('A créer'!D6)=0),"","Oui")</f>
        <v/>
      </c>
      <c r="J6" s="2" t="str">
        <f>IF(OR('A créer'!D6="Oui",LEN('A créer'!D6)=0),"","Tab")</f>
        <v/>
      </c>
      <c r="K6" s="6" t="str">
        <f>IF(OR('A créer'!D6="Oui",LEN('A créer'!D6)=0),"",'A créer'!H6)</f>
        <v/>
      </c>
      <c r="L6" s="6" t="str">
        <f>IF(OR('A créer'!D6="Oui",LEN('A créer'!D6)=0),"",IF($K6="DCW",'A créer'!G6,""))</f>
        <v/>
      </c>
      <c r="M6" s="2" t="str">
        <f>IF(OR('A créer'!D6="Oui",LEN('A créer'!D6)=0),"","Tab")</f>
        <v/>
      </c>
      <c r="N6" s="6" t="str">
        <f>IF(OR('A créer'!D6="Oui",LEN('A créer'!D6)=0),"",IF($K6="DLS",'A créer'!G6,""))</f>
        <v/>
      </c>
      <c r="O6" s="2" t="str">
        <f>IF(OR('A créer'!D6="Oui",LEN('A créer'!D6)=0),"","Tab")</f>
        <v/>
      </c>
      <c r="P6" s="6" t="str">
        <f>IF(OR('A créer'!D6="Oui",LEN('A créer'!D6)=0),"",IF($K6="DMS",'A créer'!G6,""))</f>
        <v/>
      </c>
      <c r="Q6" s="2" t="str">
        <f>IF(OR('A créer'!D6="Oui",LEN('A créer'!D6)=0),"","Tab")</f>
        <v/>
      </c>
      <c r="R6" s="6" t="str">
        <f>IF(OR('A créer'!D6="Oui",LEN('A créer'!D6)=0),"",IF($K6="DRW",'A créer'!G6,""))</f>
        <v/>
      </c>
      <c r="S6" s="2" t="str">
        <f>IF(OR('A créer'!D6="Oui",LEN('A créer'!D6)=0),"","Tab")</f>
        <v/>
      </c>
      <c r="T6" s="6" t="str">
        <f>IF(OR('A créer'!D6="Oui",LEN('A créer'!D6)=0),"",IF($K6="DSW",'A créer'!G6,""))</f>
        <v/>
      </c>
      <c r="U6" s="2" t="str">
        <f>IF(OR('A créer'!D6="Oui",LEN('A créer'!D6)=0),"","Tab")</f>
        <v/>
      </c>
      <c r="V6" s="6" t="str">
        <f>IF(OR('A créer'!D6="Oui",LEN('A créer'!D6)=0),"",IF($K6="DEW",'A créer'!G6,""))</f>
        <v/>
      </c>
      <c r="W6" s="2" t="str">
        <f>IF(OR('A créer'!D6="Oui",LEN('A créer'!D6)=0),"","Tab")</f>
        <v/>
      </c>
      <c r="X6" s="6" t="str">
        <f>IF(OR('A créer'!D6="Oui",LEN('A créer'!D6)=0),"",IF($K6="DNA",'A créer'!G6,""))</f>
        <v/>
      </c>
      <c r="Y6" s="2" t="str">
        <f>IF(OR('A créer'!D6="Oui",LEN('A créer'!D6)=0),"","Tab")</f>
        <v/>
      </c>
      <c r="Z6" s="6" t="str">
        <f>IF(OR('A créer'!D6="Oui",LEN('A créer'!D6)=0),"",IF($K6="DOS",'A créer'!G6,""))</f>
        <v/>
      </c>
      <c r="AA6" s="2" t="str">
        <f>IF(OR('A créer'!D6="Oui",LEN('A créer'!D6)=0),"","Tab")</f>
        <v/>
      </c>
      <c r="AB6" s="2" t="str">
        <f>IF(OR('A créer'!D6="Oui",LEN('A créer'!D6)=0),"","Tab")</f>
        <v/>
      </c>
      <c r="AC6" s="6" t="str">
        <f>IF(OR('A créer'!D6="Oui",LEN('A créer'!D6)=0),"","OUI")</f>
        <v/>
      </c>
      <c r="AD6" s="2" t="str">
        <f>IF(OR('A créer'!D6="Oui",LEN('A créer'!D6)=0),"","Tab")</f>
        <v/>
      </c>
      <c r="AE6" s="2" t="str">
        <f>IF(OR('A créer'!D6="Oui",LEN('A créer'!D6)=0),"","ENT")</f>
        <v/>
      </c>
      <c r="AF6" s="2" t="str">
        <f>IF(OR('A créer'!D6="Oui",LEN('A créer'!D6)=0),"","*SAVE")</f>
        <v/>
      </c>
      <c r="AG6" s="2" t="str">
        <f>IF(OR('A créer'!D6="Oui",LEN('A créer'!D6)=0),"","*FN")</f>
        <v/>
      </c>
      <c r="AH6" s="6" t="str">
        <f>IF(OR('A créer'!D6="Oui",LEN('A créer'!D6)=0),"",CONCATENATE("A",RIGHT('A créer'!A6,3)))</f>
        <v/>
      </c>
      <c r="AI6" s="2" t="str">
        <f>IF(OR('A créer'!D6="Oui",LEN('A créer'!D6)=0),"","Tab")</f>
        <v/>
      </c>
      <c r="AJ6" s="6" t="str">
        <f>IF(OR('A créer'!D6="Oui",LEN('A créer'!D6)=0),"",CONCATENATE('A créer'!A6," Regroupement"))</f>
        <v/>
      </c>
      <c r="AK6" s="2" t="str">
        <f>IF(OR('A créer'!D6="Oui",LEN('A créer'!D6)=0),"","Tab 4")</f>
        <v/>
      </c>
      <c r="AL6" s="2" t="str">
        <f>IF(OR('A créer'!D6="Oui",LEN('A créer'!D6)=0),"","*SB")</f>
        <v/>
      </c>
      <c r="AM6" s="2" t="str">
        <f>IF(OR('A créer'!D6="Oui",LEN('A créer'!D6)=0),"","Tab")</f>
        <v/>
      </c>
      <c r="AN6" s="6" t="str">
        <f>IF(OR('A créer'!D6="Oui",LEN('A créer'!D6)=0),"",CONCATENATE("A",'A créer'!A6))</f>
        <v/>
      </c>
      <c r="AO6" s="2" t="str">
        <f>IF(OR('A créer'!D6="Oui",LEN('A créer'!D6)=0),"","Tab")</f>
        <v/>
      </c>
      <c r="AP6" s="2" t="str">
        <f>IF(OR('A créer'!D6="Oui",LEN('A créer'!D6)=0),"","Tab")</f>
        <v/>
      </c>
      <c r="AQ6" s="2" t="str">
        <f>IF(OR('A créer'!D6="Oui",LEN('A créer'!D6)=0),"","ENT")</f>
        <v/>
      </c>
      <c r="AR6" s="6" t="str">
        <f>IF(OR('A créer'!D6="Oui",LEN('A créer'!D6)=0),"","Non")</f>
        <v/>
      </c>
      <c r="AS6" s="2" t="str">
        <f>IF(OR('A créer'!D6="Oui",LEN('A créer'!D6)=0),"","Tab")</f>
        <v/>
      </c>
      <c r="AT6" s="6" t="str">
        <f>IF(OR('A créer'!D6="Oui",LEN('A créer'!D6)=0),"","T")</f>
        <v/>
      </c>
      <c r="AU6" s="2" t="str">
        <f>IF(OR('A créer'!D6="Oui",LEN('A créer'!D6)=0),"","Tab")</f>
        <v/>
      </c>
      <c r="AV6" s="2" t="str">
        <f>IF(OR('A créer'!D6="Oui",LEN('A créer'!D6)=0),"","ENT")</f>
        <v/>
      </c>
      <c r="AW6" s="2" t="str">
        <f>IF(OR('A créer'!D6="Oui",LEN('A créer'!D6)=0),"","*SAVE")</f>
        <v/>
      </c>
      <c r="AX6" s="2" t="str">
        <f>IF(OR('A créer'!D6="Oui",LEN('A créer'!D6)=0),"","*UP")</f>
        <v/>
      </c>
      <c r="AY6" s="2" t="str">
        <f>IF(OR('A créer'!D6="Oui",LEN('A créer'!D6)=0),"","*Aé")</f>
        <v/>
      </c>
      <c r="AZ6" s="6" t="str">
        <f>IF(OR('A créer'!D6="Oui",LEN('A créer'!D6)=0),"",'A créer'!A6)</f>
        <v/>
      </c>
      <c r="BA6" s="2" t="str">
        <f>IF(OR('A créer'!D6="Oui",LEN('A créer'!D6)=0),"","Tab")</f>
        <v/>
      </c>
      <c r="BB6" s="2" t="str">
        <f>IF(OR('A créer'!D6="Oui",LEN('A créer'!D6)=0),"","*SAVE")</f>
        <v/>
      </c>
      <c r="BC6" s="2" t="str">
        <f>IF(OR('A créer'!D6="Oui",LEN('A créer'!D6)=0),"","*ML(610,125)")</f>
        <v/>
      </c>
    </row>
    <row r="7" spans="1:55" x14ac:dyDescent="0.35">
      <c r="A7" s="2" t="str">
        <f>IF(OR('A créer'!D7="Oui",LEN('A créer'!D7)=0),"","*FN")</f>
        <v/>
      </c>
      <c r="B7" s="6" t="str">
        <f>IF(OR('A créer'!D7="Oui",LEN('A créer'!D7)=0),"",'A créer'!A7)</f>
        <v/>
      </c>
      <c r="C7" s="2" t="str">
        <f>IF(OR('A créer'!D7="Oui",LEN('A créer'!D7)=0),"","Tab")</f>
        <v/>
      </c>
      <c r="D7" s="6" t="str">
        <f>IF(OR('A créer'!D7="Oui",LEN('A créer'!D7)=0),"",'A créer'!C7)</f>
        <v/>
      </c>
      <c r="E7" s="2" t="s">
        <v>93</v>
      </c>
      <c r="F7" s="2" t="str">
        <f>IF(OR('A créer'!D7="Oui",LEN('A créer'!D7)=0),"","Tab")</f>
        <v/>
      </c>
      <c r="G7" s="2" t="str">
        <f>IF(OR('A créer'!D7="Oui",LEN('A créer'!D7)=0),"","Tab")</f>
        <v/>
      </c>
      <c r="H7" s="2" t="str">
        <f>IF(OR('A créer'!D7="Oui",LEN('A créer'!D7)=0),"","ENT")</f>
        <v/>
      </c>
      <c r="I7" s="6" t="str">
        <f>IF(OR('A créer'!D7="Oui",LEN('A créer'!D7)=0),"","Oui")</f>
        <v/>
      </c>
      <c r="J7" s="2" t="str">
        <f>IF(OR('A créer'!D7="Oui",LEN('A créer'!D7)=0),"","Tab")</f>
        <v/>
      </c>
      <c r="K7" s="6" t="str">
        <f>IF(OR('A créer'!D7="Oui",LEN('A créer'!D7)=0),"",'A créer'!H7)</f>
        <v/>
      </c>
      <c r="L7" s="6" t="str">
        <f>IF(OR('A créer'!D7="Oui",LEN('A créer'!D7)=0),"",IF($K7="DCW",'A créer'!G7,""))</f>
        <v/>
      </c>
      <c r="M7" s="2" t="str">
        <f>IF(OR('A créer'!D7="Oui",LEN('A créer'!D7)=0),"","Tab")</f>
        <v/>
      </c>
      <c r="N7" s="6" t="str">
        <f>IF(OR('A créer'!D7="Oui",LEN('A créer'!D7)=0),"",IF($K7="DLS",'A créer'!G7,""))</f>
        <v/>
      </c>
      <c r="O7" s="2" t="str">
        <f>IF(OR('A créer'!D7="Oui",LEN('A créer'!D7)=0),"","Tab")</f>
        <v/>
      </c>
      <c r="P7" s="6" t="str">
        <f>IF(OR('A créer'!D7="Oui",LEN('A créer'!D7)=0),"",IF($K7="DMS",'A créer'!G7,""))</f>
        <v/>
      </c>
      <c r="Q7" s="2" t="str">
        <f>IF(OR('A créer'!D7="Oui",LEN('A créer'!D7)=0),"","Tab")</f>
        <v/>
      </c>
      <c r="R7" s="6" t="str">
        <f>IF(OR('A créer'!D7="Oui",LEN('A créer'!D7)=0),"",IF($K7="DRW",'A créer'!G7,""))</f>
        <v/>
      </c>
      <c r="S7" s="2" t="str">
        <f>IF(OR('A créer'!D7="Oui",LEN('A créer'!D7)=0),"","Tab")</f>
        <v/>
      </c>
      <c r="T7" s="6" t="str">
        <f>IF(OR('A créer'!D7="Oui",LEN('A créer'!D7)=0),"",IF($K7="DSW",'A créer'!G7,""))</f>
        <v/>
      </c>
      <c r="U7" s="2" t="str">
        <f>IF(OR('A créer'!D7="Oui",LEN('A créer'!D7)=0),"","Tab")</f>
        <v/>
      </c>
      <c r="V7" s="6" t="str">
        <f>IF(OR('A créer'!D7="Oui",LEN('A créer'!D7)=0),"",IF($K7="DEW",'A créer'!G7,""))</f>
        <v/>
      </c>
      <c r="W7" s="2" t="str">
        <f>IF(OR('A créer'!D7="Oui",LEN('A créer'!D7)=0),"","Tab")</f>
        <v/>
      </c>
      <c r="X7" s="6" t="str">
        <f>IF(OR('A créer'!D7="Oui",LEN('A créer'!D7)=0),"",IF($K7="DNA",'A créer'!G7,""))</f>
        <v/>
      </c>
      <c r="Y7" s="2" t="str">
        <f>IF(OR('A créer'!D7="Oui",LEN('A créer'!D7)=0),"","Tab")</f>
        <v/>
      </c>
      <c r="Z7" s="6" t="str">
        <f>IF(OR('A créer'!D7="Oui",LEN('A créer'!D7)=0),"",IF($K7="DOS",'A créer'!G7,""))</f>
        <v/>
      </c>
      <c r="AA7" s="2" t="str">
        <f>IF(OR('A créer'!D7="Oui",LEN('A créer'!D7)=0),"","Tab")</f>
        <v/>
      </c>
      <c r="AB7" s="2" t="str">
        <f>IF(OR('A créer'!D7="Oui",LEN('A créer'!D7)=0),"","Tab")</f>
        <v/>
      </c>
      <c r="AC7" s="6" t="str">
        <f>IF(OR('A créer'!D7="Oui",LEN('A créer'!D7)=0),"","OUI")</f>
        <v/>
      </c>
      <c r="AD7" s="2" t="str">
        <f>IF(OR('A créer'!D7="Oui",LEN('A créer'!D7)=0),"","Tab")</f>
        <v/>
      </c>
      <c r="AE7" s="2" t="str">
        <f>IF(OR('A créer'!D7="Oui",LEN('A créer'!D7)=0),"","ENT")</f>
        <v/>
      </c>
      <c r="AF7" s="2" t="str">
        <f>IF(OR('A créer'!D7="Oui",LEN('A créer'!D7)=0),"","*SAVE")</f>
        <v/>
      </c>
      <c r="AG7" s="2" t="str">
        <f>IF(OR('A créer'!D7="Oui",LEN('A créer'!D7)=0),"","*FN")</f>
        <v/>
      </c>
      <c r="AH7" s="6" t="str">
        <f>IF(OR('A créer'!D7="Oui",LEN('A créer'!D7)=0),"",CONCATENATE("A",RIGHT('A créer'!A7,3)))</f>
        <v/>
      </c>
      <c r="AI7" s="2" t="str">
        <f>IF(OR('A créer'!D7="Oui",LEN('A créer'!D7)=0),"","Tab")</f>
        <v/>
      </c>
      <c r="AJ7" s="6" t="str">
        <f>IF(OR('A créer'!D7="Oui",LEN('A créer'!D7)=0),"",CONCATENATE('A créer'!A7," Regroupement"))</f>
        <v/>
      </c>
      <c r="AK7" s="2" t="str">
        <f>IF(OR('A créer'!D7="Oui",LEN('A créer'!D7)=0),"","Tab 4")</f>
        <v/>
      </c>
      <c r="AL7" s="2" t="str">
        <f>IF(OR('A créer'!D7="Oui",LEN('A créer'!D7)=0),"","*SB")</f>
        <v/>
      </c>
      <c r="AM7" s="2" t="str">
        <f>IF(OR('A créer'!D7="Oui",LEN('A créer'!D7)=0),"","Tab")</f>
        <v/>
      </c>
      <c r="AN7" s="6" t="str">
        <f>IF(OR('A créer'!D7="Oui",LEN('A créer'!D7)=0),"",CONCATENATE("A",'A créer'!A7))</f>
        <v/>
      </c>
      <c r="AO7" s="2" t="str">
        <f>IF(OR('A créer'!D7="Oui",LEN('A créer'!D7)=0),"","Tab")</f>
        <v/>
      </c>
      <c r="AP7" s="2" t="str">
        <f>IF(OR('A créer'!D7="Oui",LEN('A créer'!D7)=0),"","Tab")</f>
        <v/>
      </c>
      <c r="AQ7" s="2" t="str">
        <f>IF(OR('A créer'!D7="Oui",LEN('A créer'!D7)=0),"","ENT")</f>
        <v/>
      </c>
      <c r="AR7" s="6" t="str">
        <f>IF(OR('A créer'!D7="Oui",LEN('A créer'!D7)=0),"","Non")</f>
        <v/>
      </c>
      <c r="AS7" s="2" t="str">
        <f>IF(OR('A créer'!D7="Oui",LEN('A créer'!D7)=0),"","Tab")</f>
        <v/>
      </c>
      <c r="AT7" s="6" t="str">
        <f>IF(OR('A créer'!D7="Oui",LEN('A créer'!D7)=0),"","T")</f>
        <v/>
      </c>
      <c r="AU7" s="2" t="str">
        <f>IF(OR('A créer'!D7="Oui",LEN('A créer'!D7)=0),"","Tab")</f>
        <v/>
      </c>
      <c r="AV7" s="2" t="str">
        <f>IF(OR('A créer'!D7="Oui",LEN('A créer'!D7)=0),"","ENT")</f>
        <v/>
      </c>
      <c r="AW7" s="2" t="str">
        <f>IF(OR('A créer'!D7="Oui",LEN('A créer'!D7)=0),"","*SAVE")</f>
        <v/>
      </c>
      <c r="AX7" s="2" t="str">
        <f>IF(OR('A créer'!D7="Oui",LEN('A créer'!D7)=0),"","*UP")</f>
        <v/>
      </c>
      <c r="AY7" s="2" t="str">
        <f>IF(OR('A créer'!D7="Oui",LEN('A créer'!D7)=0),"","*Aé")</f>
        <v/>
      </c>
      <c r="AZ7" s="6" t="str">
        <f>IF(OR('A créer'!D7="Oui",LEN('A créer'!D7)=0),"",'A créer'!A7)</f>
        <v/>
      </c>
      <c r="BA7" s="2" t="str">
        <f>IF(OR('A créer'!D7="Oui",LEN('A créer'!D7)=0),"","Tab")</f>
        <v/>
      </c>
      <c r="BB7" s="2" t="str">
        <f>IF(OR('A créer'!D7="Oui",LEN('A créer'!D7)=0),"","*SAVE")</f>
        <v/>
      </c>
      <c r="BC7" s="2" t="str">
        <f>IF(OR('A créer'!D7="Oui",LEN('A créer'!D7)=0),"","*ML(610,125)")</f>
        <v/>
      </c>
    </row>
    <row r="8" spans="1:55" x14ac:dyDescent="0.35">
      <c r="A8" s="2" t="str">
        <f>IF(OR('A créer'!D8="Oui",LEN('A créer'!D8)=0),"","*FN")</f>
        <v/>
      </c>
      <c r="B8" s="6" t="str">
        <f>IF(OR('A créer'!D8="Oui",LEN('A créer'!D8)=0),"",'A créer'!A8)</f>
        <v/>
      </c>
      <c r="C8" s="2" t="str">
        <f>IF(OR('A créer'!D8="Oui",LEN('A créer'!D8)=0),"","Tab")</f>
        <v/>
      </c>
      <c r="D8" s="6" t="str">
        <f>IF(OR('A créer'!D8="Oui",LEN('A créer'!D8)=0),"",'A créer'!C8)</f>
        <v/>
      </c>
      <c r="E8" s="2" t="s">
        <v>93</v>
      </c>
      <c r="F8" s="2" t="str">
        <f>IF(OR('A créer'!D8="Oui",LEN('A créer'!D8)=0),"","Tab")</f>
        <v/>
      </c>
      <c r="G8" s="2" t="str">
        <f>IF(OR('A créer'!D8="Oui",LEN('A créer'!D8)=0),"","Tab")</f>
        <v/>
      </c>
      <c r="H8" s="2" t="str">
        <f>IF(OR('A créer'!D8="Oui",LEN('A créer'!D8)=0),"","ENT")</f>
        <v/>
      </c>
      <c r="I8" s="6" t="str">
        <f>IF(OR('A créer'!D8="Oui",LEN('A créer'!D8)=0),"","Oui")</f>
        <v/>
      </c>
      <c r="J8" s="2" t="str">
        <f>IF(OR('A créer'!D8="Oui",LEN('A créer'!D8)=0),"","Tab")</f>
        <v/>
      </c>
      <c r="K8" s="6" t="str">
        <f>IF(OR('A créer'!D8="Oui",LEN('A créer'!D8)=0),"",'A créer'!H8)</f>
        <v/>
      </c>
      <c r="L8" s="6" t="str">
        <f>IF(OR('A créer'!D8="Oui",LEN('A créer'!D8)=0),"",IF($K8="DCW",'A créer'!G8,""))</f>
        <v/>
      </c>
      <c r="M8" s="2" t="str">
        <f>IF(OR('A créer'!D8="Oui",LEN('A créer'!D8)=0),"","Tab")</f>
        <v/>
      </c>
      <c r="N8" s="6" t="str">
        <f>IF(OR('A créer'!D8="Oui",LEN('A créer'!D8)=0),"",IF($K8="DLS",'A créer'!G8,""))</f>
        <v/>
      </c>
      <c r="O8" s="2" t="str">
        <f>IF(OR('A créer'!D8="Oui",LEN('A créer'!D8)=0),"","Tab")</f>
        <v/>
      </c>
      <c r="P8" s="6" t="str">
        <f>IF(OR('A créer'!D8="Oui",LEN('A créer'!D8)=0),"",IF($K8="DMS",'A créer'!G8,""))</f>
        <v/>
      </c>
      <c r="Q8" s="2" t="str">
        <f>IF(OR('A créer'!D8="Oui",LEN('A créer'!D8)=0),"","Tab")</f>
        <v/>
      </c>
      <c r="R8" s="6" t="str">
        <f>IF(OR('A créer'!D8="Oui",LEN('A créer'!D8)=0),"",IF($K8="DRW",'A créer'!G8,""))</f>
        <v/>
      </c>
      <c r="S8" s="2" t="str">
        <f>IF(OR('A créer'!D8="Oui",LEN('A créer'!D8)=0),"","Tab")</f>
        <v/>
      </c>
      <c r="T8" s="6" t="str">
        <f>IF(OR('A créer'!D8="Oui",LEN('A créer'!D8)=0),"",IF($K8="DSW",'A créer'!G8,""))</f>
        <v/>
      </c>
      <c r="U8" s="2" t="str">
        <f>IF(OR('A créer'!D8="Oui",LEN('A créer'!D8)=0),"","Tab")</f>
        <v/>
      </c>
      <c r="V8" s="6" t="str">
        <f>IF(OR('A créer'!D8="Oui",LEN('A créer'!D8)=0),"",IF($K8="DEW",'A créer'!G8,""))</f>
        <v/>
      </c>
      <c r="W8" s="2" t="str">
        <f>IF(OR('A créer'!D8="Oui",LEN('A créer'!D8)=0),"","Tab")</f>
        <v/>
      </c>
      <c r="X8" s="6" t="str">
        <f>IF(OR('A créer'!D8="Oui",LEN('A créer'!D8)=0),"",IF($K8="DNA",'A créer'!G8,""))</f>
        <v/>
      </c>
      <c r="Y8" s="2" t="str">
        <f>IF(OR('A créer'!D8="Oui",LEN('A créer'!D8)=0),"","Tab")</f>
        <v/>
      </c>
      <c r="Z8" s="6" t="str">
        <f>IF(OR('A créer'!D8="Oui",LEN('A créer'!D8)=0),"",IF($K8="DOS",'A créer'!G8,""))</f>
        <v/>
      </c>
      <c r="AA8" s="2" t="str">
        <f>IF(OR('A créer'!D8="Oui",LEN('A créer'!D8)=0),"","Tab")</f>
        <v/>
      </c>
      <c r="AB8" s="2" t="str">
        <f>IF(OR('A créer'!D8="Oui",LEN('A créer'!D8)=0),"","Tab")</f>
        <v/>
      </c>
      <c r="AC8" s="6" t="str">
        <f>IF(OR('A créer'!D8="Oui",LEN('A créer'!D8)=0),"","OUI")</f>
        <v/>
      </c>
      <c r="AD8" s="2" t="str">
        <f>IF(OR('A créer'!D8="Oui",LEN('A créer'!D8)=0),"","Tab")</f>
        <v/>
      </c>
      <c r="AE8" s="2" t="str">
        <f>IF(OR('A créer'!D8="Oui",LEN('A créer'!D8)=0),"","ENT")</f>
        <v/>
      </c>
      <c r="AF8" s="2" t="str">
        <f>IF(OR('A créer'!D8="Oui",LEN('A créer'!D8)=0),"","*SAVE")</f>
        <v/>
      </c>
      <c r="AG8" s="2" t="str">
        <f>IF(OR('A créer'!D8="Oui",LEN('A créer'!D8)=0),"","*FN")</f>
        <v/>
      </c>
      <c r="AH8" s="6" t="str">
        <f>IF(OR('A créer'!D8="Oui",LEN('A créer'!D8)=0),"",CONCATENATE("A",RIGHT('A créer'!A8,3)))</f>
        <v/>
      </c>
      <c r="AI8" s="2" t="str">
        <f>IF(OR('A créer'!D8="Oui",LEN('A créer'!D8)=0),"","Tab")</f>
        <v/>
      </c>
      <c r="AJ8" s="6" t="str">
        <f>IF(OR('A créer'!D8="Oui",LEN('A créer'!D8)=0),"",CONCATENATE('A créer'!A8," Regroupement"))</f>
        <v/>
      </c>
      <c r="AK8" s="2" t="str">
        <f>IF(OR('A créer'!D8="Oui",LEN('A créer'!D8)=0),"","Tab 4")</f>
        <v/>
      </c>
      <c r="AL8" s="2" t="str">
        <f>IF(OR('A créer'!D8="Oui",LEN('A créer'!D8)=0),"","*SB")</f>
        <v/>
      </c>
      <c r="AM8" s="2" t="str">
        <f>IF(OR('A créer'!D8="Oui",LEN('A créer'!D8)=0),"","Tab")</f>
        <v/>
      </c>
      <c r="AN8" s="6" t="str">
        <f>IF(OR('A créer'!D8="Oui",LEN('A créer'!D8)=0),"",CONCATENATE("A",'A créer'!A8))</f>
        <v/>
      </c>
      <c r="AO8" s="2" t="str">
        <f>IF(OR('A créer'!D8="Oui",LEN('A créer'!D8)=0),"","Tab")</f>
        <v/>
      </c>
      <c r="AP8" s="2" t="str">
        <f>IF(OR('A créer'!D8="Oui",LEN('A créer'!D8)=0),"","Tab")</f>
        <v/>
      </c>
      <c r="AQ8" s="2" t="str">
        <f>IF(OR('A créer'!D8="Oui",LEN('A créer'!D8)=0),"","ENT")</f>
        <v/>
      </c>
      <c r="AR8" s="6" t="str">
        <f>IF(OR('A créer'!D8="Oui",LEN('A créer'!D8)=0),"","Non")</f>
        <v/>
      </c>
      <c r="AS8" s="2" t="str">
        <f>IF(OR('A créer'!D8="Oui",LEN('A créer'!D8)=0),"","Tab")</f>
        <v/>
      </c>
      <c r="AT8" s="6" t="str">
        <f>IF(OR('A créer'!D8="Oui",LEN('A créer'!D8)=0),"","T")</f>
        <v/>
      </c>
      <c r="AU8" s="2" t="str">
        <f>IF(OR('A créer'!D8="Oui",LEN('A créer'!D8)=0),"","Tab")</f>
        <v/>
      </c>
      <c r="AV8" s="2" t="str">
        <f>IF(OR('A créer'!D8="Oui",LEN('A créer'!D8)=0),"","ENT")</f>
        <v/>
      </c>
      <c r="AW8" s="2" t="str">
        <f>IF(OR('A créer'!D8="Oui",LEN('A créer'!D8)=0),"","*SAVE")</f>
        <v/>
      </c>
      <c r="AX8" s="2" t="str">
        <f>IF(OR('A créer'!D8="Oui",LEN('A créer'!D8)=0),"","*UP")</f>
        <v/>
      </c>
      <c r="AY8" s="2" t="str">
        <f>IF(OR('A créer'!D8="Oui",LEN('A créer'!D8)=0),"","*Aé")</f>
        <v/>
      </c>
      <c r="AZ8" s="6" t="str">
        <f>IF(OR('A créer'!D8="Oui",LEN('A créer'!D8)=0),"",'A créer'!A8)</f>
        <v/>
      </c>
      <c r="BA8" s="2" t="str">
        <f>IF(OR('A créer'!D8="Oui",LEN('A créer'!D8)=0),"","Tab")</f>
        <v/>
      </c>
      <c r="BB8" s="2" t="str">
        <f>IF(OR('A créer'!D8="Oui",LEN('A créer'!D8)=0),"","*SAVE")</f>
        <v/>
      </c>
      <c r="BC8" s="2" t="str">
        <f>IF(OR('A créer'!D8="Oui",LEN('A créer'!D8)=0),"","*ML(610,125)")</f>
        <v/>
      </c>
    </row>
    <row r="9" spans="1:55" x14ac:dyDescent="0.35">
      <c r="A9" s="2" t="str">
        <f>IF(OR('A créer'!D9="Oui",LEN('A créer'!D9)=0),"","*FN")</f>
        <v/>
      </c>
      <c r="B9" s="6" t="str">
        <f>IF(OR('A créer'!D9="Oui",LEN('A créer'!D9)=0),"",'A créer'!A9)</f>
        <v/>
      </c>
      <c r="C9" s="2" t="str">
        <f>IF(OR('A créer'!D9="Oui",LEN('A créer'!D9)=0),"","Tab")</f>
        <v/>
      </c>
      <c r="D9" s="6" t="str">
        <f>IF(OR('A créer'!D9="Oui",LEN('A créer'!D9)=0),"",'A créer'!C9)</f>
        <v/>
      </c>
      <c r="E9" s="2" t="s">
        <v>93</v>
      </c>
      <c r="F9" s="2" t="str">
        <f>IF(OR('A créer'!D9="Oui",LEN('A créer'!D9)=0),"","Tab")</f>
        <v/>
      </c>
      <c r="G9" s="2" t="str">
        <f>IF(OR('A créer'!D9="Oui",LEN('A créer'!D9)=0),"","Tab")</f>
        <v/>
      </c>
      <c r="H9" s="2" t="str">
        <f>IF(OR('A créer'!D9="Oui",LEN('A créer'!D9)=0),"","ENT")</f>
        <v/>
      </c>
      <c r="I9" s="6" t="str">
        <f>IF(OR('A créer'!D9="Oui",LEN('A créer'!D9)=0),"","Oui")</f>
        <v/>
      </c>
      <c r="J9" s="2" t="str">
        <f>IF(OR('A créer'!D9="Oui",LEN('A créer'!D9)=0),"","Tab")</f>
        <v/>
      </c>
      <c r="K9" s="6" t="str">
        <f>IF(OR('A créer'!D9="Oui",LEN('A créer'!D9)=0),"",'A créer'!H9)</f>
        <v/>
      </c>
      <c r="L9" s="6" t="str">
        <f>IF(OR('A créer'!D9="Oui",LEN('A créer'!D9)=0),"",IF($K9="DCW",'A créer'!G9,""))</f>
        <v/>
      </c>
      <c r="M9" s="2" t="str">
        <f>IF(OR('A créer'!D9="Oui",LEN('A créer'!D9)=0),"","Tab")</f>
        <v/>
      </c>
      <c r="N9" s="6" t="str">
        <f>IF(OR('A créer'!D9="Oui",LEN('A créer'!D9)=0),"",IF($K9="DLS",'A créer'!G9,""))</f>
        <v/>
      </c>
      <c r="O9" s="2" t="str">
        <f>IF(OR('A créer'!D9="Oui",LEN('A créer'!D9)=0),"","Tab")</f>
        <v/>
      </c>
      <c r="P9" s="6" t="str">
        <f>IF(OR('A créer'!D9="Oui",LEN('A créer'!D9)=0),"",IF($K9="DMS",'A créer'!G9,""))</f>
        <v/>
      </c>
      <c r="Q9" s="2" t="str">
        <f>IF(OR('A créer'!D9="Oui",LEN('A créer'!D9)=0),"","Tab")</f>
        <v/>
      </c>
      <c r="R9" s="6" t="str">
        <f>IF(OR('A créer'!D9="Oui",LEN('A créer'!D9)=0),"",IF($K9="DRW",'A créer'!G9,""))</f>
        <v/>
      </c>
      <c r="S9" s="2" t="str">
        <f>IF(OR('A créer'!D9="Oui",LEN('A créer'!D9)=0),"","Tab")</f>
        <v/>
      </c>
      <c r="T9" s="6" t="str">
        <f>IF(OR('A créer'!D9="Oui",LEN('A créer'!D9)=0),"",IF($K9="DSW",'A créer'!G9,""))</f>
        <v/>
      </c>
      <c r="U9" s="2" t="str">
        <f>IF(OR('A créer'!D9="Oui",LEN('A créer'!D9)=0),"","Tab")</f>
        <v/>
      </c>
      <c r="V9" s="6" t="str">
        <f>IF(OR('A créer'!D9="Oui",LEN('A créer'!D9)=0),"",IF($K9="DEW",'A créer'!G9,""))</f>
        <v/>
      </c>
      <c r="W9" s="2" t="str">
        <f>IF(OR('A créer'!D9="Oui",LEN('A créer'!D9)=0),"","Tab")</f>
        <v/>
      </c>
      <c r="X9" s="6" t="str">
        <f>IF(OR('A créer'!D9="Oui",LEN('A créer'!D9)=0),"",IF($K9="DNA",'A créer'!G9,""))</f>
        <v/>
      </c>
      <c r="Y9" s="2" t="str">
        <f>IF(OR('A créer'!D9="Oui",LEN('A créer'!D9)=0),"","Tab")</f>
        <v/>
      </c>
      <c r="Z9" s="6" t="str">
        <f>IF(OR('A créer'!D9="Oui",LEN('A créer'!D9)=0),"",IF($K9="DOS",'A créer'!G9,""))</f>
        <v/>
      </c>
      <c r="AA9" s="2" t="str">
        <f>IF(OR('A créer'!D9="Oui",LEN('A créer'!D9)=0),"","Tab")</f>
        <v/>
      </c>
      <c r="AB9" s="2" t="str">
        <f>IF(OR('A créer'!D9="Oui",LEN('A créer'!D9)=0),"","Tab")</f>
        <v/>
      </c>
      <c r="AC9" s="6" t="str">
        <f>IF(OR('A créer'!D9="Oui",LEN('A créer'!D9)=0),"","OUI")</f>
        <v/>
      </c>
      <c r="AD9" s="2" t="str">
        <f>IF(OR('A créer'!D9="Oui",LEN('A créer'!D9)=0),"","Tab")</f>
        <v/>
      </c>
      <c r="AE9" s="2" t="str">
        <f>IF(OR('A créer'!D9="Oui",LEN('A créer'!D9)=0),"","ENT")</f>
        <v/>
      </c>
      <c r="AF9" s="2" t="str">
        <f>IF(OR('A créer'!D9="Oui",LEN('A créer'!D9)=0),"","*SAVE")</f>
        <v/>
      </c>
      <c r="AG9" s="2" t="str">
        <f>IF(OR('A créer'!D9="Oui",LEN('A créer'!D9)=0),"","*FN")</f>
        <v/>
      </c>
      <c r="AH9" s="6" t="str">
        <f>IF(OR('A créer'!D9="Oui",LEN('A créer'!D9)=0),"",CONCATENATE("A",RIGHT('A créer'!A9,3)))</f>
        <v/>
      </c>
      <c r="AI9" s="2" t="str">
        <f>IF(OR('A créer'!D9="Oui",LEN('A créer'!D9)=0),"","Tab")</f>
        <v/>
      </c>
      <c r="AJ9" s="6" t="str">
        <f>IF(OR('A créer'!D9="Oui",LEN('A créer'!D9)=0),"",CONCATENATE('A créer'!A9," Regroupement"))</f>
        <v/>
      </c>
      <c r="AK9" s="2" t="str">
        <f>IF(OR('A créer'!D9="Oui",LEN('A créer'!D9)=0),"","Tab 4")</f>
        <v/>
      </c>
      <c r="AL9" s="2" t="str">
        <f>IF(OR('A créer'!D9="Oui",LEN('A créer'!D9)=0),"","*SB")</f>
        <v/>
      </c>
      <c r="AM9" s="2" t="str">
        <f>IF(OR('A créer'!D9="Oui",LEN('A créer'!D9)=0),"","Tab")</f>
        <v/>
      </c>
      <c r="AN9" s="6" t="str">
        <f>IF(OR('A créer'!D9="Oui",LEN('A créer'!D9)=0),"",CONCATENATE("A",'A créer'!A9))</f>
        <v/>
      </c>
      <c r="AO9" s="2" t="str">
        <f>IF(OR('A créer'!D9="Oui",LEN('A créer'!D9)=0),"","Tab")</f>
        <v/>
      </c>
      <c r="AP9" s="2" t="str">
        <f>IF(OR('A créer'!D9="Oui",LEN('A créer'!D9)=0),"","Tab")</f>
        <v/>
      </c>
      <c r="AQ9" s="2" t="str">
        <f>IF(OR('A créer'!D9="Oui",LEN('A créer'!D9)=0),"","ENT")</f>
        <v/>
      </c>
      <c r="AR9" s="6" t="str">
        <f>IF(OR('A créer'!D9="Oui",LEN('A créer'!D9)=0),"","Non")</f>
        <v/>
      </c>
      <c r="AS9" s="2" t="str">
        <f>IF(OR('A créer'!D9="Oui",LEN('A créer'!D9)=0),"","Tab")</f>
        <v/>
      </c>
      <c r="AT9" s="6" t="str">
        <f>IF(OR('A créer'!D9="Oui",LEN('A créer'!D9)=0),"","T")</f>
        <v/>
      </c>
      <c r="AU9" s="2" t="str">
        <f>IF(OR('A créer'!D9="Oui",LEN('A créer'!D9)=0),"","Tab")</f>
        <v/>
      </c>
      <c r="AV9" s="2" t="str">
        <f>IF(OR('A créer'!D9="Oui",LEN('A créer'!D9)=0),"","ENT")</f>
        <v/>
      </c>
      <c r="AW9" s="2" t="str">
        <f>IF(OR('A créer'!D9="Oui",LEN('A créer'!D9)=0),"","*SAVE")</f>
        <v/>
      </c>
      <c r="AX9" s="2" t="str">
        <f>IF(OR('A créer'!D9="Oui",LEN('A créer'!D9)=0),"","*UP")</f>
        <v/>
      </c>
      <c r="AY9" s="2" t="str">
        <f>IF(OR('A créer'!D9="Oui",LEN('A créer'!D9)=0),"","*Aé")</f>
        <v/>
      </c>
      <c r="AZ9" s="6" t="str">
        <f>IF(OR('A créer'!D9="Oui",LEN('A créer'!D9)=0),"",'A créer'!A9)</f>
        <v/>
      </c>
      <c r="BA9" s="2" t="str">
        <f>IF(OR('A créer'!D9="Oui",LEN('A créer'!D9)=0),"","Tab")</f>
        <v/>
      </c>
      <c r="BB9" s="2" t="str">
        <f>IF(OR('A créer'!D9="Oui",LEN('A créer'!D9)=0),"","*SAVE")</f>
        <v/>
      </c>
      <c r="BC9" s="2" t="str">
        <f>IF(OR('A créer'!D9="Oui",LEN('A créer'!D9)=0),"","*ML(610,125)")</f>
        <v/>
      </c>
    </row>
    <row r="10" spans="1:55" x14ac:dyDescent="0.35">
      <c r="A10" s="2" t="str">
        <f>IF(OR('A créer'!D10="Oui",LEN('A créer'!D10)=0),"","*FN")</f>
        <v/>
      </c>
      <c r="B10" s="6" t="str">
        <f>IF(OR('A créer'!D10="Oui",LEN('A créer'!D10)=0),"",'A créer'!A10)</f>
        <v/>
      </c>
      <c r="C10" s="2" t="str">
        <f>IF(OR('A créer'!D10="Oui",LEN('A créer'!D10)=0),"","Tab")</f>
        <v/>
      </c>
      <c r="D10" s="6" t="str">
        <f>IF(OR('A créer'!D10="Oui",LEN('A créer'!D10)=0),"",'A créer'!C10)</f>
        <v/>
      </c>
      <c r="E10" s="2" t="s">
        <v>93</v>
      </c>
      <c r="F10" s="2" t="str">
        <f>IF(OR('A créer'!D10="Oui",LEN('A créer'!D10)=0),"","Tab")</f>
        <v/>
      </c>
      <c r="G10" s="2" t="str">
        <f>IF(OR('A créer'!D10="Oui",LEN('A créer'!D10)=0),"","Tab")</f>
        <v/>
      </c>
      <c r="H10" s="2" t="str">
        <f>IF(OR('A créer'!D10="Oui",LEN('A créer'!D10)=0),"","ENT")</f>
        <v/>
      </c>
      <c r="I10" s="6" t="str">
        <f>IF(OR('A créer'!D10="Oui",LEN('A créer'!D10)=0),"","Oui")</f>
        <v/>
      </c>
      <c r="J10" s="2" t="str">
        <f>IF(OR('A créer'!D10="Oui",LEN('A créer'!D10)=0),"","Tab")</f>
        <v/>
      </c>
      <c r="K10" s="6" t="str">
        <f>IF(OR('A créer'!D10="Oui",LEN('A créer'!D10)=0),"",'A créer'!H10)</f>
        <v/>
      </c>
      <c r="L10" s="6" t="str">
        <f>IF(OR('A créer'!D10="Oui",LEN('A créer'!D10)=0),"",IF($K10="DCW",'A créer'!G10,""))</f>
        <v/>
      </c>
      <c r="M10" s="2" t="str">
        <f>IF(OR('A créer'!D10="Oui",LEN('A créer'!D10)=0),"","Tab")</f>
        <v/>
      </c>
      <c r="N10" s="6" t="str">
        <f>IF(OR('A créer'!D10="Oui",LEN('A créer'!D10)=0),"",IF($K10="DLS",'A créer'!G10,""))</f>
        <v/>
      </c>
      <c r="O10" s="2" t="str">
        <f>IF(OR('A créer'!D10="Oui",LEN('A créer'!D10)=0),"","Tab")</f>
        <v/>
      </c>
      <c r="P10" s="6" t="str">
        <f>IF(OR('A créer'!D10="Oui",LEN('A créer'!D10)=0),"",IF($K10="DMS",'A créer'!G10,""))</f>
        <v/>
      </c>
      <c r="Q10" s="2" t="str">
        <f>IF(OR('A créer'!D10="Oui",LEN('A créer'!D10)=0),"","Tab")</f>
        <v/>
      </c>
      <c r="R10" s="6" t="str">
        <f>IF(OR('A créer'!D10="Oui",LEN('A créer'!D10)=0),"",IF($K10="DRW",'A créer'!G10,""))</f>
        <v/>
      </c>
      <c r="S10" s="2" t="str">
        <f>IF(OR('A créer'!D10="Oui",LEN('A créer'!D10)=0),"","Tab")</f>
        <v/>
      </c>
      <c r="T10" s="6" t="str">
        <f>IF(OR('A créer'!D10="Oui",LEN('A créer'!D10)=0),"",IF($K10="DSW",'A créer'!G10,""))</f>
        <v/>
      </c>
      <c r="U10" s="2" t="str">
        <f>IF(OR('A créer'!D10="Oui",LEN('A créer'!D10)=0),"","Tab")</f>
        <v/>
      </c>
      <c r="V10" s="6" t="str">
        <f>IF(OR('A créer'!D10="Oui",LEN('A créer'!D10)=0),"",IF($K10="DEW",'A créer'!G10,""))</f>
        <v/>
      </c>
      <c r="W10" s="2" t="str">
        <f>IF(OR('A créer'!D10="Oui",LEN('A créer'!D10)=0),"","Tab")</f>
        <v/>
      </c>
      <c r="X10" s="6" t="str">
        <f>IF(OR('A créer'!D10="Oui",LEN('A créer'!D10)=0),"",IF($K10="DNA",'A créer'!G10,""))</f>
        <v/>
      </c>
      <c r="Y10" s="2" t="str">
        <f>IF(OR('A créer'!D10="Oui",LEN('A créer'!D10)=0),"","Tab")</f>
        <v/>
      </c>
      <c r="Z10" s="6" t="str">
        <f>IF(OR('A créer'!D10="Oui",LEN('A créer'!D10)=0),"",IF($K10="DOS",'A créer'!G10,""))</f>
        <v/>
      </c>
      <c r="AA10" s="2" t="str">
        <f>IF(OR('A créer'!D10="Oui",LEN('A créer'!D10)=0),"","Tab")</f>
        <v/>
      </c>
      <c r="AB10" s="2" t="str">
        <f>IF(OR('A créer'!D10="Oui",LEN('A créer'!D10)=0),"","Tab")</f>
        <v/>
      </c>
      <c r="AC10" s="6" t="str">
        <f>IF(OR('A créer'!D10="Oui",LEN('A créer'!D10)=0),"","OUI")</f>
        <v/>
      </c>
      <c r="AD10" s="2" t="str">
        <f>IF(OR('A créer'!D10="Oui",LEN('A créer'!D10)=0),"","Tab")</f>
        <v/>
      </c>
      <c r="AE10" s="2" t="str">
        <f>IF(OR('A créer'!D10="Oui",LEN('A créer'!D10)=0),"","ENT")</f>
        <v/>
      </c>
      <c r="AF10" s="2" t="str">
        <f>IF(OR('A créer'!D10="Oui",LEN('A créer'!D10)=0),"","*SAVE")</f>
        <v/>
      </c>
      <c r="AG10" s="2" t="str">
        <f>IF(OR('A créer'!D10="Oui",LEN('A créer'!D10)=0),"","*FN")</f>
        <v/>
      </c>
      <c r="AH10" s="6" t="str">
        <f>IF(OR('A créer'!D10="Oui",LEN('A créer'!D10)=0),"",CONCATENATE("A",RIGHT('A créer'!A10,3)))</f>
        <v/>
      </c>
      <c r="AI10" s="2" t="str">
        <f>IF(OR('A créer'!D10="Oui",LEN('A créer'!D10)=0),"","Tab")</f>
        <v/>
      </c>
      <c r="AJ10" s="6" t="str">
        <f>IF(OR('A créer'!D10="Oui",LEN('A créer'!D10)=0),"",CONCATENATE('A créer'!A10," Regroupement"))</f>
        <v/>
      </c>
      <c r="AK10" s="2" t="str">
        <f>IF(OR('A créer'!D10="Oui",LEN('A créer'!D10)=0),"","Tab 4")</f>
        <v/>
      </c>
      <c r="AL10" s="2" t="str">
        <f>IF(OR('A créer'!D10="Oui",LEN('A créer'!D10)=0),"","*SB")</f>
        <v/>
      </c>
      <c r="AM10" s="2" t="str">
        <f>IF(OR('A créer'!D10="Oui",LEN('A créer'!D10)=0),"","Tab")</f>
        <v/>
      </c>
      <c r="AN10" s="6" t="str">
        <f>IF(OR('A créer'!D10="Oui",LEN('A créer'!D10)=0),"",CONCATENATE("A",'A créer'!A10))</f>
        <v/>
      </c>
      <c r="AO10" s="2" t="str">
        <f>IF(OR('A créer'!D10="Oui",LEN('A créer'!D10)=0),"","Tab")</f>
        <v/>
      </c>
      <c r="AP10" s="2" t="str">
        <f>IF(OR('A créer'!D10="Oui",LEN('A créer'!D10)=0),"","Tab")</f>
        <v/>
      </c>
      <c r="AQ10" s="2" t="str">
        <f>IF(OR('A créer'!D10="Oui",LEN('A créer'!D10)=0),"","ENT")</f>
        <v/>
      </c>
      <c r="AR10" s="6" t="str">
        <f>IF(OR('A créer'!D10="Oui",LEN('A créer'!D10)=0),"","Non")</f>
        <v/>
      </c>
      <c r="AS10" s="2" t="str">
        <f>IF(OR('A créer'!D10="Oui",LEN('A créer'!D10)=0),"","Tab")</f>
        <v/>
      </c>
      <c r="AT10" s="6" t="str">
        <f>IF(OR('A créer'!D10="Oui",LEN('A créer'!D10)=0),"","T")</f>
        <v/>
      </c>
      <c r="AU10" s="2" t="str">
        <f>IF(OR('A créer'!D10="Oui",LEN('A créer'!D10)=0),"","Tab")</f>
        <v/>
      </c>
      <c r="AV10" s="2" t="str">
        <f>IF(OR('A créer'!D10="Oui",LEN('A créer'!D10)=0),"","ENT")</f>
        <v/>
      </c>
      <c r="AW10" s="2" t="str">
        <f>IF(OR('A créer'!D10="Oui",LEN('A créer'!D10)=0),"","*SAVE")</f>
        <v/>
      </c>
      <c r="AX10" s="2" t="str">
        <f>IF(OR('A créer'!D10="Oui",LEN('A créer'!D10)=0),"","*UP")</f>
        <v/>
      </c>
      <c r="AY10" s="2" t="str">
        <f>IF(OR('A créer'!D10="Oui",LEN('A créer'!D10)=0),"","*Aé")</f>
        <v/>
      </c>
      <c r="AZ10" s="6" t="str">
        <f>IF(OR('A créer'!D10="Oui",LEN('A créer'!D10)=0),"",'A créer'!A10)</f>
        <v/>
      </c>
      <c r="BA10" s="2" t="str">
        <f>IF(OR('A créer'!D10="Oui",LEN('A créer'!D10)=0),"","Tab")</f>
        <v/>
      </c>
      <c r="BB10" s="2" t="str">
        <f>IF(OR('A créer'!D10="Oui",LEN('A créer'!D10)=0),"","*SAVE")</f>
        <v/>
      </c>
      <c r="BC10" s="2" t="str">
        <f>IF(OR('A créer'!D10="Oui",LEN('A créer'!D10)=0),"","*ML(610,125)")</f>
        <v/>
      </c>
    </row>
    <row r="11" spans="1:55" x14ac:dyDescent="0.35">
      <c r="A11" s="2" t="str">
        <f>IF(OR('A créer'!D11="Oui",LEN('A créer'!D11)=0),"","*FN")</f>
        <v/>
      </c>
      <c r="B11" s="6" t="str">
        <f>IF(OR('A créer'!D11="Oui",LEN('A créer'!D11)=0),"",'A créer'!A11)</f>
        <v/>
      </c>
      <c r="C11" s="2" t="str">
        <f>IF(OR('A créer'!D11="Oui",LEN('A créer'!D11)=0),"","Tab")</f>
        <v/>
      </c>
      <c r="D11" s="6" t="str">
        <f>IF(OR('A créer'!D11="Oui",LEN('A créer'!D11)=0),"",'A créer'!C11)</f>
        <v/>
      </c>
      <c r="E11" s="2" t="s">
        <v>93</v>
      </c>
      <c r="F11" s="2" t="str">
        <f>IF(OR('A créer'!D11="Oui",LEN('A créer'!D11)=0),"","Tab")</f>
        <v/>
      </c>
      <c r="G11" s="2" t="str">
        <f>IF(OR('A créer'!D11="Oui",LEN('A créer'!D11)=0),"","Tab")</f>
        <v/>
      </c>
      <c r="H11" s="2" t="str">
        <f>IF(OR('A créer'!D11="Oui",LEN('A créer'!D11)=0),"","ENT")</f>
        <v/>
      </c>
      <c r="I11" s="6" t="str">
        <f>IF(OR('A créer'!D11="Oui",LEN('A créer'!D11)=0),"","Oui")</f>
        <v/>
      </c>
      <c r="J11" s="2" t="str">
        <f>IF(OR('A créer'!D11="Oui",LEN('A créer'!D11)=0),"","Tab")</f>
        <v/>
      </c>
      <c r="K11" s="6" t="str">
        <f>IF(OR('A créer'!D11="Oui",LEN('A créer'!D11)=0),"",'A créer'!H11)</f>
        <v/>
      </c>
      <c r="L11" s="6" t="str">
        <f>IF(OR('A créer'!D11="Oui",LEN('A créer'!D11)=0),"",IF($K11="DCW",'A créer'!G11,""))</f>
        <v/>
      </c>
      <c r="M11" s="2" t="str">
        <f>IF(OR('A créer'!D11="Oui",LEN('A créer'!D11)=0),"","Tab")</f>
        <v/>
      </c>
      <c r="N11" s="6" t="str">
        <f>IF(OR('A créer'!D11="Oui",LEN('A créer'!D11)=0),"",IF($K11="DLS",'A créer'!G11,""))</f>
        <v/>
      </c>
      <c r="O11" s="2" t="str">
        <f>IF(OR('A créer'!D11="Oui",LEN('A créer'!D11)=0),"","Tab")</f>
        <v/>
      </c>
      <c r="P11" s="6" t="str">
        <f>IF(OR('A créer'!D11="Oui",LEN('A créer'!D11)=0),"",IF($K11="DMS",'A créer'!G11,""))</f>
        <v/>
      </c>
      <c r="Q11" s="2" t="str">
        <f>IF(OR('A créer'!D11="Oui",LEN('A créer'!D11)=0),"","Tab")</f>
        <v/>
      </c>
      <c r="R11" s="6" t="str">
        <f>IF(OR('A créer'!D11="Oui",LEN('A créer'!D11)=0),"",IF($K11="DRW",'A créer'!G11,""))</f>
        <v/>
      </c>
      <c r="S11" s="2" t="str">
        <f>IF(OR('A créer'!D11="Oui",LEN('A créer'!D11)=0),"","Tab")</f>
        <v/>
      </c>
      <c r="T11" s="6" t="str">
        <f>IF(OR('A créer'!D11="Oui",LEN('A créer'!D11)=0),"",IF($K11="DSW",'A créer'!G11,""))</f>
        <v/>
      </c>
      <c r="U11" s="2" t="str">
        <f>IF(OR('A créer'!D11="Oui",LEN('A créer'!D11)=0),"","Tab")</f>
        <v/>
      </c>
      <c r="V11" s="6" t="str">
        <f>IF(OR('A créer'!D11="Oui",LEN('A créer'!D11)=0),"",IF($K11="DEW",'A créer'!G11,""))</f>
        <v/>
      </c>
      <c r="W11" s="2" t="str">
        <f>IF(OR('A créer'!D11="Oui",LEN('A créer'!D11)=0),"","Tab")</f>
        <v/>
      </c>
      <c r="X11" s="6" t="str">
        <f>IF(OR('A créer'!D11="Oui",LEN('A créer'!D11)=0),"",IF($K11="DNA",'A créer'!G11,""))</f>
        <v/>
      </c>
      <c r="Y11" s="2" t="str">
        <f>IF(OR('A créer'!D11="Oui",LEN('A créer'!D11)=0),"","Tab")</f>
        <v/>
      </c>
      <c r="Z11" s="6" t="str">
        <f>IF(OR('A créer'!D11="Oui",LEN('A créer'!D11)=0),"",IF($K11="DOS",'A créer'!G11,""))</f>
        <v/>
      </c>
      <c r="AA11" s="2" t="str">
        <f>IF(OR('A créer'!D11="Oui",LEN('A créer'!D11)=0),"","Tab")</f>
        <v/>
      </c>
      <c r="AB11" s="2" t="str">
        <f>IF(OR('A créer'!D11="Oui",LEN('A créer'!D11)=0),"","Tab")</f>
        <v/>
      </c>
      <c r="AC11" s="6" t="str">
        <f>IF(OR('A créer'!D11="Oui",LEN('A créer'!D11)=0),"","OUI")</f>
        <v/>
      </c>
      <c r="AD11" s="2" t="str">
        <f>IF(OR('A créer'!D11="Oui",LEN('A créer'!D11)=0),"","Tab")</f>
        <v/>
      </c>
      <c r="AE11" s="2" t="str">
        <f>IF(OR('A créer'!D11="Oui",LEN('A créer'!D11)=0),"","ENT")</f>
        <v/>
      </c>
      <c r="AF11" s="2" t="str">
        <f>IF(OR('A créer'!D11="Oui",LEN('A créer'!D11)=0),"","*SAVE")</f>
        <v/>
      </c>
      <c r="AG11" s="2" t="str">
        <f>IF(OR('A créer'!D11="Oui",LEN('A créer'!D11)=0),"","*FN")</f>
        <v/>
      </c>
      <c r="AH11" s="6" t="str">
        <f>IF(OR('A créer'!D11="Oui",LEN('A créer'!D11)=0),"",CONCATENATE("A",RIGHT('A créer'!A11,3)))</f>
        <v/>
      </c>
      <c r="AI11" s="2" t="str">
        <f>IF(OR('A créer'!D11="Oui",LEN('A créer'!D11)=0),"","Tab")</f>
        <v/>
      </c>
      <c r="AJ11" s="6" t="str">
        <f>IF(OR('A créer'!D11="Oui",LEN('A créer'!D11)=0),"",CONCATENATE('A créer'!A11," Regroupement"))</f>
        <v/>
      </c>
      <c r="AK11" s="2" t="str">
        <f>IF(OR('A créer'!D11="Oui",LEN('A créer'!D11)=0),"","Tab 4")</f>
        <v/>
      </c>
      <c r="AL11" s="2" t="str">
        <f>IF(OR('A créer'!D11="Oui",LEN('A créer'!D11)=0),"","*SB")</f>
        <v/>
      </c>
      <c r="AM11" s="2" t="str">
        <f>IF(OR('A créer'!D11="Oui",LEN('A créer'!D11)=0),"","Tab")</f>
        <v/>
      </c>
      <c r="AN11" s="6" t="str">
        <f>IF(OR('A créer'!D11="Oui",LEN('A créer'!D11)=0),"",CONCATENATE("A",'A créer'!A11))</f>
        <v/>
      </c>
      <c r="AO11" s="2" t="str">
        <f>IF(OR('A créer'!D11="Oui",LEN('A créer'!D11)=0),"","Tab")</f>
        <v/>
      </c>
      <c r="AP11" s="2" t="str">
        <f>IF(OR('A créer'!D11="Oui",LEN('A créer'!D11)=0),"","Tab")</f>
        <v/>
      </c>
      <c r="AQ11" s="2" t="str">
        <f>IF(OR('A créer'!D11="Oui",LEN('A créer'!D11)=0),"","ENT")</f>
        <v/>
      </c>
      <c r="AR11" s="6" t="str">
        <f>IF(OR('A créer'!D11="Oui",LEN('A créer'!D11)=0),"","Non")</f>
        <v/>
      </c>
      <c r="AS11" s="2" t="str">
        <f>IF(OR('A créer'!D11="Oui",LEN('A créer'!D11)=0),"","Tab")</f>
        <v/>
      </c>
      <c r="AT11" s="6" t="str">
        <f>IF(OR('A créer'!D11="Oui",LEN('A créer'!D11)=0),"","T")</f>
        <v/>
      </c>
      <c r="AU11" s="2" t="str">
        <f>IF(OR('A créer'!D11="Oui",LEN('A créer'!D11)=0),"","Tab")</f>
        <v/>
      </c>
      <c r="AV11" s="2" t="str">
        <f>IF(OR('A créer'!D11="Oui",LEN('A créer'!D11)=0),"","ENT")</f>
        <v/>
      </c>
      <c r="AW11" s="2" t="str">
        <f>IF(OR('A créer'!D11="Oui",LEN('A créer'!D11)=0),"","*SAVE")</f>
        <v/>
      </c>
      <c r="AX11" s="2" t="str">
        <f>IF(OR('A créer'!D11="Oui",LEN('A créer'!D11)=0),"","*UP")</f>
        <v/>
      </c>
      <c r="AY11" s="2" t="str">
        <f>IF(OR('A créer'!D11="Oui",LEN('A créer'!D11)=0),"","*Aé")</f>
        <v/>
      </c>
      <c r="AZ11" s="6" t="str">
        <f>IF(OR('A créer'!D11="Oui",LEN('A créer'!D11)=0),"",'A créer'!A11)</f>
        <v/>
      </c>
      <c r="BA11" s="2" t="str">
        <f>IF(OR('A créer'!D11="Oui",LEN('A créer'!D11)=0),"","Tab")</f>
        <v/>
      </c>
      <c r="BB11" s="2" t="str">
        <f>IF(OR('A créer'!D11="Oui",LEN('A créer'!D11)=0),"","*SAVE")</f>
        <v/>
      </c>
      <c r="BC11" s="2" t="str">
        <f>IF(OR('A créer'!D11="Oui",LEN('A créer'!D11)=0),"","*ML(610,125)")</f>
        <v/>
      </c>
    </row>
    <row r="12" spans="1:55" x14ac:dyDescent="0.35">
      <c r="A12" s="2" t="str">
        <f>IF(OR('A créer'!D12="Oui",LEN('A créer'!D12)=0),"","*FN")</f>
        <v/>
      </c>
      <c r="B12" s="6" t="str">
        <f>IF(OR('A créer'!D12="Oui",LEN('A créer'!D12)=0),"",'A créer'!A12)</f>
        <v/>
      </c>
      <c r="C12" s="2" t="str">
        <f>IF(OR('A créer'!D12="Oui",LEN('A créer'!D12)=0),"","Tab")</f>
        <v/>
      </c>
      <c r="D12" s="6" t="str">
        <f>IF(OR('A créer'!D12="Oui",LEN('A créer'!D12)=0),"",'A créer'!C12)</f>
        <v/>
      </c>
      <c r="E12" s="2" t="s">
        <v>93</v>
      </c>
      <c r="F12" s="2" t="str">
        <f>IF(OR('A créer'!D12="Oui",LEN('A créer'!D12)=0),"","Tab")</f>
        <v/>
      </c>
      <c r="G12" s="2" t="str">
        <f>IF(OR('A créer'!D12="Oui",LEN('A créer'!D12)=0),"","Tab")</f>
        <v/>
      </c>
      <c r="H12" s="2" t="str">
        <f>IF(OR('A créer'!D12="Oui",LEN('A créer'!D12)=0),"","ENT")</f>
        <v/>
      </c>
      <c r="I12" s="6" t="str">
        <f>IF(OR('A créer'!D12="Oui",LEN('A créer'!D12)=0),"","Oui")</f>
        <v/>
      </c>
      <c r="J12" s="2" t="str">
        <f>IF(OR('A créer'!D12="Oui",LEN('A créer'!D12)=0),"","Tab")</f>
        <v/>
      </c>
      <c r="K12" s="6" t="str">
        <f>IF(OR('A créer'!D12="Oui",LEN('A créer'!D12)=0),"",'A créer'!H12)</f>
        <v/>
      </c>
      <c r="L12" s="6" t="str">
        <f>IF(OR('A créer'!D12="Oui",LEN('A créer'!D12)=0),"",IF($K12="DCW",'A créer'!G12,""))</f>
        <v/>
      </c>
      <c r="M12" s="2" t="str">
        <f>IF(OR('A créer'!D12="Oui",LEN('A créer'!D12)=0),"","Tab")</f>
        <v/>
      </c>
      <c r="N12" s="6" t="str">
        <f>IF(OR('A créer'!D12="Oui",LEN('A créer'!D12)=0),"",IF($K12="DLS",'A créer'!G12,""))</f>
        <v/>
      </c>
      <c r="O12" s="2" t="str">
        <f>IF(OR('A créer'!D12="Oui",LEN('A créer'!D12)=0),"","Tab")</f>
        <v/>
      </c>
      <c r="P12" s="6" t="str">
        <f>IF(OR('A créer'!D12="Oui",LEN('A créer'!D12)=0),"",IF($K12="DMS",'A créer'!G12,""))</f>
        <v/>
      </c>
      <c r="Q12" s="2" t="str">
        <f>IF(OR('A créer'!D12="Oui",LEN('A créer'!D12)=0),"","Tab")</f>
        <v/>
      </c>
      <c r="R12" s="6" t="str">
        <f>IF(OR('A créer'!D12="Oui",LEN('A créer'!D12)=0),"",IF($K12="DRW",'A créer'!G12,""))</f>
        <v/>
      </c>
      <c r="S12" s="2" t="str">
        <f>IF(OR('A créer'!D12="Oui",LEN('A créer'!D12)=0),"","Tab")</f>
        <v/>
      </c>
      <c r="T12" s="6" t="str">
        <f>IF(OR('A créer'!D12="Oui",LEN('A créer'!D12)=0),"",IF($K12="DSW",'A créer'!G12,""))</f>
        <v/>
      </c>
      <c r="U12" s="2" t="str">
        <f>IF(OR('A créer'!D12="Oui",LEN('A créer'!D12)=0),"","Tab")</f>
        <v/>
      </c>
      <c r="V12" s="6" t="str">
        <f>IF(OR('A créer'!D12="Oui",LEN('A créer'!D12)=0),"",IF($K12="DEW",'A créer'!G12,""))</f>
        <v/>
      </c>
      <c r="W12" s="2" t="str">
        <f>IF(OR('A créer'!D12="Oui",LEN('A créer'!D12)=0),"","Tab")</f>
        <v/>
      </c>
      <c r="X12" s="6" t="str">
        <f>IF(OR('A créer'!D12="Oui",LEN('A créer'!D12)=0),"",IF($K12="DNA",'A créer'!G12,""))</f>
        <v/>
      </c>
      <c r="Y12" s="2" t="str">
        <f>IF(OR('A créer'!D12="Oui",LEN('A créer'!D12)=0),"","Tab")</f>
        <v/>
      </c>
      <c r="Z12" s="6" t="str">
        <f>IF(OR('A créer'!D12="Oui",LEN('A créer'!D12)=0),"",IF($K12="DOS",'A créer'!G12,""))</f>
        <v/>
      </c>
      <c r="AA12" s="2" t="str">
        <f>IF(OR('A créer'!D12="Oui",LEN('A créer'!D12)=0),"","Tab")</f>
        <v/>
      </c>
      <c r="AB12" s="2" t="str">
        <f>IF(OR('A créer'!D12="Oui",LEN('A créer'!D12)=0),"","Tab")</f>
        <v/>
      </c>
      <c r="AC12" s="6" t="str">
        <f>IF(OR('A créer'!D12="Oui",LEN('A créer'!D12)=0),"","OUI")</f>
        <v/>
      </c>
      <c r="AD12" s="2" t="str">
        <f>IF(OR('A créer'!D12="Oui",LEN('A créer'!D12)=0),"","Tab")</f>
        <v/>
      </c>
      <c r="AE12" s="2" t="str">
        <f>IF(OR('A créer'!D12="Oui",LEN('A créer'!D12)=0),"","ENT")</f>
        <v/>
      </c>
      <c r="AF12" s="2" t="str">
        <f>IF(OR('A créer'!D12="Oui",LEN('A créer'!D12)=0),"","*SAVE")</f>
        <v/>
      </c>
      <c r="AG12" s="2" t="str">
        <f>IF(OR('A créer'!D12="Oui",LEN('A créer'!D12)=0),"","*FN")</f>
        <v/>
      </c>
      <c r="AH12" s="6" t="str">
        <f>IF(OR('A créer'!D12="Oui",LEN('A créer'!D12)=0),"",CONCATENATE("A",RIGHT('A créer'!A12,3)))</f>
        <v/>
      </c>
      <c r="AI12" s="2" t="str">
        <f>IF(OR('A créer'!D12="Oui",LEN('A créer'!D12)=0),"","Tab")</f>
        <v/>
      </c>
      <c r="AJ12" s="6" t="str">
        <f>IF(OR('A créer'!D12="Oui",LEN('A créer'!D12)=0),"",CONCATENATE('A créer'!A12," Regroupement"))</f>
        <v/>
      </c>
      <c r="AK12" s="2" t="str">
        <f>IF(OR('A créer'!D12="Oui",LEN('A créer'!D12)=0),"","Tab 4")</f>
        <v/>
      </c>
      <c r="AL12" s="2" t="str">
        <f>IF(OR('A créer'!D12="Oui",LEN('A créer'!D12)=0),"","*SB")</f>
        <v/>
      </c>
      <c r="AM12" s="2" t="str">
        <f>IF(OR('A créer'!D12="Oui",LEN('A créer'!D12)=0),"","Tab")</f>
        <v/>
      </c>
      <c r="AN12" s="6" t="str">
        <f>IF(OR('A créer'!D12="Oui",LEN('A créer'!D12)=0),"",CONCATENATE("A",'A créer'!A12))</f>
        <v/>
      </c>
      <c r="AO12" s="2" t="str">
        <f>IF(OR('A créer'!D12="Oui",LEN('A créer'!D12)=0),"","Tab")</f>
        <v/>
      </c>
      <c r="AP12" s="2" t="str">
        <f>IF(OR('A créer'!D12="Oui",LEN('A créer'!D12)=0),"","Tab")</f>
        <v/>
      </c>
      <c r="AQ12" s="2" t="str">
        <f>IF(OR('A créer'!D12="Oui",LEN('A créer'!D12)=0),"","ENT")</f>
        <v/>
      </c>
      <c r="AR12" s="6" t="str">
        <f>IF(OR('A créer'!D12="Oui",LEN('A créer'!D12)=0),"","Non")</f>
        <v/>
      </c>
      <c r="AS12" s="2" t="str">
        <f>IF(OR('A créer'!D12="Oui",LEN('A créer'!D12)=0),"","Tab")</f>
        <v/>
      </c>
      <c r="AT12" s="6" t="str">
        <f>IF(OR('A créer'!D12="Oui",LEN('A créer'!D12)=0),"","T")</f>
        <v/>
      </c>
      <c r="AU12" s="2" t="str">
        <f>IF(OR('A créer'!D12="Oui",LEN('A créer'!D12)=0),"","Tab")</f>
        <v/>
      </c>
      <c r="AV12" s="2" t="str">
        <f>IF(OR('A créer'!D12="Oui",LEN('A créer'!D12)=0),"","ENT")</f>
        <v/>
      </c>
      <c r="AW12" s="2" t="str">
        <f>IF(OR('A créer'!D12="Oui",LEN('A créer'!D12)=0),"","*SAVE")</f>
        <v/>
      </c>
      <c r="AX12" s="2" t="str">
        <f>IF(OR('A créer'!D12="Oui",LEN('A créer'!D12)=0),"","*UP")</f>
        <v/>
      </c>
      <c r="AY12" s="2" t="str">
        <f>IF(OR('A créer'!D12="Oui",LEN('A créer'!D12)=0),"","*Aé")</f>
        <v/>
      </c>
      <c r="AZ12" s="6" t="str">
        <f>IF(OR('A créer'!D12="Oui",LEN('A créer'!D12)=0),"",'A créer'!A12)</f>
        <v/>
      </c>
      <c r="BA12" s="2" t="str">
        <f>IF(OR('A créer'!D12="Oui",LEN('A créer'!D12)=0),"","Tab")</f>
        <v/>
      </c>
      <c r="BB12" s="2" t="str">
        <f>IF(OR('A créer'!D12="Oui",LEN('A créer'!D12)=0),"","*SAVE")</f>
        <v/>
      </c>
      <c r="BC12" s="2" t="str">
        <f>IF(OR('A créer'!D12="Oui",LEN('A créer'!D12)=0),"","*ML(610,125)")</f>
        <v/>
      </c>
    </row>
    <row r="13" spans="1:55" x14ac:dyDescent="0.35">
      <c r="A13" s="2" t="str">
        <f>IF(OR('A créer'!D13="Oui",LEN('A créer'!D13)=0),"","*FN")</f>
        <v/>
      </c>
      <c r="B13" s="6" t="str">
        <f>IF(OR('A créer'!D13="Oui",LEN('A créer'!D13)=0),"",'A créer'!A13)</f>
        <v/>
      </c>
      <c r="C13" s="2" t="str">
        <f>IF(OR('A créer'!D13="Oui",LEN('A créer'!D13)=0),"","Tab")</f>
        <v/>
      </c>
      <c r="D13" s="6" t="str">
        <f>IF(OR('A créer'!D13="Oui",LEN('A créer'!D13)=0),"",'A créer'!C13)</f>
        <v/>
      </c>
      <c r="E13" s="2" t="s">
        <v>93</v>
      </c>
      <c r="F13" s="2" t="str">
        <f>IF(OR('A créer'!D13="Oui",LEN('A créer'!D13)=0),"","Tab")</f>
        <v/>
      </c>
      <c r="G13" s="2" t="str">
        <f>IF(OR('A créer'!D13="Oui",LEN('A créer'!D13)=0),"","Tab")</f>
        <v/>
      </c>
      <c r="H13" s="2" t="str">
        <f>IF(OR('A créer'!D13="Oui",LEN('A créer'!D13)=0),"","ENT")</f>
        <v/>
      </c>
      <c r="I13" s="6" t="str">
        <f>IF(OR('A créer'!D13="Oui",LEN('A créer'!D13)=0),"","Oui")</f>
        <v/>
      </c>
      <c r="J13" s="2" t="str">
        <f>IF(OR('A créer'!D13="Oui",LEN('A créer'!D13)=0),"","Tab")</f>
        <v/>
      </c>
      <c r="K13" s="6" t="str">
        <f>IF(OR('A créer'!D13="Oui",LEN('A créer'!D13)=0),"",'A créer'!H13)</f>
        <v/>
      </c>
      <c r="L13" s="6" t="str">
        <f>IF(OR('A créer'!D13="Oui",LEN('A créer'!D13)=0),"",IF($K13="DCW",'A créer'!G13,""))</f>
        <v/>
      </c>
      <c r="M13" s="2" t="str">
        <f>IF(OR('A créer'!D13="Oui",LEN('A créer'!D13)=0),"","Tab")</f>
        <v/>
      </c>
      <c r="N13" s="6" t="str">
        <f>IF(OR('A créer'!D13="Oui",LEN('A créer'!D13)=0),"",IF($K13="DLS",'A créer'!G13,""))</f>
        <v/>
      </c>
      <c r="O13" s="2" t="str">
        <f>IF(OR('A créer'!D13="Oui",LEN('A créer'!D13)=0),"","Tab")</f>
        <v/>
      </c>
      <c r="P13" s="6" t="str">
        <f>IF(OR('A créer'!D13="Oui",LEN('A créer'!D13)=0),"",IF($K13="DMS",'A créer'!G13,""))</f>
        <v/>
      </c>
      <c r="Q13" s="2" t="str">
        <f>IF(OR('A créer'!D13="Oui",LEN('A créer'!D13)=0),"","Tab")</f>
        <v/>
      </c>
      <c r="R13" s="6" t="str">
        <f>IF(OR('A créer'!D13="Oui",LEN('A créer'!D13)=0),"",IF($K13="DRW",'A créer'!G13,""))</f>
        <v/>
      </c>
      <c r="S13" s="2" t="str">
        <f>IF(OR('A créer'!D13="Oui",LEN('A créer'!D13)=0),"","Tab")</f>
        <v/>
      </c>
      <c r="T13" s="6" t="str">
        <f>IF(OR('A créer'!D13="Oui",LEN('A créer'!D13)=0),"",IF($K13="DSW",'A créer'!G13,""))</f>
        <v/>
      </c>
      <c r="U13" s="2" t="str">
        <f>IF(OR('A créer'!D13="Oui",LEN('A créer'!D13)=0),"","Tab")</f>
        <v/>
      </c>
      <c r="V13" s="6" t="str">
        <f>IF(OR('A créer'!D13="Oui",LEN('A créer'!D13)=0),"",IF($K13="DEW",'A créer'!G13,""))</f>
        <v/>
      </c>
      <c r="W13" s="2" t="str">
        <f>IF(OR('A créer'!D13="Oui",LEN('A créer'!D13)=0),"","Tab")</f>
        <v/>
      </c>
      <c r="X13" s="6" t="str">
        <f>IF(OR('A créer'!D13="Oui",LEN('A créer'!D13)=0),"",IF($K13="DNA",'A créer'!G13,""))</f>
        <v/>
      </c>
      <c r="Y13" s="2" t="str">
        <f>IF(OR('A créer'!D13="Oui",LEN('A créer'!D13)=0),"","Tab")</f>
        <v/>
      </c>
      <c r="Z13" s="6" t="str">
        <f>IF(OR('A créer'!D13="Oui",LEN('A créer'!D13)=0),"",IF($K13="DOS",'A créer'!G13,""))</f>
        <v/>
      </c>
      <c r="AA13" s="2" t="str">
        <f>IF(OR('A créer'!D13="Oui",LEN('A créer'!D13)=0),"","Tab")</f>
        <v/>
      </c>
      <c r="AB13" s="2" t="str">
        <f>IF(OR('A créer'!D13="Oui",LEN('A créer'!D13)=0),"","Tab")</f>
        <v/>
      </c>
      <c r="AC13" s="6" t="str">
        <f>IF(OR('A créer'!D13="Oui",LEN('A créer'!D13)=0),"","OUI")</f>
        <v/>
      </c>
      <c r="AD13" s="2" t="str">
        <f>IF(OR('A créer'!D13="Oui",LEN('A créer'!D13)=0),"","Tab")</f>
        <v/>
      </c>
      <c r="AE13" s="2" t="str">
        <f>IF(OR('A créer'!D13="Oui",LEN('A créer'!D13)=0),"","ENT")</f>
        <v/>
      </c>
      <c r="AF13" s="2" t="str">
        <f>IF(OR('A créer'!D13="Oui",LEN('A créer'!D13)=0),"","*SAVE")</f>
        <v/>
      </c>
      <c r="AG13" s="2" t="str">
        <f>IF(OR('A créer'!D13="Oui",LEN('A créer'!D13)=0),"","*FN")</f>
        <v/>
      </c>
      <c r="AH13" s="6" t="str">
        <f>IF(OR('A créer'!D13="Oui",LEN('A créer'!D13)=0),"",CONCATENATE("A",RIGHT('A créer'!A13,3)))</f>
        <v/>
      </c>
      <c r="AI13" s="2" t="str">
        <f>IF(OR('A créer'!D13="Oui",LEN('A créer'!D13)=0),"","Tab")</f>
        <v/>
      </c>
      <c r="AJ13" s="6" t="str">
        <f>IF(OR('A créer'!D13="Oui",LEN('A créer'!D13)=0),"",CONCATENATE('A créer'!A13," Regroupement"))</f>
        <v/>
      </c>
      <c r="AK13" s="2" t="str">
        <f>IF(OR('A créer'!D13="Oui",LEN('A créer'!D13)=0),"","Tab 4")</f>
        <v/>
      </c>
      <c r="AL13" s="2" t="str">
        <f>IF(OR('A créer'!D13="Oui",LEN('A créer'!D13)=0),"","*SB")</f>
        <v/>
      </c>
      <c r="AM13" s="2" t="str">
        <f>IF(OR('A créer'!D13="Oui",LEN('A créer'!D13)=0),"","Tab")</f>
        <v/>
      </c>
      <c r="AN13" s="6" t="str">
        <f>IF(OR('A créer'!D13="Oui",LEN('A créer'!D13)=0),"",CONCATENATE("A",'A créer'!A13))</f>
        <v/>
      </c>
      <c r="AO13" s="2" t="str">
        <f>IF(OR('A créer'!D13="Oui",LEN('A créer'!D13)=0),"","Tab")</f>
        <v/>
      </c>
      <c r="AP13" s="2" t="str">
        <f>IF(OR('A créer'!D13="Oui",LEN('A créer'!D13)=0),"","Tab")</f>
        <v/>
      </c>
      <c r="AQ13" s="2" t="str">
        <f>IF(OR('A créer'!D13="Oui",LEN('A créer'!D13)=0),"","ENT")</f>
        <v/>
      </c>
      <c r="AR13" s="6" t="str">
        <f>IF(OR('A créer'!D13="Oui",LEN('A créer'!D13)=0),"","Non")</f>
        <v/>
      </c>
      <c r="AS13" s="2" t="str">
        <f>IF(OR('A créer'!D13="Oui",LEN('A créer'!D13)=0),"","Tab")</f>
        <v/>
      </c>
      <c r="AT13" s="6" t="str">
        <f>IF(OR('A créer'!D13="Oui",LEN('A créer'!D13)=0),"","T")</f>
        <v/>
      </c>
      <c r="AU13" s="2" t="str">
        <f>IF(OR('A créer'!D13="Oui",LEN('A créer'!D13)=0),"","Tab")</f>
        <v/>
      </c>
      <c r="AV13" s="2" t="str">
        <f>IF(OR('A créer'!D13="Oui",LEN('A créer'!D13)=0),"","ENT")</f>
        <v/>
      </c>
      <c r="AW13" s="2" t="str">
        <f>IF(OR('A créer'!D13="Oui",LEN('A créer'!D13)=0),"","*SAVE")</f>
        <v/>
      </c>
      <c r="AX13" s="2" t="str">
        <f>IF(OR('A créer'!D13="Oui",LEN('A créer'!D13)=0),"","*UP")</f>
        <v/>
      </c>
      <c r="AY13" s="2" t="str">
        <f>IF(OR('A créer'!D13="Oui",LEN('A créer'!D13)=0),"","*Aé")</f>
        <v/>
      </c>
      <c r="AZ13" s="6" t="str">
        <f>IF(OR('A créer'!D13="Oui",LEN('A créer'!D13)=0),"",'A créer'!A13)</f>
        <v/>
      </c>
      <c r="BA13" s="2" t="str">
        <f>IF(OR('A créer'!D13="Oui",LEN('A créer'!D13)=0),"","Tab")</f>
        <v/>
      </c>
      <c r="BB13" s="2" t="str">
        <f>IF(OR('A créer'!D13="Oui",LEN('A créer'!D13)=0),"","*SAVE")</f>
        <v/>
      </c>
      <c r="BC13" s="2" t="str">
        <f>IF(OR('A créer'!D13="Oui",LEN('A créer'!D13)=0),"","*ML(610,125)")</f>
        <v/>
      </c>
    </row>
    <row r="14" spans="1:55" x14ac:dyDescent="0.35">
      <c r="A14" s="2" t="str">
        <f>IF(OR('A créer'!D14="Oui",LEN('A créer'!D14)=0),"","*FN")</f>
        <v/>
      </c>
      <c r="B14" s="6" t="str">
        <f>IF(OR('A créer'!D14="Oui",LEN('A créer'!D14)=0),"",'A créer'!A14)</f>
        <v/>
      </c>
      <c r="C14" s="2" t="str">
        <f>IF(OR('A créer'!D14="Oui",LEN('A créer'!D14)=0),"","Tab")</f>
        <v/>
      </c>
      <c r="D14" s="6" t="str">
        <f>IF(OR('A créer'!D14="Oui",LEN('A créer'!D14)=0),"",'A créer'!C14)</f>
        <v/>
      </c>
      <c r="E14" s="2" t="str">
        <f>IF(OR('A créer'!D14="Oui",LEN('A créer'!D14)=0),"","Tab4")</f>
        <v/>
      </c>
      <c r="F14" s="2" t="str">
        <f>IF(OR('A créer'!D14="Oui",LEN('A créer'!D14)=0),"","Tab")</f>
        <v/>
      </c>
      <c r="G14" s="2" t="str">
        <f>IF(OR('A créer'!D14="Oui",LEN('A créer'!D14)=0),"","Tab")</f>
        <v/>
      </c>
      <c r="H14" s="2" t="str">
        <f>IF(OR('A créer'!D14="Oui",LEN('A créer'!D14)=0),"","ENT")</f>
        <v/>
      </c>
      <c r="I14" s="6" t="str">
        <f>IF(OR('A créer'!D14="Oui",LEN('A créer'!D14)=0),"","Oui")</f>
        <v/>
      </c>
      <c r="J14" s="2" t="str">
        <f>IF(OR('A créer'!D14="Oui",LEN('A créer'!D14)=0),"","Tab")</f>
        <v/>
      </c>
      <c r="K14" s="6" t="str">
        <f>IF(OR('A créer'!D14="Oui",LEN('A créer'!D14)=0),"",'A créer'!H14)</f>
        <v/>
      </c>
      <c r="L14" s="6" t="str">
        <f>IF(OR('A créer'!D14="Oui",LEN('A créer'!D14)=0),"",IF($K14="DCW",'A créer'!G14,""))</f>
        <v/>
      </c>
      <c r="M14" s="2" t="str">
        <f>IF(OR('A créer'!D14="Oui",LEN('A créer'!D14)=0),"","Tab")</f>
        <v/>
      </c>
      <c r="N14" s="6" t="str">
        <f>IF(OR('A créer'!D14="Oui",LEN('A créer'!D14)=0),"",IF($K14="DLS",'A créer'!G14,""))</f>
        <v/>
      </c>
      <c r="O14" s="2" t="str">
        <f>IF(OR('A créer'!D14="Oui",LEN('A créer'!D14)=0),"","Tab")</f>
        <v/>
      </c>
      <c r="P14" s="6" t="str">
        <f>IF(OR('A créer'!D14="Oui",LEN('A créer'!D14)=0),"",IF($K14="DMS",'A créer'!G14,""))</f>
        <v/>
      </c>
      <c r="Q14" s="2" t="str">
        <f>IF(OR('A créer'!D14="Oui",LEN('A créer'!D14)=0),"","Tab")</f>
        <v/>
      </c>
      <c r="R14" s="6" t="str">
        <f>IF(OR('A créer'!D14="Oui",LEN('A créer'!D14)=0),"",IF($K14="DRW",'A créer'!G14,""))</f>
        <v/>
      </c>
      <c r="S14" s="2" t="str">
        <f>IF(OR('A créer'!D14="Oui",LEN('A créer'!D14)=0),"","Tab")</f>
        <v/>
      </c>
      <c r="T14" s="6" t="str">
        <f>IF(OR('A créer'!D14="Oui",LEN('A créer'!D14)=0),"",IF($K14="DSW",'A créer'!G14,""))</f>
        <v/>
      </c>
      <c r="U14" s="2" t="str">
        <f>IF(OR('A créer'!D14="Oui",LEN('A créer'!D14)=0),"","Tab")</f>
        <v/>
      </c>
      <c r="V14" s="6" t="str">
        <f>IF(OR('A créer'!D14="Oui",LEN('A créer'!D14)=0),"",IF($K14="DEW",'A créer'!G14,""))</f>
        <v/>
      </c>
      <c r="W14" s="2" t="str">
        <f>IF(OR('A créer'!D14="Oui",LEN('A créer'!D14)=0),"","Tab")</f>
        <v/>
      </c>
      <c r="X14" s="6" t="str">
        <f>IF(OR('A créer'!D14="Oui",LEN('A créer'!D14)=0),"",IF($K14="DNA",'A créer'!G14,""))</f>
        <v/>
      </c>
      <c r="Y14" s="2" t="str">
        <f>IF(OR('A créer'!D14="Oui",LEN('A créer'!D14)=0),"","Tab")</f>
        <v/>
      </c>
      <c r="Z14" s="6" t="str">
        <f>IF(OR('A créer'!D14="Oui",LEN('A créer'!D14)=0),"",IF($K14="DOS",'A créer'!G14,""))</f>
        <v/>
      </c>
      <c r="AA14" s="2" t="str">
        <f>IF(OR('A créer'!D14="Oui",LEN('A créer'!D14)=0),"","Tab")</f>
        <v/>
      </c>
      <c r="AB14" s="2" t="str">
        <f>IF(OR('A créer'!D14="Oui",LEN('A créer'!D14)=0),"","Tab")</f>
        <v/>
      </c>
      <c r="AC14" s="6" t="str">
        <f>IF(OR('A créer'!D14="Oui",LEN('A créer'!D14)=0),"","OUI")</f>
        <v/>
      </c>
      <c r="AD14" s="2" t="str">
        <f>IF(OR('A créer'!D14="Oui",LEN('A créer'!D14)=0),"","Tab")</f>
        <v/>
      </c>
      <c r="AE14" s="2" t="str">
        <f>IF(OR('A créer'!D14="Oui",LEN('A créer'!D14)=0),"","ENT")</f>
        <v/>
      </c>
      <c r="AF14" s="2" t="str">
        <f>IF(OR('A créer'!D14="Oui",LEN('A créer'!D14)=0),"","*SAVE")</f>
        <v/>
      </c>
      <c r="AG14" s="2" t="str">
        <f>IF(OR('A créer'!D14="Oui",LEN('A créer'!D14)=0),"","*FN")</f>
        <v/>
      </c>
      <c r="AH14" s="6" t="str">
        <f>IF(OR('A créer'!D14="Oui",LEN('A créer'!D14)=0),"",CONCATENATE("A",RIGHT('A créer'!A14,3)))</f>
        <v/>
      </c>
      <c r="AI14" s="2" t="str">
        <f>IF(OR('A créer'!D14="Oui",LEN('A créer'!D14)=0),"","Tab")</f>
        <v/>
      </c>
      <c r="AJ14" s="6" t="str">
        <f>IF(OR('A créer'!D14="Oui",LEN('A créer'!D14)=0),"",CONCATENATE('A créer'!A14," Regroupement"))</f>
        <v/>
      </c>
      <c r="AK14" s="2" t="str">
        <f>IF(OR('A créer'!D14="Oui",LEN('A créer'!D14)=0),"","Tab4")</f>
        <v/>
      </c>
      <c r="AL14" s="2" t="str">
        <f>IF(OR('A créer'!D14="Oui",LEN('A créer'!D14)=0),"","*SB")</f>
        <v/>
      </c>
      <c r="AM14" s="2" t="str">
        <f>IF(OR('A créer'!D14="Oui",LEN('A créer'!D14)=0),"","Tab")</f>
        <v/>
      </c>
      <c r="AN14" s="6" t="str">
        <f>IF(OR('A créer'!D14="Oui",LEN('A créer'!D14)=0),"",CONCATENATE("A",'A créer'!A14))</f>
        <v/>
      </c>
      <c r="AO14" s="2" t="str">
        <f>IF(OR('A créer'!D14="Oui",LEN('A créer'!D14)=0),"","Tab")</f>
        <v/>
      </c>
      <c r="AP14" s="2" t="str">
        <f>IF(OR('A créer'!D14="Oui",LEN('A créer'!D14)=0),"","Tab")</f>
        <v/>
      </c>
      <c r="AQ14" s="2" t="str">
        <f>IF(OR('A créer'!D14="Oui",LEN('A créer'!D14)=0),"","ENT")</f>
        <v/>
      </c>
      <c r="AR14" s="6" t="str">
        <f>IF(OR('A créer'!D14="Oui",LEN('A créer'!D14)=0),"","Non")</f>
        <v/>
      </c>
      <c r="AS14" s="2" t="str">
        <f>IF(OR('A créer'!D14="Oui",LEN('A créer'!D14)=0),"","Tab")</f>
        <v/>
      </c>
      <c r="AT14" s="6" t="str">
        <f>IF(OR('A créer'!D14="Oui",LEN('A créer'!D14)=0),"","T")</f>
        <v/>
      </c>
      <c r="AU14" s="2" t="str">
        <f>IF(OR('A créer'!D14="Oui",LEN('A créer'!D14)=0),"","Tab")</f>
        <v/>
      </c>
      <c r="AV14" s="2" t="str">
        <f>IF(OR('A créer'!D14="Oui",LEN('A créer'!D14)=0),"","ENT")</f>
        <v/>
      </c>
      <c r="AW14" s="2" t="str">
        <f>IF(OR('A créer'!D14="Oui",LEN('A créer'!D14)=0),"","*SAVE")</f>
        <v/>
      </c>
      <c r="AX14" s="2" t="str">
        <f>IF(OR('A créer'!D14="Oui",LEN('A créer'!D14)=0),"","*UP")</f>
        <v/>
      </c>
      <c r="AY14" s="2" t="str">
        <f>IF(OR('A créer'!D14="Oui",LEN('A créer'!D14)=0),"","*Aé")</f>
        <v/>
      </c>
      <c r="AZ14" s="6" t="str">
        <f>IF(OR('A créer'!D14="Oui",LEN('A créer'!D14)=0),"",'A créer'!A14)</f>
        <v/>
      </c>
      <c r="BA14" s="2" t="str">
        <f>IF(OR('A créer'!D14="Oui",LEN('A créer'!D14)=0),"","Tab")</f>
        <v/>
      </c>
      <c r="BB14" s="2" t="str">
        <f>IF(OR('A créer'!D14="Oui",LEN('A créer'!D14)=0),"","*SAVE")</f>
        <v/>
      </c>
      <c r="BC14" s="2" t="str">
        <f>IF(OR('A créer'!D14="Oui",LEN('A créer'!D14)=0),"","*ML(751,97)")</f>
        <v/>
      </c>
    </row>
    <row r="15" spans="1:55" x14ac:dyDescent="0.35">
      <c r="A15" s="2" t="str">
        <f>IF(OR('A créer'!D15="Oui",LEN('A créer'!D15)=0),"","*FN")</f>
        <v/>
      </c>
      <c r="B15" s="6" t="str">
        <f>IF(OR('A créer'!D15="Oui",LEN('A créer'!D15)=0),"",'A créer'!A15)</f>
        <v/>
      </c>
      <c r="C15" s="2" t="str">
        <f>IF(OR('A créer'!D15="Oui",LEN('A créer'!D15)=0),"","Tab")</f>
        <v/>
      </c>
      <c r="D15" s="6" t="str">
        <f>IF(OR('A créer'!D15="Oui",LEN('A créer'!D15)=0),"",'A créer'!C15)</f>
        <v/>
      </c>
      <c r="E15" s="2" t="str">
        <f>IF(OR('A créer'!D15="Oui",LEN('A créer'!D15)=0),"","Tab4")</f>
        <v/>
      </c>
      <c r="F15" s="2" t="str">
        <f>IF(OR('A créer'!D15="Oui",LEN('A créer'!D15)=0),"","Tab")</f>
        <v/>
      </c>
      <c r="G15" s="2" t="str">
        <f>IF(OR('A créer'!D15="Oui",LEN('A créer'!D15)=0),"","Tab")</f>
        <v/>
      </c>
      <c r="H15" s="2" t="str">
        <f>IF(OR('A créer'!D15="Oui",LEN('A créer'!D15)=0),"","ENT")</f>
        <v/>
      </c>
      <c r="I15" s="6" t="str">
        <f>IF(OR('A créer'!D15="Oui",LEN('A créer'!D15)=0),"","Oui")</f>
        <v/>
      </c>
      <c r="J15" s="2" t="str">
        <f>IF(OR('A créer'!D15="Oui",LEN('A créer'!D15)=0),"","Tab")</f>
        <v/>
      </c>
      <c r="K15" s="6" t="str">
        <f>IF(OR('A créer'!D15="Oui",LEN('A créer'!D15)=0),"",'A créer'!H15)</f>
        <v/>
      </c>
      <c r="L15" s="6" t="str">
        <f>IF(OR('A créer'!D15="Oui",LEN('A créer'!D15)=0),"",IF($K15="DCW",'A créer'!G15,""))</f>
        <v/>
      </c>
      <c r="M15" s="2" t="str">
        <f>IF(OR('A créer'!D15="Oui",LEN('A créer'!D15)=0),"","Tab")</f>
        <v/>
      </c>
      <c r="N15" s="6" t="str">
        <f>IF(OR('A créer'!D15="Oui",LEN('A créer'!D15)=0),"",IF($K15="DLS",'A créer'!G15,""))</f>
        <v/>
      </c>
      <c r="O15" s="2" t="str">
        <f>IF(OR('A créer'!D15="Oui",LEN('A créer'!D15)=0),"","Tab")</f>
        <v/>
      </c>
      <c r="P15" s="6" t="str">
        <f>IF(OR('A créer'!D15="Oui",LEN('A créer'!D15)=0),"",IF($K15="DMS",'A créer'!G15,""))</f>
        <v/>
      </c>
      <c r="Q15" s="2" t="str">
        <f>IF(OR('A créer'!D15="Oui",LEN('A créer'!D15)=0),"","Tab")</f>
        <v/>
      </c>
      <c r="R15" s="6" t="str">
        <f>IF(OR('A créer'!D15="Oui",LEN('A créer'!D15)=0),"",IF($K15="DRW",'A créer'!G15,""))</f>
        <v/>
      </c>
      <c r="S15" s="2" t="str">
        <f>IF(OR('A créer'!D15="Oui",LEN('A créer'!D15)=0),"","Tab")</f>
        <v/>
      </c>
      <c r="T15" s="6" t="str">
        <f>IF(OR('A créer'!D15="Oui",LEN('A créer'!D15)=0),"",IF($K15="DSW",'A créer'!G15,""))</f>
        <v/>
      </c>
      <c r="U15" s="2" t="str">
        <f>IF(OR('A créer'!D15="Oui",LEN('A créer'!D15)=0),"","Tab")</f>
        <v/>
      </c>
      <c r="V15" s="6" t="str">
        <f>IF(OR('A créer'!D15="Oui",LEN('A créer'!D15)=0),"",IF($K15="DEW",'A créer'!G15,""))</f>
        <v/>
      </c>
      <c r="W15" s="2" t="str">
        <f>IF(OR('A créer'!D15="Oui",LEN('A créer'!D15)=0),"","Tab")</f>
        <v/>
      </c>
      <c r="X15" s="6" t="str">
        <f>IF(OR('A créer'!D15="Oui",LEN('A créer'!D15)=0),"",IF($K15="DNA",'A créer'!G15,""))</f>
        <v/>
      </c>
      <c r="Y15" s="2" t="str">
        <f>IF(OR('A créer'!D15="Oui",LEN('A créer'!D15)=0),"","Tab")</f>
        <v/>
      </c>
      <c r="Z15" s="6" t="str">
        <f>IF(OR('A créer'!D15="Oui",LEN('A créer'!D15)=0),"",IF($K15="DOS",'A créer'!G15,""))</f>
        <v/>
      </c>
      <c r="AA15" s="2" t="str">
        <f>IF(OR('A créer'!D15="Oui",LEN('A créer'!D15)=0),"","Tab")</f>
        <v/>
      </c>
      <c r="AB15" s="2" t="str">
        <f>IF(OR('A créer'!D15="Oui",LEN('A créer'!D15)=0),"","Tab")</f>
        <v/>
      </c>
      <c r="AC15" s="6" t="str">
        <f>IF(OR('A créer'!D15="Oui",LEN('A créer'!D15)=0),"","OUI")</f>
        <v/>
      </c>
      <c r="AD15" s="2" t="str">
        <f>IF(OR('A créer'!D15="Oui",LEN('A créer'!D15)=0),"","Tab")</f>
        <v/>
      </c>
      <c r="AE15" s="2" t="str">
        <f>IF(OR('A créer'!D15="Oui",LEN('A créer'!D15)=0),"","ENT")</f>
        <v/>
      </c>
      <c r="AF15" s="2" t="str">
        <f>IF(OR('A créer'!D15="Oui",LEN('A créer'!D15)=0),"","*SAVE")</f>
        <v/>
      </c>
      <c r="AG15" s="2" t="str">
        <f>IF(OR('A créer'!D15="Oui",LEN('A créer'!D15)=0),"","*FN")</f>
        <v/>
      </c>
      <c r="AH15" s="6" t="str">
        <f>IF(OR('A créer'!D15="Oui",LEN('A créer'!D15)=0),"",CONCATENATE("A",RIGHT('A créer'!A15,3)))</f>
        <v/>
      </c>
      <c r="AI15" s="2" t="str">
        <f>IF(OR('A créer'!D15="Oui",LEN('A créer'!D15)=0),"","Tab")</f>
        <v/>
      </c>
      <c r="AJ15" s="6" t="str">
        <f>IF(OR('A créer'!D15="Oui",LEN('A créer'!D15)=0),"",CONCATENATE('A créer'!A15," Regroupement"))</f>
        <v/>
      </c>
      <c r="AK15" s="2" t="str">
        <f>IF(OR('A créer'!D15="Oui",LEN('A créer'!D15)=0),"","Tab4")</f>
        <v/>
      </c>
      <c r="AL15" s="2" t="str">
        <f>IF(OR('A créer'!D15="Oui",LEN('A créer'!D15)=0),"","*SB")</f>
        <v/>
      </c>
      <c r="AM15" s="2" t="str">
        <f>IF(OR('A créer'!D15="Oui",LEN('A créer'!D15)=0),"","Tab")</f>
        <v/>
      </c>
      <c r="AN15" s="6" t="str">
        <f>IF(OR('A créer'!D15="Oui",LEN('A créer'!D15)=0),"",CONCATENATE("A",'A créer'!A15))</f>
        <v/>
      </c>
      <c r="AO15" s="2" t="str">
        <f>IF(OR('A créer'!D15="Oui",LEN('A créer'!D15)=0),"","Tab")</f>
        <v/>
      </c>
      <c r="AP15" s="2" t="str">
        <f>IF(OR('A créer'!D15="Oui",LEN('A créer'!D15)=0),"","Tab")</f>
        <v/>
      </c>
      <c r="AQ15" s="2" t="str">
        <f>IF(OR('A créer'!D15="Oui",LEN('A créer'!D15)=0),"","ENT")</f>
        <v/>
      </c>
      <c r="AR15" s="6" t="str">
        <f>IF(OR('A créer'!D15="Oui",LEN('A créer'!D15)=0),"","Non")</f>
        <v/>
      </c>
      <c r="AS15" s="2" t="str">
        <f>IF(OR('A créer'!D15="Oui",LEN('A créer'!D15)=0),"","Tab")</f>
        <v/>
      </c>
      <c r="AT15" s="6" t="str">
        <f>IF(OR('A créer'!D15="Oui",LEN('A créer'!D15)=0),"","T")</f>
        <v/>
      </c>
      <c r="AU15" s="2" t="str">
        <f>IF(OR('A créer'!D15="Oui",LEN('A créer'!D15)=0),"","Tab")</f>
        <v/>
      </c>
      <c r="AV15" s="2" t="str">
        <f>IF(OR('A créer'!D15="Oui",LEN('A créer'!D15)=0),"","ENT")</f>
        <v/>
      </c>
      <c r="AW15" s="2" t="str">
        <f>IF(OR('A créer'!D15="Oui",LEN('A créer'!D15)=0),"","*SAVE")</f>
        <v/>
      </c>
      <c r="AX15" s="2" t="str">
        <f>IF(OR('A créer'!D15="Oui",LEN('A créer'!D15)=0),"","*UP")</f>
        <v/>
      </c>
      <c r="AY15" s="2" t="str">
        <f>IF(OR('A créer'!D15="Oui",LEN('A créer'!D15)=0),"","*Aé")</f>
        <v/>
      </c>
      <c r="AZ15" s="6" t="str">
        <f>IF(OR('A créer'!D15="Oui",LEN('A créer'!D15)=0),"",'A créer'!A15)</f>
        <v/>
      </c>
      <c r="BA15" s="2" t="str">
        <f>IF(OR('A créer'!D15="Oui",LEN('A créer'!D15)=0),"","Tab")</f>
        <v/>
      </c>
      <c r="BB15" s="2" t="str">
        <f>IF(OR('A créer'!D15="Oui",LEN('A créer'!D15)=0),"","*SAVE")</f>
        <v/>
      </c>
      <c r="BC15" s="2" t="str">
        <f>IF(OR('A créer'!D15="Oui",LEN('A créer'!D15)=0),"","*ML(751,97)")</f>
        <v/>
      </c>
    </row>
    <row r="16" spans="1:55" x14ac:dyDescent="0.35">
      <c r="A16" s="2" t="str">
        <f>IF(OR('A créer'!D16="Oui",LEN('A créer'!D16)=0),"","*FN")</f>
        <v/>
      </c>
      <c r="B16" s="6" t="str">
        <f>IF(OR('A créer'!D16="Oui",LEN('A créer'!D16)=0),"",'A créer'!A16)</f>
        <v/>
      </c>
      <c r="C16" s="2" t="str">
        <f>IF(OR('A créer'!D16="Oui",LEN('A créer'!D16)=0),"","Tab")</f>
        <v/>
      </c>
      <c r="D16" s="6" t="str">
        <f>IF(OR('A créer'!D16="Oui",LEN('A créer'!D16)=0),"",'A créer'!C16)</f>
        <v/>
      </c>
      <c r="E16" s="2" t="str">
        <f>IF(OR('A créer'!D16="Oui",LEN('A créer'!D16)=0),"","Tab4")</f>
        <v/>
      </c>
      <c r="F16" s="2" t="str">
        <f>IF(OR('A créer'!D16="Oui",LEN('A créer'!D16)=0),"","Tab")</f>
        <v/>
      </c>
      <c r="G16" s="2" t="str">
        <f>IF(OR('A créer'!D16="Oui",LEN('A créer'!D16)=0),"","Tab")</f>
        <v/>
      </c>
      <c r="H16" s="2" t="str">
        <f>IF(OR('A créer'!D16="Oui",LEN('A créer'!D16)=0),"","ENT")</f>
        <v/>
      </c>
      <c r="I16" s="6" t="str">
        <f>IF(OR('A créer'!D16="Oui",LEN('A créer'!D16)=0),"","Oui")</f>
        <v/>
      </c>
      <c r="J16" s="2" t="str">
        <f>IF(OR('A créer'!D16="Oui",LEN('A créer'!D16)=0),"","Tab")</f>
        <v/>
      </c>
      <c r="K16" s="6" t="str">
        <f>IF(OR('A créer'!D16="Oui",LEN('A créer'!D16)=0),"",'A créer'!H16)</f>
        <v/>
      </c>
      <c r="L16" s="6" t="str">
        <f>IF(OR('A créer'!D16="Oui",LEN('A créer'!D16)=0),"",IF($K16="DCW",'A créer'!G16,""))</f>
        <v/>
      </c>
      <c r="M16" s="2" t="str">
        <f>IF(OR('A créer'!D16="Oui",LEN('A créer'!D16)=0),"","Tab")</f>
        <v/>
      </c>
      <c r="N16" s="6" t="str">
        <f>IF(OR('A créer'!D16="Oui",LEN('A créer'!D16)=0),"",IF($K16="DLS",'A créer'!G16,""))</f>
        <v/>
      </c>
      <c r="O16" s="2" t="str">
        <f>IF(OR('A créer'!D16="Oui",LEN('A créer'!D16)=0),"","Tab")</f>
        <v/>
      </c>
      <c r="P16" s="6" t="str">
        <f>IF(OR('A créer'!D16="Oui",LEN('A créer'!D16)=0),"",IF($K16="DMS",'A créer'!G16,""))</f>
        <v/>
      </c>
      <c r="Q16" s="2" t="str">
        <f>IF(OR('A créer'!D16="Oui",LEN('A créer'!D16)=0),"","Tab")</f>
        <v/>
      </c>
      <c r="R16" s="6" t="str">
        <f>IF(OR('A créer'!D16="Oui",LEN('A créer'!D16)=0),"",IF($K16="DRW",'A créer'!G16,""))</f>
        <v/>
      </c>
      <c r="S16" s="2" t="str">
        <f>IF(OR('A créer'!D16="Oui",LEN('A créer'!D16)=0),"","Tab")</f>
        <v/>
      </c>
      <c r="T16" s="6" t="str">
        <f>IF(OR('A créer'!D16="Oui",LEN('A créer'!D16)=0),"",IF($K16="DSW",'A créer'!G16,""))</f>
        <v/>
      </c>
      <c r="U16" s="2" t="str">
        <f>IF(OR('A créer'!D16="Oui",LEN('A créer'!D16)=0),"","Tab")</f>
        <v/>
      </c>
      <c r="V16" s="6" t="str">
        <f>IF(OR('A créer'!D16="Oui",LEN('A créer'!D16)=0),"",IF($K16="DEW",'A créer'!G16,""))</f>
        <v/>
      </c>
      <c r="W16" s="2" t="str">
        <f>IF(OR('A créer'!D16="Oui",LEN('A créer'!D16)=0),"","Tab")</f>
        <v/>
      </c>
      <c r="X16" s="6" t="str">
        <f>IF(OR('A créer'!D16="Oui",LEN('A créer'!D16)=0),"",IF($K16="DNA",'A créer'!G16,""))</f>
        <v/>
      </c>
      <c r="Y16" s="2" t="str">
        <f>IF(OR('A créer'!D16="Oui",LEN('A créer'!D16)=0),"","Tab")</f>
        <v/>
      </c>
      <c r="Z16" s="6" t="str">
        <f>IF(OR('A créer'!D16="Oui",LEN('A créer'!D16)=0),"",IF($K16="DOS",'A créer'!G16,""))</f>
        <v/>
      </c>
      <c r="AA16" s="2" t="str">
        <f>IF(OR('A créer'!D16="Oui",LEN('A créer'!D16)=0),"","Tab")</f>
        <v/>
      </c>
      <c r="AB16" s="2" t="str">
        <f>IF(OR('A créer'!D16="Oui",LEN('A créer'!D16)=0),"","Tab")</f>
        <v/>
      </c>
      <c r="AC16" s="6" t="str">
        <f>IF(OR('A créer'!D16="Oui",LEN('A créer'!D16)=0),"","OUI")</f>
        <v/>
      </c>
      <c r="AD16" s="2" t="str">
        <f>IF(OR('A créer'!D16="Oui",LEN('A créer'!D16)=0),"","Tab")</f>
        <v/>
      </c>
      <c r="AE16" s="2" t="str">
        <f>IF(OR('A créer'!D16="Oui",LEN('A créer'!D16)=0),"","ENT")</f>
        <v/>
      </c>
      <c r="AF16" s="2" t="str">
        <f>IF(OR('A créer'!D16="Oui",LEN('A créer'!D16)=0),"","*SAVE")</f>
        <v/>
      </c>
      <c r="AG16" s="2" t="str">
        <f>IF(OR('A créer'!D16="Oui",LEN('A créer'!D16)=0),"","*FN")</f>
        <v/>
      </c>
      <c r="AH16" s="6" t="str">
        <f>IF(OR('A créer'!D16="Oui",LEN('A créer'!D16)=0),"",CONCATENATE("A",RIGHT('A créer'!A16,3)))</f>
        <v/>
      </c>
      <c r="AI16" s="2" t="str">
        <f>IF(OR('A créer'!D16="Oui",LEN('A créer'!D16)=0),"","Tab")</f>
        <v/>
      </c>
      <c r="AJ16" s="6" t="str">
        <f>IF(OR('A créer'!D16="Oui",LEN('A créer'!D16)=0),"",CONCATENATE('A créer'!A16," Regroupement"))</f>
        <v/>
      </c>
      <c r="AK16" s="2" t="str">
        <f>IF(OR('A créer'!D16="Oui",LEN('A créer'!D16)=0),"","Tab4")</f>
        <v/>
      </c>
      <c r="AL16" s="2" t="str">
        <f>IF(OR('A créer'!D16="Oui",LEN('A créer'!D16)=0),"","*SB")</f>
        <v/>
      </c>
      <c r="AM16" s="2" t="str">
        <f>IF(OR('A créer'!D16="Oui",LEN('A créer'!D16)=0),"","Tab")</f>
        <v/>
      </c>
      <c r="AN16" s="6" t="str">
        <f>IF(OR('A créer'!D16="Oui",LEN('A créer'!D16)=0),"",CONCATENATE("A",'A créer'!A16))</f>
        <v/>
      </c>
      <c r="AO16" s="2" t="str">
        <f>IF(OR('A créer'!D16="Oui",LEN('A créer'!D16)=0),"","Tab")</f>
        <v/>
      </c>
      <c r="AP16" s="2" t="str">
        <f>IF(OR('A créer'!D16="Oui",LEN('A créer'!D16)=0),"","Tab")</f>
        <v/>
      </c>
      <c r="AQ16" s="2" t="str">
        <f>IF(OR('A créer'!D16="Oui",LEN('A créer'!D16)=0),"","ENT")</f>
        <v/>
      </c>
      <c r="AR16" s="6" t="str">
        <f>IF(OR('A créer'!D16="Oui",LEN('A créer'!D16)=0),"","Non")</f>
        <v/>
      </c>
      <c r="AS16" s="2" t="str">
        <f>IF(OR('A créer'!D16="Oui",LEN('A créer'!D16)=0),"","Tab")</f>
        <v/>
      </c>
      <c r="AT16" s="6" t="str">
        <f>IF(OR('A créer'!D16="Oui",LEN('A créer'!D16)=0),"","T")</f>
        <v/>
      </c>
      <c r="AU16" s="2" t="str">
        <f>IF(OR('A créer'!D16="Oui",LEN('A créer'!D16)=0),"","Tab")</f>
        <v/>
      </c>
      <c r="AV16" s="2" t="str">
        <f>IF(OR('A créer'!D16="Oui",LEN('A créer'!D16)=0),"","ENT")</f>
        <v/>
      </c>
      <c r="AW16" s="2" t="str">
        <f>IF(OR('A créer'!D16="Oui",LEN('A créer'!D16)=0),"","*SAVE")</f>
        <v/>
      </c>
      <c r="AX16" s="2" t="str">
        <f>IF(OR('A créer'!D16="Oui",LEN('A créer'!D16)=0),"","*UP")</f>
        <v/>
      </c>
      <c r="AY16" s="2" t="str">
        <f>IF(OR('A créer'!D16="Oui",LEN('A créer'!D16)=0),"","*Aé")</f>
        <v/>
      </c>
      <c r="AZ16" s="6" t="str">
        <f>IF(OR('A créer'!D16="Oui",LEN('A créer'!D16)=0),"",'A créer'!A16)</f>
        <v/>
      </c>
      <c r="BA16" s="2" t="str">
        <f>IF(OR('A créer'!D16="Oui",LEN('A créer'!D16)=0),"","Tab")</f>
        <v/>
      </c>
      <c r="BB16" s="2" t="str">
        <f>IF(OR('A créer'!D16="Oui",LEN('A créer'!D16)=0),"","*SAVE")</f>
        <v/>
      </c>
      <c r="BC16" s="2" t="str">
        <f>IF(OR('A créer'!D16="Oui",LEN('A créer'!D16)=0),"","*ML(751,97)")</f>
        <v/>
      </c>
    </row>
    <row r="17" spans="1:55" x14ac:dyDescent="0.35">
      <c r="A17" s="2" t="str">
        <f>IF(OR('A créer'!D17="Oui",LEN('A créer'!D17)=0),"","*FN")</f>
        <v/>
      </c>
      <c r="B17" s="6" t="str">
        <f>IF(OR('A créer'!D17="Oui",LEN('A créer'!D17)=0),"",'A créer'!A17)</f>
        <v/>
      </c>
      <c r="C17" s="2" t="str">
        <f>IF(OR('A créer'!D17="Oui",LEN('A créer'!D17)=0),"","Tab")</f>
        <v/>
      </c>
      <c r="D17" s="6" t="str">
        <f>IF(OR('A créer'!D17="Oui",LEN('A créer'!D17)=0),"",'A créer'!C17)</f>
        <v/>
      </c>
      <c r="E17" s="2" t="str">
        <f>IF(OR('A créer'!D17="Oui",LEN('A créer'!D17)=0),"","Tab4")</f>
        <v/>
      </c>
      <c r="F17" s="2" t="str">
        <f>IF(OR('A créer'!D17="Oui",LEN('A créer'!D17)=0),"","Tab")</f>
        <v/>
      </c>
      <c r="G17" s="2" t="str">
        <f>IF(OR('A créer'!D17="Oui",LEN('A créer'!D17)=0),"","Tab")</f>
        <v/>
      </c>
      <c r="H17" s="2" t="str">
        <f>IF(OR('A créer'!D17="Oui",LEN('A créer'!D17)=0),"","ENT")</f>
        <v/>
      </c>
      <c r="I17" s="6" t="str">
        <f>IF(OR('A créer'!D17="Oui",LEN('A créer'!D17)=0),"","Oui")</f>
        <v/>
      </c>
      <c r="J17" s="2" t="str">
        <f>IF(OR('A créer'!D17="Oui",LEN('A créer'!D17)=0),"","Tab")</f>
        <v/>
      </c>
      <c r="K17" s="6" t="str">
        <f>IF(OR('A créer'!D17="Oui",LEN('A créer'!D17)=0),"",'A créer'!H17)</f>
        <v/>
      </c>
      <c r="L17" s="6" t="str">
        <f>IF(OR('A créer'!D17="Oui",LEN('A créer'!D17)=0),"",IF($K17="DCW",'A créer'!G17,""))</f>
        <v/>
      </c>
      <c r="M17" s="2" t="str">
        <f>IF(OR('A créer'!D17="Oui",LEN('A créer'!D17)=0),"","Tab")</f>
        <v/>
      </c>
      <c r="N17" s="6" t="str">
        <f>IF(OR('A créer'!D17="Oui",LEN('A créer'!D17)=0),"",IF($K17="DLS",'A créer'!G17,""))</f>
        <v/>
      </c>
      <c r="O17" s="2" t="str">
        <f>IF(OR('A créer'!D17="Oui",LEN('A créer'!D17)=0),"","Tab")</f>
        <v/>
      </c>
      <c r="P17" s="6" t="str">
        <f>IF(OR('A créer'!D17="Oui",LEN('A créer'!D17)=0),"",IF($K17="DMS",'A créer'!G17,""))</f>
        <v/>
      </c>
      <c r="Q17" s="2" t="str">
        <f>IF(OR('A créer'!D17="Oui",LEN('A créer'!D17)=0),"","Tab")</f>
        <v/>
      </c>
      <c r="R17" s="6" t="str">
        <f>IF(OR('A créer'!D17="Oui",LEN('A créer'!D17)=0),"",IF($K17="DRW",'A créer'!G17,""))</f>
        <v/>
      </c>
      <c r="S17" s="2" t="str">
        <f>IF(OR('A créer'!D17="Oui",LEN('A créer'!D17)=0),"","Tab")</f>
        <v/>
      </c>
      <c r="T17" s="6" t="str">
        <f>IF(OR('A créer'!D17="Oui",LEN('A créer'!D17)=0),"",IF($K17="DSW",'A créer'!G17,""))</f>
        <v/>
      </c>
      <c r="U17" s="2" t="str">
        <f>IF(OR('A créer'!D17="Oui",LEN('A créer'!D17)=0),"","Tab")</f>
        <v/>
      </c>
      <c r="V17" s="6" t="str">
        <f>IF(OR('A créer'!D17="Oui",LEN('A créer'!D17)=0),"",IF($K17="DEW",'A créer'!G17,""))</f>
        <v/>
      </c>
      <c r="W17" s="2" t="str">
        <f>IF(OR('A créer'!D17="Oui",LEN('A créer'!D17)=0),"","Tab")</f>
        <v/>
      </c>
      <c r="X17" s="6" t="str">
        <f>IF(OR('A créer'!D17="Oui",LEN('A créer'!D17)=0),"",IF($K17="DNA",'A créer'!G17,""))</f>
        <v/>
      </c>
      <c r="Y17" s="2" t="str">
        <f>IF(OR('A créer'!D17="Oui",LEN('A créer'!D17)=0),"","Tab")</f>
        <v/>
      </c>
      <c r="Z17" s="6" t="str">
        <f>IF(OR('A créer'!D17="Oui",LEN('A créer'!D17)=0),"",IF($K17="DOS",'A créer'!G17,""))</f>
        <v/>
      </c>
      <c r="AA17" s="2" t="str">
        <f>IF(OR('A créer'!D17="Oui",LEN('A créer'!D17)=0),"","Tab")</f>
        <v/>
      </c>
      <c r="AB17" s="2" t="str">
        <f>IF(OR('A créer'!D17="Oui",LEN('A créer'!D17)=0),"","Tab")</f>
        <v/>
      </c>
      <c r="AC17" s="6" t="str">
        <f>IF(OR('A créer'!D17="Oui",LEN('A créer'!D17)=0),"","OUI")</f>
        <v/>
      </c>
      <c r="AD17" s="2" t="str">
        <f>IF(OR('A créer'!D17="Oui",LEN('A créer'!D17)=0),"","Tab")</f>
        <v/>
      </c>
      <c r="AE17" s="2" t="str">
        <f>IF(OR('A créer'!D17="Oui",LEN('A créer'!D17)=0),"","ENT")</f>
        <v/>
      </c>
      <c r="AF17" s="2" t="str">
        <f>IF(OR('A créer'!D17="Oui",LEN('A créer'!D17)=0),"","*SAVE")</f>
        <v/>
      </c>
      <c r="AG17" s="2" t="str">
        <f>IF(OR('A créer'!D17="Oui",LEN('A créer'!D17)=0),"","*FN")</f>
        <v/>
      </c>
      <c r="AH17" s="6" t="str">
        <f>IF(OR('A créer'!D17="Oui",LEN('A créer'!D17)=0),"",CONCATENATE("A",RIGHT('A créer'!A17,3)))</f>
        <v/>
      </c>
      <c r="AI17" s="2" t="str">
        <f>IF(OR('A créer'!D17="Oui",LEN('A créer'!D17)=0),"","Tab")</f>
        <v/>
      </c>
      <c r="AJ17" s="6" t="str">
        <f>IF(OR('A créer'!D17="Oui",LEN('A créer'!D17)=0),"",CONCATENATE('A créer'!A17," Regroupement"))</f>
        <v/>
      </c>
      <c r="AK17" s="2" t="str">
        <f>IF(OR('A créer'!D17="Oui",LEN('A créer'!D17)=0),"","Tab4")</f>
        <v/>
      </c>
      <c r="AL17" s="2" t="str">
        <f>IF(OR('A créer'!D17="Oui",LEN('A créer'!D17)=0),"","*SB")</f>
        <v/>
      </c>
      <c r="AM17" s="2" t="str">
        <f>IF(OR('A créer'!D17="Oui",LEN('A créer'!D17)=0),"","Tab")</f>
        <v/>
      </c>
      <c r="AN17" s="6" t="str">
        <f>IF(OR('A créer'!D17="Oui",LEN('A créer'!D17)=0),"",CONCATENATE("A",'A créer'!A17))</f>
        <v/>
      </c>
      <c r="AO17" s="2" t="str">
        <f>IF(OR('A créer'!D17="Oui",LEN('A créer'!D17)=0),"","Tab")</f>
        <v/>
      </c>
      <c r="AP17" s="2" t="str">
        <f>IF(OR('A créer'!D17="Oui",LEN('A créer'!D17)=0),"","Tab")</f>
        <v/>
      </c>
      <c r="AQ17" s="2" t="str">
        <f>IF(OR('A créer'!D17="Oui",LEN('A créer'!D17)=0),"","ENT")</f>
        <v/>
      </c>
      <c r="AR17" s="6" t="str">
        <f>IF(OR('A créer'!D17="Oui",LEN('A créer'!D17)=0),"","Non")</f>
        <v/>
      </c>
      <c r="AS17" s="2" t="str">
        <f>IF(OR('A créer'!D17="Oui",LEN('A créer'!D17)=0),"","Tab")</f>
        <v/>
      </c>
      <c r="AT17" s="6" t="str">
        <f>IF(OR('A créer'!D17="Oui",LEN('A créer'!D17)=0),"","T")</f>
        <v/>
      </c>
      <c r="AU17" s="2" t="str">
        <f>IF(OR('A créer'!D17="Oui",LEN('A créer'!D17)=0),"","Tab")</f>
        <v/>
      </c>
      <c r="AV17" s="2" t="str">
        <f>IF(OR('A créer'!D17="Oui",LEN('A créer'!D17)=0),"","ENT")</f>
        <v/>
      </c>
      <c r="AW17" s="2" t="str">
        <f>IF(OR('A créer'!D17="Oui",LEN('A créer'!D17)=0),"","*SAVE")</f>
        <v/>
      </c>
      <c r="AX17" s="2" t="str">
        <f>IF(OR('A créer'!D17="Oui",LEN('A créer'!D17)=0),"","*UP")</f>
        <v/>
      </c>
      <c r="AY17" s="2" t="str">
        <f>IF(OR('A créer'!D17="Oui",LEN('A créer'!D17)=0),"","*Aé")</f>
        <v/>
      </c>
      <c r="AZ17" s="6" t="str">
        <f>IF(OR('A créer'!D17="Oui",LEN('A créer'!D17)=0),"",'A créer'!A17)</f>
        <v/>
      </c>
      <c r="BA17" s="2" t="str">
        <f>IF(OR('A créer'!D17="Oui",LEN('A créer'!D17)=0),"","Tab")</f>
        <v/>
      </c>
      <c r="BB17" s="2" t="str">
        <f>IF(OR('A créer'!D17="Oui",LEN('A créer'!D17)=0),"","*SAVE")</f>
        <v/>
      </c>
      <c r="BC17" s="2" t="str">
        <f>IF(OR('A créer'!D17="Oui",LEN('A créer'!D17)=0),"","*ML(751,97)")</f>
        <v/>
      </c>
    </row>
    <row r="18" spans="1:55" x14ac:dyDescent="0.35">
      <c r="A18" s="2" t="str">
        <f>IF(OR('A créer'!D18="Oui",LEN('A créer'!D18)=0),"","*FN")</f>
        <v/>
      </c>
      <c r="B18" s="6" t="str">
        <f>IF(OR('A créer'!D18="Oui",LEN('A créer'!D18)=0),"",'A créer'!A18)</f>
        <v/>
      </c>
      <c r="C18" s="2" t="str">
        <f>IF(OR('A créer'!D18="Oui",LEN('A créer'!D18)=0),"","Tab")</f>
        <v/>
      </c>
      <c r="D18" s="6" t="str">
        <f>IF(OR('A créer'!D18="Oui",LEN('A créer'!D18)=0),"",'A créer'!C18)</f>
        <v/>
      </c>
      <c r="E18" s="2" t="str">
        <f>IF(OR('A créer'!D18="Oui",LEN('A créer'!D18)=0),"","Tab4")</f>
        <v/>
      </c>
      <c r="F18" s="2" t="str">
        <f>IF(OR('A créer'!D18="Oui",LEN('A créer'!D18)=0),"","Tab")</f>
        <v/>
      </c>
      <c r="G18" s="2" t="str">
        <f>IF(OR('A créer'!D18="Oui",LEN('A créer'!D18)=0),"","Tab")</f>
        <v/>
      </c>
      <c r="H18" s="2" t="str">
        <f>IF(OR('A créer'!D18="Oui",LEN('A créer'!D18)=0),"","ENT")</f>
        <v/>
      </c>
      <c r="I18" s="6" t="str">
        <f>IF(OR('A créer'!D18="Oui",LEN('A créer'!D18)=0),"","Oui")</f>
        <v/>
      </c>
      <c r="J18" s="2" t="str">
        <f>IF(OR('A créer'!D18="Oui",LEN('A créer'!D18)=0),"","Tab")</f>
        <v/>
      </c>
      <c r="K18" s="6" t="str">
        <f>IF(OR('A créer'!D18="Oui",LEN('A créer'!D18)=0),"",'A créer'!H18)</f>
        <v/>
      </c>
      <c r="L18" s="6" t="str">
        <f>IF(OR('A créer'!D18="Oui",LEN('A créer'!D18)=0),"",IF($K18="DCW",'A créer'!G18,""))</f>
        <v/>
      </c>
      <c r="M18" s="2" t="str">
        <f>IF(OR('A créer'!D18="Oui",LEN('A créer'!D18)=0),"","Tab")</f>
        <v/>
      </c>
      <c r="N18" s="6" t="str">
        <f>IF(OR('A créer'!D18="Oui",LEN('A créer'!D18)=0),"",IF($K18="DLS",'A créer'!G18,""))</f>
        <v/>
      </c>
      <c r="O18" s="2" t="str">
        <f>IF(OR('A créer'!D18="Oui",LEN('A créer'!D18)=0),"","Tab")</f>
        <v/>
      </c>
      <c r="P18" s="6" t="str">
        <f>IF(OR('A créer'!D18="Oui",LEN('A créer'!D18)=0),"",IF($K18="DMS",'A créer'!G18,""))</f>
        <v/>
      </c>
      <c r="Q18" s="2" t="str">
        <f>IF(OR('A créer'!D18="Oui",LEN('A créer'!D18)=0),"","Tab")</f>
        <v/>
      </c>
      <c r="R18" s="6" t="str">
        <f>IF(OR('A créer'!D18="Oui",LEN('A créer'!D18)=0),"",IF($K18="DRW",'A créer'!G18,""))</f>
        <v/>
      </c>
      <c r="S18" s="2" t="str">
        <f>IF(OR('A créer'!D18="Oui",LEN('A créer'!D18)=0),"","Tab")</f>
        <v/>
      </c>
      <c r="T18" s="6" t="str">
        <f>IF(OR('A créer'!D18="Oui",LEN('A créer'!D18)=0),"",IF($K18="DSW",'A créer'!G18,""))</f>
        <v/>
      </c>
      <c r="U18" s="2" t="str">
        <f>IF(OR('A créer'!D18="Oui",LEN('A créer'!D18)=0),"","Tab")</f>
        <v/>
      </c>
      <c r="V18" s="6" t="str">
        <f>IF(OR('A créer'!D18="Oui",LEN('A créer'!D18)=0),"",IF($K18="DEW",'A créer'!G18,""))</f>
        <v/>
      </c>
      <c r="W18" s="2" t="str">
        <f>IF(OR('A créer'!D18="Oui",LEN('A créer'!D18)=0),"","Tab")</f>
        <v/>
      </c>
      <c r="X18" s="6" t="str">
        <f>IF(OR('A créer'!D18="Oui",LEN('A créer'!D18)=0),"",IF($K18="DNA",'A créer'!G18,""))</f>
        <v/>
      </c>
      <c r="Y18" s="2" t="str">
        <f>IF(OR('A créer'!D18="Oui",LEN('A créer'!D18)=0),"","Tab")</f>
        <v/>
      </c>
      <c r="Z18" s="6" t="str">
        <f>IF(OR('A créer'!D18="Oui",LEN('A créer'!D18)=0),"",IF($K18="DOS",'A créer'!G18,""))</f>
        <v/>
      </c>
      <c r="AA18" s="2" t="str">
        <f>IF(OR('A créer'!D18="Oui",LEN('A créer'!D18)=0),"","Tab")</f>
        <v/>
      </c>
      <c r="AB18" s="2" t="str">
        <f>IF(OR('A créer'!D18="Oui",LEN('A créer'!D18)=0),"","Tab")</f>
        <v/>
      </c>
      <c r="AC18" s="6" t="str">
        <f>IF(OR('A créer'!D18="Oui",LEN('A créer'!D18)=0),"","OUI")</f>
        <v/>
      </c>
      <c r="AD18" s="2" t="str">
        <f>IF(OR('A créer'!D18="Oui",LEN('A créer'!D18)=0),"","Tab")</f>
        <v/>
      </c>
      <c r="AE18" s="2" t="str">
        <f>IF(OR('A créer'!D18="Oui",LEN('A créer'!D18)=0),"","ENT")</f>
        <v/>
      </c>
      <c r="AF18" s="2" t="str">
        <f>IF(OR('A créer'!D18="Oui",LEN('A créer'!D18)=0),"","*SAVE")</f>
        <v/>
      </c>
      <c r="AG18" s="2" t="str">
        <f>IF(OR('A créer'!D18="Oui",LEN('A créer'!D18)=0),"","*FN")</f>
        <v/>
      </c>
      <c r="AH18" s="6" t="str">
        <f>IF(OR('A créer'!D18="Oui",LEN('A créer'!D18)=0),"",CONCATENATE("A",RIGHT('A créer'!A18,3)))</f>
        <v/>
      </c>
      <c r="AI18" s="2" t="str">
        <f>IF(OR('A créer'!D18="Oui",LEN('A créer'!D18)=0),"","Tab")</f>
        <v/>
      </c>
      <c r="AJ18" s="6" t="str">
        <f>IF(OR('A créer'!D18="Oui",LEN('A créer'!D18)=0),"",CONCATENATE('A créer'!A18," Regroupement"))</f>
        <v/>
      </c>
      <c r="AK18" s="2" t="str">
        <f>IF(OR('A créer'!D18="Oui",LEN('A créer'!D18)=0),"","Tab4")</f>
        <v/>
      </c>
      <c r="AL18" s="2" t="str">
        <f>IF(OR('A créer'!D18="Oui",LEN('A créer'!D18)=0),"","*SB")</f>
        <v/>
      </c>
      <c r="AM18" s="2" t="str">
        <f>IF(OR('A créer'!D18="Oui",LEN('A créer'!D18)=0),"","Tab")</f>
        <v/>
      </c>
      <c r="AN18" s="6" t="str">
        <f>IF(OR('A créer'!D18="Oui",LEN('A créer'!D18)=0),"",CONCATENATE("A",'A créer'!A18))</f>
        <v/>
      </c>
      <c r="AO18" s="2" t="str">
        <f>IF(OR('A créer'!D18="Oui",LEN('A créer'!D18)=0),"","Tab")</f>
        <v/>
      </c>
      <c r="AP18" s="2" t="str">
        <f>IF(OR('A créer'!D18="Oui",LEN('A créer'!D18)=0),"","Tab")</f>
        <v/>
      </c>
      <c r="AQ18" s="2" t="str">
        <f>IF(OR('A créer'!D18="Oui",LEN('A créer'!D18)=0),"","ENT")</f>
        <v/>
      </c>
      <c r="AR18" s="6" t="str">
        <f>IF(OR('A créer'!D18="Oui",LEN('A créer'!D18)=0),"","Non")</f>
        <v/>
      </c>
      <c r="AS18" s="2" t="str">
        <f>IF(OR('A créer'!D18="Oui",LEN('A créer'!D18)=0),"","Tab")</f>
        <v/>
      </c>
      <c r="AT18" s="6" t="str">
        <f>IF(OR('A créer'!D18="Oui",LEN('A créer'!D18)=0),"","T")</f>
        <v/>
      </c>
      <c r="AU18" s="2" t="str">
        <f>IF(OR('A créer'!D18="Oui",LEN('A créer'!D18)=0),"","Tab")</f>
        <v/>
      </c>
      <c r="AV18" s="2" t="str">
        <f>IF(OR('A créer'!D18="Oui",LEN('A créer'!D18)=0),"","ENT")</f>
        <v/>
      </c>
      <c r="AW18" s="2" t="str">
        <f>IF(OR('A créer'!D18="Oui",LEN('A créer'!D18)=0),"","*SAVE")</f>
        <v/>
      </c>
      <c r="AX18" s="2" t="str">
        <f>IF(OR('A créer'!D18="Oui",LEN('A créer'!D18)=0),"","*UP")</f>
        <v/>
      </c>
      <c r="AY18" s="2" t="str">
        <f>IF(OR('A créer'!D18="Oui",LEN('A créer'!D18)=0),"","*Aé")</f>
        <v/>
      </c>
      <c r="AZ18" s="6" t="str">
        <f>IF(OR('A créer'!D18="Oui",LEN('A créer'!D18)=0),"",'A créer'!A18)</f>
        <v/>
      </c>
      <c r="BA18" s="2" t="str">
        <f>IF(OR('A créer'!D18="Oui",LEN('A créer'!D18)=0),"","Tab")</f>
        <v/>
      </c>
      <c r="BB18" s="2" t="str">
        <f>IF(OR('A créer'!D18="Oui",LEN('A créer'!D18)=0),"","*SAVE")</f>
        <v/>
      </c>
      <c r="BC18" s="2" t="str">
        <f>IF(OR('A créer'!D18="Oui",LEN('A créer'!D18)=0),"","*ML(751,97)")</f>
        <v/>
      </c>
    </row>
    <row r="19" spans="1:55" x14ac:dyDescent="0.35">
      <c r="A19" s="2" t="str">
        <f>IF(OR('A créer'!D19="Oui",LEN('A créer'!D19)=0),"","*FN")</f>
        <v/>
      </c>
      <c r="B19" s="6" t="str">
        <f>IF(OR('A créer'!D19="Oui",LEN('A créer'!D19)=0),"",'A créer'!A19)</f>
        <v/>
      </c>
      <c r="C19" s="2" t="str">
        <f>IF(OR('A créer'!D19="Oui",LEN('A créer'!D19)=0),"","Tab")</f>
        <v/>
      </c>
      <c r="D19" s="6" t="str">
        <f>IF(OR('A créer'!D19="Oui",LEN('A créer'!D19)=0),"",'A créer'!C19)</f>
        <v/>
      </c>
      <c r="E19" s="2" t="str">
        <f>IF(OR('A créer'!D19="Oui",LEN('A créer'!D19)=0),"","Tab4")</f>
        <v/>
      </c>
      <c r="F19" s="2" t="str">
        <f>IF(OR('A créer'!D19="Oui",LEN('A créer'!D19)=0),"","Tab")</f>
        <v/>
      </c>
      <c r="G19" s="2" t="str">
        <f>IF(OR('A créer'!D19="Oui",LEN('A créer'!D19)=0),"","Tab")</f>
        <v/>
      </c>
      <c r="H19" s="2" t="str">
        <f>IF(OR('A créer'!D19="Oui",LEN('A créer'!D19)=0),"","ENT")</f>
        <v/>
      </c>
      <c r="I19" s="6" t="str">
        <f>IF(OR('A créer'!D19="Oui",LEN('A créer'!D19)=0),"","Oui")</f>
        <v/>
      </c>
      <c r="J19" s="2" t="str">
        <f>IF(OR('A créer'!D19="Oui",LEN('A créer'!D19)=0),"","Tab")</f>
        <v/>
      </c>
      <c r="K19" s="6" t="str">
        <f>IF(OR('A créer'!D19="Oui",LEN('A créer'!D19)=0),"",'A créer'!H19)</f>
        <v/>
      </c>
      <c r="L19" s="6" t="str">
        <f>IF(OR('A créer'!D19="Oui",LEN('A créer'!D19)=0),"",IF($K19="DCW",'A créer'!G19,""))</f>
        <v/>
      </c>
      <c r="M19" s="2" t="str">
        <f>IF(OR('A créer'!D19="Oui",LEN('A créer'!D19)=0),"","Tab")</f>
        <v/>
      </c>
      <c r="N19" s="6" t="str">
        <f>IF(OR('A créer'!D19="Oui",LEN('A créer'!D19)=0),"",IF($K19="DLS",'A créer'!G19,""))</f>
        <v/>
      </c>
      <c r="O19" s="2" t="str">
        <f>IF(OR('A créer'!D19="Oui",LEN('A créer'!D19)=0),"","Tab")</f>
        <v/>
      </c>
      <c r="P19" s="6" t="str">
        <f>IF(OR('A créer'!D19="Oui",LEN('A créer'!D19)=0),"",IF($K19="DMS",'A créer'!G19,""))</f>
        <v/>
      </c>
      <c r="Q19" s="2" t="str">
        <f>IF(OR('A créer'!D19="Oui",LEN('A créer'!D19)=0),"","Tab")</f>
        <v/>
      </c>
      <c r="R19" s="6" t="str">
        <f>IF(OR('A créer'!D19="Oui",LEN('A créer'!D19)=0),"",IF($K19="DRW",'A créer'!G19,""))</f>
        <v/>
      </c>
      <c r="S19" s="2" t="str">
        <f>IF(OR('A créer'!D19="Oui",LEN('A créer'!D19)=0),"","Tab")</f>
        <v/>
      </c>
      <c r="T19" s="6" t="str">
        <f>IF(OR('A créer'!D19="Oui",LEN('A créer'!D19)=0),"",IF($K19="DSW",'A créer'!G19,""))</f>
        <v/>
      </c>
      <c r="U19" s="2" t="str">
        <f>IF(OR('A créer'!D19="Oui",LEN('A créer'!D19)=0),"","Tab")</f>
        <v/>
      </c>
      <c r="V19" s="6" t="str">
        <f>IF(OR('A créer'!D19="Oui",LEN('A créer'!D19)=0),"",IF($K19="DEW",'A créer'!G19,""))</f>
        <v/>
      </c>
      <c r="W19" s="2" t="str">
        <f>IF(OR('A créer'!D19="Oui",LEN('A créer'!D19)=0),"","Tab")</f>
        <v/>
      </c>
      <c r="X19" s="6" t="str">
        <f>IF(OR('A créer'!D19="Oui",LEN('A créer'!D19)=0),"",IF($K19="DNA",'A créer'!G19,""))</f>
        <v/>
      </c>
      <c r="Y19" s="2" t="str">
        <f>IF(OR('A créer'!D19="Oui",LEN('A créer'!D19)=0),"","Tab")</f>
        <v/>
      </c>
      <c r="Z19" s="6" t="str">
        <f>IF(OR('A créer'!D19="Oui",LEN('A créer'!D19)=0),"",IF($K19="DOS",'A créer'!G19,""))</f>
        <v/>
      </c>
      <c r="AA19" s="2" t="str">
        <f>IF(OR('A créer'!D19="Oui",LEN('A créer'!D19)=0),"","Tab")</f>
        <v/>
      </c>
      <c r="AB19" s="2" t="str">
        <f>IF(OR('A créer'!D19="Oui",LEN('A créer'!D19)=0),"","Tab")</f>
        <v/>
      </c>
      <c r="AC19" s="6" t="str">
        <f>IF(OR('A créer'!D19="Oui",LEN('A créer'!D19)=0),"","OUI")</f>
        <v/>
      </c>
      <c r="AD19" s="2" t="str">
        <f>IF(OR('A créer'!D19="Oui",LEN('A créer'!D19)=0),"","Tab")</f>
        <v/>
      </c>
      <c r="AE19" s="2" t="str">
        <f>IF(OR('A créer'!D19="Oui",LEN('A créer'!D19)=0),"","ENT")</f>
        <v/>
      </c>
      <c r="AF19" s="2" t="str">
        <f>IF(OR('A créer'!D19="Oui",LEN('A créer'!D19)=0),"","*SAVE")</f>
        <v/>
      </c>
      <c r="AG19" s="2" t="str">
        <f>IF(OR('A créer'!D19="Oui",LEN('A créer'!D19)=0),"","*FN")</f>
        <v/>
      </c>
      <c r="AH19" s="6" t="str">
        <f>IF(OR('A créer'!D19="Oui",LEN('A créer'!D19)=0),"",CONCATENATE("A",RIGHT('A créer'!A19,3)))</f>
        <v/>
      </c>
      <c r="AI19" s="2" t="str">
        <f>IF(OR('A créer'!D19="Oui",LEN('A créer'!D19)=0),"","Tab")</f>
        <v/>
      </c>
      <c r="AJ19" s="6" t="str">
        <f>IF(OR('A créer'!D19="Oui",LEN('A créer'!D19)=0),"",CONCATENATE('A créer'!A19," Regroupement"))</f>
        <v/>
      </c>
      <c r="AK19" s="2" t="str">
        <f>IF(OR('A créer'!D19="Oui",LEN('A créer'!D19)=0),"","Tab4")</f>
        <v/>
      </c>
      <c r="AL19" s="2" t="str">
        <f>IF(OR('A créer'!D19="Oui",LEN('A créer'!D19)=0),"","*SB")</f>
        <v/>
      </c>
      <c r="AM19" s="2" t="str">
        <f>IF(OR('A créer'!D19="Oui",LEN('A créer'!D19)=0),"","Tab")</f>
        <v/>
      </c>
      <c r="AN19" s="6" t="str">
        <f>IF(OR('A créer'!D19="Oui",LEN('A créer'!D19)=0),"",CONCATENATE("A",'A créer'!A19))</f>
        <v/>
      </c>
      <c r="AO19" s="2" t="str">
        <f>IF(OR('A créer'!D19="Oui",LEN('A créer'!D19)=0),"","Tab")</f>
        <v/>
      </c>
      <c r="AP19" s="2" t="str">
        <f>IF(OR('A créer'!D19="Oui",LEN('A créer'!D19)=0),"","Tab")</f>
        <v/>
      </c>
      <c r="AQ19" s="2" t="str">
        <f>IF(OR('A créer'!D19="Oui",LEN('A créer'!D19)=0),"","ENT")</f>
        <v/>
      </c>
      <c r="AR19" s="6" t="str">
        <f>IF(OR('A créer'!D19="Oui",LEN('A créer'!D19)=0),"","Non")</f>
        <v/>
      </c>
      <c r="AS19" s="2" t="str">
        <f>IF(OR('A créer'!D19="Oui",LEN('A créer'!D19)=0),"","Tab")</f>
        <v/>
      </c>
      <c r="AT19" s="6" t="str">
        <f>IF(OR('A créer'!D19="Oui",LEN('A créer'!D19)=0),"","T")</f>
        <v/>
      </c>
      <c r="AU19" s="2" t="str">
        <f>IF(OR('A créer'!D19="Oui",LEN('A créer'!D19)=0),"","Tab")</f>
        <v/>
      </c>
      <c r="AV19" s="2" t="str">
        <f>IF(OR('A créer'!D19="Oui",LEN('A créer'!D19)=0),"","ENT")</f>
        <v/>
      </c>
      <c r="AW19" s="2" t="str">
        <f>IF(OR('A créer'!D19="Oui",LEN('A créer'!D19)=0),"","*SAVE")</f>
        <v/>
      </c>
      <c r="AX19" s="2" t="str">
        <f>IF(OR('A créer'!D19="Oui",LEN('A créer'!D19)=0),"","*UP")</f>
        <v/>
      </c>
      <c r="AY19" s="2" t="str">
        <f>IF(OR('A créer'!D19="Oui",LEN('A créer'!D19)=0),"","*Aé")</f>
        <v/>
      </c>
      <c r="AZ19" s="6" t="str">
        <f>IF(OR('A créer'!D19="Oui",LEN('A créer'!D19)=0),"",'A créer'!A19)</f>
        <v/>
      </c>
      <c r="BA19" s="2" t="str">
        <f>IF(OR('A créer'!D19="Oui",LEN('A créer'!D19)=0),"","Tab")</f>
        <v/>
      </c>
      <c r="BB19" s="2" t="str">
        <f>IF(OR('A créer'!D19="Oui",LEN('A créer'!D19)=0),"","*SAVE")</f>
        <v/>
      </c>
      <c r="BC19" s="2" t="str">
        <f>IF(OR('A créer'!D19="Oui",LEN('A créer'!D19)=0),"","*ML(751,97)")</f>
        <v/>
      </c>
    </row>
    <row r="20" spans="1:55" x14ac:dyDescent="0.35">
      <c r="A20" s="2" t="str">
        <f>IF(OR('A créer'!D20="Oui",LEN('A créer'!D20)=0),"","*FN")</f>
        <v/>
      </c>
      <c r="B20" s="6" t="str">
        <f>IF(OR('A créer'!D20="Oui",LEN('A créer'!D20)=0),"",'A créer'!A20)</f>
        <v/>
      </c>
      <c r="C20" s="2" t="str">
        <f>IF(OR('A créer'!D20="Oui",LEN('A créer'!D20)=0),"","Tab")</f>
        <v/>
      </c>
      <c r="D20" s="6" t="str">
        <f>IF(OR('A créer'!D20="Oui",LEN('A créer'!D20)=0),"",'A créer'!C20)</f>
        <v/>
      </c>
      <c r="E20" s="2" t="str">
        <f>IF(OR('A créer'!D20="Oui",LEN('A créer'!D20)=0),"","Tab4")</f>
        <v/>
      </c>
      <c r="F20" s="2" t="str">
        <f>IF(OR('A créer'!D20="Oui",LEN('A créer'!D20)=0),"","Tab")</f>
        <v/>
      </c>
      <c r="G20" s="2" t="str">
        <f>IF(OR('A créer'!D20="Oui",LEN('A créer'!D20)=0),"","Tab")</f>
        <v/>
      </c>
      <c r="H20" s="2" t="str">
        <f>IF(OR('A créer'!D20="Oui",LEN('A créer'!D20)=0),"","ENT")</f>
        <v/>
      </c>
      <c r="I20" s="6" t="str">
        <f>IF(OR('A créer'!D20="Oui",LEN('A créer'!D20)=0),"","Oui")</f>
        <v/>
      </c>
      <c r="J20" s="2" t="str">
        <f>IF(OR('A créer'!D20="Oui",LEN('A créer'!D20)=0),"","Tab")</f>
        <v/>
      </c>
      <c r="K20" s="6" t="str">
        <f>IF(OR('A créer'!D20="Oui",LEN('A créer'!D20)=0),"",'A créer'!H20)</f>
        <v/>
      </c>
      <c r="L20" s="6" t="str">
        <f>IF(OR('A créer'!D20="Oui",LEN('A créer'!D20)=0),"",IF($K20="DCW",'A créer'!G20,""))</f>
        <v/>
      </c>
      <c r="M20" s="2" t="str">
        <f>IF(OR('A créer'!D20="Oui",LEN('A créer'!D20)=0),"","Tab")</f>
        <v/>
      </c>
      <c r="N20" s="6" t="str">
        <f>IF(OR('A créer'!D20="Oui",LEN('A créer'!D20)=0),"",IF($K20="DLS",'A créer'!G20,""))</f>
        <v/>
      </c>
      <c r="O20" s="2" t="str">
        <f>IF(OR('A créer'!D20="Oui",LEN('A créer'!D20)=0),"","Tab")</f>
        <v/>
      </c>
      <c r="P20" s="6" t="str">
        <f>IF(OR('A créer'!D20="Oui",LEN('A créer'!D20)=0),"",IF($K20="DMS",'A créer'!G20,""))</f>
        <v/>
      </c>
      <c r="Q20" s="2" t="str">
        <f>IF(OR('A créer'!D20="Oui",LEN('A créer'!D20)=0),"","Tab")</f>
        <v/>
      </c>
      <c r="R20" s="6" t="str">
        <f>IF(OR('A créer'!D20="Oui",LEN('A créer'!D20)=0),"",IF($K20="DRW",'A créer'!G20,""))</f>
        <v/>
      </c>
      <c r="S20" s="2" t="str">
        <f>IF(OR('A créer'!D20="Oui",LEN('A créer'!D20)=0),"","Tab")</f>
        <v/>
      </c>
      <c r="T20" s="6" t="str">
        <f>IF(OR('A créer'!D20="Oui",LEN('A créer'!D20)=0),"",IF($K20="DSW",'A créer'!G20,""))</f>
        <v/>
      </c>
      <c r="U20" s="2" t="str">
        <f>IF(OR('A créer'!D20="Oui",LEN('A créer'!D20)=0),"","Tab")</f>
        <v/>
      </c>
      <c r="V20" s="6" t="str">
        <f>IF(OR('A créer'!D20="Oui",LEN('A créer'!D20)=0),"",IF($K20="DEW",'A créer'!G20,""))</f>
        <v/>
      </c>
      <c r="W20" s="2" t="str">
        <f>IF(OR('A créer'!D20="Oui",LEN('A créer'!D20)=0),"","Tab")</f>
        <v/>
      </c>
      <c r="X20" s="6" t="str">
        <f>IF(OR('A créer'!D20="Oui",LEN('A créer'!D20)=0),"",IF($K20="DNA",'A créer'!G20,""))</f>
        <v/>
      </c>
      <c r="Y20" s="2" t="str">
        <f>IF(OR('A créer'!D20="Oui",LEN('A créer'!D20)=0),"","Tab")</f>
        <v/>
      </c>
      <c r="Z20" s="6" t="str">
        <f>IF(OR('A créer'!D20="Oui",LEN('A créer'!D20)=0),"",IF($K20="DOS",'A créer'!G20,""))</f>
        <v/>
      </c>
      <c r="AA20" s="2" t="str">
        <f>IF(OR('A créer'!D20="Oui",LEN('A créer'!D20)=0),"","Tab")</f>
        <v/>
      </c>
      <c r="AB20" s="2" t="str">
        <f>IF(OR('A créer'!D20="Oui",LEN('A créer'!D20)=0),"","Tab")</f>
        <v/>
      </c>
      <c r="AC20" s="6" t="str">
        <f>IF(OR('A créer'!D20="Oui",LEN('A créer'!D20)=0),"","OUI")</f>
        <v/>
      </c>
      <c r="AD20" s="2" t="str">
        <f>IF(OR('A créer'!D20="Oui",LEN('A créer'!D20)=0),"","Tab")</f>
        <v/>
      </c>
      <c r="AE20" s="2" t="str">
        <f>IF(OR('A créer'!D20="Oui",LEN('A créer'!D20)=0),"","ENT")</f>
        <v/>
      </c>
      <c r="AF20" s="2" t="str">
        <f>IF(OR('A créer'!D20="Oui",LEN('A créer'!D20)=0),"","*SAVE")</f>
        <v/>
      </c>
      <c r="AG20" s="2" t="str">
        <f>IF(OR('A créer'!D20="Oui",LEN('A créer'!D20)=0),"","*FN")</f>
        <v/>
      </c>
      <c r="AH20" s="6" t="str">
        <f>IF(OR('A créer'!D20="Oui",LEN('A créer'!D20)=0),"",CONCATENATE("A",RIGHT('A créer'!A20,3)))</f>
        <v/>
      </c>
      <c r="AI20" s="2" t="str">
        <f>IF(OR('A créer'!D20="Oui",LEN('A créer'!D20)=0),"","Tab")</f>
        <v/>
      </c>
      <c r="AJ20" s="6" t="str">
        <f>IF(OR('A créer'!D20="Oui",LEN('A créer'!D20)=0),"",CONCATENATE('A créer'!A20," Regroupement"))</f>
        <v/>
      </c>
      <c r="AK20" s="2" t="str">
        <f>IF(OR('A créer'!D20="Oui",LEN('A créer'!D20)=0),"","Tab4")</f>
        <v/>
      </c>
      <c r="AL20" s="2" t="str">
        <f>IF(OR('A créer'!D20="Oui",LEN('A créer'!D20)=0),"","*SB")</f>
        <v/>
      </c>
      <c r="AM20" s="2" t="str">
        <f>IF(OR('A créer'!D20="Oui",LEN('A créer'!D20)=0),"","Tab")</f>
        <v/>
      </c>
      <c r="AN20" s="6" t="str">
        <f>IF(OR('A créer'!D20="Oui",LEN('A créer'!D20)=0),"",CONCATENATE("A",'A créer'!A20))</f>
        <v/>
      </c>
      <c r="AO20" s="2" t="str">
        <f>IF(OR('A créer'!D20="Oui",LEN('A créer'!D20)=0),"","Tab")</f>
        <v/>
      </c>
      <c r="AP20" s="2" t="str">
        <f>IF(OR('A créer'!D20="Oui",LEN('A créer'!D20)=0),"","Tab")</f>
        <v/>
      </c>
      <c r="AQ20" s="2" t="str">
        <f>IF(OR('A créer'!D20="Oui",LEN('A créer'!D20)=0),"","ENT")</f>
        <v/>
      </c>
      <c r="AR20" s="6" t="str">
        <f>IF(OR('A créer'!D20="Oui",LEN('A créer'!D20)=0),"","Non")</f>
        <v/>
      </c>
      <c r="AS20" s="2" t="str">
        <f>IF(OR('A créer'!D20="Oui",LEN('A créer'!D20)=0),"","Tab")</f>
        <v/>
      </c>
      <c r="AT20" s="6" t="str">
        <f>IF(OR('A créer'!D20="Oui",LEN('A créer'!D20)=0),"","T")</f>
        <v/>
      </c>
      <c r="AU20" s="2" t="str">
        <f>IF(OR('A créer'!D20="Oui",LEN('A créer'!D20)=0),"","Tab")</f>
        <v/>
      </c>
      <c r="AV20" s="2" t="str">
        <f>IF(OR('A créer'!D20="Oui",LEN('A créer'!D20)=0),"","ENT")</f>
        <v/>
      </c>
      <c r="AW20" s="2" t="str">
        <f>IF(OR('A créer'!D20="Oui",LEN('A créer'!D20)=0),"","*SAVE")</f>
        <v/>
      </c>
      <c r="AX20" s="2" t="str">
        <f>IF(OR('A créer'!D20="Oui",LEN('A créer'!D20)=0),"","*UP")</f>
        <v/>
      </c>
      <c r="AY20" s="2" t="str">
        <f>IF(OR('A créer'!D20="Oui",LEN('A créer'!D20)=0),"","*Aé")</f>
        <v/>
      </c>
      <c r="AZ20" s="6" t="str">
        <f>IF(OR('A créer'!D20="Oui",LEN('A créer'!D20)=0),"",'A créer'!A20)</f>
        <v/>
      </c>
      <c r="BA20" s="2" t="str">
        <f>IF(OR('A créer'!D20="Oui",LEN('A créer'!D20)=0),"","Tab")</f>
        <v/>
      </c>
      <c r="BB20" s="2" t="str">
        <f>IF(OR('A créer'!D20="Oui",LEN('A créer'!D20)=0),"","*SAVE")</f>
        <v/>
      </c>
      <c r="BC20" s="2" t="str">
        <f>IF(OR('A créer'!D20="Oui",LEN('A créer'!D20)=0),"","*ML(751,97)")</f>
        <v/>
      </c>
    </row>
    <row r="21" spans="1:55" x14ac:dyDescent="0.35">
      <c r="A21" s="2" t="str">
        <f>IF(OR('A créer'!D21="Oui",LEN('A créer'!D21)=0),"","*FN")</f>
        <v/>
      </c>
      <c r="B21" s="6" t="str">
        <f>IF(OR('A créer'!D21="Oui",LEN('A créer'!D21)=0),"",'A créer'!A21)</f>
        <v/>
      </c>
      <c r="C21" s="2" t="str">
        <f>IF(OR('A créer'!D21="Oui",LEN('A créer'!D21)=0),"","Tab")</f>
        <v/>
      </c>
      <c r="D21" s="6" t="str">
        <f>IF(OR('A créer'!D21="Oui",LEN('A créer'!D21)=0),"",'A créer'!C21)</f>
        <v/>
      </c>
      <c r="E21" s="2" t="str">
        <f>IF(OR('A créer'!D21="Oui",LEN('A créer'!D21)=0),"","Tab4")</f>
        <v/>
      </c>
      <c r="F21" s="2" t="str">
        <f>IF(OR('A créer'!D21="Oui",LEN('A créer'!D21)=0),"","Tab")</f>
        <v/>
      </c>
      <c r="G21" s="2" t="str">
        <f>IF(OR('A créer'!D21="Oui",LEN('A créer'!D21)=0),"","Tab")</f>
        <v/>
      </c>
      <c r="H21" s="2" t="str">
        <f>IF(OR('A créer'!D21="Oui",LEN('A créer'!D21)=0),"","ENT")</f>
        <v/>
      </c>
      <c r="I21" s="6" t="str">
        <f>IF(OR('A créer'!D21="Oui",LEN('A créer'!D21)=0),"","Oui")</f>
        <v/>
      </c>
      <c r="J21" s="2" t="str">
        <f>IF(OR('A créer'!D21="Oui",LEN('A créer'!D21)=0),"","Tab")</f>
        <v/>
      </c>
      <c r="K21" s="6" t="str">
        <f>IF(OR('A créer'!D21="Oui",LEN('A créer'!D21)=0),"",'A créer'!H21)</f>
        <v/>
      </c>
      <c r="L21" s="6" t="str">
        <f>IF(OR('A créer'!D21="Oui",LEN('A créer'!D21)=0),"",IF($K21="DCW",'A créer'!G21,""))</f>
        <v/>
      </c>
      <c r="M21" s="2" t="str">
        <f>IF(OR('A créer'!D21="Oui",LEN('A créer'!D21)=0),"","Tab")</f>
        <v/>
      </c>
      <c r="N21" s="6" t="str">
        <f>IF(OR('A créer'!D21="Oui",LEN('A créer'!D21)=0),"",IF($K21="DLS",'A créer'!G21,""))</f>
        <v/>
      </c>
      <c r="O21" s="2" t="str">
        <f>IF(OR('A créer'!D21="Oui",LEN('A créer'!D21)=0),"","Tab")</f>
        <v/>
      </c>
      <c r="P21" s="6" t="str">
        <f>IF(OR('A créer'!D21="Oui",LEN('A créer'!D21)=0),"",IF($K21="DMS",'A créer'!G21,""))</f>
        <v/>
      </c>
      <c r="Q21" s="2" t="str">
        <f>IF(OR('A créer'!D21="Oui",LEN('A créer'!D21)=0),"","Tab")</f>
        <v/>
      </c>
      <c r="R21" s="6" t="str">
        <f>IF(OR('A créer'!D21="Oui",LEN('A créer'!D21)=0),"",IF($K21="DRW",'A créer'!G21,""))</f>
        <v/>
      </c>
      <c r="S21" s="2" t="str">
        <f>IF(OR('A créer'!D21="Oui",LEN('A créer'!D21)=0),"","Tab")</f>
        <v/>
      </c>
      <c r="T21" s="6" t="str">
        <f>IF(OR('A créer'!D21="Oui",LEN('A créer'!D21)=0),"",IF($K21="DSW",'A créer'!G21,""))</f>
        <v/>
      </c>
      <c r="U21" s="2" t="str">
        <f>IF(OR('A créer'!D21="Oui",LEN('A créer'!D21)=0),"","Tab")</f>
        <v/>
      </c>
      <c r="V21" s="6" t="str">
        <f>IF(OR('A créer'!D21="Oui",LEN('A créer'!D21)=0),"",IF($K21="DEW",'A créer'!G21,""))</f>
        <v/>
      </c>
      <c r="W21" s="2" t="str">
        <f>IF(OR('A créer'!D21="Oui",LEN('A créer'!D21)=0),"","Tab")</f>
        <v/>
      </c>
      <c r="X21" s="6" t="str">
        <f>IF(OR('A créer'!D21="Oui",LEN('A créer'!D21)=0),"",IF($K21="DNA",'A créer'!G21,""))</f>
        <v/>
      </c>
      <c r="Y21" s="2" t="str">
        <f>IF(OR('A créer'!D21="Oui",LEN('A créer'!D21)=0),"","Tab")</f>
        <v/>
      </c>
      <c r="Z21" s="6" t="str">
        <f>IF(OR('A créer'!D21="Oui",LEN('A créer'!D21)=0),"",IF($K21="DOS",'A créer'!G21,""))</f>
        <v/>
      </c>
      <c r="AA21" s="2" t="str">
        <f>IF(OR('A créer'!D21="Oui",LEN('A créer'!D21)=0),"","Tab")</f>
        <v/>
      </c>
      <c r="AB21" s="2" t="str">
        <f>IF(OR('A créer'!D21="Oui",LEN('A créer'!D21)=0),"","Tab")</f>
        <v/>
      </c>
      <c r="AC21" s="6" t="str">
        <f>IF(OR('A créer'!D21="Oui",LEN('A créer'!D21)=0),"","OUI")</f>
        <v/>
      </c>
      <c r="AD21" s="2" t="str">
        <f>IF(OR('A créer'!D21="Oui",LEN('A créer'!D21)=0),"","Tab")</f>
        <v/>
      </c>
      <c r="AE21" s="2" t="str">
        <f>IF(OR('A créer'!D21="Oui",LEN('A créer'!D21)=0),"","ENT")</f>
        <v/>
      </c>
      <c r="AF21" s="2" t="str">
        <f>IF(OR('A créer'!D21="Oui",LEN('A créer'!D21)=0),"","*SAVE")</f>
        <v/>
      </c>
      <c r="AG21" s="2" t="str">
        <f>IF(OR('A créer'!D21="Oui",LEN('A créer'!D21)=0),"","*FN")</f>
        <v/>
      </c>
      <c r="AH21" s="6" t="str">
        <f>IF(OR('A créer'!D21="Oui",LEN('A créer'!D21)=0),"",CONCATENATE("A",RIGHT('A créer'!A21,3)))</f>
        <v/>
      </c>
      <c r="AI21" s="2" t="str">
        <f>IF(OR('A créer'!D21="Oui",LEN('A créer'!D21)=0),"","Tab")</f>
        <v/>
      </c>
      <c r="AJ21" s="6" t="str">
        <f>IF(OR('A créer'!D21="Oui",LEN('A créer'!D21)=0),"",CONCATENATE('A créer'!A21," Regroupement"))</f>
        <v/>
      </c>
      <c r="AK21" s="2" t="str">
        <f>IF(OR('A créer'!D21="Oui",LEN('A créer'!D21)=0),"","Tab4")</f>
        <v/>
      </c>
      <c r="AL21" s="2" t="str">
        <f>IF(OR('A créer'!D21="Oui",LEN('A créer'!D21)=0),"","*SB")</f>
        <v/>
      </c>
      <c r="AM21" s="2" t="str">
        <f>IF(OR('A créer'!D21="Oui",LEN('A créer'!D21)=0),"","Tab")</f>
        <v/>
      </c>
      <c r="AN21" s="6" t="str">
        <f>IF(OR('A créer'!D21="Oui",LEN('A créer'!D21)=0),"",CONCATENATE("A",'A créer'!A21))</f>
        <v/>
      </c>
      <c r="AO21" s="2" t="str">
        <f>IF(OR('A créer'!D21="Oui",LEN('A créer'!D21)=0),"","Tab")</f>
        <v/>
      </c>
      <c r="AP21" s="2" t="str">
        <f>IF(OR('A créer'!D21="Oui",LEN('A créer'!D21)=0),"","Tab")</f>
        <v/>
      </c>
      <c r="AQ21" s="2" t="str">
        <f>IF(OR('A créer'!D21="Oui",LEN('A créer'!D21)=0),"","ENT")</f>
        <v/>
      </c>
      <c r="AR21" s="6" t="str">
        <f>IF(OR('A créer'!D21="Oui",LEN('A créer'!D21)=0),"","Non")</f>
        <v/>
      </c>
      <c r="AS21" s="2" t="str">
        <f>IF(OR('A créer'!D21="Oui",LEN('A créer'!D21)=0),"","Tab")</f>
        <v/>
      </c>
      <c r="AT21" s="6" t="str">
        <f>IF(OR('A créer'!D21="Oui",LEN('A créer'!D21)=0),"","T")</f>
        <v/>
      </c>
      <c r="AU21" s="2" t="str">
        <f>IF(OR('A créer'!D21="Oui",LEN('A créer'!D21)=0),"","Tab")</f>
        <v/>
      </c>
      <c r="AV21" s="2" t="str">
        <f>IF(OR('A créer'!D21="Oui",LEN('A créer'!D21)=0),"","ENT")</f>
        <v/>
      </c>
      <c r="AW21" s="2" t="str">
        <f>IF(OR('A créer'!D21="Oui",LEN('A créer'!D21)=0),"","*SAVE")</f>
        <v/>
      </c>
      <c r="AX21" s="2" t="str">
        <f>IF(OR('A créer'!D21="Oui",LEN('A créer'!D21)=0),"","*UP")</f>
        <v/>
      </c>
      <c r="AY21" s="2" t="str">
        <f>IF(OR('A créer'!D21="Oui",LEN('A créer'!D21)=0),"","*Aé")</f>
        <v/>
      </c>
      <c r="AZ21" s="6" t="str">
        <f>IF(OR('A créer'!D21="Oui",LEN('A créer'!D21)=0),"",'A créer'!A21)</f>
        <v/>
      </c>
      <c r="BA21" s="2" t="str">
        <f>IF(OR('A créer'!D21="Oui",LEN('A créer'!D21)=0),"","Tab")</f>
        <v/>
      </c>
      <c r="BB21" s="2" t="str">
        <f>IF(OR('A créer'!D21="Oui",LEN('A créer'!D21)=0),"","*SAVE")</f>
        <v/>
      </c>
      <c r="BC21" s="2" t="str">
        <f>IF(OR('A créer'!D21="Oui",LEN('A créer'!D21)=0),"","*ML(751,97)")</f>
        <v/>
      </c>
    </row>
    <row r="22" spans="1:55" x14ac:dyDescent="0.35">
      <c r="A22" s="2" t="str">
        <f>IF(OR('A créer'!D22="Oui",LEN('A créer'!D22)=0),"","*FN")</f>
        <v/>
      </c>
      <c r="B22" s="6" t="str">
        <f>IF(OR('A créer'!D22="Oui",LEN('A créer'!D22)=0),"",'A créer'!A22)</f>
        <v/>
      </c>
      <c r="C22" s="2" t="str">
        <f>IF(OR('A créer'!D22="Oui",LEN('A créer'!D22)=0),"","Tab")</f>
        <v/>
      </c>
      <c r="D22" s="6" t="str">
        <f>IF(OR('A créer'!D22="Oui",LEN('A créer'!D22)=0),"",'A créer'!C22)</f>
        <v/>
      </c>
      <c r="E22" s="2" t="str">
        <f>IF(OR('A créer'!D22="Oui",LEN('A créer'!D22)=0),"","Tab4")</f>
        <v/>
      </c>
      <c r="F22" s="2" t="str">
        <f>IF(OR('A créer'!D22="Oui",LEN('A créer'!D22)=0),"","Tab")</f>
        <v/>
      </c>
      <c r="G22" s="2" t="str">
        <f>IF(OR('A créer'!D22="Oui",LEN('A créer'!D22)=0),"","Tab")</f>
        <v/>
      </c>
      <c r="H22" s="2" t="str">
        <f>IF(OR('A créer'!D22="Oui",LEN('A créer'!D22)=0),"","ENT")</f>
        <v/>
      </c>
      <c r="I22" s="6" t="str">
        <f>IF(OR('A créer'!D22="Oui",LEN('A créer'!D22)=0),"","Oui")</f>
        <v/>
      </c>
      <c r="J22" s="2" t="str">
        <f>IF(OR('A créer'!D22="Oui",LEN('A créer'!D22)=0),"","Tab")</f>
        <v/>
      </c>
      <c r="K22" s="6" t="str">
        <f>IF(OR('A créer'!D22="Oui",LEN('A créer'!D22)=0),"",'A créer'!H22)</f>
        <v/>
      </c>
      <c r="L22" s="6" t="str">
        <f>IF(OR('A créer'!D22="Oui",LEN('A créer'!D22)=0),"",IF($K22="DCW",'A créer'!G22,""))</f>
        <v/>
      </c>
      <c r="M22" s="2" t="str">
        <f>IF(OR('A créer'!D22="Oui",LEN('A créer'!D22)=0),"","Tab")</f>
        <v/>
      </c>
      <c r="N22" s="6" t="str">
        <f>IF(OR('A créer'!D22="Oui",LEN('A créer'!D22)=0),"",IF($K22="DLS",'A créer'!G22,""))</f>
        <v/>
      </c>
      <c r="O22" s="2" t="str">
        <f>IF(OR('A créer'!D22="Oui",LEN('A créer'!D22)=0),"","Tab")</f>
        <v/>
      </c>
      <c r="P22" s="6" t="str">
        <f>IF(OR('A créer'!D22="Oui",LEN('A créer'!D22)=0),"",IF($K22="DMS",'A créer'!G22,""))</f>
        <v/>
      </c>
      <c r="Q22" s="2" t="str">
        <f>IF(OR('A créer'!D22="Oui",LEN('A créer'!D22)=0),"","Tab")</f>
        <v/>
      </c>
      <c r="R22" s="6" t="str">
        <f>IF(OR('A créer'!D22="Oui",LEN('A créer'!D22)=0),"",IF($K22="DRW",'A créer'!G22,""))</f>
        <v/>
      </c>
      <c r="S22" s="2" t="str">
        <f>IF(OR('A créer'!D22="Oui",LEN('A créer'!D22)=0),"","Tab")</f>
        <v/>
      </c>
      <c r="T22" s="6" t="str">
        <f>IF(OR('A créer'!D22="Oui",LEN('A créer'!D22)=0),"",IF($K22="DSW",'A créer'!G22,""))</f>
        <v/>
      </c>
      <c r="U22" s="2" t="str">
        <f>IF(OR('A créer'!D22="Oui",LEN('A créer'!D22)=0),"","Tab")</f>
        <v/>
      </c>
      <c r="V22" s="6" t="str">
        <f>IF(OR('A créer'!D22="Oui",LEN('A créer'!D22)=0),"",IF($K22="DEW",'A créer'!G22,""))</f>
        <v/>
      </c>
      <c r="W22" s="2" t="str">
        <f>IF(OR('A créer'!D22="Oui",LEN('A créer'!D22)=0),"","Tab")</f>
        <v/>
      </c>
      <c r="X22" s="6" t="str">
        <f>IF(OR('A créer'!D22="Oui",LEN('A créer'!D22)=0),"",IF($K22="DNA",'A créer'!G22,""))</f>
        <v/>
      </c>
      <c r="Y22" s="2" t="str">
        <f>IF(OR('A créer'!D22="Oui",LEN('A créer'!D22)=0),"","Tab")</f>
        <v/>
      </c>
      <c r="Z22" s="6" t="str">
        <f>IF(OR('A créer'!D22="Oui",LEN('A créer'!D22)=0),"",IF($K22="DOS",'A créer'!G22,""))</f>
        <v/>
      </c>
      <c r="AA22" s="2" t="str">
        <f>IF(OR('A créer'!D22="Oui",LEN('A créer'!D22)=0),"","Tab")</f>
        <v/>
      </c>
      <c r="AB22" s="2" t="str">
        <f>IF(OR('A créer'!D22="Oui",LEN('A créer'!D22)=0),"","Tab")</f>
        <v/>
      </c>
      <c r="AC22" s="6" t="str">
        <f>IF(OR('A créer'!D22="Oui",LEN('A créer'!D22)=0),"","OUI")</f>
        <v/>
      </c>
      <c r="AD22" s="2" t="str">
        <f>IF(OR('A créer'!D22="Oui",LEN('A créer'!D22)=0),"","Tab")</f>
        <v/>
      </c>
      <c r="AE22" s="2" t="str">
        <f>IF(OR('A créer'!D22="Oui",LEN('A créer'!D22)=0),"","ENT")</f>
        <v/>
      </c>
      <c r="AF22" s="2" t="str">
        <f>IF(OR('A créer'!D22="Oui",LEN('A créer'!D22)=0),"","*SAVE")</f>
        <v/>
      </c>
      <c r="AG22" s="2" t="str">
        <f>IF(OR('A créer'!D22="Oui",LEN('A créer'!D22)=0),"","*FN")</f>
        <v/>
      </c>
      <c r="AH22" s="6" t="str">
        <f>IF(OR('A créer'!D22="Oui",LEN('A créer'!D22)=0),"",CONCATENATE("A",RIGHT('A créer'!A22,3)))</f>
        <v/>
      </c>
      <c r="AI22" s="2" t="str">
        <f>IF(OR('A créer'!D22="Oui",LEN('A créer'!D22)=0),"","Tab")</f>
        <v/>
      </c>
      <c r="AJ22" s="6" t="str">
        <f>IF(OR('A créer'!D22="Oui",LEN('A créer'!D22)=0),"",CONCATENATE('A créer'!A22," Regroupement"))</f>
        <v/>
      </c>
      <c r="AK22" s="2" t="str">
        <f>IF(OR('A créer'!D22="Oui",LEN('A créer'!D22)=0),"","Tab4")</f>
        <v/>
      </c>
      <c r="AL22" s="2" t="str">
        <f>IF(OR('A créer'!D22="Oui",LEN('A créer'!D22)=0),"","*SB")</f>
        <v/>
      </c>
      <c r="AM22" s="2" t="str">
        <f>IF(OR('A créer'!D22="Oui",LEN('A créer'!D22)=0),"","Tab")</f>
        <v/>
      </c>
      <c r="AN22" s="6" t="str">
        <f>IF(OR('A créer'!D22="Oui",LEN('A créer'!D22)=0),"",CONCATENATE("A",'A créer'!A22))</f>
        <v/>
      </c>
      <c r="AO22" s="2" t="str">
        <f>IF(OR('A créer'!D22="Oui",LEN('A créer'!D22)=0),"","Tab")</f>
        <v/>
      </c>
      <c r="AP22" s="2" t="str">
        <f>IF(OR('A créer'!D22="Oui",LEN('A créer'!D22)=0),"","Tab")</f>
        <v/>
      </c>
      <c r="AQ22" s="2" t="str">
        <f>IF(OR('A créer'!D22="Oui",LEN('A créer'!D22)=0),"","ENT")</f>
        <v/>
      </c>
      <c r="AR22" s="6" t="str">
        <f>IF(OR('A créer'!D22="Oui",LEN('A créer'!D22)=0),"","Non")</f>
        <v/>
      </c>
      <c r="AS22" s="2" t="str">
        <f>IF(OR('A créer'!D22="Oui",LEN('A créer'!D22)=0),"","Tab")</f>
        <v/>
      </c>
      <c r="AT22" s="6" t="str">
        <f>IF(OR('A créer'!D22="Oui",LEN('A créer'!D22)=0),"","T")</f>
        <v/>
      </c>
      <c r="AU22" s="2" t="str">
        <f>IF(OR('A créer'!D22="Oui",LEN('A créer'!D22)=0),"","Tab")</f>
        <v/>
      </c>
      <c r="AV22" s="2" t="str">
        <f>IF(OR('A créer'!D22="Oui",LEN('A créer'!D22)=0),"","ENT")</f>
        <v/>
      </c>
      <c r="AW22" s="2" t="str">
        <f>IF(OR('A créer'!D22="Oui",LEN('A créer'!D22)=0),"","*SAVE")</f>
        <v/>
      </c>
      <c r="AX22" s="2" t="str">
        <f>IF(OR('A créer'!D22="Oui",LEN('A créer'!D22)=0),"","*UP")</f>
        <v/>
      </c>
      <c r="AY22" s="2" t="str">
        <f>IF(OR('A créer'!D22="Oui",LEN('A créer'!D22)=0),"","*Aé")</f>
        <v/>
      </c>
      <c r="AZ22" s="6" t="str">
        <f>IF(OR('A créer'!D22="Oui",LEN('A créer'!D22)=0),"",'A créer'!A22)</f>
        <v/>
      </c>
      <c r="BA22" s="2" t="str">
        <f>IF(OR('A créer'!D22="Oui",LEN('A créer'!D22)=0),"","Tab")</f>
        <v/>
      </c>
      <c r="BB22" s="2" t="str">
        <f>IF(OR('A créer'!D22="Oui",LEN('A créer'!D22)=0),"","*SAVE")</f>
        <v/>
      </c>
      <c r="BC22" s="2" t="str">
        <f>IF(OR('A créer'!D22="Oui",LEN('A créer'!D22)=0),"","*ML(751,97)")</f>
        <v/>
      </c>
    </row>
    <row r="23" spans="1:55" x14ac:dyDescent="0.35">
      <c r="A23" s="2" t="str">
        <f>IF(OR('A créer'!D23="Oui",LEN('A créer'!D23)=0),"","*FN")</f>
        <v/>
      </c>
      <c r="B23" s="6" t="str">
        <f>IF(OR('A créer'!D23="Oui",LEN('A créer'!D23)=0),"",'A créer'!A23)</f>
        <v/>
      </c>
      <c r="C23" s="2" t="str">
        <f>IF(OR('A créer'!D23="Oui",LEN('A créer'!D23)=0),"","Tab")</f>
        <v/>
      </c>
      <c r="D23" s="6" t="str">
        <f>IF(OR('A créer'!D23="Oui",LEN('A créer'!D23)=0),"",'A créer'!C23)</f>
        <v/>
      </c>
      <c r="E23" s="2" t="str">
        <f>IF(OR('A créer'!D23="Oui",LEN('A créer'!D23)=0),"","Tab4")</f>
        <v/>
      </c>
      <c r="F23" s="2" t="str">
        <f>IF(OR('A créer'!D23="Oui",LEN('A créer'!D23)=0),"","Tab")</f>
        <v/>
      </c>
      <c r="G23" s="2" t="str">
        <f>IF(OR('A créer'!D23="Oui",LEN('A créer'!D23)=0),"","Tab")</f>
        <v/>
      </c>
      <c r="H23" s="2" t="str">
        <f>IF(OR('A créer'!D23="Oui",LEN('A créer'!D23)=0),"","ENT")</f>
        <v/>
      </c>
      <c r="I23" s="6" t="str">
        <f>IF(OR('A créer'!D23="Oui",LEN('A créer'!D23)=0),"","Oui")</f>
        <v/>
      </c>
      <c r="J23" s="2" t="str">
        <f>IF(OR('A créer'!D23="Oui",LEN('A créer'!D23)=0),"","Tab")</f>
        <v/>
      </c>
      <c r="K23" s="6" t="str">
        <f>IF(OR('A créer'!D23="Oui",LEN('A créer'!D23)=0),"",'A créer'!H23)</f>
        <v/>
      </c>
      <c r="L23" s="6" t="str">
        <f>IF(OR('A créer'!D23="Oui",LEN('A créer'!D23)=0),"",IF($K23="DCW",'A créer'!G23,""))</f>
        <v/>
      </c>
      <c r="M23" s="2" t="str">
        <f>IF(OR('A créer'!D23="Oui",LEN('A créer'!D23)=0),"","Tab")</f>
        <v/>
      </c>
      <c r="N23" s="6" t="str">
        <f>IF(OR('A créer'!D23="Oui",LEN('A créer'!D23)=0),"",IF($K23="DLS",'A créer'!G23,""))</f>
        <v/>
      </c>
      <c r="O23" s="2" t="str">
        <f>IF(OR('A créer'!D23="Oui",LEN('A créer'!D23)=0),"","Tab")</f>
        <v/>
      </c>
      <c r="P23" s="6" t="str">
        <f>IF(OR('A créer'!D23="Oui",LEN('A créer'!D23)=0),"",IF($K23="DMS",'A créer'!G23,""))</f>
        <v/>
      </c>
      <c r="Q23" s="2" t="str">
        <f>IF(OR('A créer'!D23="Oui",LEN('A créer'!D23)=0),"","Tab")</f>
        <v/>
      </c>
      <c r="R23" s="6" t="str">
        <f>IF(OR('A créer'!D23="Oui",LEN('A créer'!D23)=0),"",IF($K23="DRW",'A créer'!G23,""))</f>
        <v/>
      </c>
      <c r="S23" s="2" t="str">
        <f>IF(OR('A créer'!D23="Oui",LEN('A créer'!D23)=0),"","Tab")</f>
        <v/>
      </c>
      <c r="T23" s="6" t="str">
        <f>IF(OR('A créer'!D23="Oui",LEN('A créer'!D23)=0),"",IF($K23="DSW",'A créer'!G23,""))</f>
        <v/>
      </c>
      <c r="U23" s="2" t="str">
        <f>IF(OR('A créer'!D23="Oui",LEN('A créer'!D23)=0),"","Tab")</f>
        <v/>
      </c>
      <c r="V23" s="6" t="str">
        <f>IF(OR('A créer'!D23="Oui",LEN('A créer'!D23)=0),"",IF($K23="DEW",'A créer'!G23,""))</f>
        <v/>
      </c>
      <c r="W23" s="2" t="str">
        <f>IF(OR('A créer'!D23="Oui",LEN('A créer'!D23)=0),"","Tab")</f>
        <v/>
      </c>
      <c r="X23" s="6" t="str">
        <f>IF(OR('A créer'!D23="Oui",LEN('A créer'!D23)=0),"",IF($K23="DNA",'A créer'!G23,""))</f>
        <v/>
      </c>
      <c r="Y23" s="2" t="str">
        <f>IF(OR('A créer'!D23="Oui",LEN('A créer'!D23)=0),"","Tab")</f>
        <v/>
      </c>
      <c r="Z23" s="6" t="str">
        <f>IF(OR('A créer'!D23="Oui",LEN('A créer'!D23)=0),"",IF($K23="DOS",'A créer'!G23,""))</f>
        <v/>
      </c>
      <c r="AA23" s="2" t="str">
        <f>IF(OR('A créer'!D23="Oui",LEN('A créer'!D23)=0),"","Tab")</f>
        <v/>
      </c>
      <c r="AB23" s="2" t="str">
        <f>IF(OR('A créer'!D23="Oui",LEN('A créer'!D23)=0),"","Tab")</f>
        <v/>
      </c>
      <c r="AC23" s="6" t="str">
        <f>IF(OR('A créer'!D23="Oui",LEN('A créer'!D23)=0),"","OUI")</f>
        <v/>
      </c>
      <c r="AD23" s="2" t="str">
        <f>IF(OR('A créer'!D23="Oui",LEN('A créer'!D23)=0),"","Tab")</f>
        <v/>
      </c>
      <c r="AE23" s="2" t="str">
        <f>IF(OR('A créer'!D23="Oui",LEN('A créer'!D23)=0),"","ENT")</f>
        <v/>
      </c>
      <c r="AF23" s="2" t="str">
        <f>IF(OR('A créer'!D23="Oui",LEN('A créer'!D23)=0),"","*SAVE")</f>
        <v/>
      </c>
      <c r="AG23" s="2" t="str">
        <f>IF(OR('A créer'!D23="Oui",LEN('A créer'!D23)=0),"","*FN")</f>
        <v/>
      </c>
      <c r="AH23" s="6" t="str">
        <f>IF(OR('A créer'!D23="Oui",LEN('A créer'!D23)=0),"",CONCATENATE("A",RIGHT('A créer'!A23,3)))</f>
        <v/>
      </c>
      <c r="AI23" s="2" t="str">
        <f>IF(OR('A créer'!D23="Oui",LEN('A créer'!D23)=0),"","Tab")</f>
        <v/>
      </c>
      <c r="AJ23" s="6" t="str">
        <f>IF(OR('A créer'!D23="Oui",LEN('A créer'!D23)=0),"",CONCATENATE('A créer'!A23," Regroupement"))</f>
        <v/>
      </c>
      <c r="AK23" s="2" t="str">
        <f>IF(OR('A créer'!D23="Oui",LEN('A créer'!D23)=0),"","Tab4")</f>
        <v/>
      </c>
      <c r="AL23" s="2" t="str">
        <f>IF(OR('A créer'!D23="Oui",LEN('A créer'!D23)=0),"","*SB")</f>
        <v/>
      </c>
      <c r="AM23" s="2" t="str">
        <f>IF(OR('A créer'!D23="Oui",LEN('A créer'!D23)=0),"","Tab")</f>
        <v/>
      </c>
      <c r="AN23" s="6" t="str">
        <f>IF(OR('A créer'!D23="Oui",LEN('A créer'!D23)=0),"",CONCATENATE("A",'A créer'!A23))</f>
        <v/>
      </c>
      <c r="AO23" s="2" t="str">
        <f>IF(OR('A créer'!D23="Oui",LEN('A créer'!D23)=0),"","Tab")</f>
        <v/>
      </c>
      <c r="AP23" s="2" t="str">
        <f>IF(OR('A créer'!D23="Oui",LEN('A créer'!D23)=0),"","Tab")</f>
        <v/>
      </c>
      <c r="AQ23" s="2" t="str">
        <f>IF(OR('A créer'!D23="Oui",LEN('A créer'!D23)=0),"","ENT")</f>
        <v/>
      </c>
      <c r="AR23" s="6" t="str">
        <f>IF(OR('A créer'!D23="Oui",LEN('A créer'!D23)=0),"","Non")</f>
        <v/>
      </c>
      <c r="AS23" s="2" t="str">
        <f>IF(OR('A créer'!D23="Oui",LEN('A créer'!D23)=0),"","Tab")</f>
        <v/>
      </c>
      <c r="AT23" s="6" t="str">
        <f>IF(OR('A créer'!D23="Oui",LEN('A créer'!D23)=0),"","T")</f>
        <v/>
      </c>
      <c r="AU23" s="2" t="str">
        <f>IF(OR('A créer'!D23="Oui",LEN('A créer'!D23)=0),"","Tab")</f>
        <v/>
      </c>
      <c r="AV23" s="2" t="str">
        <f>IF(OR('A créer'!D23="Oui",LEN('A créer'!D23)=0),"","ENT")</f>
        <v/>
      </c>
      <c r="AW23" s="2" t="str">
        <f>IF(OR('A créer'!D23="Oui",LEN('A créer'!D23)=0),"","*SAVE")</f>
        <v/>
      </c>
      <c r="AX23" s="2" t="str">
        <f>IF(OR('A créer'!D23="Oui",LEN('A créer'!D23)=0),"","*UP")</f>
        <v/>
      </c>
      <c r="AY23" s="2" t="str">
        <f>IF(OR('A créer'!D23="Oui",LEN('A créer'!D23)=0),"","*Aé")</f>
        <v/>
      </c>
      <c r="AZ23" s="6" t="str">
        <f>IF(OR('A créer'!D23="Oui",LEN('A créer'!D23)=0),"",'A créer'!A23)</f>
        <v/>
      </c>
      <c r="BA23" s="2" t="str">
        <f>IF(OR('A créer'!D23="Oui",LEN('A créer'!D23)=0),"","Tab")</f>
        <v/>
      </c>
      <c r="BB23" s="2" t="str">
        <f>IF(OR('A créer'!D23="Oui",LEN('A créer'!D23)=0),"","*SAVE")</f>
        <v/>
      </c>
      <c r="BC23" s="2" t="str">
        <f>IF(OR('A créer'!D23="Oui",LEN('A créer'!D23)=0),"","*ML(751,97)")</f>
        <v/>
      </c>
    </row>
    <row r="24" spans="1:55" x14ac:dyDescent="0.35">
      <c r="A24" s="2" t="str">
        <f>IF(OR('A créer'!D24="Oui",LEN('A créer'!D24)=0),"","*FN")</f>
        <v/>
      </c>
      <c r="B24" s="6" t="str">
        <f>IF(OR('A créer'!D24="Oui",LEN('A créer'!D24)=0),"",'A créer'!A24)</f>
        <v/>
      </c>
      <c r="C24" s="2" t="str">
        <f>IF(OR('A créer'!D24="Oui",LEN('A créer'!D24)=0),"","Tab")</f>
        <v/>
      </c>
      <c r="D24" s="6" t="str">
        <f>IF(OR('A créer'!D24="Oui",LEN('A créer'!D24)=0),"",'A créer'!C24)</f>
        <v/>
      </c>
      <c r="E24" s="2" t="str">
        <f>IF(OR('A créer'!D24="Oui",LEN('A créer'!D24)=0),"","Tab4")</f>
        <v/>
      </c>
      <c r="F24" s="2" t="str">
        <f>IF(OR('A créer'!D24="Oui",LEN('A créer'!D24)=0),"","Tab")</f>
        <v/>
      </c>
      <c r="G24" s="2" t="str">
        <f>IF(OR('A créer'!D24="Oui",LEN('A créer'!D24)=0),"","Tab")</f>
        <v/>
      </c>
      <c r="H24" s="2" t="str">
        <f>IF(OR('A créer'!D24="Oui",LEN('A créer'!D24)=0),"","ENT")</f>
        <v/>
      </c>
      <c r="I24" s="6" t="str">
        <f>IF(OR('A créer'!D24="Oui",LEN('A créer'!D24)=0),"","Oui")</f>
        <v/>
      </c>
      <c r="J24" s="2" t="str">
        <f>IF(OR('A créer'!D24="Oui",LEN('A créer'!D24)=0),"","Tab")</f>
        <v/>
      </c>
      <c r="K24" s="6" t="str">
        <f>IF(OR('A créer'!D24="Oui",LEN('A créer'!D24)=0),"",'A créer'!H24)</f>
        <v/>
      </c>
      <c r="L24" s="6" t="str">
        <f>IF(OR('A créer'!D24="Oui",LEN('A créer'!D24)=0),"",IF($K24="DCW",'A créer'!G24,""))</f>
        <v/>
      </c>
      <c r="M24" s="2" t="str">
        <f>IF(OR('A créer'!D24="Oui",LEN('A créer'!D24)=0),"","Tab")</f>
        <v/>
      </c>
      <c r="N24" s="6" t="str">
        <f>IF(OR('A créer'!D24="Oui",LEN('A créer'!D24)=0),"",IF($K24="DLS",'A créer'!G24,""))</f>
        <v/>
      </c>
      <c r="O24" s="2" t="str">
        <f>IF(OR('A créer'!D24="Oui",LEN('A créer'!D24)=0),"","Tab")</f>
        <v/>
      </c>
      <c r="P24" s="6" t="str">
        <f>IF(OR('A créer'!D24="Oui",LEN('A créer'!D24)=0),"",IF($K24="DMS",'A créer'!G24,""))</f>
        <v/>
      </c>
      <c r="Q24" s="2" t="str">
        <f>IF(OR('A créer'!D24="Oui",LEN('A créer'!D24)=0),"","Tab")</f>
        <v/>
      </c>
      <c r="R24" s="6" t="str">
        <f>IF(OR('A créer'!D24="Oui",LEN('A créer'!D24)=0),"",IF($K24="DRW",'A créer'!G24,""))</f>
        <v/>
      </c>
      <c r="S24" s="2" t="str">
        <f>IF(OR('A créer'!D24="Oui",LEN('A créer'!D24)=0),"","Tab")</f>
        <v/>
      </c>
      <c r="T24" s="6" t="str">
        <f>IF(OR('A créer'!D24="Oui",LEN('A créer'!D24)=0),"",IF($K24="DSW",'A créer'!G24,""))</f>
        <v/>
      </c>
      <c r="U24" s="2" t="str">
        <f>IF(OR('A créer'!D24="Oui",LEN('A créer'!D24)=0),"","Tab")</f>
        <v/>
      </c>
      <c r="V24" s="6" t="str">
        <f>IF(OR('A créer'!D24="Oui",LEN('A créer'!D24)=0),"",IF($K24="DEW",'A créer'!G24,""))</f>
        <v/>
      </c>
      <c r="W24" s="2" t="str">
        <f>IF(OR('A créer'!D24="Oui",LEN('A créer'!D24)=0),"","Tab")</f>
        <v/>
      </c>
      <c r="X24" s="6" t="str">
        <f>IF(OR('A créer'!D24="Oui",LEN('A créer'!D24)=0),"",IF($K24="DNA",'A créer'!G24,""))</f>
        <v/>
      </c>
      <c r="Y24" s="2" t="str">
        <f>IF(OR('A créer'!D24="Oui",LEN('A créer'!D24)=0),"","Tab")</f>
        <v/>
      </c>
      <c r="Z24" s="6" t="str">
        <f>IF(OR('A créer'!D24="Oui",LEN('A créer'!D24)=0),"",IF($K24="DOS",'A créer'!G24,""))</f>
        <v/>
      </c>
      <c r="AA24" s="2" t="str">
        <f>IF(OR('A créer'!D24="Oui",LEN('A créer'!D24)=0),"","Tab")</f>
        <v/>
      </c>
      <c r="AB24" s="2" t="str">
        <f>IF(OR('A créer'!D24="Oui",LEN('A créer'!D24)=0),"","Tab")</f>
        <v/>
      </c>
      <c r="AC24" s="6" t="str">
        <f>IF(OR('A créer'!D24="Oui",LEN('A créer'!D24)=0),"","OUI")</f>
        <v/>
      </c>
      <c r="AD24" s="2" t="str">
        <f>IF(OR('A créer'!D24="Oui",LEN('A créer'!D24)=0),"","Tab")</f>
        <v/>
      </c>
      <c r="AE24" s="2" t="str">
        <f>IF(OR('A créer'!D24="Oui",LEN('A créer'!D24)=0),"","ENT")</f>
        <v/>
      </c>
      <c r="AF24" s="2" t="str">
        <f>IF(OR('A créer'!D24="Oui",LEN('A créer'!D24)=0),"","*SAVE")</f>
        <v/>
      </c>
      <c r="AG24" s="2" t="str">
        <f>IF(OR('A créer'!D24="Oui",LEN('A créer'!D24)=0),"","*FN")</f>
        <v/>
      </c>
      <c r="AH24" s="6" t="str">
        <f>IF(OR('A créer'!D24="Oui",LEN('A créer'!D24)=0),"",CONCATENATE("A",RIGHT('A créer'!A24,3)))</f>
        <v/>
      </c>
      <c r="AI24" s="2" t="str">
        <f>IF(OR('A créer'!D24="Oui",LEN('A créer'!D24)=0),"","Tab")</f>
        <v/>
      </c>
      <c r="AJ24" s="6" t="str">
        <f>IF(OR('A créer'!D24="Oui",LEN('A créer'!D24)=0),"",CONCATENATE('A créer'!A24," Regroupement"))</f>
        <v/>
      </c>
      <c r="AK24" s="2" t="str">
        <f>IF(OR('A créer'!D24="Oui",LEN('A créer'!D24)=0),"","Tab4")</f>
        <v/>
      </c>
      <c r="AL24" s="2" t="str">
        <f>IF(OR('A créer'!D24="Oui",LEN('A créer'!D24)=0),"","*SB")</f>
        <v/>
      </c>
      <c r="AM24" s="2" t="str">
        <f>IF(OR('A créer'!D24="Oui",LEN('A créer'!D24)=0),"","Tab")</f>
        <v/>
      </c>
      <c r="AN24" s="6" t="str">
        <f>IF(OR('A créer'!D24="Oui",LEN('A créer'!D24)=0),"",CONCATENATE("A",'A créer'!A24))</f>
        <v/>
      </c>
      <c r="AO24" s="2" t="str">
        <f>IF(OR('A créer'!D24="Oui",LEN('A créer'!D24)=0),"","Tab")</f>
        <v/>
      </c>
      <c r="AP24" s="2" t="str">
        <f>IF(OR('A créer'!D24="Oui",LEN('A créer'!D24)=0),"","Tab")</f>
        <v/>
      </c>
      <c r="AQ24" s="2" t="str">
        <f>IF(OR('A créer'!D24="Oui",LEN('A créer'!D24)=0),"","ENT")</f>
        <v/>
      </c>
      <c r="AR24" s="6" t="str">
        <f>IF(OR('A créer'!D24="Oui",LEN('A créer'!D24)=0),"","Non")</f>
        <v/>
      </c>
      <c r="AS24" s="2" t="str">
        <f>IF(OR('A créer'!D24="Oui",LEN('A créer'!D24)=0),"","Tab")</f>
        <v/>
      </c>
      <c r="AT24" s="6" t="str">
        <f>IF(OR('A créer'!D24="Oui",LEN('A créer'!D24)=0),"","T")</f>
        <v/>
      </c>
      <c r="AU24" s="2" t="str">
        <f>IF(OR('A créer'!D24="Oui",LEN('A créer'!D24)=0),"","Tab")</f>
        <v/>
      </c>
      <c r="AV24" s="2" t="str">
        <f>IF(OR('A créer'!D24="Oui",LEN('A créer'!D24)=0),"","ENT")</f>
        <v/>
      </c>
      <c r="AW24" s="2" t="str">
        <f>IF(OR('A créer'!D24="Oui",LEN('A créer'!D24)=0),"","*SAVE")</f>
        <v/>
      </c>
      <c r="AX24" s="2" t="str">
        <f>IF(OR('A créer'!D24="Oui",LEN('A créer'!D24)=0),"","*UP")</f>
        <v/>
      </c>
      <c r="AY24" s="2" t="str">
        <f>IF(OR('A créer'!D24="Oui",LEN('A créer'!D24)=0),"","*Aé")</f>
        <v/>
      </c>
      <c r="AZ24" s="6" t="str">
        <f>IF(OR('A créer'!D24="Oui",LEN('A créer'!D24)=0),"",'A créer'!A24)</f>
        <v/>
      </c>
      <c r="BA24" s="2" t="str">
        <f>IF(OR('A créer'!D24="Oui",LEN('A créer'!D24)=0),"","Tab")</f>
        <v/>
      </c>
      <c r="BB24" s="2" t="str">
        <f>IF(OR('A créer'!D24="Oui",LEN('A créer'!D24)=0),"","*SAVE")</f>
        <v/>
      </c>
      <c r="BC24" s="2" t="str">
        <f>IF(OR('A créer'!D24="Oui",LEN('A créer'!D24)=0),"","*ML(751,97)")</f>
        <v/>
      </c>
    </row>
    <row r="25" spans="1:55" x14ac:dyDescent="0.35">
      <c r="A25" s="2" t="str">
        <f>IF(OR('A créer'!D25="Oui",LEN('A créer'!D25)=0),"","*FN")</f>
        <v/>
      </c>
      <c r="B25" s="6" t="str">
        <f>IF(OR('A créer'!D25="Oui",LEN('A créer'!D25)=0),"",'A créer'!A25)</f>
        <v/>
      </c>
      <c r="C25" s="2" t="str">
        <f>IF(OR('A créer'!D25="Oui",LEN('A créer'!D25)=0),"","Tab")</f>
        <v/>
      </c>
      <c r="D25" s="6" t="str">
        <f>IF(OR('A créer'!D25="Oui",LEN('A créer'!D25)=0),"",'A créer'!C25)</f>
        <v/>
      </c>
      <c r="E25" s="2" t="str">
        <f>IF(OR('A créer'!D25="Oui",LEN('A créer'!D25)=0),"","Tab4")</f>
        <v/>
      </c>
      <c r="F25" s="2" t="str">
        <f>IF(OR('A créer'!D25="Oui",LEN('A créer'!D25)=0),"","Tab")</f>
        <v/>
      </c>
      <c r="G25" s="2" t="str">
        <f>IF(OR('A créer'!D25="Oui",LEN('A créer'!D25)=0),"","Tab")</f>
        <v/>
      </c>
      <c r="H25" s="2" t="str">
        <f>IF(OR('A créer'!D25="Oui",LEN('A créer'!D25)=0),"","ENT")</f>
        <v/>
      </c>
      <c r="I25" s="6" t="str">
        <f>IF(OR('A créer'!D25="Oui",LEN('A créer'!D25)=0),"","Oui")</f>
        <v/>
      </c>
      <c r="J25" s="2" t="str">
        <f>IF(OR('A créer'!D25="Oui",LEN('A créer'!D25)=0),"","Tab")</f>
        <v/>
      </c>
      <c r="K25" s="6" t="str">
        <f>IF(OR('A créer'!D25="Oui",LEN('A créer'!D25)=0),"",'A créer'!H25)</f>
        <v/>
      </c>
      <c r="L25" s="6" t="str">
        <f>IF(OR('A créer'!D25="Oui",LEN('A créer'!D25)=0),"",IF($K25="DCW",'A créer'!G25,""))</f>
        <v/>
      </c>
      <c r="M25" s="2" t="str">
        <f>IF(OR('A créer'!D25="Oui",LEN('A créer'!D25)=0),"","Tab")</f>
        <v/>
      </c>
      <c r="N25" s="6" t="str">
        <f>IF(OR('A créer'!D25="Oui",LEN('A créer'!D25)=0),"",IF($K25="DLS",'A créer'!G25,""))</f>
        <v/>
      </c>
      <c r="O25" s="2" t="str">
        <f>IF(OR('A créer'!D25="Oui",LEN('A créer'!D25)=0),"","Tab")</f>
        <v/>
      </c>
      <c r="P25" s="6" t="str">
        <f>IF(OR('A créer'!D25="Oui",LEN('A créer'!D25)=0),"",IF($K25="DMS",'A créer'!G25,""))</f>
        <v/>
      </c>
      <c r="Q25" s="2" t="str">
        <f>IF(OR('A créer'!D25="Oui",LEN('A créer'!D25)=0),"","Tab")</f>
        <v/>
      </c>
      <c r="R25" s="6" t="str">
        <f>IF(OR('A créer'!D25="Oui",LEN('A créer'!D25)=0),"",IF($K25="DRW",'A créer'!G25,""))</f>
        <v/>
      </c>
      <c r="S25" s="2" t="str">
        <f>IF(OR('A créer'!D25="Oui",LEN('A créer'!D25)=0),"","Tab")</f>
        <v/>
      </c>
      <c r="T25" s="6" t="str">
        <f>IF(OR('A créer'!D25="Oui",LEN('A créer'!D25)=0),"",IF($K25="DSW",'A créer'!G25,""))</f>
        <v/>
      </c>
      <c r="U25" s="2" t="str">
        <f>IF(OR('A créer'!D25="Oui",LEN('A créer'!D25)=0),"","Tab")</f>
        <v/>
      </c>
      <c r="V25" s="6" t="str">
        <f>IF(OR('A créer'!D25="Oui",LEN('A créer'!D25)=0),"",IF($K25="DEW",'A créer'!G25,""))</f>
        <v/>
      </c>
      <c r="W25" s="2" t="str">
        <f>IF(OR('A créer'!D25="Oui",LEN('A créer'!D25)=0),"","Tab")</f>
        <v/>
      </c>
      <c r="X25" s="6" t="str">
        <f>IF(OR('A créer'!D25="Oui",LEN('A créer'!D25)=0),"",IF($K25="DNA",'A créer'!G25,""))</f>
        <v/>
      </c>
      <c r="Y25" s="2" t="str">
        <f>IF(OR('A créer'!D25="Oui",LEN('A créer'!D25)=0),"","Tab")</f>
        <v/>
      </c>
      <c r="Z25" s="6" t="str">
        <f>IF(OR('A créer'!D25="Oui",LEN('A créer'!D25)=0),"",IF($K25="DOS",'A créer'!G25,""))</f>
        <v/>
      </c>
      <c r="AA25" s="2" t="str">
        <f>IF(OR('A créer'!D25="Oui",LEN('A créer'!D25)=0),"","Tab")</f>
        <v/>
      </c>
      <c r="AB25" s="2" t="str">
        <f>IF(OR('A créer'!D25="Oui",LEN('A créer'!D25)=0),"","Tab")</f>
        <v/>
      </c>
      <c r="AC25" s="6" t="str">
        <f>IF(OR('A créer'!D25="Oui",LEN('A créer'!D25)=0),"","OUI")</f>
        <v/>
      </c>
      <c r="AD25" s="2" t="str">
        <f>IF(OR('A créer'!D25="Oui",LEN('A créer'!D25)=0),"","Tab")</f>
        <v/>
      </c>
      <c r="AE25" s="2" t="str">
        <f>IF(OR('A créer'!D25="Oui",LEN('A créer'!D25)=0),"","ENT")</f>
        <v/>
      </c>
      <c r="AF25" s="2" t="str">
        <f>IF(OR('A créer'!D25="Oui",LEN('A créer'!D25)=0),"","*SAVE")</f>
        <v/>
      </c>
      <c r="AG25" s="2" t="str">
        <f>IF(OR('A créer'!D25="Oui",LEN('A créer'!D25)=0),"","*FN")</f>
        <v/>
      </c>
      <c r="AH25" s="6" t="str">
        <f>IF(OR('A créer'!D25="Oui",LEN('A créer'!D25)=0),"",CONCATENATE("A",RIGHT('A créer'!A25,3)))</f>
        <v/>
      </c>
      <c r="AI25" s="2" t="str">
        <f>IF(OR('A créer'!D25="Oui",LEN('A créer'!D25)=0),"","Tab")</f>
        <v/>
      </c>
      <c r="AJ25" s="6" t="str">
        <f>IF(OR('A créer'!D25="Oui",LEN('A créer'!D25)=0),"",CONCATENATE('A créer'!A25," Regroupement"))</f>
        <v/>
      </c>
      <c r="AK25" s="2" t="str">
        <f>IF(OR('A créer'!D25="Oui",LEN('A créer'!D25)=0),"","Tab4")</f>
        <v/>
      </c>
      <c r="AL25" s="2" t="str">
        <f>IF(OR('A créer'!D25="Oui",LEN('A créer'!D25)=0),"","*SB")</f>
        <v/>
      </c>
      <c r="AM25" s="2" t="str">
        <f>IF(OR('A créer'!D25="Oui",LEN('A créer'!D25)=0),"","Tab")</f>
        <v/>
      </c>
      <c r="AN25" s="6" t="str">
        <f>IF(OR('A créer'!D25="Oui",LEN('A créer'!D25)=0),"",CONCATENATE("A",'A créer'!A25))</f>
        <v/>
      </c>
      <c r="AO25" s="2" t="str">
        <f>IF(OR('A créer'!D25="Oui",LEN('A créer'!D25)=0),"","Tab")</f>
        <v/>
      </c>
      <c r="AP25" s="2" t="str">
        <f>IF(OR('A créer'!D25="Oui",LEN('A créer'!D25)=0),"","Tab")</f>
        <v/>
      </c>
      <c r="AQ25" s="2" t="str">
        <f>IF(OR('A créer'!D25="Oui",LEN('A créer'!D25)=0),"","ENT")</f>
        <v/>
      </c>
      <c r="AR25" s="6" t="str">
        <f>IF(OR('A créer'!D25="Oui",LEN('A créer'!D25)=0),"","Non")</f>
        <v/>
      </c>
      <c r="AS25" s="2" t="str">
        <f>IF(OR('A créer'!D25="Oui",LEN('A créer'!D25)=0),"","Tab")</f>
        <v/>
      </c>
      <c r="AT25" s="6" t="str">
        <f>IF(OR('A créer'!D25="Oui",LEN('A créer'!D25)=0),"","T")</f>
        <v/>
      </c>
      <c r="AU25" s="2" t="str">
        <f>IF(OR('A créer'!D25="Oui",LEN('A créer'!D25)=0),"","Tab")</f>
        <v/>
      </c>
      <c r="AV25" s="2" t="str">
        <f>IF(OR('A créer'!D25="Oui",LEN('A créer'!D25)=0),"","ENT")</f>
        <v/>
      </c>
      <c r="AW25" s="2" t="str">
        <f>IF(OR('A créer'!D25="Oui",LEN('A créer'!D25)=0),"","*SAVE")</f>
        <v/>
      </c>
      <c r="AX25" s="2" t="str">
        <f>IF(OR('A créer'!D25="Oui",LEN('A créer'!D25)=0),"","*UP")</f>
        <v/>
      </c>
      <c r="AY25" s="2" t="str">
        <f>IF(OR('A créer'!D25="Oui",LEN('A créer'!D25)=0),"","*Aé")</f>
        <v/>
      </c>
      <c r="AZ25" s="6" t="str">
        <f>IF(OR('A créer'!D25="Oui",LEN('A créer'!D25)=0),"",'A créer'!A25)</f>
        <v/>
      </c>
      <c r="BA25" s="2" t="str">
        <f>IF(OR('A créer'!D25="Oui",LEN('A créer'!D25)=0),"","Tab")</f>
        <v/>
      </c>
      <c r="BB25" s="2" t="str">
        <f>IF(OR('A créer'!D25="Oui",LEN('A créer'!D25)=0),"","*SAVE")</f>
        <v/>
      </c>
      <c r="BC25" s="2" t="str">
        <f>IF(OR('A créer'!D25="Oui",LEN('A créer'!D25)=0),"","*ML(751,97)")</f>
        <v/>
      </c>
    </row>
    <row r="26" spans="1:55" x14ac:dyDescent="0.35">
      <c r="A26" s="2" t="str">
        <f>IF(OR('A créer'!D26="Oui",LEN('A créer'!D26)=0),"","*FN")</f>
        <v/>
      </c>
      <c r="B26" s="6" t="str">
        <f>IF(OR('A créer'!D26="Oui",LEN('A créer'!D26)=0),"",'A créer'!A26)</f>
        <v/>
      </c>
      <c r="C26" s="2" t="str">
        <f>IF(OR('A créer'!D26="Oui",LEN('A créer'!D26)=0),"","Tab")</f>
        <v/>
      </c>
      <c r="D26" s="6" t="str">
        <f>IF(OR('A créer'!D26="Oui",LEN('A créer'!D26)=0),"",'A créer'!C26)</f>
        <v/>
      </c>
      <c r="E26" s="2" t="str">
        <f>IF(OR('A créer'!D26="Oui",LEN('A créer'!D26)=0),"","Tab4")</f>
        <v/>
      </c>
      <c r="F26" s="2" t="str">
        <f>IF(OR('A créer'!D26="Oui",LEN('A créer'!D26)=0),"","Tab")</f>
        <v/>
      </c>
      <c r="G26" s="2" t="str">
        <f>IF(OR('A créer'!D26="Oui",LEN('A créer'!D26)=0),"","Tab")</f>
        <v/>
      </c>
      <c r="H26" s="2" t="str">
        <f>IF(OR('A créer'!D26="Oui",LEN('A créer'!D26)=0),"","ENT")</f>
        <v/>
      </c>
      <c r="I26" s="6" t="str">
        <f>IF(OR('A créer'!D26="Oui",LEN('A créer'!D26)=0),"","Oui")</f>
        <v/>
      </c>
      <c r="J26" s="2" t="str">
        <f>IF(OR('A créer'!D26="Oui",LEN('A créer'!D26)=0),"","Tab")</f>
        <v/>
      </c>
      <c r="K26" s="6" t="str">
        <f>IF(OR('A créer'!D26="Oui",LEN('A créer'!D26)=0),"",'A créer'!H26)</f>
        <v/>
      </c>
      <c r="L26" s="6" t="str">
        <f>IF(OR('A créer'!D26="Oui",LEN('A créer'!D26)=0),"",IF($K26="DCW",'A créer'!G26,""))</f>
        <v/>
      </c>
      <c r="M26" s="2" t="str">
        <f>IF(OR('A créer'!D26="Oui",LEN('A créer'!D26)=0),"","Tab")</f>
        <v/>
      </c>
      <c r="N26" s="6" t="str">
        <f>IF(OR('A créer'!D26="Oui",LEN('A créer'!D26)=0),"",IF($K26="DLS",'A créer'!G26,""))</f>
        <v/>
      </c>
      <c r="O26" s="2" t="str">
        <f>IF(OR('A créer'!D26="Oui",LEN('A créer'!D26)=0),"","Tab")</f>
        <v/>
      </c>
      <c r="P26" s="6" t="str">
        <f>IF(OR('A créer'!D26="Oui",LEN('A créer'!D26)=0),"",IF($K26="DMS",'A créer'!G26,""))</f>
        <v/>
      </c>
      <c r="Q26" s="2" t="str">
        <f>IF(OR('A créer'!D26="Oui",LEN('A créer'!D26)=0),"","Tab")</f>
        <v/>
      </c>
      <c r="R26" s="6" t="str">
        <f>IF(OR('A créer'!D26="Oui",LEN('A créer'!D26)=0),"",IF($K26="DRW",'A créer'!G26,""))</f>
        <v/>
      </c>
      <c r="S26" s="2" t="str">
        <f>IF(OR('A créer'!D26="Oui",LEN('A créer'!D26)=0),"","Tab")</f>
        <v/>
      </c>
      <c r="T26" s="6" t="str">
        <f>IF(OR('A créer'!D26="Oui",LEN('A créer'!D26)=0),"",IF($K26="DSW",'A créer'!G26,""))</f>
        <v/>
      </c>
      <c r="U26" s="2" t="str">
        <f>IF(OR('A créer'!D26="Oui",LEN('A créer'!D26)=0),"","Tab")</f>
        <v/>
      </c>
      <c r="V26" s="6" t="str">
        <f>IF(OR('A créer'!D26="Oui",LEN('A créer'!D26)=0),"",IF($K26="DEW",'A créer'!G26,""))</f>
        <v/>
      </c>
      <c r="W26" s="2" t="str">
        <f>IF(OR('A créer'!D26="Oui",LEN('A créer'!D26)=0),"","Tab")</f>
        <v/>
      </c>
      <c r="X26" s="6" t="str">
        <f>IF(OR('A créer'!D26="Oui",LEN('A créer'!D26)=0),"",IF($K26="DNA",'A créer'!G26,""))</f>
        <v/>
      </c>
      <c r="Y26" s="2" t="str">
        <f>IF(OR('A créer'!D26="Oui",LEN('A créer'!D26)=0),"","Tab")</f>
        <v/>
      </c>
      <c r="Z26" s="6" t="str">
        <f>IF(OR('A créer'!D26="Oui",LEN('A créer'!D26)=0),"",IF($K26="DOS",'A créer'!G26,""))</f>
        <v/>
      </c>
      <c r="AA26" s="2" t="str">
        <f>IF(OR('A créer'!D26="Oui",LEN('A créer'!D26)=0),"","Tab")</f>
        <v/>
      </c>
      <c r="AB26" s="2" t="str">
        <f>IF(OR('A créer'!D26="Oui",LEN('A créer'!D26)=0),"","Tab")</f>
        <v/>
      </c>
      <c r="AC26" s="6" t="str">
        <f>IF(OR('A créer'!D26="Oui",LEN('A créer'!D26)=0),"","OUI")</f>
        <v/>
      </c>
      <c r="AD26" s="2" t="str">
        <f>IF(OR('A créer'!D26="Oui",LEN('A créer'!D26)=0),"","Tab")</f>
        <v/>
      </c>
      <c r="AE26" s="2" t="str">
        <f>IF(OR('A créer'!D26="Oui",LEN('A créer'!D26)=0),"","ENT")</f>
        <v/>
      </c>
      <c r="AF26" s="2" t="str">
        <f>IF(OR('A créer'!D26="Oui",LEN('A créer'!D26)=0),"","*SAVE")</f>
        <v/>
      </c>
      <c r="AG26" s="2" t="str">
        <f>IF(OR('A créer'!D26="Oui",LEN('A créer'!D26)=0),"","*FN")</f>
        <v/>
      </c>
      <c r="AH26" s="6" t="str">
        <f>IF(OR('A créer'!D26="Oui",LEN('A créer'!D26)=0),"",CONCATENATE("A",RIGHT('A créer'!A26,3)))</f>
        <v/>
      </c>
      <c r="AI26" s="2" t="str">
        <f>IF(OR('A créer'!D26="Oui",LEN('A créer'!D26)=0),"","Tab")</f>
        <v/>
      </c>
      <c r="AJ26" s="6" t="str">
        <f>IF(OR('A créer'!D26="Oui",LEN('A créer'!D26)=0),"",CONCATENATE('A créer'!A26," Regroupement"))</f>
        <v/>
      </c>
      <c r="AK26" s="2" t="str">
        <f>IF(OR('A créer'!D26="Oui",LEN('A créer'!D26)=0),"","Tab4")</f>
        <v/>
      </c>
      <c r="AL26" s="2" t="str">
        <f>IF(OR('A créer'!D26="Oui",LEN('A créer'!D26)=0),"","*SB")</f>
        <v/>
      </c>
      <c r="AM26" s="2" t="str">
        <f>IF(OR('A créer'!D26="Oui",LEN('A créer'!D26)=0),"","Tab")</f>
        <v/>
      </c>
      <c r="AN26" s="6" t="str">
        <f>IF(OR('A créer'!D26="Oui",LEN('A créer'!D26)=0),"",CONCATENATE("A",'A créer'!A26))</f>
        <v/>
      </c>
      <c r="AO26" s="2" t="str">
        <f>IF(OR('A créer'!D26="Oui",LEN('A créer'!D26)=0),"","Tab")</f>
        <v/>
      </c>
      <c r="AP26" s="2" t="str">
        <f>IF(OR('A créer'!D26="Oui",LEN('A créer'!D26)=0),"","Tab")</f>
        <v/>
      </c>
      <c r="AQ26" s="2" t="str">
        <f>IF(OR('A créer'!D26="Oui",LEN('A créer'!D26)=0),"","ENT")</f>
        <v/>
      </c>
      <c r="AR26" s="6" t="str">
        <f>IF(OR('A créer'!D26="Oui",LEN('A créer'!D26)=0),"","Non")</f>
        <v/>
      </c>
      <c r="AS26" s="2" t="str">
        <f>IF(OR('A créer'!D26="Oui",LEN('A créer'!D26)=0),"","Tab")</f>
        <v/>
      </c>
      <c r="AT26" s="6" t="str">
        <f>IF(OR('A créer'!D26="Oui",LEN('A créer'!D26)=0),"","T")</f>
        <v/>
      </c>
      <c r="AU26" s="2" t="str">
        <f>IF(OR('A créer'!D26="Oui",LEN('A créer'!D26)=0),"","Tab")</f>
        <v/>
      </c>
      <c r="AV26" s="2" t="str">
        <f>IF(OR('A créer'!D26="Oui",LEN('A créer'!D26)=0),"","ENT")</f>
        <v/>
      </c>
      <c r="AW26" s="2" t="str">
        <f>IF(OR('A créer'!D26="Oui",LEN('A créer'!D26)=0),"","*SAVE")</f>
        <v/>
      </c>
      <c r="AX26" s="2" t="str">
        <f>IF(OR('A créer'!D26="Oui",LEN('A créer'!D26)=0),"","*UP")</f>
        <v/>
      </c>
      <c r="AY26" s="2" t="str">
        <f>IF(OR('A créer'!D26="Oui",LEN('A créer'!D26)=0),"","*Aé")</f>
        <v/>
      </c>
      <c r="AZ26" s="6" t="str">
        <f>IF(OR('A créer'!D26="Oui",LEN('A créer'!D26)=0),"",'A créer'!A26)</f>
        <v/>
      </c>
      <c r="BA26" s="2" t="str">
        <f>IF(OR('A créer'!D26="Oui",LEN('A créer'!D26)=0),"","Tab")</f>
        <v/>
      </c>
      <c r="BB26" s="2" t="str">
        <f>IF(OR('A créer'!D26="Oui",LEN('A créer'!D26)=0),"","*SAVE")</f>
        <v/>
      </c>
      <c r="BC26" s="2" t="str">
        <f>IF(OR('A créer'!D26="Oui",LEN('A créer'!D26)=0),"","*ML(751,97)")</f>
        <v/>
      </c>
    </row>
    <row r="27" spans="1:55" x14ac:dyDescent="0.35">
      <c r="A27" s="2" t="str">
        <f>IF(OR('A créer'!D27="Oui",LEN('A créer'!D27)=0),"","*FN")</f>
        <v/>
      </c>
      <c r="B27" s="6" t="str">
        <f>IF(OR('A créer'!D27="Oui",LEN('A créer'!D27)=0),"",'A créer'!A27)</f>
        <v/>
      </c>
      <c r="C27" s="2" t="str">
        <f>IF(OR('A créer'!D27="Oui",LEN('A créer'!D27)=0),"","Tab")</f>
        <v/>
      </c>
      <c r="D27" s="6" t="str">
        <f>IF(OR('A créer'!D27="Oui",LEN('A créer'!D27)=0),"",'A créer'!C27)</f>
        <v/>
      </c>
      <c r="E27" s="2" t="str">
        <f>IF(OR('A créer'!D27="Oui",LEN('A créer'!D27)=0),"","Tab4")</f>
        <v/>
      </c>
      <c r="F27" s="2" t="str">
        <f>IF(OR('A créer'!D27="Oui",LEN('A créer'!D27)=0),"","Tab")</f>
        <v/>
      </c>
      <c r="G27" s="2" t="str">
        <f>IF(OR('A créer'!D27="Oui",LEN('A créer'!D27)=0),"","Tab")</f>
        <v/>
      </c>
      <c r="H27" s="2" t="str">
        <f>IF(OR('A créer'!D27="Oui",LEN('A créer'!D27)=0),"","ENT")</f>
        <v/>
      </c>
      <c r="I27" s="6" t="str">
        <f>IF(OR('A créer'!D27="Oui",LEN('A créer'!D27)=0),"","Oui")</f>
        <v/>
      </c>
      <c r="J27" s="2" t="str">
        <f>IF(OR('A créer'!D27="Oui",LEN('A créer'!D27)=0),"","Tab")</f>
        <v/>
      </c>
      <c r="K27" s="6" t="str">
        <f>IF(OR('A créer'!D27="Oui",LEN('A créer'!D27)=0),"",'A créer'!H27)</f>
        <v/>
      </c>
      <c r="L27" s="6" t="str">
        <f>IF(OR('A créer'!D27="Oui",LEN('A créer'!D27)=0),"",IF($K27="DCW",'A créer'!G27,""))</f>
        <v/>
      </c>
      <c r="M27" s="2" t="str">
        <f>IF(OR('A créer'!D27="Oui",LEN('A créer'!D27)=0),"","Tab")</f>
        <v/>
      </c>
      <c r="N27" s="6" t="str">
        <f>IF(OR('A créer'!D27="Oui",LEN('A créer'!D27)=0),"",IF($K27="DLS",'A créer'!G27,""))</f>
        <v/>
      </c>
      <c r="O27" s="2" t="str">
        <f>IF(OR('A créer'!D27="Oui",LEN('A créer'!D27)=0),"","Tab")</f>
        <v/>
      </c>
      <c r="P27" s="6" t="str">
        <f>IF(OR('A créer'!D27="Oui",LEN('A créer'!D27)=0),"",IF($K27="DMS",'A créer'!G27,""))</f>
        <v/>
      </c>
      <c r="Q27" s="2" t="str">
        <f>IF(OR('A créer'!D27="Oui",LEN('A créer'!D27)=0),"","Tab")</f>
        <v/>
      </c>
      <c r="R27" s="6" t="str">
        <f>IF(OR('A créer'!D27="Oui",LEN('A créer'!D27)=0),"",IF($K27="DRW",'A créer'!G27,""))</f>
        <v/>
      </c>
      <c r="S27" s="2" t="str">
        <f>IF(OR('A créer'!D27="Oui",LEN('A créer'!D27)=0),"","Tab")</f>
        <v/>
      </c>
      <c r="T27" s="6" t="str">
        <f>IF(OR('A créer'!D27="Oui",LEN('A créer'!D27)=0),"",IF($K27="DSW",'A créer'!G27,""))</f>
        <v/>
      </c>
      <c r="U27" s="2" t="str">
        <f>IF(OR('A créer'!D27="Oui",LEN('A créer'!D27)=0),"","Tab")</f>
        <v/>
      </c>
      <c r="V27" s="6" t="str">
        <f>IF(OR('A créer'!D27="Oui",LEN('A créer'!D27)=0),"",IF($K27="DEW",'A créer'!G27,""))</f>
        <v/>
      </c>
      <c r="W27" s="2" t="str">
        <f>IF(OR('A créer'!D27="Oui",LEN('A créer'!D27)=0),"","Tab")</f>
        <v/>
      </c>
      <c r="X27" s="6" t="str">
        <f>IF(OR('A créer'!D27="Oui",LEN('A créer'!D27)=0),"",IF($K27="DNA",'A créer'!G27,""))</f>
        <v/>
      </c>
      <c r="Y27" s="2" t="str">
        <f>IF(OR('A créer'!D27="Oui",LEN('A créer'!D27)=0),"","Tab")</f>
        <v/>
      </c>
      <c r="Z27" s="6" t="str">
        <f>IF(OR('A créer'!D27="Oui",LEN('A créer'!D27)=0),"",IF($K27="DOS",'A créer'!G27,""))</f>
        <v/>
      </c>
      <c r="AA27" s="2" t="str">
        <f>IF(OR('A créer'!D27="Oui",LEN('A créer'!D27)=0),"","Tab")</f>
        <v/>
      </c>
      <c r="AB27" s="2" t="str">
        <f>IF(OR('A créer'!D27="Oui",LEN('A créer'!D27)=0),"","Tab")</f>
        <v/>
      </c>
      <c r="AC27" s="6" t="str">
        <f>IF(OR('A créer'!D27="Oui",LEN('A créer'!D27)=0),"","OUI")</f>
        <v/>
      </c>
      <c r="AD27" s="2" t="str">
        <f>IF(OR('A créer'!D27="Oui",LEN('A créer'!D27)=0),"","Tab")</f>
        <v/>
      </c>
      <c r="AE27" s="2" t="str">
        <f>IF(OR('A créer'!D27="Oui",LEN('A créer'!D27)=0),"","ENT")</f>
        <v/>
      </c>
      <c r="AF27" s="2" t="str">
        <f>IF(OR('A créer'!D27="Oui",LEN('A créer'!D27)=0),"","*SAVE")</f>
        <v/>
      </c>
      <c r="AG27" s="2" t="str">
        <f>IF(OR('A créer'!D27="Oui",LEN('A créer'!D27)=0),"","*FN")</f>
        <v/>
      </c>
      <c r="AH27" s="6" t="str">
        <f>IF(OR('A créer'!D27="Oui",LEN('A créer'!D27)=0),"",CONCATENATE("A",RIGHT('A créer'!A27,3)))</f>
        <v/>
      </c>
      <c r="AI27" s="2" t="str">
        <f>IF(OR('A créer'!D27="Oui",LEN('A créer'!D27)=0),"","Tab")</f>
        <v/>
      </c>
      <c r="AJ27" s="6" t="str">
        <f>IF(OR('A créer'!D27="Oui",LEN('A créer'!D27)=0),"",CONCATENATE('A créer'!A27," Regroupement"))</f>
        <v/>
      </c>
      <c r="AK27" s="2" t="str">
        <f>IF(OR('A créer'!D27="Oui",LEN('A créer'!D27)=0),"","Tab4")</f>
        <v/>
      </c>
      <c r="AL27" s="2" t="str">
        <f>IF(OR('A créer'!D27="Oui",LEN('A créer'!D27)=0),"","*SB")</f>
        <v/>
      </c>
      <c r="AM27" s="2" t="str">
        <f>IF(OR('A créer'!D27="Oui",LEN('A créer'!D27)=0),"","Tab")</f>
        <v/>
      </c>
      <c r="AN27" s="6" t="str">
        <f>IF(OR('A créer'!D27="Oui",LEN('A créer'!D27)=0),"",CONCATENATE("A",'A créer'!A27))</f>
        <v/>
      </c>
      <c r="AO27" s="2" t="str">
        <f>IF(OR('A créer'!D27="Oui",LEN('A créer'!D27)=0),"","Tab")</f>
        <v/>
      </c>
      <c r="AP27" s="2" t="str">
        <f>IF(OR('A créer'!D27="Oui",LEN('A créer'!D27)=0),"","Tab")</f>
        <v/>
      </c>
      <c r="AQ27" s="2" t="str">
        <f>IF(OR('A créer'!D27="Oui",LEN('A créer'!D27)=0),"","ENT")</f>
        <v/>
      </c>
      <c r="AR27" s="6" t="str">
        <f>IF(OR('A créer'!D27="Oui",LEN('A créer'!D27)=0),"","Non")</f>
        <v/>
      </c>
      <c r="AS27" s="2" t="str">
        <f>IF(OR('A créer'!D27="Oui",LEN('A créer'!D27)=0),"","Tab")</f>
        <v/>
      </c>
      <c r="AT27" s="6" t="str">
        <f>IF(OR('A créer'!D27="Oui",LEN('A créer'!D27)=0),"","T")</f>
        <v/>
      </c>
      <c r="AU27" s="2" t="str">
        <f>IF(OR('A créer'!D27="Oui",LEN('A créer'!D27)=0),"","Tab")</f>
        <v/>
      </c>
      <c r="AV27" s="2" t="str">
        <f>IF(OR('A créer'!D27="Oui",LEN('A créer'!D27)=0),"","ENT")</f>
        <v/>
      </c>
      <c r="AW27" s="2" t="str">
        <f>IF(OR('A créer'!D27="Oui",LEN('A créer'!D27)=0),"","*SAVE")</f>
        <v/>
      </c>
      <c r="AX27" s="2" t="str">
        <f>IF(OR('A créer'!D27="Oui",LEN('A créer'!D27)=0),"","*UP")</f>
        <v/>
      </c>
      <c r="AY27" s="2" t="str">
        <f>IF(OR('A créer'!D27="Oui",LEN('A créer'!D27)=0),"","*Aé")</f>
        <v/>
      </c>
      <c r="AZ27" s="6" t="str">
        <f>IF(OR('A créer'!D27="Oui",LEN('A créer'!D27)=0),"",'A créer'!A27)</f>
        <v/>
      </c>
      <c r="BA27" s="2" t="str">
        <f>IF(OR('A créer'!D27="Oui",LEN('A créer'!D27)=0),"","Tab")</f>
        <v/>
      </c>
      <c r="BB27" s="2" t="str">
        <f>IF(OR('A créer'!D27="Oui",LEN('A créer'!D27)=0),"","*SAVE")</f>
        <v/>
      </c>
      <c r="BC27" s="2" t="str">
        <f>IF(OR('A créer'!D27="Oui",LEN('A créer'!D27)=0),"","*ML(751,97)")</f>
        <v/>
      </c>
    </row>
    <row r="28" spans="1:55" x14ac:dyDescent="0.35">
      <c r="A28" s="2" t="str">
        <f>IF(OR('A créer'!D28="Oui",LEN('A créer'!D28)=0),"","*FN")</f>
        <v/>
      </c>
      <c r="B28" s="6" t="str">
        <f>IF(OR('A créer'!D28="Oui",LEN('A créer'!D28)=0),"",'A créer'!A28)</f>
        <v/>
      </c>
      <c r="C28" s="2" t="str">
        <f>IF(OR('A créer'!D28="Oui",LEN('A créer'!D28)=0),"","Tab")</f>
        <v/>
      </c>
      <c r="D28" s="6" t="str">
        <f>IF(OR('A créer'!D28="Oui",LEN('A créer'!D28)=0),"",'A créer'!C28)</f>
        <v/>
      </c>
      <c r="E28" s="2" t="str">
        <f>IF(OR('A créer'!D28="Oui",LEN('A créer'!D28)=0),"","Tab4")</f>
        <v/>
      </c>
      <c r="F28" s="2" t="str">
        <f>IF(OR('A créer'!D28="Oui",LEN('A créer'!D28)=0),"","Tab")</f>
        <v/>
      </c>
      <c r="G28" s="2" t="str">
        <f>IF(OR('A créer'!D28="Oui",LEN('A créer'!D28)=0),"","Tab")</f>
        <v/>
      </c>
      <c r="H28" s="2" t="str">
        <f>IF(OR('A créer'!D28="Oui",LEN('A créer'!D28)=0),"","ENT")</f>
        <v/>
      </c>
      <c r="I28" s="6" t="str">
        <f>IF(OR('A créer'!D28="Oui",LEN('A créer'!D28)=0),"","Oui")</f>
        <v/>
      </c>
      <c r="J28" s="2" t="str">
        <f>IF(OR('A créer'!D28="Oui",LEN('A créer'!D28)=0),"","Tab")</f>
        <v/>
      </c>
      <c r="K28" s="6" t="str">
        <f>IF(OR('A créer'!D28="Oui",LEN('A créer'!D28)=0),"",'A créer'!H28)</f>
        <v/>
      </c>
      <c r="L28" s="6" t="str">
        <f>IF(OR('A créer'!D28="Oui",LEN('A créer'!D28)=0),"",IF($K28="DCW",'A créer'!G28,""))</f>
        <v/>
      </c>
      <c r="M28" s="2" t="str">
        <f>IF(OR('A créer'!D28="Oui",LEN('A créer'!D28)=0),"","Tab")</f>
        <v/>
      </c>
      <c r="N28" s="6" t="str">
        <f>IF(OR('A créer'!D28="Oui",LEN('A créer'!D28)=0),"",IF($K28="DLS",'A créer'!G28,""))</f>
        <v/>
      </c>
      <c r="O28" s="2" t="str">
        <f>IF(OR('A créer'!D28="Oui",LEN('A créer'!D28)=0),"","Tab")</f>
        <v/>
      </c>
      <c r="P28" s="6" t="str">
        <f>IF(OR('A créer'!D28="Oui",LEN('A créer'!D28)=0),"",IF($K28="DMS",'A créer'!G28,""))</f>
        <v/>
      </c>
      <c r="Q28" s="2" t="str">
        <f>IF(OR('A créer'!D28="Oui",LEN('A créer'!D28)=0),"","Tab")</f>
        <v/>
      </c>
      <c r="R28" s="6" t="str">
        <f>IF(OR('A créer'!D28="Oui",LEN('A créer'!D28)=0),"",IF($K28="DRW",'A créer'!G28,""))</f>
        <v/>
      </c>
      <c r="S28" s="2" t="str">
        <f>IF(OR('A créer'!D28="Oui",LEN('A créer'!D28)=0),"","Tab")</f>
        <v/>
      </c>
      <c r="T28" s="6" t="str">
        <f>IF(OR('A créer'!D28="Oui",LEN('A créer'!D28)=0),"",IF($K28="DSW",'A créer'!G28,""))</f>
        <v/>
      </c>
      <c r="U28" s="2" t="str">
        <f>IF(OR('A créer'!D28="Oui",LEN('A créer'!D28)=0),"","Tab")</f>
        <v/>
      </c>
      <c r="V28" s="6" t="str">
        <f>IF(OR('A créer'!D28="Oui",LEN('A créer'!D28)=0),"",IF($K28="DEW",'A créer'!G28,""))</f>
        <v/>
      </c>
      <c r="W28" s="2" t="str">
        <f>IF(OR('A créer'!D28="Oui",LEN('A créer'!D28)=0),"","Tab")</f>
        <v/>
      </c>
      <c r="X28" s="6" t="str">
        <f>IF(OR('A créer'!D28="Oui",LEN('A créer'!D28)=0),"",IF($K28="DNA",'A créer'!G28,""))</f>
        <v/>
      </c>
      <c r="Y28" s="2" t="str">
        <f>IF(OR('A créer'!D28="Oui",LEN('A créer'!D28)=0),"","Tab")</f>
        <v/>
      </c>
      <c r="Z28" s="6" t="str">
        <f>IF(OR('A créer'!D28="Oui",LEN('A créer'!D28)=0),"",IF($K28="DOS",'A créer'!G28,""))</f>
        <v/>
      </c>
      <c r="AA28" s="2" t="str">
        <f>IF(OR('A créer'!D28="Oui",LEN('A créer'!D28)=0),"","Tab")</f>
        <v/>
      </c>
      <c r="AB28" s="2" t="str">
        <f>IF(OR('A créer'!D28="Oui",LEN('A créer'!D28)=0),"","Tab")</f>
        <v/>
      </c>
      <c r="AC28" s="6" t="str">
        <f>IF(OR('A créer'!D28="Oui",LEN('A créer'!D28)=0),"","OUI")</f>
        <v/>
      </c>
      <c r="AD28" s="2" t="str">
        <f>IF(OR('A créer'!D28="Oui",LEN('A créer'!D28)=0),"","Tab")</f>
        <v/>
      </c>
      <c r="AE28" s="2" t="str">
        <f>IF(OR('A créer'!D28="Oui",LEN('A créer'!D28)=0),"","ENT")</f>
        <v/>
      </c>
      <c r="AF28" s="2" t="str">
        <f>IF(OR('A créer'!D28="Oui",LEN('A créer'!D28)=0),"","*SAVE")</f>
        <v/>
      </c>
      <c r="AG28" s="2" t="str">
        <f>IF(OR('A créer'!D28="Oui",LEN('A créer'!D28)=0),"","*FN")</f>
        <v/>
      </c>
      <c r="AH28" s="6" t="str">
        <f>IF(OR('A créer'!D28="Oui",LEN('A créer'!D28)=0),"",CONCATENATE("A",RIGHT('A créer'!A28,3)))</f>
        <v/>
      </c>
      <c r="AI28" s="2" t="str">
        <f>IF(OR('A créer'!D28="Oui",LEN('A créer'!D28)=0),"","Tab")</f>
        <v/>
      </c>
      <c r="AJ28" s="6" t="str">
        <f>IF(OR('A créer'!D28="Oui",LEN('A créer'!D28)=0),"",CONCATENATE('A créer'!A28," Regroupement"))</f>
        <v/>
      </c>
      <c r="AK28" s="2" t="str">
        <f>IF(OR('A créer'!D28="Oui",LEN('A créer'!D28)=0),"","Tab4")</f>
        <v/>
      </c>
      <c r="AL28" s="2" t="str">
        <f>IF(OR('A créer'!D28="Oui",LEN('A créer'!D28)=0),"","*SB")</f>
        <v/>
      </c>
      <c r="AM28" s="2" t="str">
        <f>IF(OR('A créer'!D28="Oui",LEN('A créer'!D28)=0),"","Tab")</f>
        <v/>
      </c>
      <c r="AN28" s="6" t="str">
        <f>IF(OR('A créer'!D28="Oui",LEN('A créer'!D28)=0),"",CONCATENATE("A",'A créer'!A28))</f>
        <v/>
      </c>
      <c r="AO28" s="2" t="str">
        <f>IF(OR('A créer'!D28="Oui",LEN('A créer'!D28)=0),"","Tab")</f>
        <v/>
      </c>
      <c r="AP28" s="2" t="str">
        <f>IF(OR('A créer'!D28="Oui",LEN('A créer'!D28)=0),"","Tab")</f>
        <v/>
      </c>
      <c r="AQ28" s="2" t="str">
        <f>IF(OR('A créer'!D28="Oui",LEN('A créer'!D28)=0),"","ENT")</f>
        <v/>
      </c>
      <c r="AR28" s="6" t="str">
        <f>IF(OR('A créer'!D28="Oui",LEN('A créer'!D28)=0),"","Non")</f>
        <v/>
      </c>
      <c r="AS28" s="2" t="str">
        <f>IF(OR('A créer'!D28="Oui",LEN('A créer'!D28)=0),"","Tab")</f>
        <v/>
      </c>
      <c r="AT28" s="6" t="str">
        <f>IF(OR('A créer'!D28="Oui",LEN('A créer'!D28)=0),"","T")</f>
        <v/>
      </c>
      <c r="AU28" s="2" t="str">
        <f>IF(OR('A créer'!D28="Oui",LEN('A créer'!D28)=0),"","Tab")</f>
        <v/>
      </c>
      <c r="AV28" s="2" t="str">
        <f>IF(OR('A créer'!D28="Oui",LEN('A créer'!D28)=0),"","ENT")</f>
        <v/>
      </c>
      <c r="AW28" s="2" t="str">
        <f>IF(OR('A créer'!D28="Oui",LEN('A créer'!D28)=0),"","*SAVE")</f>
        <v/>
      </c>
      <c r="AX28" s="2" t="str">
        <f>IF(OR('A créer'!D28="Oui",LEN('A créer'!D28)=0),"","*UP")</f>
        <v/>
      </c>
      <c r="AY28" s="2" t="str">
        <f>IF(OR('A créer'!D28="Oui",LEN('A créer'!D28)=0),"","*Aé")</f>
        <v/>
      </c>
      <c r="AZ28" s="6" t="str">
        <f>IF(OR('A créer'!D28="Oui",LEN('A créer'!D28)=0),"",'A créer'!A28)</f>
        <v/>
      </c>
      <c r="BA28" s="2" t="str">
        <f>IF(OR('A créer'!D28="Oui",LEN('A créer'!D28)=0),"","Tab")</f>
        <v/>
      </c>
      <c r="BB28" s="2" t="str">
        <f>IF(OR('A créer'!D28="Oui",LEN('A créer'!D28)=0),"","*SAVE")</f>
        <v/>
      </c>
      <c r="BC28" s="2" t="str">
        <f>IF(OR('A créer'!D28="Oui",LEN('A créer'!D28)=0),"","*ML(751,97)")</f>
        <v/>
      </c>
    </row>
    <row r="29" spans="1:55" x14ac:dyDescent="0.35">
      <c r="A29" s="2" t="str">
        <f>IF(OR('A créer'!D29="Oui",LEN('A créer'!D29)=0),"","*FN")</f>
        <v/>
      </c>
      <c r="B29" s="6" t="str">
        <f>IF(OR('A créer'!D29="Oui",LEN('A créer'!D29)=0),"",'A créer'!A29)</f>
        <v/>
      </c>
      <c r="C29" s="2" t="str">
        <f>IF(OR('A créer'!D29="Oui",LEN('A créer'!D29)=0),"","Tab")</f>
        <v/>
      </c>
      <c r="D29" s="6" t="str">
        <f>IF(OR('A créer'!D29="Oui",LEN('A créer'!D29)=0),"",'A créer'!C29)</f>
        <v/>
      </c>
      <c r="E29" s="2" t="str">
        <f>IF(OR('A créer'!D29="Oui",LEN('A créer'!D29)=0),"","Tab4")</f>
        <v/>
      </c>
      <c r="F29" s="2" t="str">
        <f>IF(OR('A créer'!D29="Oui",LEN('A créer'!D29)=0),"","Tab")</f>
        <v/>
      </c>
      <c r="G29" s="2" t="str">
        <f>IF(OR('A créer'!D29="Oui",LEN('A créer'!D29)=0),"","Tab")</f>
        <v/>
      </c>
      <c r="H29" s="2" t="str">
        <f>IF(OR('A créer'!D29="Oui",LEN('A créer'!D29)=0),"","ENT")</f>
        <v/>
      </c>
      <c r="I29" s="6" t="str">
        <f>IF(OR('A créer'!D29="Oui",LEN('A créer'!D29)=0),"","Oui")</f>
        <v/>
      </c>
      <c r="J29" s="2" t="str">
        <f>IF(OR('A créer'!D29="Oui",LEN('A créer'!D29)=0),"","Tab")</f>
        <v/>
      </c>
      <c r="K29" s="6" t="str">
        <f>IF(OR('A créer'!D29="Oui",LEN('A créer'!D29)=0),"",'A créer'!H29)</f>
        <v/>
      </c>
      <c r="L29" s="6" t="str">
        <f>IF(OR('A créer'!D29="Oui",LEN('A créer'!D29)=0),"",IF($K29="DCW",'A créer'!G29,""))</f>
        <v/>
      </c>
      <c r="M29" s="2" t="str">
        <f>IF(OR('A créer'!D29="Oui",LEN('A créer'!D29)=0),"","Tab")</f>
        <v/>
      </c>
      <c r="N29" s="6" t="str">
        <f>IF(OR('A créer'!D29="Oui",LEN('A créer'!D29)=0),"",IF($K29="DLS",'A créer'!G29,""))</f>
        <v/>
      </c>
      <c r="O29" s="2" t="str">
        <f>IF(OR('A créer'!D29="Oui",LEN('A créer'!D29)=0),"","Tab")</f>
        <v/>
      </c>
      <c r="P29" s="6" t="str">
        <f>IF(OR('A créer'!D29="Oui",LEN('A créer'!D29)=0),"",IF($K29="DMS",'A créer'!G29,""))</f>
        <v/>
      </c>
      <c r="Q29" s="2" t="str">
        <f>IF(OR('A créer'!D29="Oui",LEN('A créer'!D29)=0),"","Tab")</f>
        <v/>
      </c>
      <c r="R29" s="6" t="str">
        <f>IF(OR('A créer'!D29="Oui",LEN('A créer'!D29)=0),"",IF($K29="DRW",'A créer'!G29,""))</f>
        <v/>
      </c>
      <c r="S29" s="2" t="str">
        <f>IF(OR('A créer'!D29="Oui",LEN('A créer'!D29)=0),"","Tab")</f>
        <v/>
      </c>
      <c r="T29" s="6" t="str">
        <f>IF(OR('A créer'!D29="Oui",LEN('A créer'!D29)=0),"",IF($K29="DSW",'A créer'!G29,""))</f>
        <v/>
      </c>
      <c r="U29" s="2" t="str">
        <f>IF(OR('A créer'!D29="Oui",LEN('A créer'!D29)=0),"","Tab")</f>
        <v/>
      </c>
      <c r="V29" s="6" t="str">
        <f>IF(OR('A créer'!D29="Oui",LEN('A créer'!D29)=0),"",IF($K29="DEW",'A créer'!G29,""))</f>
        <v/>
      </c>
      <c r="W29" s="2" t="str">
        <f>IF(OR('A créer'!D29="Oui",LEN('A créer'!D29)=0),"","Tab")</f>
        <v/>
      </c>
      <c r="X29" s="6" t="str">
        <f>IF(OR('A créer'!D29="Oui",LEN('A créer'!D29)=0),"",IF($K29="DNA",'A créer'!G29,""))</f>
        <v/>
      </c>
      <c r="Y29" s="2" t="str">
        <f>IF(OR('A créer'!D29="Oui",LEN('A créer'!D29)=0),"","Tab")</f>
        <v/>
      </c>
      <c r="Z29" s="6" t="str">
        <f>IF(OR('A créer'!D29="Oui",LEN('A créer'!D29)=0),"",IF($K29="DOS",'A créer'!G29,""))</f>
        <v/>
      </c>
      <c r="AA29" s="2" t="str">
        <f>IF(OR('A créer'!D29="Oui",LEN('A créer'!D29)=0),"","Tab")</f>
        <v/>
      </c>
      <c r="AB29" s="2" t="str">
        <f>IF(OR('A créer'!D29="Oui",LEN('A créer'!D29)=0),"","Tab")</f>
        <v/>
      </c>
      <c r="AC29" s="6" t="str">
        <f>IF(OR('A créer'!D29="Oui",LEN('A créer'!D29)=0),"","OUI")</f>
        <v/>
      </c>
      <c r="AD29" s="2" t="str">
        <f>IF(OR('A créer'!D29="Oui",LEN('A créer'!D29)=0),"","Tab")</f>
        <v/>
      </c>
      <c r="AE29" s="2" t="str">
        <f>IF(OR('A créer'!D29="Oui",LEN('A créer'!D29)=0),"","ENT")</f>
        <v/>
      </c>
      <c r="AF29" s="2" t="str">
        <f>IF(OR('A créer'!D29="Oui",LEN('A créer'!D29)=0),"","*SAVE")</f>
        <v/>
      </c>
      <c r="AG29" s="2" t="str">
        <f>IF(OR('A créer'!D29="Oui",LEN('A créer'!D29)=0),"","*FN")</f>
        <v/>
      </c>
      <c r="AH29" s="6" t="str">
        <f>IF(OR('A créer'!D29="Oui",LEN('A créer'!D29)=0),"",CONCATENATE("A",RIGHT('A créer'!A29,3)))</f>
        <v/>
      </c>
      <c r="AI29" s="2" t="str">
        <f>IF(OR('A créer'!D29="Oui",LEN('A créer'!D29)=0),"","Tab")</f>
        <v/>
      </c>
      <c r="AJ29" s="6" t="str">
        <f>IF(OR('A créer'!D29="Oui",LEN('A créer'!D29)=0),"",CONCATENATE('A créer'!A29," Regroupement"))</f>
        <v/>
      </c>
      <c r="AK29" s="2" t="str">
        <f>IF(OR('A créer'!D29="Oui",LEN('A créer'!D29)=0),"","Tab4")</f>
        <v/>
      </c>
      <c r="AL29" s="2" t="str">
        <f>IF(OR('A créer'!D29="Oui",LEN('A créer'!D29)=0),"","*SB")</f>
        <v/>
      </c>
      <c r="AM29" s="2" t="str">
        <f>IF(OR('A créer'!D29="Oui",LEN('A créer'!D29)=0),"","Tab")</f>
        <v/>
      </c>
      <c r="AN29" s="6" t="str">
        <f>IF(OR('A créer'!D29="Oui",LEN('A créer'!D29)=0),"",CONCATENATE("A",'A créer'!A29))</f>
        <v/>
      </c>
      <c r="AO29" s="2" t="str">
        <f>IF(OR('A créer'!D29="Oui",LEN('A créer'!D29)=0),"","Tab")</f>
        <v/>
      </c>
      <c r="AP29" s="2" t="str">
        <f>IF(OR('A créer'!D29="Oui",LEN('A créer'!D29)=0),"","Tab")</f>
        <v/>
      </c>
      <c r="AQ29" s="2" t="str">
        <f>IF(OR('A créer'!D29="Oui",LEN('A créer'!D29)=0),"","ENT")</f>
        <v/>
      </c>
      <c r="AR29" s="6" t="str">
        <f>IF(OR('A créer'!D29="Oui",LEN('A créer'!D29)=0),"","Non")</f>
        <v/>
      </c>
      <c r="AS29" s="2" t="str">
        <f>IF(OR('A créer'!D29="Oui",LEN('A créer'!D29)=0),"","Tab")</f>
        <v/>
      </c>
      <c r="AT29" s="6" t="str">
        <f>IF(OR('A créer'!D29="Oui",LEN('A créer'!D29)=0),"","T")</f>
        <v/>
      </c>
      <c r="AU29" s="2" t="str">
        <f>IF(OR('A créer'!D29="Oui",LEN('A créer'!D29)=0),"","Tab")</f>
        <v/>
      </c>
      <c r="AV29" s="2" t="str">
        <f>IF(OR('A créer'!D29="Oui",LEN('A créer'!D29)=0),"","ENT")</f>
        <v/>
      </c>
      <c r="AW29" s="2" t="str">
        <f>IF(OR('A créer'!D29="Oui",LEN('A créer'!D29)=0),"","*SAVE")</f>
        <v/>
      </c>
      <c r="AX29" s="2" t="str">
        <f>IF(OR('A créer'!D29="Oui",LEN('A créer'!D29)=0),"","*UP")</f>
        <v/>
      </c>
      <c r="AY29" s="2" t="str">
        <f>IF(OR('A créer'!D29="Oui",LEN('A créer'!D29)=0),"","*Aé")</f>
        <v/>
      </c>
      <c r="AZ29" s="6" t="str">
        <f>IF(OR('A créer'!D29="Oui",LEN('A créer'!D29)=0),"",'A créer'!A29)</f>
        <v/>
      </c>
      <c r="BA29" s="2" t="str">
        <f>IF(OR('A créer'!D29="Oui",LEN('A créer'!D29)=0),"","Tab")</f>
        <v/>
      </c>
      <c r="BB29" s="2" t="str">
        <f>IF(OR('A créer'!D29="Oui",LEN('A créer'!D29)=0),"","*SAVE")</f>
        <v/>
      </c>
      <c r="BC29" s="2" t="str">
        <f>IF(OR('A créer'!D29="Oui",LEN('A créer'!D29)=0),"","*ML(751,97)")</f>
        <v/>
      </c>
    </row>
    <row r="30" spans="1:55" x14ac:dyDescent="0.35">
      <c r="A30" s="2" t="str">
        <f>IF(OR('A créer'!D30="Oui",LEN('A créer'!D30)=0),"","*FN")</f>
        <v/>
      </c>
      <c r="B30" s="6" t="str">
        <f>IF(OR('A créer'!D30="Oui",LEN('A créer'!D30)=0),"",'A créer'!A30)</f>
        <v/>
      </c>
      <c r="C30" s="2" t="str">
        <f>IF(OR('A créer'!D30="Oui",LEN('A créer'!D30)=0),"","Tab")</f>
        <v/>
      </c>
      <c r="D30" s="6" t="str">
        <f>IF(OR('A créer'!D30="Oui",LEN('A créer'!D30)=0),"",'A créer'!C30)</f>
        <v/>
      </c>
      <c r="E30" s="2" t="str">
        <f>IF(OR('A créer'!D30="Oui",LEN('A créer'!D30)=0),"","Tab4")</f>
        <v/>
      </c>
      <c r="F30" s="2" t="str">
        <f>IF(OR('A créer'!D30="Oui",LEN('A créer'!D30)=0),"","Tab")</f>
        <v/>
      </c>
      <c r="G30" s="2" t="str">
        <f>IF(OR('A créer'!D30="Oui",LEN('A créer'!D30)=0),"","Tab")</f>
        <v/>
      </c>
      <c r="H30" s="2" t="str">
        <f>IF(OR('A créer'!D30="Oui",LEN('A créer'!D30)=0),"","ENT")</f>
        <v/>
      </c>
      <c r="I30" s="6" t="str">
        <f>IF(OR('A créer'!D30="Oui",LEN('A créer'!D30)=0),"","Oui")</f>
        <v/>
      </c>
      <c r="J30" s="2" t="str">
        <f>IF(OR('A créer'!D30="Oui",LEN('A créer'!D30)=0),"","Tab")</f>
        <v/>
      </c>
      <c r="K30" s="6" t="str">
        <f>IF(OR('A créer'!D30="Oui",LEN('A créer'!D30)=0),"",'A créer'!H30)</f>
        <v/>
      </c>
      <c r="L30" s="6" t="str">
        <f>IF(OR('A créer'!D30="Oui",LEN('A créer'!D30)=0),"",IF($K30="DCW",'A créer'!G30,""))</f>
        <v/>
      </c>
      <c r="M30" s="2" t="str">
        <f>IF(OR('A créer'!D30="Oui",LEN('A créer'!D30)=0),"","Tab")</f>
        <v/>
      </c>
      <c r="N30" s="6" t="str">
        <f>IF(OR('A créer'!D30="Oui",LEN('A créer'!D30)=0),"",IF($K30="DLS",'A créer'!G30,""))</f>
        <v/>
      </c>
      <c r="O30" s="2" t="str">
        <f>IF(OR('A créer'!D30="Oui",LEN('A créer'!D30)=0),"","Tab")</f>
        <v/>
      </c>
      <c r="P30" s="6" t="str">
        <f>IF(OR('A créer'!D30="Oui",LEN('A créer'!D30)=0),"",IF($K30="DMS",'A créer'!G30,""))</f>
        <v/>
      </c>
      <c r="Q30" s="2" t="str">
        <f>IF(OR('A créer'!D30="Oui",LEN('A créer'!D30)=0),"","Tab")</f>
        <v/>
      </c>
      <c r="R30" s="6" t="str">
        <f>IF(OR('A créer'!D30="Oui",LEN('A créer'!D30)=0),"",IF($K30="DRW",'A créer'!G30,""))</f>
        <v/>
      </c>
      <c r="S30" s="2" t="str">
        <f>IF(OR('A créer'!D30="Oui",LEN('A créer'!D30)=0),"","Tab")</f>
        <v/>
      </c>
      <c r="T30" s="6" t="str">
        <f>IF(OR('A créer'!D30="Oui",LEN('A créer'!D30)=0),"",IF($K30="DSW",'A créer'!G30,""))</f>
        <v/>
      </c>
      <c r="U30" s="2" t="str">
        <f>IF(OR('A créer'!D30="Oui",LEN('A créer'!D30)=0),"","Tab")</f>
        <v/>
      </c>
      <c r="V30" s="6" t="str">
        <f>IF(OR('A créer'!D30="Oui",LEN('A créer'!D30)=0),"",IF($K30="DEW",'A créer'!G30,""))</f>
        <v/>
      </c>
      <c r="W30" s="2" t="str">
        <f>IF(OR('A créer'!D30="Oui",LEN('A créer'!D30)=0),"","Tab")</f>
        <v/>
      </c>
      <c r="X30" s="6" t="str">
        <f>IF(OR('A créer'!D30="Oui",LEN('A créer'!D30)=0),"",IF($K30="DNA",'A créer'!G30,""))</f>
        <v/>
      </c>
      <c r="Y30" s="2" t="str">
        <f>IF(OR('A créer'!D30="Oui",LEN('A créer'!D30)=0),"","Tab")</f>
        <v/>
      </c>
      <c r="Z30" s="6" t="str">
        <f>IF(OR('A créer'!D30="Oui",LEN('A créer'!D30)=0),"",IF($K30="DOS",'A créer'!G30,""))</f>
        <v/>
      </c>
      <c r="AA30" s="2" t="str">
        <f>IF(OR('A créer'!D30="Oui",LEN('A créer'!D30)=0),"","Tab")</f>
        <v/>
      </c>
      <c r="AB30" s="2" t="str">
        <f>IF(OR('A créer'!D30="Oui",LEN('A créer'!D30)=0),"","Tab")</f>
        <v/>
      </c>
      <c r="AC30" s="6" t="str">
        <f>IF(OR('A créer'!D30="Oui",LEN('A créer'!D30)=0),"","OUI")</f>
        <v/>
      </c>
      <c r="AD30" s="2" t="str">
        <f>IF(OR('A créer'!D30="Oui",LEN('A créer'!D30)=0),"","Tab")</f>
        <v/>
      </c>
      <c r="AE30" s="2" t="str">
        <f>IF(OR('A créer'!D30="Oui",LEN('A créer'!D30)=0),"","ENT")</f>
        <v/>
      </c>
      <c r="AF30" s="2" t="str">
        <f>IF(OR('A créer'!D30="Oui",LEN('A créer'!D30)=0),"","*SAVE")</f>
        <v/>
      </c>
      <c r="AG30" s="2" t="str">
        <f>IF(OR('A créer'!D30="Oui",LEN('A créer'!D30)=0),"","*FN")</f>
        <v/>
      </c>
      <c r="AH30" s="6" t="str">
        <f>IF(OR('A créer'!D30="Oui",LEN('A créer'!D30)=0),"",CONCATENATE("A",RIGHT('A créer'!A30,3)))</f>
        <v/>
      </c>
      <c r="AI30" s="2" t="str">
        <f>IF(OR('A créer'!D30="Oui",LEN('A créer'!D30)=0),"","Tab")</f>
        <v/>
      </c>
      <c r="AJ30" s="6" t="str">
        <f>IF(OR('A créer'!D30="Oui",LEN('A créer'!D30)=0),"",CONCATENATE('A créer'!A30," Regroupement"))</f>
        <v/>
      </c>
      <c r="AK30" s="2" t="str">
        <f>IF(OR('A créer'!D30="Oui",LEN('A créer'!D30)=0),"","Tab4")</f>
        <v/>
      </c>
      <c r="AL30" s="2" t="str">
        <f>IF(OR('A créer'!D30="Oui",LEN('A créer'!D30)=0),"","*SB")</f>
        <v/>
      </c>
      <c r="AM30" s="2" t="str">
        <f>IF(OR('A créer'!D30="Oui",LEN('A créer'!D30)=0),"","Tab")</f>
        <v/>
      </c>
      <c r="AN30" s="6" t="str">
        <f>IF(OR('A créer'!D30="Oui",LEN('A créer'!D30)=0),"",CONCATENATE("A",'A créer'!A30))</f>
        <v/>
      </c>
      <c r="AO30" s="2" t="str">
        <f>IF(OR('A créer'!D30="Oui",LEN('A créer'!D30)=0),"","Tab")</f>
        <v/>
      </c>
      <c r="AP30" s="2" t="str">
        <f>IF(OR('A créer'!D30="Oui",LEN('A créer'!D30)=0),"","Tab")</f>
        <v/>
      </c>
      <c r="AQ30" s="2" t="str">
        <f>IF(OR('A créer'!D30="Oui",LEN('A créer'!D30)=0),"","ENT")</f>
        <v/>
      </c>
      <c r="AR30" s="6" t="str">
        <f>IF(OR('A créer'!D30="Oui",LEN('A créer'!D30)=0),"","Non")</f>
        <v/>
      </c>
      <c r="AS30" s="2" t="str">
        <f>IF(OR('A créer'!D30="Oui",LEN('A créer'!D30)=0),"","Tab")</f>
        <v/>
      </c>
      <c r="AT30" s="6" t="str">
        <f>IF(OR('A créer'!D30="Oui",LEN('A créer'!D30)=0),"","T")</f>
        <v/>
      </c>
      <c r="AU30" s="2" t="str">
        <f>IF(OR('A créer'!D30="Oui",LEN('A créer'!D30)=0),"","Tab")</f>
        <v/>
      </c>
      <c r="AV30" s="2" t="str">
        <f>IF(OR('A créer'!D30="Oui",LEN('A créer'!D30)=0),"","ENT")</f>
        <v/>
      </c>
      <c r="AW30" s="2" t="str">
        <f>IF(OR('A créer'!D30="Oui",LEN('A créer'!D30)=0),"","*SAVE")</f>
        <v/>
      </c>
      <c r="AX30" s="2" t="str">
        <f>IF(OR('A créer'!D30="Oui",LEN('A créer'!D30)=0),"","*UP")</f>
        <v/>
      </c>
      <c r="AY30" s="2" t="str">
        <f>IF(OR('A créer'!D30="Oui",LEN('A créer'!D30)=0),"","*Aé")</f>
        <v/>
      </c>
      <c r="AZ30" s="6" t="str">
        <f>IF(OR('A créer'!D30="Oui",LEN('A créer'!D30)=0),"",'A créer'!A30)</f>
        <v/>
      </c>
      <c r="BA30" s="2" t="str">
        <f>IF(OR('A créer'!D30="Oui",LEN('A créer'!D30)=0),"","Tab")</f>
        <v/>
      </c>
      <c r="BB30" s="2" t="str">
        <f>IF(OR('A créer'!D30="Oui",LEN('A créer'!D30)=0),"","*SAVE")</f>
        <v/>
      </c>
      <c r="BC30" s="2" t="str">
        <f>IF(OR('A créer'!D30="Oui",LEN('A créer'!D30)=0),"","*ML(751,97)")</f>
        <v/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AZ30"/>
  <sheetViews>
    <sheetView zoomScale="80" zoomScaleNormal="80" workbookViewId="0">
      <pane xSplit="1" ySplit="1" topLeftCell="G2" activePane="bottomRight" state="frozenSplit"/>
      <selection activeCell="G30" sqref="G30"/>
      <selection pane="topRight" activeCell="G30" sqref="G30"/>
      <selection pane="bottomLeft" activeCell="G30" sqref="G30"/>
      <selection pane="bottomRight" activeCell="X4" sqref="X4"/>
    </sheetView>
  </sheetViews>
  <sheetFormatPr baseColWidth="10" defaultRowHeight="14.5" x14ac:dyDescent="0.35"/>
  <cols>
    <col min="1" max="1" width="5.1796875" bestFit="1" customWidth="1"/>
    <col min="2" max="2" width="10.1796875" bestFit="1" customWidth="1"/>
    <col min="3" max="3" width="4" bestFit="1" customWidth="1"/>
    <col min="4" max="4" width="34.453125" bestFit="1" customWidth="1"/>
    <col min="5" max="5" width="6.81640625" customWidth="1"/>
    <col min="6" max="7" width="4" bestFit="1" customWidth="1"/>
    <col min="8" max="8" width="4.26953125" bestFit="1" customWidth="1"/>
    <col min="9" max="9" width="7.54296875" bestFit="1" customWidth="1"/>
    <col min="10" max="10" width="4" bestFit="1" customWidth="1"/>
    <col min="11" max="11" width="6" bestFit="1" customWidth="1"/>
    <col min="12" max="12" width="4" bestFit="1" customWidth="1"/>
    <col min="13" max="13" width="9.7265625" bestFit="1" customWidth="1"/>
    <col min="14" max="14" width="4.26953125" bestFit="1" customWidth="1"/>
    <col min="15" max="15" width="6.1796875" bestFit="1" customWidth="1"/>
    <col min="16" max="16" width="4.26953125" bestFit="1" customWidth="1"/>
    <col min="17" max="17" width="8" bestFit="1" customWidth="1"/>
    <col min="18" max="18" width="5.453125" customWidth="1"/>
    <col min="19" max="19" width="29.26953125" bestFit="1" customWidth="1"/>
    <col min="20" max="20" width="7.7265625" customWidth="1"/>
    <col min="21" max="22" width="4" bestFit="1" customWidth="1"/>
    <col min="23" max="23" width="4.26953125" bestFit="1" customWidth="1"/>
    <col min="24" max="24" width="13.26953125" customWidth="1"/>
    <col min="25" max="25" width="4" bestFit="1" customWidth="1"/>
    <col min="26" max="26" width="6" bestFit="1" customWidth="1"/>
    <col min="27" max="27" width="4" bestFit="1" customWidth="1"/>
    <col min="28" max="28" width="9.7265625" bestFit="1" customWidth="1"/>
    <col min="29" max="29" width="4.26953125" bestFit="1" customWidth="1"/>
    <col min="30" max="30" width="6.1796875" bestFit="1" customWidth="1"/>
    <col min="31" max="31" width="4.26953125" bestFit="1" customWidth="1"/>
    <col min="32" max="32" width="5.26953125" bestFit="1" customWidth="1"/>
    <col min="33" max="33" width="4" bestFit="1" customWidth="1"/>
    <col min="34" max="34" width="25.1796875" bestFit="1" customWidth="1"/>
    <col min="35" max="35" width="5.81640625" customWidth="1"/>
    <col min="36" max="36" width="4" bestFit="1" customWidth="1"/>
    <col min="37" max="37" width="5.1796875" customWidth="1"/>
    <col min="38" max="38" width="9.7265625" bestFit="1" customWidth="1"/>
    <col min="39" max="40" width="4" bestFit="1" customWidth="1"/>
    <col min="41" max="42" width="4.26953125" bestFit="1" customWidth="1"/>
    <col min="43" max="43" width="6.1796875" bestFit="1" customWidth="1"/>
    <col min="44" max="44" width="6.1796875" customWidth="1"/>
    <col min="45" max="45" width="4.1796875" bestFit="1" customWidth="1"/>
    <col min="46" max="46" width="10.1796875" bestFit="1" customWidth="1"/>
    <col min="47" max="47" width="4.81640625" customWidth="1"/>
    <col min="48" max="48" width="4.54296875" bestFit="1" customWidth="1"/>
    <col min="49" max="49" width="8.453125" bestFit="1" customWidth="1"/>
    <col min="50" max="50" width="4" bestFit="1" customWidth="1"/>
    <col min="51" max="51" width="6.1796875" bestFit="1" customWidth="1"/>
    <col min="52" max="52" width="13.26953125" bestFit="1" customWidth="1"/>
  </cols>
  <sheetData>
    <row r="1" spans="1:52" x14ac:dyDescent="0.35">
      <c r="A1" s="2" t="s">
        <v>18</v>
      </c>
      <c r="B1" t="s">
        <v>35</v>
      </c>
      <c r="C1" s="2" t="s">
        <v>4</v>
      </c>
      <c r="D1" t="s">
        <v>21</v>
      </c>
      <c r="E1" s="2" t="s">
        <v>93</v>
      </c>
      <c r="F1" s="2" t="s">
        <v>4</v>
      </c>
      <c r="G1" s="2" t="s">
        <v>4</v>
      </c>
      <c r="H1" s="2" t="s">
        <v>15</v>
      </c>
      <c r="I1" t="s">
        <v>48</v>
      </c>
      <c r="J1" s="2" t="s">
        <v>4</v>
      </c>
      <c r="K1" t="s">
        <v>49</v>
      </c>
      <c r="L1" s="2" t="s">
        <v>4</v>
      </c>
      <c r="M1" t="s">
        <v>50</v>
      </c>
      <c r="N1" s="2" t="s">
        <v>15</v>
      </c>
      <c r="O1" s="2" t="s">
        <v>16</v>
      </c>
      <c r="P1" s="2" t="s">
        <v>18</v>
      </c>
      <c r="Q1" t="s">
        <v>35</v>
      </c>
      <c r="R1" s="2" t="s">
        <v>4</v>
      </c>
      <c r="S1" t="s">
        <v>21</v>
      </c>
      <c r="T1" s="2" t="s">
        <v>93</v>
      </c>
      <c r="U1" s="2" t="s">
        <v>4</v>
      </c>
      <c r="V1" s="2" t="s">
        <v>4</v>
      </c>
      <c r="W1" s="2" t="s">
        <v>15</v>
      </c>
      <c r="X1" t="s">
        <v>48</v>
      </c>
      <c r="Y1" s="2" t="s">
        <v>4</v>
      </c>
      <c r="Z1" t="s">
        <v>49</v>
      </c>
      <c r="AA1" s="2" t="s">
        <v>4</v>
      </c>
      <c r="AB1" t="s">
        <v>50</v>
      </c>
      <c r="AC1" s="2" t="s">
        <v>15</v>
      </c>
      <c r="AD1" s="2" t="s">
        <v>16</v>
      </c>
      <c r="AE1" s="2" t="s">
        <v>18</v>
      </c>
      <c r="AF1" t="s">
        <v>35</v>
      </c>
      <c r="AG1" s="2" t="s">
        <v>4</v>
      </c>
      <c r="AH1" t="s">
        <v>21</v>
      </c>
      <c r="AI1" s="2" t="s">
        <v>93</v>
      </c>
      <c r="AJ1" s="2" t="s">
        <v>46</v>
      </c>
      <c r="AK1" s="2" t="s">
        <v>4</v>
      </c>
      <c r="AL1" s="4" t="s">
        <v>47</v>
      </c>
      <c r="AM1" s="2" t="s">
        <v>4</v>
      </c>
      <c r="AN1" s="2" t="s">
        <v>4</v>
      </c>
      <c r="AO1" s="2" t="s">
        <v>15</v>
      </c>
      <c r="AP1" s="2" t="s">
        <v>15</v>
      </c>
      <c r="AQ1" s="2" t="s">
        <v>16</v>
      </c>
      <c r="AR1" s="2" t="s">
        <v>63</v>
      </c>
      <c r="AS1" s="2" t="s">
        <v>51</v>
      </c>
      <c r="AT1" t="s">
        <v>35</v>
      </c>
      <c r="AU1" s="2" t="s">
        <v>4</v>
      </c>
      <c r="AV1" s="2" t="s">
        <v>52</v>
      </c>
      <c r="AW1" t="s">
        <v>35</v>
      </c>
      <c r="AX1" s="2" t="s">
        <v>4</v>
      </c>
      <c r="AY1" s="2" t="s">
        <v>16</v>
      </c>
      <c r="AZ1" s="2" t="s">
        <v>53</v>
      </c>
    </row>
    <row r="2" spans="1:52" x14ac:dyDescent="0.35">
      <c r="A2" s="2" t="str">
        <f>IF(OR('A créer'!D2="Oui",LEN('A créer'!D2)=0),IF(AND(LEN('A créer'!B2)&gt;0,'A créer'!B2&lt;&gt;'A créer'!H2)=TRUE,"*FN",""),"*FN")</f>
        <v>*FN</v>
      </c>
      <c r="B2" t="str">
        <f>IF(OR('A créer'!D2="Oui",LEN('A créer'!D2)=0),IF(LEN('A créer'!B2)&gt;0,IF('A créer'!B2='A créer'!H2,"",CONCATENATE('A créer'!B2,'A créer'!A2)),""),CONCATENATE('A créer'!B2,'A créer'!A2))</f>
        <v>DCW0535</v>
      </c>
      <c r="C2" s="2" t="str">
        <f>IF(OR('A créer'!D2="Oui",LEN('A créer'!D2)=0),IF(AND(LEN('A créer'!B2)&gt;0,'A créer'!B2&lt;&gt;'A créer'!H2)=TRUE,"Tab",""),"Tab")</f>
        <v>Tab</v>
      </c>
      <c r="D2" t="str">
        <f>IF(OR('A créer'!D2="Oui",LEN('A créer'!D2)=0),IF(AND(LEN('A créer'!B2)&gt;0,'A créer'!B2&lt;&gt;'A créer'!H2)=TRUE,CONCATENATE('A créer'!B2,'A créer'!A2,"-",'A créer'!C2),""),CONCATENATE('A créer'!B2,'A créer'!A2,"-",'A créer'!C2))</f>
        <v>DCW0535-CHARLEVILLE RENOUVELABLE</v>
      </c>
      <c r="E2" s="2" t="str">
        <f>IF(OR('A créer'!D2="Oui",LEN('A créer'!D2)=0),IF(AND(LEN('A créer'!B2)&gt;0,'A créer'!B2&lt;&gt;'A créer'!H2)=TRUE,"Tab 4",""),"Tab 4")</f>
        <v>Tab 4</v>
      </c>
      <c r="F2" s="2" t="str">
        <f>IF(OR('A créer'!D2="Oui",LEN('A créer'!D2)=0),IF(AND(LEN('A créer'!B2)&gt;0,'A créer'!B2&lt;&gt;'A créer'!H2)=TRUE,"Tab",""),"Tab")</f>
        <v>Tab</v>
      </c>
      <c r="G2" s="2" t="str">
        <f>IF(OR('A créer'!D2="Oui",LEN('A créer'!D2)=0),IF(AND(LEN('A créer'!B2)&gt;0,'A créer'!B2&lt;&gt;'A créer'!H2)=TRUE,"Tab",""),"Tab")</f>
        <v>Tab</v>
      </c>
      <c r="H2" s="2" t="str">
        <f>IF(OR('A créer'!D2="Oui",LEN('A créer'!D2)=0),IF(AND(LEN('A créer'!B2)&gt;0,'A créer'!B2&lt;&gt;'A créer'!H2)=TRUE,"ENT",""),"ENT")</f>
        <v>ENT</v>
      </c>
      <c r="I2" t="str">
        <f>IF('A créer'!D2="Oui",IF(AND(LEN('A créer'!B2)&gt;0,'A créer'!B2&lt;&gt;'A créer'!H2)=TRUE,'A créer'!G2,""),'A créer'!G2)</f>
        <v>S2301</v>
      </c>
      <c r="J2" s="2" t="str">
        <f>IF(OR('A créer'!D2="Oui",LEN('A créer'!D2)=0),IF(AND(LEN('A créer'!B2)&gt;0,'A créer'!B2&lt;&gt;'A créer'!H2)=TRUE,"Tab",""),"Tab")</f>
        <v>Tab</v>
      </c>
      <c r="K2" t="str">
        <f>IF(OR('A créer'!D2="Oui",LEN('A créer'!D2)=0),IF(AND(LEN('A créer'!B2)&gt;0,'A créer'!B2&lt;&gt;'A créer'!H2)=TRUE,"Oui",""),"Oui")</f>
        <v>Oui</v>
      </c>
      <c r="L2" s="2" t="str">
        <f>IF(OR('A créer'!D2="Oui",LEN('A créer'!D2)=0),IF(AND(LEN('A créer'!B2)&gt;0,'A créer'!B2&lt;&gt;'A créer'!H2)=TRUE,"Tab",""),"Tab")</f>
        <v>Tab</v>
      </c>
      <c r="M2" t="str">
        <f>IF(OR('A créer'!D2="Oui",LEN('A créer'!D2)=0),IF(AND(LEN('A créer'!B2)&gt;0,'A créer'!B2&lt;&gt;'A créer'!H2)=TRUE,'A créer'!E2,""),'A créer'!E2)</f>
        <v>Non</v>
      </c>
      <c r="N2" s="2" t="str">
        <f>IF(OR('A créer'!D2="Oui",LEN('A créer'!D2)=0),IF(AND(LEN('A créer'!B2)&gt;0,'A créer'!B2&lt;&gt;'A créer'!H2)=TRUE,"ENT",""),"ENT")</f>
        <v>ENT</v>
      </c>
      <c r="O2" s="2" t="str">
        <f>IF(OR('A créer'!D2="Oui",LEN('A créer'!D2)=0),IF(AND(LEN('A créer'!B2)&gt;0,'A créer'!B2&lt;&gt;'A créer'!H2)=TRUE,"*SAVE",""),"*SAVE")</f>
        <v>*SAVE</v>
      </c>
      <c r="P2" s="2" t="str">
        <f>IF(OR('A créer'!D2="Oui",LEN('A créer'!D2)=0),"","*FN")</f>
        <v>*FN</v>
      </c>
      <c r="Q2" t="str">
        <f>IF(OR('A créer'!D2="Oui",LEN('A créer'!D2)=0),"",CONCATENATE("XXX",'A créer'!A2))</f>
        <v>XXX0535</v>
      </c>
      <c r="R2" s="2" t="str">
        <f>IF(OR('A créer'!D2="Oui",LEN('A créer'!D2)=0),"","Tab")</f>
        <v>Tab</v>
      </c>
      <c r="S2" t="str">
        <f>IF(OR('A créer'!D2="Oui",LEN('A créer'!D2)=0),"",CONCATENATE("XXX-",'A créer'!C2))</f>
        <v>XXX-CHARLEVILLE RENOUVELABLE</v>
      </c>
      <c r="T2" s="2" t="str">
        <f>IF(OR('A créer'!D2="Oui",LEN('A créer'!D2)=0),"","Tab 4")</f>
        <v>Tab 4</v>
      </c>
      <c r="U2" s="2" t="str">
        <f>IF(OR('A créer'!D2="Oui",LEN('A créer'!D2)=0),"","Tab")</f>
        <v>Tab</v>
      </c>
      <c r="V2" s="2" t="str">
        <f>IF(OR('A créer'!D2="Oui",LEN('A créer'!D2)=0),"","Tab")</f>
        <v>Tab</v>
      </c>
      <c r="W2" s="2" t="str">
        <f>IF(OR('A créer'!D2="Oui",LEN('A créer'!D2)=0),"","ENT")</f>
        <v>ENT</v>
      </c>
      <c r="X2" t="str">
        <f>IF(OR('A créer'!D2="Oui",LEN('A créer'!D2)=0),"",'A créer'!G2)</f>
        <v>S2301</v>
      </c>
      <c r="Y2" s="2" t="str">
        <f>IF(OR('A créer'!D2="Oui",LEN('A créer'!D2)=0),"","Tab")</f>
        <v>Tab</v>
      </c>
      <c r="Z2" t="str">
        <f>IF(OR('A créer'!D2="Oui",LEN('A créer'!D2)=0),"","Oui")</f>
        <v>Oui</v>
      </c>
      <c r="AA2" s="2" t="str">
        <f>IF(OR('A créer'!D2="Oui",LEN('A créer'!D2)=0),"","Tab")</f>
        <v>Tab</v>
      </c>
      <c r="AB2" t="str">
        <f>IF(OR('A créer'!D2="Oui",LEN('A créer'!D2)=0),"","NON")</f>
        <v>NON</v>
      </c>
      <c r="AC2" s="2" t="str">
        <f>IF(OR('A créer'!D2="Oui",LEN('A créer'!D2)=0),"","ENT")</f>
        <v>ENT</v>
      </c>
      <c r="AD2" s="2" t="str">
        <f>IF(OR('A créer'!D2="Oui",LEN('A créer'!D2)=0),"","*SAVE")</f>
        <v>*SAVE</v>
      </c>
      <c r="AE2" s="2" t="str">
        <f>IF(OR('A créer'!D2="Oui",LEN('A créer'!D2)=0),"","*FN")</f>
        <v>*FN</v>
      </c>
      <c r="AF2" t="str">
        <f>IF(OR('A créer'!D2="Oui",LEN('A créer'!D2)=0),"",'A créer'!A2)</f>
        <v>0535</v>
      </c>
      <c r="AG2" s="2" t="str">
        <f>IF(OR('A créer'!D2="Oui",LEN('A créer'!D2)=0),"","Tab")</f>
        <v>Tab</v>
      </c>
      <c r="AH2" t="str">
        <f>IF(OR('A créer'!D2="Oui",LEN('A créer'!D2)=0),"",'A créer'!C2)</f>
        <v>CHARLEVILLE RENOUVELABLE</v>
      </c>
      <c r="AI2" s="2" t="str">
        <f>IF(OR('A créer'!D2="Oui",LEN('A créer'!D2)=0),"","Tab 4")</f>
        <v>Tab 4</v>
      </c>
      <c r="AJ2" s="2" t="str">
        <f>IF(OR('A créer'!D2="Oui",LEN('A créer'!D2)=0),"","*SB")</f>
        <v>*SB</v>
      </c>
      <c r="AK2" s="2" t="str">
        <f>IF(OR('A créer'!D2="Oui",LEN('A créer'!D2)=0),"","Tab")</f>
        <v>Tab</v>
      </c>
      <c r="AL2" t="str">
        <f>IF(OR('A créer'!D2="Oui",LEN('A créer'!D2)=0),"","InterCoSte")</f>
        <v>InterCoSte</v>
      </c>
      <c r="AM2" s="2" t="str">
        <f>IF(OR('A créer'!D2="Oui",LEN('A créer'!D2)=0),"","Tab")</f>
        <v>Tab</v>
      </c>
      <c r="AN2" s="2" t="str">
        <f>IF(OR('A créer'!D2="Oui",LEN('A créer'!D2)=0),"","Tab")</f>
        <v>Tab</v>
      </c>
      <c r="AO2" s="2" t="str">
        <f>IF(OR('A créer'!D2="Oui",LEN('A créer'!D2)=0),"","ENT")</f>
        <v>ENT</v>
      </c>
      <c r="AP2" s="2" t="str">
        <f>IF(OR('A créer'!D2="Oui",LEN('A créer'!D2)=0),"","ENT")</f>
        <v>ENT</v>
      </c>
      <c r="AQ2" s="2" t="str">
        <f>IF(OR('A créer'!D2="Oui",LEN('A créer'!D2)=0),"","*SAVE")</f>
        <v>*SAVE</v>
      </c>
      <c r="AR2" s="2" t="str">
        <f>IF(OR('A créer'!D2="Oui",LEN('A créer'!D2)=0),"","*UP")</f>
        <v>*UP</v>
      </c>
      <c r="AS2" s="2" t="str">
        <f>IF(OR('A créer'!D2="Oui",LEN('A créer'!D2)=0),"","*Aé")</f>
        <v>*Aé</v>
      </c>
      <c r="AT2" t="str">
        <f>IF(OR('A créer'!D2="Oui",LEN('A créer'!D2)=0),"",CONCATENATE('A créer'!B2,'A créer'!A2))</f>
        <v>DCW0535</v>
      </c>
      <c r="AU2" s="2" t="str">
        <f>IF(OR('A créer'!D2="Oui",LEN('A créer'!D2)=0),"","Tab")</f>
        <v>Tab</v>
      </c>
      <c r="AV2" s="2" t="str">
        <f>IF(OR('A créer'!D2="Oui",LEN('A créer'!D2)=0),"","*DN")</f>
        <v>*DN</v>
      </c>
      <c r="AW2" t="str">
        <f>IF(OR('A créer'!D2="Oui",LEN('A créer'!D2)=0),"",CONCATENATE("XXX",'A créer'!A2))</f>
        <v>XXX0535</v>
      </c>
      <c r="AX2" s="2" t="str">
        <f>IF(OR('A créer'!D2="Oui",LEN('A créer'!D2)=0),"","Tab")</f>
        <v>Tab</v>
      </c>
      <c r="AY2" s="2" t="str">
        <f>IF(OR('A créer'!D2="Oui",LEN('A créer'!D2)=0),"","*SAVE")</f>
        <v>*SAVE</v>
      </c>
      <c r="AZ2" s="2" t="str">
        <f>IF(OR('A créer'!D2="Oui",LEN('A créer'!D2)=0),"","*ML(608,125)")</f>
        <v>*ML(608,125)</v>
      </c>
    </row>
    <row r="3" spans="1:52" x14ac:dyDescent="0.35">
      <c r="A3" s="2" t="str">
        <f>IF(OR('A créer'!D3="Oui",LEN('A créer'!D3)=0),IF(AND(LEN('A créer'!B3)&gt;0,'A créer'!B3&lt;&gt;'A créer'!H3)=TRUE,"*FN",""),"*FN")</f>
        <v/>
      </c>
      <c r="B3" s="6" t="str">
        <f>IF(OR('A créer'!D3="Oui",LEN('A créer'!D3)=0),IF(LEN('A créer'!B3)&gt;0,IF('A créer'!B3='A créer'!H3,"",CONCATENATE('A créer'!B3,'A créer'!A3)),""),CONCATENATE('A créer'!B3,'A créer'!A3))</f>
        <v/>
      </c>
      <c r="C3" s="2" t="str">
        <f>IF(OR('A créer'!D3="Oui",LEN('A créer'!D3)=0),IF(AND(LEN('A créer'!B3)&gt;0,'A créer'!B3&lt;&gt;'A créer'!H3)=TRUE,"Tab",""),"Tab")</f>
        <v/>
      </c>
      <c r="D3" s="6" t="str">
        <f>IF(OR('A créer'!D3="Oui",LEN('A créer'!D3)=0),IF(AND(LEN('A créer'!B3)&gt;0,'A créer'!B3&lt;&gt;'A créer'!H3)=TRUE,CONCATENATE('A créer'!B3,'A créer'!A3,"-",'A créer'!C3),""),CONCATENATE('A créer'!B3,'A créer'!A3,"-",'A créer'!C3))</f>
        <v/>
      </c>
      <c r="E3" s="2" t="str">
        <f>IF(OR('A créer'!D3="Oui",LEN('A créer'!D3)=0),IF(AND(LEN('A créer'!B3)&gt;0,'A créer'!B3&lt;&gt;'A créer'!H3)=TRUE,"Tab 4",""),"Tab 4")</f>
        <v/>
      </c>
      <c r="F3" s="2" t="str">
        <f>IF(OR('A créer'!D3="Oui",LEN('A créer'!D3)=0),IF(AND(LEN('A créer'!B3)&gt;0,'A créer'!B3&lt;&gt;'A créer'!H3)=TRUE,"Tab",""),"Tab")</f>
        <v/>
      </c>
      <c r="G3" s="2" t="str">
        <f>IF(OR('A créer'!D3="Oui",LEN('A créer'!D3)=0),IF(AND(LEN('A créer'!B3)&gt;0,'A créer'!B3&lt;&gt;'A créer'!H3)=TRUE,"Tab",""),"Tab")</f>
        <v/>
      </c>
      <c r="H3" s="2" t="str">
        <f>IF(OR('A créer'!D3="Oui",LEN('A créer'!D3)=0),IF(AND(LEN('A créer'!B3)&gt;0,'A créer'!B3&lt;&gt;'A créer'!H3)=TRUE,"ENT",""),"ENT")</f>
        <v/>
      </c>
      <c r="I3" s="6">
        <f>IF('A créer'!D3="Oui",IF(AND(LEN('A créer'!B3)&gt;0,'A créer'!B3&lt;&gt;'A créer'!H3)=TRUE,'A créer'!G3,""),'A créer'!G3)</f>
        <v>0</v>
      </c>
      <c r="J3" s="2" t="str">
        <f>IF(OR('A créer'!D3="Oui",LEN('A créer'!D3)=0),IF(AND(LEN('A créer'!B3)&gt;0,'A créer'!B3&lt;&gt;'A créer'!H3)=TRUE,"Tab",""),"Tab")</f>
        <v/>
      </c>
      <c r="K3" s="6" t="str">
        <f>IF(OR('A créer'!D3="Oui",LEN('A créer'!D3)=0),IF(AND(LEN('A créer'!B3)&gt;0,'A créer'!B3&lt;&gt;'A créer'!H3)=TRUE,"Oui",""),"Oui")</f>
        <v/>
      </c>
      <c r="L3" s="2" t="str">
        <f>IF(OR('A créer'!D3="Oui",LEN('A créer'!D3)=0),IF(AND(LEN('A créer'!B3)&gt;0,'A créer'!B3&lt;&gt;'A créer'!H3)=TRUE,"Tab",""),"Tab")</f>
        <v/>
      </c>
      <c r="M3" s="6" t="str">
        <f>IF(OR('A créer'!D3="Oui",LEN('A créer'!D3)=0),IF(AND(LEN('A créer'!B3)&gt;0,'A créer'!B3&lt;&gt;'A créer'!H3)=TRUE,'A créer'!E3,""),'A créer'!E3)</f>
        <v/>
      </c>
      <c r="N3" s="2" t="str">
        <f>IF(OR('A créer'!D3="Oui",LEN('A créer'!D3)=0),IF(AND(LEN('A créer'!B3)&gt;0,'A créer'!B3&lt;&gt;'A créer'!H3)=TRUE,"ENT",""),"ENT")</f>
        <v/>
      </c>
      <c r="O3" s="2" t="str">
        <f>IF(OR('A créer'!D3="Oui",LEN('A créer'!D3)=0),IF(AND(LEN('A créer'!B3)&gt;0,'A créer'!B3&lt;&gt;'A créer'!H3)=TRUE,"*SAVE",""),"*SAVE")</f>
        <v/>
      </c>
      <c r="P3" s="2" t="str">
        <f>IF(OR('A créer'!D3="Oui",LEN('A créer'!D3)=0),"","*FN")</f>
        <v/>
      </c>
      <c r="Q3" s="6" t="str">
        <f>IF(OR('A créer'!D3="Oui",LEN('A créer'!D3)=0),"",CONCATENATE("XXX",'A créer'!A3))</f>
        <v/>
      </c>
      <c r="R3" s="2" t="str">
        <f>IF(OR('A créer'!D3="Oui",LEN('A créer'!D3)=0),"","Tab")</f>
        <v/>
      </c>
      <c r="S3" s="6" t="str">
        <f>IF(OR('A créer'!D3="Oui",LEN('A créer'!D3)=0),"",CONCATENATE("XXX-",'A créer'!C3))</f>
        <v/>
      </c>
      <c r="T3" s="2" t="str">
        <f>IF(OR('A créer'!D3="Oui",LEN('A créer'!D3)=0),"","Tab 4")</f>
        <v/>
      </c>
      <c r="U3" s="2" t="str">
        <f>IF(OR('A créer'!D3="Oui",LEN('A créer'!D3)=0),"","Tab")</f>
        <v/>
      </c>
      <c r="V3" s="2" t="str">
        <f>IF(OR('A créer'!D3="Oui",LEN('A créer'!D3)=0),"","Tab")</f>
        <v/>
      </c>
      <c r="W3" s="2" t="str">
        <f>IF(OR('A créer'!D3="Oui",LEN('A créer'!D3)=0),"","ENT")</f>
        <v/>
      </c>
      <c r="X3" s="6" t="str">
        <f>IF(OR('A créer'!D3="Oui",LEN('A créer'!D3)=0),"",'A créer'!G3)</f>
        <v/>
      </c>
      <c r="Y3" s="2" t="str">
        <f>IF(OR('A créer'!D3="Oui",LEN('A créer'!D3)=0),"","Tab")</f>
        <v/>
      </c>
      <c r="Z3" s="6" t="str">
        <f>IF(OR('A créer'!D3="Oui",LEN('A créer'!D3)=0),"","Oui")</f>
        <v/>
      </c>
      <c r="AA3" s="2" t="str">
        <f>IF(OR('A créer'!D3="Oui",LEN('A créer'!D3)=0),"","Tab")</f>
        <v/>
      </c>
      <c r="AB3" s="6" t="str">
        <f>IF(OR('A créer'!D3="Oui",LEN('A créer'!D3)=0),"","NON")</f>
        <v/>
      </c>
      <c r="AC3" s="2" t="str">
        <f>IF(OR('A créer'!D3="Oui",LEN('A créer'!D3)=0),"","ENT")</f>
        <v/>
      </c>
      <c r="AD3" s="2" t="str">
        <f>IF(OR('A créer'!D3="Oui",LEN('A créer'!D3)=0),"","*SAVE")</f>
        <v/>
      </c>
      <c r="AE3" s="2" t="str">
        <f>IF(OR('A créer'!D3="Oui",LEN('A créer'!D3)=0),"","*FN")</f>
        <v/>
      </c>
      <c r="AF3" s="6" t="str">
        <f>IF(OR('A créer'!D3="Oui",LEN('A créer'!D3)=0),"",'A créer'!A3)</f>
        <v/>
      </c>
      <c r="AG3" s="2" t="str">
        <f>IF(OR('A créer'!D3="Oui",LEN('A créer'!D3)=0),"","Tab")</f>
        <v/>
      </c>
      <c r="AH3" s="6" t="str">
        <f>IF(OR('A créer'!D3="Oui",LEN('A créer'!D3)=0),"",'A créer'!C3)</f>
        <v/>
      </c>
      <c r="AI3" s="2" t="str">
        <f>IF(OR('A créer'!D3="Oui",LEN('A créer'!D3)=0),"","Tab 4")</f>
        <v/>
      </c>
      <c r="AJ3" s="2" t="str">
        <f>IF(OR('A créer'!D3="Oui",LEN('A créer'!D3)=0),"","*SB")</f>
        <v/>
      </c>
      <c r="AK3" s="2" t="str">
        <f>IF(OR('A créer'!D3="Oui",LEN('A créer'!D3)=0),"","Tab")</f>
        <v/>
      </c>
      <c r="AL3" s="6" t="str">
        <f>IF(OR('A créer'!D3="Oui",LEN('A créer'!D3)=0),"","InterCoSte")</f>
        <v/>
      </c>
      <c r="AM3" s="2" t="str">
        <f>IF(OR('A créer'!D3="Oui",LEN('A créer'!D3)=0),"","Tab")</f>
        <v/>
      </c>
      <c r="AN3" s="2" t="str">
        <f>IF(OR('A créer'!D3="Oui",LEN('A créer'!D3)=0),"","Tab")</f>
        <v/>
      </c>
      <c r="AO3" s="2" t="str">
        <f>IF(OR('A créer'!D3="Oui",LEN('A créer'!D3)=0),"","ENT")</f>
        <v/>
      </c>
      <c r="AP3" s="2" t="str">
        <f>IF(OR('A créer'!D3="Oui",LEN('A créer'!D3)=0),"","ENT")</f>
        <v/>
      </c>
      <c r="AQ3" s="2" t="str">
        <f>IF(OR('A créer'!D3="Oui",LEN('A créer'!D3)=0),"","*SAVE")</f>
        <v/>
      </c>
      <c r="AR3" s="2" t="str">
        <f>IF(OR('A créer'!D3="Oui",LEN('A créer'!D3)=0),"","*UP")</f>
        <v/>
      </c>
      <c r="AS3" s="2" t="str">
        <f>IF(OR('A créer'!D3="Oui",LEN('A créer'!D3)=0),"","*Aé")</f>
        <v/>
      </c>
      <c r="AT3" s="6" t="str">
        <f>IF(OR('A créer'!D3="Oui",LEN('A créer'!D3)=0),"",CONCATENATE('A créer'!B3,'A créer'!A3))</f>
        <v/>
      </c>
      <c r="AU3" s="2" t="str">
        <f>IF(OR('A créer'!D3="Oui",LEN('A créer'!D3)=0),"","Tab")</f>
        <v/>
      </c>
      <c r="AV3" s="2" t="str">
        <f>IF(OR('A créer'!D3="Oui",LEN('A créer'!D3)=0),"","*DN")</f>
        <v/>
      </c>
      <c r="AW3" s="6" t="str">
        <f>IF(OR('A créer'!D3="Oui",LEN('A créer'!D3)=0),"",CONCATENATE("XXX",'A créer'!A3))</f>
        <v/>
      </c>
      <c r="AX3" s="2" t="str">
        <f>IF(OR('A créer'!D3="Oui",LEN('A créer'!D3)=0),"","Tab")</f>
        <v/>
      </c>
      <c r="AY3" s="2" t="str">
        <f>IF(OR('A créer'!D3="Oui",LEN('A créer'!D3)=0),"","*SAVE")</f>
        <v/>
      </c>
      <c r="AZ3" s="2" t="str">
        <f>IF(OR('A créer'!D3="Oui",LEN('A créer'!D3)=0),"","*ML(608,125)")</f>
        <v/>
      </c>
    </row>
    <row r="4" spans="1:52" x14ac:dyDescent="0.35">
      <c r="A4" s="2" t="str">
        <f>IF(OR('A créer'!D4="Oui",LEN('A créer'!D4)=0),IF(AND(LEN('A créer'!B4)&gt;0,'A créer'!B4&lt;&gt;'A créer'!H4)=TRUE,"*FN",""),"*FN")</f>
        <v>*FN</v>
      </c>
      <c r="B4" s="6" t="str">
        <f>IF(OR('A créer'!D4="Oui",LEN('A créer'!D4)=0),IF(LEN('A créer'!B4)&gt;0,IF('A créer'!B4='A créer'!H4,"",CONCATENATE('A créer'!B4,'A créer'!A4)),""),CONCATENATE('A créer'!B4,'A créer'!A4))</f>
        <v>DCW0595</v>
      </c>
      <c r="C4" s="2" t="str">
        <f>IF(OR('A créer'!D4="Oui",LEN('A créer'!D4)=0),IF(AND(LEN('A créer'!B4)&gt;0,'A créer'!B4&lt;&gt;'A créer'!H4)=TRUE,"Tab",""),"Tab")</f>
        <v>Tab</v>
      </c>
      <c r="D4" s="6" t="str">
        <f>IF(OR('A créer'!D4="Oui",LEN('A créer'!D4)=0),IF(AND(LEN('A créer'!B4)&gt;0,'A créer'!B4&lt;&gt;'A créer'!H4)=TRUE,CONCATENATE('A créer'!B4,'A créer'!A4,"-",'A créer'!C4),""),CONCATENATE('A créer'!B4,'A créer'!A4,"-",'A créer'!C4))</f>
        <v>DCW0595-MIRECOURT ENERGIES</v>
      </c>
      <c r="E4" s="2" t="str">
        <f>IF(OR('A créer'!D4="Oui",LEN('A créer'!D4)=0),IF(AND(LEN('A créer'!B4)&gt;0,'A créer'!B4&lt;&gt;'A créer'!H4)=TRUE,"Tab 4",""),"Tab 4")</f>
        <v>Tab 4</v>
      </c>
      <c r="F4" s="2" t="str">
        <f>IF(OR('A créer'!D4="Oui",LEN('A créer'!D4)=0),IF(AND(LEN('A créer'!B4)&gt;0,'A créer'!B4&lt;&gt;'A créer'!H4)=TRUE,"Tab",""),"Tab")</f>
        <v>Tab</v>
      </c>
      <c r="G4" s="2" t="str">
        <f>IF(OR('A créer'!D4="Oui",LEN('A créer'!D4)=0),IF(AND(LEN('A créer'!B4)&gt;0,'A créer'!B4&lt;&gt;'A créer'!H4)=TRUE,"Tab",""),"Tab")</f>
        <v>Tab</v>
      </c>
      <c r="H4" s="2" t="str">
        <f>IF(OR('A créer'!D4="Oui",LEN('A créer'!D4)=0),IF(AND(LEN('A créer'!B4)&gt;0,'A créer'!B4&lt;&gt;'A créer'!H4)=TRUE,"ENT",""),"ENT")</f>
        <v>ENT</v>
      </c>
      <c r="I4" s="6" t="str">
        <f>IF('A créer'!D4="Oui",IF(AND(LEN('A créer'!B4)&gt;0,'A créer'!B4&lt;&gt;'A créer'!H4)=TRUE,'A créer'!G4,""),'A créer'!G4)</f>
        <v>S2070</v>
      </c>
      <c r="J4" s="2" t="str">
        <f>IF(OR('A créer'!D4="Oui",LEN('A créer'!D4)=0),IF(AND(LEN('A créer'!B4)&gt;0,'A créer'!B4&lt;&gt;'A créer'!H4)=TRUE,"Tab",""),"Tab")</f>
        <v>Tab</v>
      </c>
      <c r="K4" s="6" t="str">
        <f>IF(OR('A créer'!D4="Oui",LEN('A créer'!D4)=0),IF(AND(LEN('A créer'!B4)&gt;0,'A créer'!B4&lt;&gt;'A créer'!H4)=TRUE,"Oui",""),"Oui")</f>
        <v>Oui</v>
      </c>
      <c r="L4" s="2" t="str">
        <f>IF(OR('A créer'!D4="Oui",LEN('A créer'!D4)=0),IF(AND(LEN('A créer'!B4)&gt;0,'A créer'!B4&lt;&gt;'A créer'!H4)=TRUE,"Tab",""),"Tab")</f>
        <v>Tab</v>
      </c>
      <c r="M4" s="6" t="str">
        <f>IF(OR('A créer'!D4="Oui",LEN('A créer'!D4)=0),IF(AND(LEN('A créer'!B4)&gt;0,'A créer'!B4&lt;&gt;'A créer'!H4)=TRUE,'A créer'!E4,""),'A créer'!E4)</f>
        <v>Non</v>
      </c>
      <c r="N4" s="2" t="str">
        <f>IF(OR('A créer'!D4="Oui",LEN('A créer'!D4)=0),IF(AND(LEN('A créer'!B4)&gt;0,'A créer'!B4&lt;&gt;'A créer'!H4)=TRUE,"ENT",""),"ENT")</f>
        <v>ENT</v>
      </c>
      <c r="O4" s="2" t="str">
        <f>IF(OR('A créer'!D4="Oui",LEN('A créer'!D4)=0),IF(AND(LEN('A créer'!B4)&gt;0,'A créer'!B4&lt;&gt;'A créer'!H4)=TRUE,"*SAVE",""),"*SAVE")</f>
        <v>*SAVE</v>
      </c>
      <c r="P4" s="2" t="str">
        <f>IF(OR('A créer'!D4="Oui",LEN('A créer'!D4)=0),"","*FN")</f>
        <v>*FN</v>
      </c>
      <c r="Q4" s="6" t="str">
        <f>IF(OR('A créer'!D4="Oui",LEN('A créer'!D4)=0),"",CONCATENATE("XXX",'A créer'!A4))</f>
        <v>XXX0595</v>
      </c>
      <c r="R4" s="2" t="str">
        <f>IF(OR('A créer'!D4="Oui",LEN('A créer'!D4)=0),"","Tab")</f>
        <v>Tab</v>
      </c>
      <c r="S4" s="6" t="str">
        <f>IF(OR('A créer'!D4="Oui",LEN('A créer'!D4)=0),"",CONCATENATE("XXX-",'A créer'!C4))</f>
        <v>XXX-MIRECOURT ENERGIES</v>
      </c>
      <c r="T4" s="2" t="str">
        <f>IF(OR('A créer'!D4="Oui",LEN('A créer'!D4)=0),"","Tab 4")</f>
        <v>Tab 4</v>
      </c>
      <c r="U4" s="2" t="str">
        <f>IF(OR('A créer'!D4="Oui",LEN('A créer'!D4)=0),"","Tab")</f>
        <v>Tab</v>
      </c>
      <c r="V4" s="2" t="str">
        <f>IF(OR('A créer'!D4="Oui",LEN('A créer'!D4)=0),"","Tab")</f>
        <v>Tab</v>
      </c>
      <c r="W4" s="2" t="str">
        <f>IF(OR('A créer'!D4="Oui",LEN('A créer'!D4)=0),"","ENT")</f>
        <v>ENT</v>
      </c>
      <c r="X4" s="6" t="str">
        <f>IF(OR('A créer'!D4="Oui",LEN('A créer'!D4)=0),"",'A créer'!G4)</f>
        <v>S2070</v>
      </c>
      <c r="Y4" s="2" t="str">
        <f>IF(OR('A créer'!D4="Oui",LEN('A créer'!D4)=0),"","Tab")</f>
        <v>Tab</v>
      </c>
      <c r="Z4" s="6" t="str">
        <f>IF(OR('A créer'!D4="Oui",LEN('A créer'!D4)=0),"","Oui")</f>
        <v>Oui</v>
      </c>
      <c r="AA4" s="2" t="str">
        <f>IF(OR('A créer'!D4="Oui",LEN('A créer'!D4)=0),"","Tab")</f>
        <v>Tab</v>
      </c>
      <c r="AB4" s="6" t="str">
        <f>IF(OR('A créer'!D4="Oui",LEN('A créer'!D4)=0),"","NON")</f>
        <v>NON</v>
      </c>
      <c r="AC4" s="2" t="str">
        <f>IF(OR('A créer'!D4="Oui",LEN('A créer'!D4)=0),"","ENT")</f>
        <v>ENT</v>
      </c>
      <c r="AD4" s="2" t="str">
        <f>IF(OR('A créer'!D4="Oui",LEN('A créer'!D4)=0),"","*SAVE")</f>
        <v>*SAVE</v>
      </c>
      <c r="AE4" s="2" t="str">
        <f>IF(OR('A créer'!D4="Oui",LEN('A créer'!D4)=0),"","*FN")</f>
        <v>*FN</v>
      </c>
      <c r="AF4" s="6" t="str">
        <f>IF(OR('A créer'!D4="Oui",LEN('A créer'!D4)=0),"",'A créer'!A4)</f>
        <v>0595</v>
      </c>
      <c r="AG4" s="2" t="str">
        <f>IF(OR('A créer'!D4="Oui",LEN('A créer'!D4)=0),"","Tab")</f>
        <v>Tab</v>
      </c>
      <c r="AH4" s="6" t="str">
        <f>IF(OR('A créer'!D4="Oui",LEN('A créer'!D4)=0),"",'A créer'!C4)</f>
        <v>MIRECOURT ENERGIES</v>
      </c>
      <c r="AI4" s="2" t="str">
        <f>IF(OR('A créer'!D4="Oui",LEN('A créer'!D4)=0),"","Tab 4")</f>
        <v>Tab 4</v>
      </c>
      <c r="AJ4" s="2" t="str">
        <f>IF(OR('A créer'!D4="Oui",LEN('A créer'!D4)=0),"","*SB")</f>
        <v>*SB</v>
      </c>
      <c r="AK4" s="2" t="str">
        <f>IF(OR('A créer'!D4="Oui",LEN('A créer'!D4)=0),"","Tab")</f>
        <v>Tab</v>
      </c>
      <c r="AL4" s="6" t="str">
        <f>IF(OR('A créer'!D4="Oui",LEN('A créer'!D4)=0),"","InterCoSte")</f>
        <v>InterCoSte</v>
      </c>
      <c r="AM4" s="2" t="str">
        <f>IF(OR('A créer'!D4="Oui",LEN('A créer'!D4)=0),"","Tab")</f>
        <v>Tab</v>
      </c>
      <c r="AN4" s="2" t="str">
        <f>IF(OR('A créer'!D4="Oui",LEN('A créer'!D4)=0),"","Tab")</f>
        <v>Tab</v>
      </c>
      <c r="AO4" s="2" t="str">
        <f>IF(OR('A créer'!D4="Oui",LEN('A créer'!D4)=0),"","ENT")</f>
        <v>ENT</v>
      </c>
      <c r="AP4" s="2" t="str">
        <f>IF(OR('A créer'!D4="Oui",LEN('A créer'!D4)=0),"","ENT")</f>
        <v>ENT</v>
      </c>
      <c r="AQ4" s="2" t="str">
        <f>IF(OR('A créer'!D4="Oui",LEN('A créer'!D4)=0),"","*SAVE")</f>
        <v>*SAVE</v>
      </c>
      <c r="AR4" s="2" t="str">
        <f>IF(OR('A créer'!D4="Oui",LEN('A créer'!D4)=0),"","*UP")</f>
        <v>*UP</v>
      </c>
      <c r="AS4" s="2" t="str">
        <f>IF(OR('A créer'!D4="Oui",LEN('A créer'!D4)=0),"","*Aé")</f>
        <v>*Aé</v>
      </c>
      <c r="AT4" s="6" t="str">
        <f>IF(OR('A créer'!D4="Oui",LEN('A créer'!D4)=0),"",CONCATENATE('A créer'!B4,'A créer'!A4))</f>
        <v>DCW0595</v>
      </c>
      <c r="AU4" s="2" t="str">
        <f>IF(OR('A créer'!D4="Oui",LEN('A créer'!D4)=0),"","Tab")</f>
        <v>Tab</v>
      </c>
      <c r="AV4" s="2" t="str">
        <f>IF(OR('A créer'!D4="Oui",LEN('A créer'!D4)=0),"","*DN")</f>
        <v>*DN</v>
      </c>
      <c r="AW4" s="6" t="str">
        <f>IF(OR('A créer'!D4="Oui",LEN('A créer'!D4)=0),"",CONCATENATE("XXX",'A créer'!A4))</f>
        <v>XXX0595</v>
      </c>
      <c r="AX4" s="2" t="str">
        <f>IF(OR('A créer'!D4="Oui",LEN('A créer'!D4)=0),"","Tab")</f>
        <v>Tab</v>
      </c>
      <c r="AY4" s="2" t="str">
        <f>IF(OR('A créer'!D4="Oui",LEN('A créer'!D4)=0),"","*SAVE")</f>
        <v>*SAVE</v>
      </c>
      <c r="AZ4" s="2" t="str">
        <f>IF(OR('A créer'!D4="Oui",LEN('A créer'!D4)=0),"","*ML(608,125)")</f>
        <v>*ML(608,125)</v>
      </c>
    </row>
    <row r="5" spans="1:52" x14ac:dyDescent="0.35">
      <c r="A5" s="2" t="str">
        <f>IF(OR('A créer'!D5="Oui",LEN('A créer'!D5)=0),IF(AND(LEN('A créer'!B5)&gt;0,'A créer'!B5&lt;&gt;'A créer'!H5)=TRUE,"*FN",""),"*FN")</f>
        <v/>
      </c>
      <c r="B5" s="6" t="str">
        <f>IF(OR('A créer'!D5="Oui",LEN('A créer'!D5)=0),IF(LEN('A créer'!B5)&gt;0,IF('A créer'!B5='A créer'!H5,"",CONCATENATE('A créer'!B5,'A créer'!A5)),""),CONCATENATE('A créer'!B5,'A créer'!A5))</f>
        <v/>
      </c>
      <c r="C5" s="2" t="str">
        <f>IF(OR('A créer'!D5="Oui",LEN('A créer'!D5)=0),IF(AND(LEN('A créer'!B5)&gt;0,'A créer'!B5&lt;&gt;'A créer'!H5)=TRUE,"Tab",""),"Tab")</f>
        <v/>
      </c>
      <c r="D5" s="6" t="str">
        <f>IF(OR('A créer'!D5="Oui",LEN('A créer'!D5)=0),IF(AND(LEN('A créer'!B5)&gt;0,'A créer'!B5&lt;&gt;'A créer'!H5)=TRUE,CONCATENATE('A créer'!B5,'A créer'!A5,"-",'A créer'!C5),""),CONCATENATE('A créer'!B5,'A créer'!A5,"-",'A créer'!C5))</f>
        <v/>
      </c>
      <c r="E5" s="2" t="str">
        <f>IF(OR('A créer'!D5="Oui",LEN('A créer'!D5)=0),IF(AND(LEN('A créer'!B5)&gt;0,'A créer'!B5&lt;&gt;'A créer'!H5)=TRUE,"Tab 4",""),"Tab 4")</f>
        <v/>
      </c>
      <c r="F5" s="2" t="str">
        <f>IF(OR('A créer'!D5="Oui",LEN('A créer'!D5)=0),IF(AND(LEN('A créer'!B5)&gt;0,'A créer'!B5&lt;&gt;'A créer'!H5)=TRUE,"Tab",""),"Tab")</f>
        <v/>
      </c>
      <c r="G5" s="2" t="str">
        <f>IF(OR('A créer'!D5="Oui",LEN('A créer'!D5)=0),IF(AND(LEN('A créer'!B5)&gt;0,'A créer'!B5&lt;&gt;'A créer'!H5)=TRUE,"Tab",""),"Tab")</f>
        <v/>
      </c>
      <c r="H5" s="2" t="str">
        <f>IF(OR('A créer'!D5="Oui",LEN('A créer'!D5)=0),IF(AND(LEN('A créer'!B5)&gt;0,'A créer'!B5&lt;&gt;'A créer'!H5)=TRUE,"ENT",""),"ENT")</f>
        <v/>
      </c>
      <c r="I5" s="6">
        <f>IF('A créer'!D5="Oui",IF(AND(LEN('A créer'!B5)&gt;0,'A créer'!B5&lt;&gt;'A créer'!H5)=TRUE,'A créer'!G5,""),'A créer'!G5)</f>
        <v>0</v>
      </c>
      <c r="J5" s="2" t="str">
        <f>IF(OR('A créer'!D5="Oui",LEN('A créer'!D5)=0),IF(AND(LEN('A créer'!B5)&gt;0,'A créer'!B5&lt;&gt;'A créer'!H5)=TRUE,"Tab",""),"Tab")</f>
        <v/>
      </c>
      <c r="K5" s="6" t="str">
        <f>IF(OR('A créer'!D5="Oui",LEN('A créer'!D5)=0),IF(AND(LEN('A créer'!B5)&gt;0,'A créer'!B5&lt;&gt;'A créer'!H5)=TRUE,"Oui",""),"Oui")</f>
        <v/>
      </c>
      <c r="L5" s="2" t="str">
        <f>IF(OR('A créer'!D5="Oui",LEN('A créer'!D5)=0),IF(AND(LEN('A créer'!B5)&gt;0,'A créer'!B5&lt;&gt;'A créer'!H5)=TRUE,"Tab",""),"Tab")</f>
        <v/>
      </c>
      <c r="M5" s="6" t="str">
        <f>IF(OR('A créer'!D5="Oui",LEN('A créer'!D5)=0),IF(AND(LEN('A créer'!B5)&gt;0,'A créer'!B5&lt;&gt;'A créer'!H5)=TRUE,'A créer'!E5,""),'A créer'!E5)</f>
        <v/>
      </c>
      <c r="N5" s="2" t="str">
        <f>IF(OR('A créer'!D5="Oui",LEN('A créer'!D5)=0),IF(AND(LEN('A créer'!B5)&gt;0,'A créer'!B5&lt;&gt;'A créer'!H5)=TRUE,"ENT",""),"ENT")</f>
        <v/>
      </c>
      <c r="O5" s="2" t="str">
        <f>IF(OR('A créer'!D5="Oui",LEN('A créer'!D5)=0),IF(AND(LEN('A créer'!B5)&gt;0,'A créer'!B5&lt;&gt;'A créer'!H5)=TRUE,"*SAVE",""),"*SAVE")</f>
        <v/>
      </c>
      <c r="P5" s="2" t="str">
        <f>IF(OR('A créer'!D5="Oui",LEN('A créer'!D5)=0),"","*FN")</f>
        <v/>
      </c>
      <c r="Q5" s="6" t="str">
        <f>IF(OR('A créer'!D5="Oui",LEN('A créer'!D5)=0),"",CONCATENATE("XXX",'A créer'!A5))</f>
        <v/>
      </c>
      <c r="R5" s="2" t="str">
        <f>IF(OR('A créer'!D5="Oui",LEN('A créer'!D5)=0),"","Tab")</f>
        <v/>
      </c>
      <c r="S5" s="6" t="str">
        <f>IF(OR('A créer'!D5="Oui",LEN('A créer'!D5)=0),"",CONCATENATE("XXX-",'A créer'!C5))</f>
        <v/>
      </c>
      <c r="T5" s="2" t="str">
        <f>IF(OR('A créer'!D5="Oui",LEN('A créer'!D5)=0),"","Tab 4")</f>
        <v/>
      </c>
      <c r="U5" s="2" t="str">
        <f>IF(OR('A créer'!D5="Oui",LEN('A créer'!D5)=0),"","Tab")</f>
        <v/>
      </c>
      <c r="V5" s="2" t="str">
        <f>IF(OR('A créer'!D5="Oui",LEN('A créer'!D5)=0),"","Tab")</f>
        <v/>
      </c>
      <c r="W5" s="2" t="str">
        <f>IF(OR('A créer'!D5="Oui",LEN('A créer'!D5)=0),"","ENT")</f>
        <v/>
      </c>
      <c r="X5" s="6" t="str">
        <f>IF(OR('A créer'!D5="Oui",LEN('A créer'!D5)=0),"",'A créer'!G5)</f>
        <v/>
      </c>
      <c r="Y5" s="2" t="str">
        <f>IF(OR('A créer'!D5="Oui",LEN('A créer'!D5)=0),"","Tab")</f>
        <v/>
      </c>
      <c r="Z5" s="6" t="str">
        <f>IF(OR('A créer'!D5="Oui",LEN('A créer'!D5)=0),"","Oui")</f>
        <v/>
      </c>
      <c r="AA5" s="2" t="str">
        <f>IF(OR('A créer'!D5="Oui",LEN('A créer'!D5)=0),"","Tab")</f>
        <v/>
      </c>
      <c r="AB5" s="6" t="str">
        <f>IF(OR('A créer'!D5="Oui",LEN('A créer'!D5)=0),"","NON")</f>
        <v/>
      </c>
      <c r="AC5" s="2" t="str">
        <f>IF(OR('A créer'!D5="Oui",LEN('A créer'!D5)=0),"","ENT")</f>
        <v/>
      </c>
      <c r="AD5" s="2" t="str">
        <f>IF(OR('A créer'!D5="Oui",LEN('A créer'!D5)=0),"","*SAVE")</f>
        <v/>
      </c>
      <c r="AE5" s="2" t="str">
        <f>IF(OR('A créer'!D5="Oui",LEN('A créer'!D5)=0),"","*FN")</f>
        <v/>
      </c>
      <c r="AF5" s="6" t="str">
        <f>IF(OR('A créer'!D5="Oui",LEN('A créer'!D5)=0),"",'A créer'!A5)</f>
        <v/>
      </c>
      <c r="AG5" s="2" t="str">
        <f>IF(OR('A créer'!D5="Oui",LEN('A créer'!D5)=0),"","Tab")</f>
        <v/>
      </c>
      <c r="AH5" s="6" t="str">
        <f>IF(OR('A créer'!D5="Oui",LEN('A créer'!D5)=0),"",'A créer'!C5)</f>
        <v/>
      </c>
      <c r="AI5" s="2" t="str">
        <f>IF(OR('A créer'!D5="Oui",LEN('A créer'!D5)=0),"","Tab 4")</f>
        <v/>
      </c>
      <c r="AJ5" s="2" t="str">
        <f>IF(OR('A créer'!D5="Oui",LEN('A créer'!D5)=0),"","*SB")</f>
        <v/>
      </c>
      <c r="AK5" s="2" t="str">
        <f>IF(OR('A créer'!D5="Oui",LEN('A créer'!D5)=0),"","Tab")</f>
        <v/>
      </c>
      <c r="AL5" s="6" t="str">
        <f>IF(OR('A créer'!D5="Oui",LEN('A créer'!D5)=0),"","InterCoSte")</f>
        <v/>
      </c>
      <c r="AM5" s="2" t="str">
        <f>IF(OR('A créer'!D5="Oui",LEN('A créer'!D5)=0),"","Tab")</f>
        <v/>
      </c>
      <c r="AN5" s="2" t="str">
        <f>IF(OR('A créer'!D5="Oui",LEN('A créer'!D5)=0),"","Tab")</f>
        <v/>
      </c>
      <c r="AO5" s="2" t="str">
        <f>IF(OR('A créer'!D5="Oui",LEN('A créer'!D5)=0),"","ENT")</f>
        <v/>
      </c>
      <c r="AP5" s="2" t="str">
        <f>IF(OR('A créer'!D5="Oui",LEN('A créer'!D5)=0),"","ENT")</f>
        <v/>
      </c>
      <c r="AQ5" s="2" t="str">
        <f>IF(OR('A créer'!D5="Oui",LEN('A créer'!D5)=0),"","*SAVE")</f>
        <v/>
      </c>
      <c r="AR5" s="2" t="str">
        <f>IF(OR('A créer'!D5="Oui",LEN('A créer'!D5)=0),"","*UP")</f>
        <v/>
      </c>
      <c r="AS5" s="2" t="str">
        <f>IF(OR('A créer'!D5="Oui",LEN('A créer'!D5)=0),"","*Aé")</f>
        <v/>
      </c>
      <c r="AT5" s="6" t="str">
        <f>IF(OR('A créer'!D5="Oui",LEN('A créer'!D5)=0),"",CONCATENATE('A créer'!B5,'A créer'!A5))</f>
        <v/>
      </c>
      <c r="AU5" s="2" t="str">
        <f>IF(OR('A créer'!D5="Oui",LEN('A créer'!D5)=0),"","Tab")</f>
        <v/>
      </c>
      <c r="AV5" s="2" t="str">
        <f>IF(OR('A créer'!D5="Oui",LEN('A créer'!D5)=0),"","*DN")</f>
        <v/>
      </c>
      <c r="AW5" s="6" t="str">
        <f>IF(OR('A créer'!D5="Oui",LEN('A créer'!D5)=0),"",CONCATENATE("XXX",'A créer'!A5))</f>
        <v/>
      </c>
      <c r="AX5" s="2" t="str">
        <f>IF(OR('A créer'!D5="Oui",LEN('A créer'!D5)=0),"","Tab")</f>
        <v/>
      </c>
      <c r="AY5" s="2" t="str">
        <f>IF(OR('A créer'!D5="Oui",LEN('A créer'!D5)=0),"","*SAVE")</f>
        <v/>
      </c>
      <c r="AZ5" s="2" t="str">
        <f>IF(OR('A créer'!D5="Oui",LEN('A créer'!D5)=0),"","*ML(608,125)")</f>
        <v/>
      </c>
    </row>
    <row r="6" spans="1:52" x14ac:dyDescent="0.35">
      <c r="A6" s="2" t="str">
        <f>IF(OR('A créer'!D6="Oui",LEN('A créer'!D6)=0),IF(AND(LEN('A créer'!B6)&gt;0,'A créer'!B6&lt;&gt;'A créer'!H6)=TRUE,"*FN",""),"*FN")</f>
        <v/>
      </c>
      <c r="B6" s="6" t="str">
        <f>IF(OR('A créer'!D6="Oui",LEN('A créer'!D6)=0),IF(LEN('A créer'!B6)&gt;0,IF('A créer'!B6='A créer'!H6,"",CONCATENATE('A créer'!B6,'A créer'!A6)),""),CONCATENATE('A créer'!B6,'A créer'!A6))</f>
        <v/>
      </c>
      <c r="C6" s="2" t="str">
        <f>IF(OR('A créer'!D6="Oui",LEN('A créer'!D6)=0),IF(AND(LEN('A créer'!B6)&gt;0,'A créer'!B6&lt;&gt;'A créer'!H6)=TRUE,"Tab",""),"Tab")</f>
        <v/>
      </c>
      <c r="D6" s="6" t="str">
        <f>IF(OR('A créer'!D6="Oui",LEN('A créer'!D6)=0),IF(AND(LEN('A créer'!B6)&gt;0,'A créer'!B6&lt;&gt;'A créer'!H6)=TRUE,CONCATENATE('A créer'!B6,'A créer'!A6,"-",'A créer'!C6),""),CONCATENATE('A créer'!B6,'A créer'!A6,"-",'A créer'!C6))</f>
        <v/>
      </c>
      <c r="E6" s="2" t="str">
        <f>IF(OR('A créer'!D6="Oui",LEN('A créer'!D6)=0),IF(AND(LEN('A créer'!B6)&gt;0,'A créer'!B6&lt;&gt;'A créer'!H6)=TRUE,"Tab 4",""),"Tab 4")</f>
        <v/>
      </c>
      <c r="F6" s="2" t="str">
        <f>IF(OR('A créer'!D6="Oui",LEN('A créer'!D6)=0),IF(AND(LEN('A créer'!B6)&gt;0,'A créer'!B6&lt;&gt;'A créer'!H6)=TRUE,"Tab",""),"Tab")</f>
        <v/>
      </c>
      <c r="G6" s="2" t="str">
        <f>IF(OR('A créer'!D6="Oui",LEN('A créer'!D6)=0),IF(AND(LEN('A créer'!B6)&gt;0,'A créer'!B6&lt;&gt;'A créer'!H6)=TRUE,"Tab",""),"Tab")</f>
        <v/>
      </c>
      <c r="H6" s="2" t="str">
        <f>IF(OR('A créer'!D6="Oui",LEN('A créer'!D6)=0),IF(AND(LEN('A créer'!B6)&gt;0,'A créer'!B6&lt;&gt;'A créer'!H6)=TRUE,"ENT",""),"ENT")</f>
        <v/>
      </c>
      <c r="I6" s="6">
        <f>IF('A créer'!D6="Oui",IF(AND(LEN('A créer'!B6)&gt;0,'A créer'!B6&lt;&gt;'A créer'!H6)=TRUE,'A créer'!G6,""),'A créer'!G6)</f>
        <v>0</v>
      </c>
      <c r="J6" s="2" t="str">
        <f>IF(OR('A créer'!D6="Oui",LEN('A créer'!D6)=0),IF(AND(LEN('A créer'!B6)&gt;0,'A créer'!B6&lt;&gt;'A créer'!H6)=TRUE,"Tab",""),"Tab")</f>
        <v/>
      </c>
      <c r="K6" s="6" t="str">
        <f>IF(OR('A créer'!D6="Oui",LEN('A créer'!D6)=0),IF(AND(LEN('A créer'!B6)&gt;0,'A créer'!B6&lt;&gt;'A créer'!H6)=TRUE,"Oui",""),"Oui")</f>
        <v/>
      </c>
      <c r="L6" s="2" t="str">
        <f>IF(OR('A créer'!D6="Oui",LEN('A créer'!D6)=0),IF(AND(LEN('A créer'!B6)&gt;0,'A créer'!B6&lt;&gt;'A créer'!H6)=TRUE,"Tab",""),"Tab")</f>
        <v/>
      </c>
      <c r="M6" s="6" t="str">
        <f>IF(OR('A créer'!D6="Oui",LEN('A créer'!D6)=0),IF(AND(LEN('A créer'!B6)&gt;0,'A créer'!B6&lt;&gt;'A créer'!H6)=TRUE,'A créer'!E6,""),'A créer'!E6)</f>
        <v/>
      </c>
      <c r="N6" s="2" t="str">
        <f>IF(OR('A créer'!D6="Oui",LEN('A créer'!D6)=0),IF(AND(LEN('A créer'!B6)&gt;0,'A créer'!B6&lt;&gt;'A créer'!H6)=TRUE,"ENT",""),"ENT")</f>
        <v/>
      </c>
      <c r="O6" s="2" t="str">
        <f>IF(OR('A créer'!D6="Oui",LEN('A créer'!D6)=0),IF(AND(LEN('A créer'!B6)&gt;0,'A créer'!B6&lt;&gt;'A créer'!H6)=TRUE,"*SAVE",""),"*SAVE")</f>
        <v/>
      </c>
      <c r="P6" s="2" t="str">
        <f>IF(OR('A créer'!D6="Oui",LEN('A créer'!D6)=0),"","*FN")</f>
        <v/>
      </c>
      <c r="Q6" s="6" t="str">
        <f>IF(OR('A créer'!D6="Oui",LEN('A créer'!D6)=0),"",CONCATENATE("XXX",'A créer'!A6))</f>
        <v/>
      </c>
      <c r="R6" s="2" t="str">
        <f>IF(OR('A créer'!D6="Oui",LEN('A créer'!D6)=0),"","Tab")</f>
        <v/>
      </c>
      <c r="S6" s="6" t="str">
        <f>IF(OR('A créer'!D6="Oui",LEN('A créer'!D6)=0),"",CONCATENATE("XXX-",'A créer'!C6))</f>
        <v/>
      </c>
      <c r="T6" s="2" t="str">
        <f>IF(OR('A créer'!D6="Oui",LEN('A créer'!D6)=0),"","Tab 4")</f>
        <v/>
      </c>
      <c r="U6" s="2" t="str">
        <f>IF(OR('A créer'!D6="Oui",LEN('A créer'!D6)=0),"","Tab")</f>
        <v/>
      </c>
      <c r="V6" s="2" t="str">
        <f>IF(OR('A créer'!D6="Oui",LEN('A créer'!D6)=0),"","Tab")</f>
        <v/>
      </c>
      <c r="W6" s="2" t="str">
        <f>IF(OR('A créer'!D6="Oui",LEN('A créer'!D6)=0),"","ENT")</f>
        <v/>
      </c>
      <c r="X6" s="6" t="str">
        <f>IF(OR('A créer'!D6="Oui",LEN('A créer'!D6)=0),"",'A créer'!G6)</f>
        <v/>
      </c>
      <c r="Y6" s="2" t="str">
        <f>IF(OR('A créer'!D6="Oui",LEN('A créer'!D6)=0),"","Tab")</f>
        <v/>
      </c>
      <c r="Z6" s="6" t="str">
        <f>IF(OR('A créer'!D6="Oui",LEN('A créer'!D6)=0),"","Oui")</f>
        <v/>
      </c>
      <c r="AA6" s="2" t="str">
        <f>IF(OR('A créer'!D6="Oui",LEN('A créer'!D6)=0),"","Tab")</f>
        <v/>
      </c>
      <c r="AB6" s="6" t="str">
        <f>IF(OR('A créer'!D6="Oui",LEN('A créer'!D6)=0),"","NON")</f>
        <v/>
      </c>
      <c r="AC6" s="2" t="str">
        <f>IF(OR('A créer'!D6="Oui",LEN('A créer'!D6)=0),"","ENT")</f>
        <v/>
      </c>
      <c r="AD6" s="2" t="str">
        <f>IF(OR('A créer'!D6="Oui",LEN('A créer'!D6)=0),"","*SAVE")</f>
        <v/>
      </c>
      <c r="AE6" s="2" t="str">
        <f>IF(OR('A créer'!D6="Oui",LEN('A créer'!D6)=0),"","*FN")</f>
        <v/>
      </c>
      <c r="AF6" s="6" t="str">
        <f>IF(OR('A créer'!D6="Oui",LEN('A créer'!D6)=0),"",'A créer'!A6)</f>
        <v/>
      </c>
      <c r="AG6" s="2" t="str">
        <f>IF(OR('A créer'!D6="Oui",LEN('A créer'!D6)=0),"","Tab")</f>
        <v/>
      </c>
      <c r="AH6" s="6" t="str">
        <f>IF(OR('A créer'!D6="Oui",LEN('A créer'!D6)=0),"",'A créer'!C6)</f>
        <v/>
      </c>
      <c r="AI6" s="2" t="str">
        <f>IF(OR('A créer'!D6="Oui",LEN('A créer'!D6)=0),"","Tab 4")</f>
        <v/>
      </c>
      <c r="AJ6" s="2" t="str">
        <f>IF(OR('A créer'!D6="Oui",LEN('A créer'!D6)=0),"","*SB")</f>
        <v/>
      </c>
      <c r="AK6" s="2" t="str">
        <f>IF(OR('A créer'!D6="Oui",LEN('A créer'!D6)=0),"","Tab")</f>
        <v/>
      </c>
      <c r="AL6" s="6" t="str">
        <f>IF(OR('A créer'!D6="Oui",LEN('A créer'!D6)=0),"","InterCoSte")</f>
        <v/>
      </c>
      <c r="AM6" s="2" t="str">
        <f>IF(OR('A créer'!D6="Oui",LEN('A créer'!D6)=0),"","Tab")</f>
        <v/>
      </c>
      <c r="AN6" s="2" t="str">
        <f>IF(OR('A créer'!D6="Oui",LEN('A créer'!D6)=0),"","Tab")</f>
        <v/>
      </c>
      <c r="AO6" s="2" t="str">
        <f>IF(OR('A créer'!D6="Oui",LEN('A créer'!D6)=0),"","ENT")</f>
        <v/>
      </c>
      <c r="AP6" s="2" t="str">
        <f>IF(OR('A créer'!D6="Oui",LEN('A créer'!D6)=0),"","ENT")</f>
        <v/>
      </c>
      <c r="AQ6" s="2" t="str">
        <f>IF(OR('A créer'!D6="Oui",LEN('A créer'!D6)=0),"","*SAVE")</f>
        <v/>
      </c>
      <c r="AR6" s="2" t="str">
        <f>IF(OR('A créer'!D6="Oui",LEN('A créer'!D6)=0),"","*UP")</f>
        <v/>
      </c>
      <c r="AS6" s="2" t="str">
        <f>IF(OR('A créer'!D6="Oui",LEN('A créer'!D6)=0),"","*Aé")</f>
        <v/>
      </c>
      <c r="AT6" s="6" t="str">
        <f>IF(OR('A créer'!D6="Oui",LEN('A créer'!D6)=0),"",CONCATENATE('A créer'!B6,'A créer'!A6))</f>
        <v/>
      </c>
      <c r="AU6" s="2" t="str">
        <f>IF(OR('A créer'!D6="Oui",LEN('A créer'!D6)=0),"","Tab")</f>
        <v/>
      </c>
      <c r="AV6" s="2" t="str">
        <f>IF(OR('A créer'!D6="Oui",LEN('A créer'!D6)=0),"","*DN")</f>
        <v/>
      </c>
      <c r="AW6" s="6" t="str">
        <f>IF(OR('A créer'!D6="Oui",LEN('A créer'!D6)=0),"",CONCATENATE("XXX",'A créer'!A6))</f>
        <v/>
      </c>
      <c r="AX6" s="2" t="str">
        <f>IF(OR('A créer'!D6="Oui",LEN('A créer'!D6)=0),"","Tab")</f>
        <v/>
      </c>
      <c r="AY6" s="2" t="str">
        <f>IF(OR('A créer'!D6="Oui",LEN('A créer'!D6)=0),"","*SAVE")</f>
        <v/>
      </c>
      <c r="AZ6" s="2" t="str">
        <f>IF(OR('A créer'!D6="Oui",LEN('A créer'!D6)=0),"","*ML(608,125)")</f>
        <v/>
      </c>
    </row>
    <row r="7" spans="1:52" x14ac:dyDescent="0.35">
      <c r="A7" s="2" t="str">
        <f>IF(OR('A créer'!D7="Oui",LEN('A créer'!D7)=0),IF(AND(LEN('A créer'!B7)&gt;0,'A créer'!B7&lt;&gt;'A créer'!H7)=TRUE,"*FN",""),"*FN")</f>
        <v/>
      </c>
      <c r="B7" s="6" t="str">
        <f>IF(OR('A créer'!D7="Oui",LEN('A créer'!D7)=0),IF(LEN('A créer'!B7)&gt;0,IF('A créer'!B7='A créer'!H7,"",CONCATENATE('A créer'!B7,'A créer'!A7)),""),CONCATENATE('A créer'!B7,'A créer'!A7))</f>
        <v/>
      </c>
      <c r="C7" s="2" t="str">
        <f>IF(OR('A créer'!D7="Oui",LEN('A créer'!D7)=0),IF(AND(LEN('A créer'!B7)&gt;0,'A créer'!B7&lt;&gt;'A créer'!H7)=TRUE,"Tab",""),"Tab")</f>
        <v/>
      </c>
      <c r="D7" s="6" t="str">
        <f>IF(OR('A créer'!D7="Oui",LEN('A créer'!D7)=0),IF(AND(LEN('A créer'!B7)&gt;0,'A créer'!B7&lt;&gt;'A créer'!H7)=TRUE,CONCATENATE('A créer'!B7,'A créer'!A7,"-",'A créer'!C7),""),CONCATENATE('A créer'!B7,'A créer'!A7,"-",'A créer'!C7))</f>
        <v/>
      </c>
      <c r="E7" s="2" t="str">
        <f>IF(OR('A créer'!D7="Oui",LEN('A créer'!D7)=0),IF(AND(LEN('A créer'!B7)&gt;0,'A créer'!B7&lt;&gt;'A créer'!H7)=TRUE,"Tab 4",""),"Tab 4")</f>
        <v/>
      </c>
      <c r="F7" s="2" t="str">
        <f>IF(OR('A créer'!D7="Oui",LEN('A créer'!D7)=0),IF(AND(LEN('A créer'!B7)&gt;0,'A créer'!B7&lt;&gt;'A créer'!H7)=TRUE,"Tab",""),"Tab")</f>
        <v/>
      </c>
      <c r="G7" s="2" t="str">
        <f>IF(OR('A créer'!D7="Oui",LEN('A créer'!D7)=0),IF(AND(LEN('A créer'!B7)&gt;0,'A créer'!B7&lt;&gt;'A créer'!H7)=TRUE,"Tab",""),"Tab")</f>
        <v/>
      </c>
      <c r="H7" s="2" t="str">
        <f>IF(OR('A créer'!D7="Oui",LEN('A créer'!D7)=0),IF(AND(LEN('A créer'!B7)&gt;0,'A créer'!B7&lt;&gt;'A créer'!H7)=TRUE,"ENT",""),"ENT")</f>
        <v/>
      </c>
      <c r="I7" s="6">
        <f>IF('A créer'!D7="Oui",IF(AND(LEN('A créer'!B7)&gt;0,'A créer'!B7&lt;&gt;'A créer'!H7)=TRUE,'A créer'!G7,""),'A créer'!G7)</f>
        <v>0</v>
      </c>
      <c r="J7" s="2" t="str">
        <f>IF(OR('A créer'!D7="Oui",LEN('A créer'!D7)=0),IF(AND(LEN('A créer'!B7)&gt;0,'A créer'!B7&lt;&gt;'A créer'!H7)=TRUE,"Tab",""),"Tab")</f>
        <v/>
      </c>
      <c r="K7" s="6" t="str">
        <f>IF(OR('A créer'!D7="Oui",LEN('A créer'!D7)=0),IF(AND(LEN('A créer'!B7)&gt;0,'A créer'!B7&lt;&gt;'A créer'!H7)=TRUE,"Oui",""),"Oui")</f>
        <v/>
      </c>
      <c r="L7" s="2" t="str">
        <f>IF(OR('A créer'!D7="Oui",LEN('A créer'!D7)=0),IF(AND(LEN('A créer'!B7)&gt;0,'A créer'!B7&lt;&gt;'A créer'!H7)=TRUE,"Tab",""),"Tab")</f>
        <v/>
      </c>
      <c r="M7" s="6" t="str">
        <f>IF(OR('A créer'!D7="Oui",LEN('A créer'!D7)=0),IF(AND(LEN('A créer'!B7)&gt;0,'A créer'!B7&lt;&gt;'A créer'!H7)=TRUE,'A créer'!E7,""),'A créer'!E7)</f>
        <v/>
      </c>
      <c r="N7" s="2" t="str">
        <f>IF(OR('A créer'!D7="Oui",LEN('A créer'!D7)=0),IF(AND(LEN('A créer'!B7)&gt;0,'A créer'!B7&lt;&gt;'A créer'!H7)=TRUE,"ENT",""),"ENT")</f>
        <v/>
      </c>
      <c r="O7" s="2" t="str">
        <f>IF(OR('A créer'!D7="Oui",LEN('A créer'!D7)=0),IF(AND(LEN('A créer'!B7)&gt;0,'A créer'!B7&lt;&gt;'A créer'!H7)=TRUE,"*SAVE",""),"*SAVE")</f>
        <v/>
      </c>
      <c r="P7" s="2" t="str">
        <f>IF(OR('A créer'!D7="Oui",LEN('A créer'!D7)=0),"","*FN")</f>
        <v/>
      </c>
      <c r="Q7" s="6" t="str">
        <f>IF(OR('A créer'!D7="Oui",LEN('A créer'!D7)=0),"",CONCATENATE("XXX",'A créer'!A7))</f>
        <v/>
      </c>
      <c r="R7" s="2" t="str">
        <f>IF(OR('A créer'!D7="Oui",LEN('A créer'!D7)=0),"","Tab")</f>
        <v/>
      </c>
      <c r="S7" s="6" t="str">
        <f>IF(OR('A créer'!D7="Oui",LEN('A créer'!D7)=0),"",CONCATENATE("XXX-",'A créer'!C7))</f>
        <v/>
      </c>
      <c r="T7" s="2" t="str">
        <f>IF(OR('A créer'!D7="Oui",LEN('A créer'!D7)=0),"","Tab 4")</f>
        <v/>
      </c>
      <c r="U7" s="2" t="str">
        <f>IF(OR('A créer'!D7="Oui",LEN('A créer'!D7)=0),"","Tab")</f>
        <v/>
      </c>
      <c r="V7" s="2" t="str">
        <f>IF(OR('A créer'!D7="Oui",LEN('A créer'!D7)=0),"","Tab")</f>
        <v/>
      </c>
      <c r="W7" s="2" t="str">
        <f>IF(OR('A créer'!D7="Oui",LEN('A créer'!D7)=0),"","ENT")</f>
        <v/>
      </c>
      <c r="X7" s="6" t="str">
        <f>IF(OR('A créer'!D7="Oui",LEN('A créer'!D7)=0),"",'A créer'!G7)</f>
        <v/>
      </c>
      <c r="Y7" s="2" t="str">
        <f>IF(OR('A créer'!D7="Oui",LEN('A créer'!D7)=0),"","Tab")</f>
        <v/>
      </c>
      <c r="Z7" s="6" t="str">
        <f>IF(OR('A créer'!D7="Oui",LEN('A créer'!D7)=0),"","Oui")</f>
        <v/>
      </c>
      <c r="AA7" s="2" t="str">
        <f>IF(OR('A créer'!D7="Oui",LEN('A créer'!D7)=0),"","Tab")</f>
        <v/>
      </c>
      <c r="AB7" s="6" t="str">
        <f>IF(OR('A créer'!D7="Oui",LEN('A créer'!D7)=0),"","NON")</f>
        <v/>
      </c>
      <c r="AC7" s="2" t="str">
        <f>IF(OR('A créer'!D7="Oui",LEN('A créer'!D7)=0),"","ENT")</f>
        <v/>
      </c>
      <c r="AD7" s="2" t="str">
        <f>IF(OR('A créer'!D7="Oui",LEN('A créer'!D7)=0),"","*SAVE")</f>
        <v/>
      </c>
      <c r="AE7" s="2" t="str">
        <f>IF(OR('A créer'!D7="Oui",LEN('A créer'!D7)=0),"","*FN")</f>
        <v/>
      </c>
      <c r="AF7" s="6" t="str">
        <f>IF(OR('A créer'!D7="Oui",LEN('A créer'!D7)=0),"",'A créer'!A7)</f>
        <v/>
      </c>
      <c r="AG7" s="2" t="str">
        <f>IF(OR('A créer'!D7="Oui",LEN('A créer'!D7)=0),"","Tab")</f>
        <v/>
      </c>
      <c r="AH7" s="6" t="str">
        <f>IF(OR('A créer'!D7="Oui",LEN('A créer'!D7)=0),"",'A créer'!C7)</f>
        <v/>
      </c>
      <c r="AI7" s="2" t="str">
        <f>IF(OR('A créer'!D7="Oui",LEN('A créer'!D7)=0),"","Tab 4")</f>
        <v/>
      </c>
      <c r="AJ7" s="2" t="str">
        <f>IF(OR('A créer'!D7="Oui",LEN('A créer'!D7)=0),"","*SB")</f>
        <v/>
      </c>
      <c r="AK7" s="2" t="str">
        <f>IF(OR('A créer'!D7="Oui",LEN('A créer'!D7)=0),"","Tab")</f>
        <v/>
      </c>
      <c r="AL7" s="6" t="str">
        <f>IF(OR('A créer'!D7="Oui",LEN('A créer'!D7)=0),"","InterCoSte")</f>
        <v/>
      </c>
      <c r="AM7" s="2" t="str">
        <f>IF(OR('A créer'!D7="Oui",LEN('A créer'!D7)=0),"","Tab")</f>
        <v/>
      </c>
      <c r="AN7" s="2" t="str">
        <f>IF(OR('A créer'!D7="Oui",LEN('A créer'!D7)=0),"","Tab")</f>
        <v/>
      </c>
      <c r="AO7" s="2" t="str">
        <f>IF(OR('A créer'!D7="Oui",LEN('A créer'!D7)=0),"","ENT")</f>
        <v/>
      </c>
      <c r="AP7" s="2" t="str">
        <f>IF(OR('A créer'!D7="Oui",LEN('A créer'!D7)=0),"","ENT")</f>
        <v/>
      </c>
      <c r="AQ7" s="2" t="str">
        <f>IF(OR('A créer'!D7="Oui",LEN('A créer'!D7)=0),"","*SAVE")</f>
        <v/>
      </c>
      <c r="AR7" s="2" t="str">
        <f>IF(OR('A créer'!D7="Oui",LEN('A créer'!D7)=0),"","*UP")</f>
        <v/>
      </c>
      <c r="AS7" s="2" t="str">
        <f>IF(OR('A créer'!D7="Oui",LEN('A créer'!D7)=0),"","*Aé")</f>
        <v/>
      </c>
      <c r="AT7" s="6" t="str">
        <f>IF(OR('A créer'!D7="Oui",LEN('A créer'!D7)=0),"",CONCATENATE('A créer'!B7,'A créer'!A7))</f>
        <v/>
      </c>
      <c r="AU7" s="2" t="str">
        <f>IF(OR('A créer'!D7="Oui",LEN('A créer'!D7)=0),"","Tab")</f>
        <v/>
      </c>
      <c r="AV7" s="2" t="str">
        <f>IF(OR('A créer'!D7="Oui",LEN('A créer'!D7)=0),"","*DN")</f>
        <v/>
      </c>
      <c r="AW7" s="6" t="str">
        <f>IF(OR('A créer'!D7="Oui",LEN('A créer'!D7)=0),"",CONCATENATE("XXX",'A créer'!A7))</f>
        <v/>
      </c>
      <c r="AX7" s="2" t="str">
        <f>IF(OR('A créer'!D7="Oui",LEN('A créer'!D7)=0),"","Tab")</f>
        <v/>
      </c>
      <c r="AY7" s="2" t="str">
        <f>IF(OR('A créer'!D7="Oui",LEN('A créer'!D7)=0),"","*SAVE")</f>
        <v/>
      </c>
      <c r="AZ7" s="2" t="str">
        <f>IF(OR('A créer'!D7="Oui",LEN('A créer'!D7)=0),"","*ML(608,125)")</f>
        <v/>
      </c>
    </row>
    <row r="8" spans="1:52" x14ac:dyDescent="0.35">
      <c r="A8" s="2" t="str">
        <f>IF(OR('A créer'!D8="Oui",LEN('A créer'!D8)=0),IF(AND(LEN('A créer'!B8)&gt;0,'A créer'!B8&lt;&gt;'A créer'!H8)=TRUE,"*FN",""),"*FN")</f>
        <v/>
      </c>
      <c r="B8" s="6" t="str">
        <f>IF(OR('A créer'!D8="Oui",LEN('A créer'!D8)=0),IF(LEN('A créer'!B8)&gt;0,IF('A créer'!B8='A créer'!H8,"",CONCATENATE('A créer'!B8,'A créer'!A8)),""),CONCATENATE('A créer'!B8,'A créer'!A8))</f>
        <v/>
      </c>
      <c r="C8" s="2" t="str">
        <f>IF(OR('A créer'!D8="Oui",LEN('A créer'!D8)=0),IF(AND(LEN('A créer'!B8)&gt;0,'A créer'!B8&lt;&gt;'A créer'!H8)=TRUE,"Tab",""),"Tab")</f>
        <v/>
      </c>
      <c r="D8" s="6" t="str">
        <f>IF(OR('A créer'!D8="Oui",LEN('A créer'!D8)=0),IF(AND(LEN('A créer'!B8)&gt;0,'A créer'!B8&lt;&gt;'A créer'!H8)=TRUE,CONCATENATE('A créer'!B8,'A créer'!A8,"-",'A créer'!C8),""),CONCATENATE('A créer'!B8,'A créer'!A8,"-",'A créer'!C8))</f>
        <v/>
      </c>
      <c r="E8" s="2" t="str">
        <f>IF(OR('A créer'!D8="Oui",LEN('A créer'!D8)=0),IF(AND(LEN('A créer'!B8)&gt;0,'A créer'!B8&lt;&gt;'A créer'!H8)=TRUE,"Tab 4",""),"Tab 4")</f>
        <v/>
      </c>
      <c r="F8" s="2" t="str">
        <f>IF(OR('A créer'!D8="Oui",LEN('A créer'!D8)=0),IF(AND(LEN('A créer'!B8)&gt;0,'A créer'!B8&lt;&gt;'A créer'!H8)=TRUE,"Tab",""),"Tab")</f>
        <v/>
      </c>
      <c r="G8" s="2" t="str">
        <f>IF(OR('A créer'!D8="Oui",LEN('A créer'!D8)=0),IF(AND(LEN('A créer'!B8)&gt;0,'A créer'!B8&lt;&gt;'A créer'!H8)=TRUE,"Tab",""),"Tab")</f>
        <v/>
      </c>
      <c r="H8" s="2" t="str">
        <f>IF(OR('A créer'!D8="Oui",LEN('A créer'!D8)=0),IF(AND(LEN('A créer'!B8)&gt;0,'A créer'!B8&lt;&gt;'A créer'!H8)=TRUE,"ENT",""),"ENT")</f>
        <v/>
      </c>
      <c r="I8" s="6">
        <f>IF('A créer'!D8="Oui",IF(AND(LEN('A créer'!B8)&gt;0,'A créer'!B8&lt;&gt;'A créer'!H8)=TRUE,'A créer'!G8,""),'A créer'!G8)</f>
        <v>0</v>
      </c>
      <c r="J8" s="2" t="str">
        <f>IF(OR('A créer'!D8="Oui",LEN('A créer'!D8)=0),IF(AND(LEN('A créer'!B8)&gt;0,'A créer'!B8&lt;&gt;'A créer'!H8)=TRUE,"Tab",""),"Tab")</f>
        <v/>
      </c>
      <c r="K8" s="6" t="str">
        <f>IF(OR('A créer'!D8="Oui",LEN('A créer'!D8)=0),IF(AND(LEN('A créer'!B8)&gt;0,'A créer'!B8&lt;&gt;'A créer'!H8)=TRUE,"Oui",""),"Oui")</f>
        <v/>
      </c>
      <c r="L8" s="2" t="str">
        <f>IF(OR('A créer'!D8="Oui",LEN('A créer'!D8)=0),IF(AND(LEN('A créer'!B8)&gt;0,'A créer'!B8&lt;&gt;'A créer'!H8)=TRUE,"Tab",""),"Tab")</f>
        <v/>
      </c>
      <c r="M8" s="6" t="str">
        <f>IF(OR('A créer'!D8="Oui",LEN('A créer'!D8)=0),IF(AND(LEN('A créer'!B8)&gt;0,'A créer'!B8&lt;&gt;'A créer'!H8)=TRUE,'A créer'!E8,""),'A créer'!E8)</f>
        <v/>
      </c>
      <c r="N8" s="2" t="str">
        <f>IF(OR('A créer'!D8="Oui",LEN('A créer'!D8)=0),IF(AND(LEN('A créer'!B8)&gt;0,'A créer'!B8&lt;&gt;'A créer'!H8)=TRUE,"ENT",""),"ENT")</f>
        <v/>
      </c>
      <c r="O8" s="2" t="str">
        <f>IF(OR('A créer'!D8="Oui",LEN('A créer'!D8)=0),IF(AND(LEN('A créer'!B8)&gt;0,'A créer'!B8&lt;&gt;'A créer'!H8)=TRUE,"*SAVE",""),"*SAVE")</f>
        <v/>
      </c>
      <c r="P8" s="2" t="str">
        <f>IF(OR('A créer'!D8="Oui",LEN('A créer'!D8)=0),"","*FN")</f>
        <v/>
      </c>
      <c r="Q8" s="6" t="str">
        <f>IF(OR('A créer'!D8="Oui",LEN('A créer'!D8)=0),"",CONCATENATE("XXX",'A créer'!A8))</f>
        <v/>
      </c>
      <c r="R8" s="2" t="str">
        <f>IF(OR('A créer'!D8="Oui",LEN('A créer'!D8)=0),"","Tab")</f>
        <v/>
      </c>
      <c r="S8" s="6" t="str">
        <f>IF(OR('A créer'!D8="Oui",LEN('A créer'!D8)=0),"",CONCATENATE("XXX-",'A créer'!C8))</f>
        <v/>
      </c>
      <c r="T8" s="2" t="str">
        <f>IF(OR('A créer'!D8="Oui",LEN('A créer'!D8)=0),"","Tab 4")</f>
        <v/>
      </c>
      <c r="U8" s="2" t="str">
        <f>IF(OR('A créer'!D8="Oui",LEN('A créer'!D8)=0),"","Tab")</f>
        <v/>
      </c>
      <c r="V8" s="2" t="str">
        <f>IF(OR('A créer'!D8="Oui",LEN('A créer'!D8)=0),"","Tab")</f>
        <v/>
      </c>
      <c r="W8" s="2" t="str">
        <f>IF(OR('A créer'!D8="Oui",LEN('A créer'!D8)=0),"","ENT")</f>
        <v/>
      </c>
      <c r="X8" s="6" t="str">
        <f>IF(OR('A créer'!D8="Oui",LEN('A créer'!D8)=0),"",'A créer'!G8)</f>
        <v/>
      </c>
      <c r="Y8" s="2" t="str">
        <f>IF(OR('A créer'!D8="Oui",LEN('A créer'!D8)=0),"","Tab")</f>
        <v/>
      </c>
      <c r="Z8" s="6" t="str">
        <f>IF(OR('A créer'!D8="Oui",LEN('A créer'!D8)=0),"","Oui")</f>
        <v/>
      </c>
      <c r="AA8" s="2" t="str">
        <f>IF(OR('A créer'!D8="Oui",LEN('A créer'!D8)=0),"","Tab")</f>
        <v/>
      </c>
      <c r="AB8" s="6" t="str">
        <f>IF(OR('A créer'!D8="Oui",LEN('A créer'!D8)=0),"","NON")</f>
        <v/>
      </c>
      <c r="AC8" s="2" t="str">
        <f>IF(OR('A créer'!D8="Oui",LEN('A créer'!D8)=0),"","ENT")</f>
        <v/>
      </c>
      <c r="AD8" s="2" t="str">
        <f>IF(OR('A créer'!D8="Oui",LEN('A créer'!D8)=0),"","*SAVE")</f>
        <v/>
      </c>
      <c r="AE8" s="2" t="str">
        <f>IF(OR('A créer'!D8="Oui",LEN('A créer'!D8)=0),"","*FN")</f>
        <v/>
      </c>
      <c r="AF8" s="6" t="str">
        <f>IF(OR('A créer'!D8="Oui",LEN('A créer'!D8)=0),"",'A créer'!A8)</f>
        <v/>
      </c>
      <c r="AG8" s="2" t="str">
        <f>IF(OR('A créer'!D8="Oui",LEN('A créer'!D8)=0),"","Tab")</f>
        <v/>
      </c>
      <c r="AH8" s="6" t="str">
        <f>IF(OR('A créer'!D8="Oui",LEN('A créer'!D8)=0),"",'A créer'!C8)</f>
        <v/>
      </c>
      <c r="AI8" s="2" t="str">
        <f>IF(OR('A créer'!D8="Oui",LEN('A créer'!D8)=0),"","Tab 4")</f>
        <v/>
      </c>
      <c r="AJ8" s="2" t="str">
        <f>IF(OR('A créer'!D8="Oui",LEN('A créer'!D8)=0),"","*SB")</f>
        <v/>
      </c>
      <c r="AK8" s="2" t="str">
        <f>IF(OR('A créer'!D8="Oui",LEN('A créer'!D8)=0),"","Tab")</f>
        <v/>
      </c>
      <c r="AL8" s="6" t="str">
        <f>IF(OR('A créer'!D8="Oui",LEN('A créer'!D8)=0),"","InterCoSte")</f>
        <v/>
      </c>
      <c r="AM8" s="2" t="str">
        <f>IF(OR('A créer'!D8="Oui",LEN('A créer'!D8)=0),"","Tab")</f>
        <v/>
      </c>
      <c r="AN8" s="2" t="str">
        <f>IF(OR('A créer'!D8="Oui",LEN('A créer'!D8)=0),"","Tab")</f>
        <v/>
      </c>
      <c r="AO8" s="2" t="str">
        <f>IF(OR('A créer'!D8="Oui",LEN('A créer'!D8)=0),"","ENT")</f>
        <v/>
      </c>
      <c r="AP8" s="2" t="str">
        <f>IF(OR('A créer'!D8="Oui",LEN('A créer'!D8)=0),"","ENT")</f>
        <v/>
      </c>
      <c r="AQ8" s="2" t="str">
        <f>IF(OR('A créer'!D8="Oui",LEN('A créer'!D8)=0),"","*SAVE")</f>
        <v/>
      </c>
      <c r="AR8" s="2" t="str">
        <f>IF(OR('A créer'!D8="Oui",LEN('A créer'!D8)=0),"","*UP")</f>
        <v/>
      </c>
      <c r="AS8" s="2" t="str">
        <f>IF(OR('A créer'!D8="Oui",LEN('A créer'!D8)=0),"","*Aé")</f>
        <v/>
      </c>
      <c r="AT8" s="6" t="str">
        <f>IF(OR('A créer'!D8="Oui",LEN('A créer'!D8)=0),"",CONCATENATE('A créer'!B8,'A créer'!A8))</f>
        <v/>
      </c>
      <c r="AU8" s="2" t="str">
        <f>IF(OR('A créer'!D8="Oui",LEN('A créer'!D8)=0),"","Tab")</f>
        <v/>
      </c>
      <c r="AV8" s="2" t="str">
        <f>IF(OR('A créer'!D8="Oui",LEN('A créer'!D8)=0),"","*DN")</f>
        <v/>
      </c>
      <c r="AW8" s="6" t="str">
        <f>IF(OR('A créer'!D8="Oui",LEN('A créer'!D8)=0),"",CONCATENATE("XXX",'A créer'!A8))</f>
        <v/>
      </c>
      <c r="AX8" s="2" t="str">
        <f>IF(OR('A créer'!D8="Oui",LEN('A créer'!D8)=0),"","Tab")</f>
        <v/>
      </c>
      <c r="AY8" s="2" t="str">
        <f>IF(OR('A créer'!D8="Oui",LEN('A créer'!D8)=0),"","*SAVE")</f>
        <v/>
      </c>
      <c r="AZ8" s="2" t="str">
        <f>IF(OR('A créer'!D8="Oui",LEN('A créer'!D8)=0),"","*ML(608,125)")</f>
        <v/>
      </c>
    </row>
    <row r="9" spans="1:52" x14ac:dyDescent="0.35">
      <c r="A9" s="2" t="str">
        <f>IF(OR('A créer'!D9="Oui",LEN('A créer'!D9)=0),IF(AND(LEN('A créer'!B9)&gt;0,'A créer'!B9&lt;&gt;'A créer'!H9)=TRUE,"*FN",""),"*FN")</f>
        <v/>
      </c>
      <c r="B9" s="6" t="str">
        <f>IF(OR('A créer'!D9="Oui",LEN('A créer'!D9)=0),IF(LEN('A créer'!B9)&gt;0,IF('A créer'!B9='A créer'!H9,"",CONCATENATE('A créer'!B9,'A créer'!A9)),""),CONCATENATE('A créer'!B9,'A créer'!A9))</f>
        <v/>
      </c>
      <c r="C9" s="2" t="str">
        <f>IF(OR('A créer'!D9="Oui",LEN('A créer'!D9)=0),IF(AND(LEN('A créer'!B9)&gt;0,'A créer'!B9&lt;&gt;'A créer'!H9)=TRUE,"Tab",""),"Tab")</f>
        <v/>
      </c>
      <c r="D9" s="6" t="str">
        <f>IF(OR('A créer'!D9="Oui",LEN('A créer'!D9)=0),IF(AND(LEN('A créer'!B9)&gt;0,'A créer'!B9&lt;&gt;'A créer'!H9)=TRUE,CONCATENATE('A créer'!B9,'A créer'!A9,"-",'A créer'!C9),""),CONCATENATE('A créer'!B9,'A créer'!A9,"-",'A créer'!C9))</f>
        <v/>
      </c>
      <c r="E9" s="2" t="str">
        <f>IF(OR('A créer'!D9="Oui",LEN('A créer'!D9)=0),IF(AND(LEN('A créer'!B9)&gt;0,'A créer'!B9&lt;&gt;'A créer'!H9)=TRUE,"Tab 4",""),"Tab 4")</f>
        <v/>
      </c>
      <c r="F9" s="2" t="str">
        <f>IF(OR('A créer'!D9="Oui",LEN('A créer'!D9)=0),IF(AND(LEN('A créer'!B9)&gt;0,'A créer'!B9&lt;&gt;'A créer'!H9)=TRUE,"Tab",""),"Tab")</f>
        <v/>
      </c>
      <c r="G9" s="2" t="str">
        <f>IF(OR('A créer'!D9="Oui",LEN('A créer'!D9)=0),IF(AND(LEN('A créer'!B9)&gt;0,'A créer'!B9&lt;&gt;'A créer'!H9)=TRUE,"Tab",""),"Tab")</f>
        <v/>
      </c>
      <c r="H9" s="2" t="str">
        <f>IF(OR('A créer'!D9="Oui",LEN('A créer'!D9)=0),IF(AND(LEN('A créer'!B9)&gt;0,'A créer'!B9&lt;&gt;'A créer'!H9)=TRUE,"ENT",""),"ENT")</f>
        <v/>
      </c>
      <c r="I9" s="6">
        <f>IF('A créer'!D9="Oui",IF(AND(LEN('A créer'!B9)&gt;0,'A créer'!B9&lt;&gt;'A créer'!H9)=TRUE,'A créer'!G9,""),'A créer'!G9)</f>
        <v>0</v>
      </c>
      <c r="J9" s="2" t="str">
        <f>IF(OR('A créer'!D9="Oui",LEN('A créer'!D9)=0),IF(AND(LEN('A créer'!B9)&gt;0,'A créer'!B9&lt;&gt;'A créer'!H9)=TRUE,"Tab",""),"Tab")</f>
        <v/>
      </c>
      <c r="K9" s="6" t="str">
        <f>IF(OR('A créer'!D9="Oui",LEN('A créer'!D9)=0),IF(AND(LEN('A créer'!B9)&gt;0,'A créer'!B9&lt;&gt;'A créer'!H9)=TRUE,"Oui",""),"Oui")</f>
        <v/>
      </c>
      <c r="L9" s="2" t="str">
        <f>IF(OR('A créer'!D9="Oui",LEN('A créer'!D9)=0),IF(AND(LEN('A créer'!B9)&gt;0,'A créer'!B9&lt;&gt;'A créer'!H9)=TRUE,"Tab",""),"Tab")</f>
        <v/>
      </c>
      <c r="M9" s="6" t="str">
        <f>IF(OR('A créer'!D9="Oui",LEN('A créer'!D9)=0),IF(AND(LEN('A créer'!B9)&gt;0,'A créer'!B9&lt;&gt;'A créer'!H9)=TRUE,'A créer'!E9,""),'A créer'!E9)</f>
        <v/>
      </c>
      <c r="N9" s="2" t="str">
        <f>IF(OR('A créer'!D9="Oui",LEN('A créer'!D9)=0),IF(AND(LEN('A créer'!B9)&gt;0,'A créer'!B9&lt;&gt;'A créer'!H9)=TRUE,"ENT",""),"ENT")</f>
        <v/>
      </c>
      <c r="O9" s="2" t="str">
        <f>IF(OR('A créer'!D9="Oui",LEN('A créer'!D9)=0),IF(AND(LEN('A créer'!B9)&gt;0,'A créer'!B9&lt;&gt;'A créer'!H9)=TRUE,"*SAVE",""),"*SAVE")</f>
        <v/>
      </c>
      <c r="P9" s="2" t="str">
        <f>IF(OR('A créer'!D9="Oui",LEN('A créer'!D9)=0),"","*FN")</f>
        <v/>
      </c>
      <c r="Q9" s="6" t="str">
        <f>IF(OR('A créer'!D9="Oui",LEN('A créer'!D9)=0),"",CONCATENATE("XXX",'A créer'!A9))</f>
        <v/>
      </c>
      <c r="R9" s="2" t="str">
        <f>IF(OR('A créer'!D9="Oui",LEN('A créer'!D9)=0),"","Tab")</f>
        <v/>
      </c>
      <c r="S9" s="6" t="str">
        <f>IF(OR('A créer'!D9="Oui",LEN('A créer'!D9)=0),"",CONCATENATE("XXX-",'A créer'!C9))</f>
        <v/>
      </c>
      <c r="T9" s="2" t="str">
        <f>IF(OR('A créer'!D9="Oui",LEN('A créer'!D9)=0),"","Tab 4")</f>
        <v/>
      </c>
      <c r="U9" s="2" t="str">
        <f>IF(OR('A créer'!D9="Oui",LEN('A créer'!D9)=0),"","Tab")</f>
        <v/>
      </c>
      <c r="V9" s="2" t="str">
        <f>IF(OR('A créer'!D9="Oui",LEN('A créer'!D9)=0),"","Tab")</f>
        <v/>
      </c>
      <c r="W9" s="2" t="str">
        <f>IF(OR('A créer'!D9="Oui",LEN('A créer'!D9)=0),"","ENT")</f>
        <v/>
      </c>
      <c r="X9" s="6" t="str">
        <f>IF(OR('A créer'!D9="Oui",LEN('A créer'!D9)=0),"",'A créer'!G9)</f>
        <v/>
      </c>
      <c r="Y9" s="2" t="str">
        <f>IF(OR('A créer'!D9="Oui",LEN('A créer'!D9)=0),"","Tab")</f>
        <v/>
      </c>
      <c r="Z9" s="6" t="str">
        <f>IF(OR('A créer'!D9="Oui",LEN('A créer'!D9)=0),"","Oui")</f>
        <v/>
      </c>
      <c r="AA9" s="2" t="str">
        <f>IF(OR('A créer'!D9="Oui",LEN('A créer'!D9)=0),"","Tab")</f>
        <v/>
      </c>
      <c r="AB9" s="6" t="str">
        <f>IF(OR('A créer'!D9="Oui",LEN('A créer'!D9)=0),"","NON")</f>
        <v/>
      </c>
      <c r="AC9" s="2" t="str">
        <f>IF(OR('A créer'!D9="Oui",LEN('A créer'!D9)=0),"","ENT")</f>
        <v/>
      </c>
      <c r="AD9" s="2" t="str">
        <f>IF(OR('A créer'!D9="Oui",LEN('A créer'!D9)=0),"","*SAVE")</f>
        <v/>
      </c>
      <c r="AE9" s="2" t="str">
        <f>IF(OR('A créer'!D9="Oui",LEN('A créer'!D9)=0),"","*FN")</f>
        <v/>
      </c>
      <c r="AF9" s="6" t="str">
        <f>IF(OR('A créer'!D9="Oui",LEN('A créer'!D9)=0),"",'A créer'!A9)</f>
        <v/>
      </c>
      <c r="AG9" s="2" t="str">
        <f>IF(OR('A créer'!D9="Oui",LEN('A créer'!D9)=0),"","Tab")</f>
        <v/>
      </c>
      <c r="AH9" s="6" t="str">
        <f>IF(OR('A créer'!D9="Oui",LEN('A créer'!D9)=0),"",'A créer'!C9)</f>
        <v/>
      </c>
      <c r="AI9" s="2" t="str">
        <f>IF(OR('A créer'!D9="Oui",LEN('A créer'!D9)=0),"","Tab 4")</f>
        <v/>
      </c>
      <c r="AJ9" s="2" t="str">
        <f>IF(OR('A créer'!D9="Oui",LEN('A créer'!D9)=0),"","*SB")</f>
        <v/>
      </c>
      <c r="AK9" s="2" t="str">
        <f>IF(OR('A créer'!D9="Oui",LEN('A créer'!D9)=0),"","Tab")</f>
        <v/>
      </c>
      <c r="AL9" s="6" t="str">
        <f>IF(OR('A créer'!D9="Oui",LEN('A créer'!D9)=0),"","InterCoSte")</f>
        <v/>
      </c>
      <c r="AM9" s="2" t="str">
        <f>IF(OR('A créer'!D9="Oui",LEN('A créer'!D9)=0),"","Tab")</f>
        <v/>
      </c>
      <c r="AN9" s="2" t="str">
        <f>IF(OR('A créer'!D9="Oui",LEN('A créer'!D9)=0),"","Tab")</f>
        <v/>
      </c>
      <c r="AO9" s="2" t="str">
        <f>IF(OR('A créer'!D9="Oui",LEN('A créer'!D9)=0),"","ENT")</f>
        <v/>
      </c>
      <c r="AP9" s="2" t="str">
        <f>IF(OR('A créer'!D9="Oui",LEN('A créer'!D9)=0),"","ENT")</f>
        <v/>
      </c>
      <c r="AQ9" s="2" t="str">
        <f>IF(OR('A créer'!D9="Oui",LEN('A créer'!D9)=0),"","*SAVE")</f>
        <v/>
      </c>
      <c r="AR9" s="2" t="str">
        <f>IF(OR('A créer'!D9="Oui",LEN('A créer'!D9)=0),"","*UP")</f>
        <v/>
      </c>
      <c r="AS9" s="2" t="str">
        <f>IF(OR('A créer'!D9="Oui",LEN('A créer'!D9)=0),"","*Aé")</f>
        <v/>
      </c>
      <c r="AT9" s="6" t="str">
        <f>IF(OR('A créer'!D9="Oui",LEN('A créer'!D9)=0),"",CONCATENATE('A créer'!B9,'A créer'!A9))</f>
        <v/>
      </c>
      <c r="AU9" s="2" t="str">
        <f>IF(OR('A créer'!D9="Oui",LEN('A créer'!D9)=0),"","Tab")</f>
        <v/>
      </c>
      <c r="AV9" s="2" t="str">
        <f>IF(OR('A créer'!D9="Oui",LEN('A créer'!D9)=0),"","*DN")</f>
        <v/>
      </c>
      <c r="AW9" s="6" t="str">
        <f>IF(OR('A créer'!D9="Oui",LEN('A créer'!D9)=0),"",CONCATENATE("XXX",'A créer'!A9))</f>
        <v/>
      </c>
      <c r="AX9" s="2" t="str">
        <f>IF(OR('A créer'!D9="Oui",LEN('A créer'!D9)=0),"","Tab")</f>
        <v/>
      </c>
      <c r="AY9" s="2" t="str">
        <f>IF(OR('A créer'!D9="Oui",LEN('A créer'!D9)=0),"","*SAVE")</f>
        <v/>
      </c>
      <c r="AZ9" s="2" t="str">
        <f>IF(OR('A créer'!D9="Oui",LEN('A créer'!D9)=0),"","*ML(608,125)")</f>
        <v/>
      </c>
    </row>
    <row r="10" spans="1:52" x14ac:dyDescent="0.35">
      <c r="A10" s="2" t="str">
        <f>IF(OR('A créer'!D10="Oui",LEN('A créer'!D10)=0),IF(AND(LEN('A créer'!B10)&gt;0,'A créer'!B10&lt;&gt;'A créer'!H10)=TRUE,"*FN",""),"*FN")</f>
        <v/>
      </c>
      <c r="B10" s="6" t="str">
        <f>IF(OR('A créer'!D10="Oui",LEN('A créer'!D10)=0),IF(LEN('A créer'!B10)&gt;0,IF('A créer'!B10='A créer'!H10,"",CONCATENATE('A créer'!B10,'A créer'!A10)),""),CONCATENATE('A créer'!B10,'A créer'!A10))</f>
        <v/>
      </c>
      <c r="C10" s="2" t="str">
        <f>IF(OR('A créer'!D10="Oui",LEN('A créer'!D10)=0),IF(AND(LEN('A créer'!B10)&gt;0,'A créer'!B10&lt;&gt;'A créer'!H10)=TRUE,"Tab",""),"Tab")</f>
        <v/>
      </c>
      <c r="D10" s="6" t="str">
        <f>IF(OR('A créer'!D10="Oui",LEN('A créer'!D10)=0),IF(AND(LEN('A créer'!B10)&gt;0,'A créer'!B10&lt;&gt;'A créer'!H10)=TRUE,CONCATENATE('A créer'!B10,'A créer'!A10,"-",'A créer'!C10),""),CONCATENATE('A créer'!B10,'A créer'!A10,"-",'A créer'!C10))</f>
        <v/>
      </c>
      <c r="E10" s="2" t="str">
        <f>IF(OR('A créer'!D10="Oui",LEN('A créer'!D10)=0),IF(AND(LEN('A créer'!B10)&gt;0,'A créer'!B10&lt;&gt;'A créer'!H10)=TRUE,"Tab 4",""),"Tab 4")</f>
        <v/>
      </c>
      <c r="F10" s="2" t="str">
        <f>IF(OR('A créer'!D10="Oui",LEN('A créer'!D10)=0),IF(AND(LEN('A créer'!B10)&gt;0,'A créer'!B10&lt;&gt;'A créer'!H10)=TRUE,"Tab",""),"Tab")</f>
        <v/>
      </c>
      <c r="G10" s="2" t="str">
        <f>IF(OR('A créer'!D10="Oui",LEN('A créer'!D10)=0),IF(AND(LEN('A créer'!B10)&gt;0,'A créer'!B10&lt;&gt;'A créer'!H10)=TRUE,"Tab",""),"Tab")</f>
        <v/>
      </c>
      <c r="H10" s="2" t="str">
        <f>IF(OR('A créer'!D10="Oui",LEN('A créer'!D10)=0),IF(AND(LEN('A créer'!B10)&gt;0,'A créer'!B10&lt;&gt;'A créer'!H10)=TRUE,"ENT",""),"ENT")</f>
        <v/>
      </c>
      <c r="I10" s="6">
        <f>IF('A créer'!D10="Oui",IF(AND(LEN('A créer'!B10)&gt;0,'A créer'!B10&lt;&gt;'A créer'!H10)=TRUE,'A créer'!G10,""),'A créer'!G10)</f>
        <v>0</v>
      </c>
      <c r="J10" s="2" t="str">
        <f>IF(OR('A créer'!D10="Oui",LEN('A créer'!D10)=0),IF(AND(LEN('A créer'!B10)&gt;0,'A créer'!B10&lt;&gt;'A créer'!H10)=TRUE,"Tab",""),"Tab")</f>
        <v/>
      </c>
      <c r="K10" s="6" t="str">
        <f>IF(OR('A créer'!D10="Oui",LEN('A créer'!D10)=0),IF(AND(LEN('A créer'!B10)&gt;0,'A créer'!B10&lt;&gt;'A créer'!H10)=TRUE,"Oui",""),"Oui")</f>
        <v/>
      </c>
      <c r="L10" s="2" t="str">
        <f>IF(OR('A créer'!D10="Oui",LEN('A créer'!D10)=0),IF(AND(LEN('A créer'!B10)&gt;0,'A créer'!B10&lt;&gt;'A créer'!H10)=TRUE,"Tab",""),"Tab")</f>
        <v/>
      </c>
      <c r="M10" s="6" t="str">
        <f>IF(OR('A créer'!D10="Oui",LEN('A créer'!D10)=0),IF(AND(LEN('A créer'!B10)&gt;0,'A créer'!B10&lt;&gt;'A créer'!H10)=TRUE,'A créer'!E10,""),'A créer'!E10)</f>
        <v/>
      </c>
      <c r="N10" s="2" t="str">
        <f>IF(OR('A créer'!D10="Oui",LEN('A créer'!D10)=0),IF(AND(LEN('A créer'!B10)&gt;0,'A créer'!B10&lt;&gt;'A créer'!H10)=TRUE,"ENT",""),"ENT")</f>
        <v/>
      </c>
      <c r="O10" s="2" t="str">
        <f>IF(OR('A créer'!D10="Oui",LEN('A créer'!D10)=0),IF(AND(LEN('A créer'!B10)&gt;0,'A créer'!B10&lt;&gt;'A créer'!H10)=TRUE,"*SAVE",""),"*SAVE")</f>
        <v/>
      </c>
      <c r="P10" s="2" t="str">
        <f>IF(OR('A créer'!D10="Oui",LEN('A créer'!D10)=0),"","*FN")</f>
        <v/>
      </c>
      <c r="Q10" s="6" t="str">
        <f>IF(OR('A créer'!D10="Oui",LEN('A créer'!D10)=0),"",CONCATENATE("XXX",'A créer'!A10))</f>
        <v/>
      </c>
      <c r="R10" s="2" t="str">
        <f>IF(OR('A créer'!D10="Oui",LEN('A créer'!D10)=0),"","Tab")</f>
        <v/>
      </c>
      <c r="S10" s="6" t="str">
        <f>IF(OR('A créer'!D10="Oui",LEN('A créer'!D10)=0),"",CONCATENATE("XXX-",'A créer'!C10))</f>
        <v/>
      </c>
      <c r="T10" s="2" t="str">
        <f>IF(OR('A créer'!D10="Oui",LEN('A créer'!D10)=0),"","Tab 4")</f>
        <v/>
      </c>
      <c r="U10" s="2" t="str">
        <f>IF(OR('A créer'!D10="Oui",LEN('A créer'!D10)=0),"","Tab")</f>
        <v/>
      </c>
      <c r="V10" s="2" t="str">
        <f>IF(OR('A créer'!D10="Oui",LEN('A créer'!D10)=0),"","Tab")</f>
        <v/>
      </c>
      <c r="W10" s="2" t="str">
        <f>IF(OR('A créer'!D10="Oui",LEN('A créer'!D10)=0),"","ENT")</f>
        <v/>
      </c>
      <c r="X10" s="6" t="str">
        <f>IF(OR('A créer'!D10="Oui",LEN('A créer'!D10)=0),"",'A créer'!G10)</f>
        <v/>
      </c>
      <c r="Y10" s="2" t="str">
        <f>IF(OR('A créer'!D10="Oui",LEN('A créer'!D10)=0),"","Tab")</f>
        <v/>
      </c>
      <c r="Z10" s="6" t="str">
        <f>IF(OR('A créer'!D10="Oui",LEN('A créer'!D10)=0),"","Oui")</f>
        <v/>
      </c>
      <c r="AA10" s="2" t="str">
        <f>IF(OR('A créer'!D10="Oui",LEN('A créer'!D10)=0),"","Tab")</f>
        <v/>
      </c>
      <c r="AB10" s="6" t="str">
        <f>IF(OR('A créer'!D10="Oui",LEN('A créer'!D10)=0),"","NON")</f>
        <v/>
      </c>
      <c r="AC10" s="2" t="str">
        <f>IF(OR('A créer'!D10="Oui",LEN('A créer'!D10)=0),"","ENT")</f>
        <v/>
      </c>
      <c r="AD10" s="2" t="str">
        <f>IF(OR('A créer'!D10="Oui",LEN('A créer'!D10)=0),"","*SAVE")</f>
        <v/>
      </c>
      <c r="AE10" s="2" t="str">
        <f>IF(OR('A créer'!D10="Oui",LEN('A créer'!D10)=0),"","*FN")</f>
        <v/>
      </c>
      <c r="AF10" s="6" t="str">
        <f>IF(OR('A créer'!D10="Oui",LEN('A créer'!D10)=0),"",'A créer'!A10)</f>
        <v/>
      </c>
      <c r="AG10" s="2" t="str">
        <f>IF(OR('A créer'!D10="Oui",LEN('A créer'!D10)=0),"","Tab")</f>
        <v/>
      </c>
      <c r="AH10" s="6" t="str">
        <f>IF(OR('A créer'!D10="Oui",LEN('A créer'!D10)=0),"",'A créer'!C10)</f>
        <v/>
      </c>
      <c r="AI10" s="2" t="str">
        <f>IF(OR('A créer'!D10="Oui",LEN('A créer'!D10)=0),"","Tab 4")</f>
        <v/>
      </c>
      <c r="AJ10" s="2" t="str">
        <f>IF(OR('A créer'!D10="Oui",LEN('A créer'!D10)=0),"","*SB")</f>
        <v/>
      </c>
      <c r="AK10" s="2" t="str">
        <f>IF(OR('A créer'!D10="Oui",LEN('A créer'!D10)=0),"","Tab")</f>
        <v/>
      </c>
      <c r="AL10" s="6" t="str">
        <f>IF(OR('A créer'!D10="Oui",LEN('A créer'!D10)=0),"","InterCoSte")</f>
        <v/>
      </c>
      <c r="AM10" s="2" t="str">
        <f>IF(OR('A créer'!D10="Oui",LEN('A créer'!D10)=0),"","Tab")</f>
        <v/>
      </c>
      <c r="AN10" s="2" t="str">
        <f>IF(OR('A créer'!D10="Oui",LEN('A créer'!D10)=0),"","Tab")</f>
        <v/>
      </c>
      <c r="AO10" s="2" t="str">
        <f>IF(OR('A créer'!D10="Oui",LEN('A créer'!D10)=0),"","ENT")</f>
        <v/>
      </c>
      <c r="AP10" s="2" t="str">
        <f>IF(OR('A créer'!D10="Oui",LEN('A créer'!D10)=0),"","ENT")</f>
        <v/>
      </c>
      <c r="AQ10" s="2" t="str">
        <f>IF(OR('A créer'!D10="Oui",LEN('A créer'!D10)=0),"","*SAVE")</f>
        <v/>
      </c>
      <c r="AR10" s="2" t="str">
        <f>IF(OR('A créer'!D10="Oui",LEN('A créer'!D10)=0),"","*UP")</f>
        <v/>
      </c>
      <c r="AS10" s="2" t="str">
        <f>IF(OR('A créer'!D10="Oui",LEN('A créer'!D10)=0),"","*Aé")</f>
        <v/>
      </c>
      <c r="AT10" s="6" t="str">
        <f>IF(OR('A créer'!D10="Oui",LEN('A créer'!D10)=0),"",CONCATENATE('A créer'!B10,'A créer'!A10))</f>
        <v/>
      </c>
      <c r="AU10" s="2" t="str">
        <f>IF(OR('A créer'!D10="Oui",LEN('A créer'!D10)=0),"","Tab")</f>
        <v/>
      </c>
      <c r="AV10" s="2" t="str">
        <f>IF(OR('A créer'!D10="Oui",LEN('A créer'!D10)=0),"","*DN")</f>
        <v/>
      </c>
      <c r="AW10" s="6" t="str">
        <f>IF(OR('A créer'!D10="Oui",LEN('A créer'!D10)=0),"",CONCATENATE("XXX",'A créer'!A10))</f>
        <v/>
      </c>
      <c r="AX10" s="2" t="str">
        <f>IF(OR('A créer'!D10="Oui",LEN('A créer'!D10)=0),"","Tab")</f>
        <v/>
      </c>
      <c r="AY10" s="2" t="str">
        <f>IF(OR('A créer'!D10="Oui",LEN('A créer'!D10)=0),"","*SAVE")</f>
        <v/>
      </c>
      <c r="AZ10" s="2" t="str">
        <f>IF(OR('A créer'!D10="Oui",LEN('A créer'!D10)=0),"","*ML(608,125)")</f>
        <v/>
      </c>
    </row>
    <row r="11" spans="1:52" x14ac:dyDescent="0.35">
      <c r="A11" s="2" t="str">
        <f>IF(OR('A créer'!D11="Oui",LEN('A créer'!D11)=0),IF(AND(LEN('A créer'!B11)&gt;0,'A créer'!B11&lt;&gt;'A créer'!H11)=TRUE,"*FN",""),"*FN")</f>
        <v/>
      </c>
      <c r="B11" s="6" t="str">
        <f>IF(OR('A créer'!D11="Oui",LEN('A créer'!D11)=0),IF(LEN('A créer'!B11)&gt;0,IF('A créer'!B11='A créer'!H11,"",CONCATENATE('A créer'!B11,'A créer'!A11)),""),CONCATENATE('A créer'!B11,'A créer'!A11))</f>
        <v/>
      </c>
      <c r="C11" s="2" t="str">
        <f>IF(OR('A créer'!D11="Oui",LEN('A créer'!D11)=0),IF(AND(LEN('A créer'!B11)&gt;0,'A créer'!B11&lt;&gt;'A créer'!H11)=TRUE,"Tab",""),"Tab")</f>
        <v/>
      </c>
      <c r="D11" s="6" t="str">
        <f>IF(OR('A créer'!D11="Oui",LEN('A créer'!D11)=0),IF(AND(LEN('A créer'!B11)&gt;0,'A créer'!B11&lt;&gt;'A créer'!H11)=TRUE,CONCATENATE('A créer'!B11,'A créer'!A11,"-",'A créer'!C11),""),CONCATENATE('A créer'!B11,'A créer'!A11,"-",'A créer'!C11))</f>
        <v/>
      </c>
      <c r="E11" s="2" t="str">
        <f>IF(OR('A créer'!D11="Oui",LEN('A créer'!D11)=0),IF(AND(LEN('A créer'!B11)&gt;0,'A créer'!B11&lt;&gt;'A créer'!H11)=TRUE,"Tab 4",""),"Tab 4")</f>
        <v/>
      </c>
      <c r="F11" s="2" t="str">
        <f>IF(OR('A créer'!D11="Oui",LEN('A créer'!D11)=0),IF(AND(LEN('A créer'!B11)&gt;0,'A créer'!B11&lt;&gt;'A créer'!H11)=TRUE,"Tab",""),"Tab")</f>
        <v/>
      </c>
      <c r="G11" s="2" t="str">
        <f>IF(OR('A créer'!D11="Oui",LEN('A créer'!D11)=0),IF(AND(LEN('A créer'!B11)&gt;0,'A créer'!B11&lt;&gt;'A créer'!H11)=TRUE,"Tab",""),"Tab")</f>
        <v/>
      </c>
      <c r="H11" s="2" t="str">
        <f>IF(OR('A créer'!D11="Oui",LEN('A créer'!D11)=0),IF(AND(LEN('A créer'!B11)&gt;0,'A créer'!B11&lt;&gt;'A créer'!H11)=TRUE,"ENT",""),"ENT")</f>
        <v/>
      </c>
      <c r="I11" s="6">
        <f>IF('A créer'!D11="Oui",IF(AND(LEN('A créer'!B11)&gt;0,'A créer'!B11&lt;&gt;'A créer'!H11)=TRUE,'A créer'!G11,""),'A créer'!G11)</f>
        <v>0</v>
      </c>
      <c r="J11" s="2" t="str">
        <f>IF(OR('A créer'!D11="Oui",LEN('A créer'!D11)=0),IF(AND(LEN('A créer'!B11)&gt;0,'A créer'!B11&lt;&gt;'A créer'!H11)=TRUE,"Tab",""),"Tab")</f>
        <v/>
      </c>
      <c r="K11" s="6" t="str">
        <f>IF(OR('A créer'!D11="Oui",LEN('A créer'!D11)=0),IF(AND(LEN('A créer'!B11)&gt;0,'A créer'!B11&lt;&gt;'A créer'!H11)=TRUE,"Oui",""),"Oui")</f>
        <v/>
      </c>
      <c r="L11" s="2" t="str">
        <f>IF(OR('A créer'!D11="Oui",LEN('A créer'!D11)=0),IF(AND(LEN('A créer'!B11)&gt;0,'A créer'!B11&lt;&gt;'A créer'!H11)=TRUE,"Tab",""),"Tab")</f>
        <v/>
      </c>
      <c r="M11" s="6" t="str">
        <f>IF(OR('A créer'!D11="Oui",LEN('A créer'!D11)=0),IF(AND(LEN('A créer'!B11)&gt;0,'A créer'!B11&lt;&gt;'A créer'!H11)=TRUE,'A créer'!E11,""),'A créer'!E11)</f>
        <v/>
      </c>
      <c r="N11" s="2" t="str">
        <f>IF(OR('A créer'!D11="Oui",LEN('A créer'!D11)=0),IF(AND(LEN('A créer'!B11)&gt;0,'A créer'!B11&lt;&gt;'A créer'!H11)=TRUE,"ENT",""),"ENT")</f>
        <v/>
      </c>
      <c r="O11" s="2" t="str">
        <f>IF(OR('A créer'!D11="Oui",LEN('A créer'!D11)=0),IF(AND(LEN('A créer'!B11)&gt;0,'A créer'!B11&lt;&gt;'A créer'!H11)=TRUE,"*SAVE",""),"*SAVE")</f>
        <v/>
      </c>
      <c r="P11" s="2" t="str">
        <f>IF(OR('A créer'!D11="Oui",LEN('A créer'!D11)=0),"","*FN")</f>
        <v/>
      </c>
      <c r="Q11" s="6" t="str">
        <f>IF(OR('A créer'!D11="Oui",LEN('A créer'!D11)=0),"",CONCATENATE("XXX",'A créer'!A11))</f>
        <v/>
      </c>
      <c r="R11" s="2" t="str">
        <f>IF(OR('A créer'!D11="Oui",LEN('A créer'!D11)=0),"","Tab")</f>
        <v/>
      </c>
      <c r="S11" s="6" t="str">
        <f>IF(OR('A créer'!D11="Oui",LEN('A créer'!D11)=0),"",CONCATENATE("XXX-",'A créer'!C11))</f>
        <v/>
      </c>
      <c r="T11" s="2" t="str">
        <f>IF(OR('A créer'!D11="Oui",LEN('A créer'!D11)=0),"","Tab 4")</f>
        <v/>
      </c>
      <c r="U11" s="2" t="str">
        <f>IF(OR('A créer'!D11="Oui",LEN('A créer'!D11)=0),"","Tab")</f>
        <v/>
      </c>
      <c r="V11" s="2" t="str">
        <f>IF(OR('A créer'!D11="Oui",LEN('A créer'!D11)=0),"","Tab")</f>
        <v/>
      </c>
      <c r="W11" s="2" t="str">
        <f>IF(OR('A créer'!D11="Oui",LEN('A créer'!D11)=0),"","ENT")</f>
        <v/>
      </c>
      <c r="X11" s="6" t="str">
        <f>IF(OR('A créer'!D11="Oui",LEN('A créer'!D11)=0),"",'A créer'!G11)</f>
        <v/>
      </c>
      <c r="Y11" s="2" t="str">
        <f>IF(OR('A créer'!D11="Oui",LEN('A créer'!D11)=0),"","Tab")</f>
        <v/>
      </c>
      <c r="Z11" s="6" t="str">
        <f>IF(OR('A créer'!D11="Oui",LEN('A créer'!D11)=0),"","Oui")</f>
        <v/>
      </c>
      <c r="AA11" s="2" t="str">
        <f>IF(OR('A créer'!D11="Oui",LEN('A créer'!D11)=0),"","Tab")</f>
        <v/>
      </c>
      <c r="AB11" s="6" t="str">
        <f>IF(OR('A créer'!D11="Oui",LEN('A créer'!D11)=0),"","NON")</f>
        <v/>
      </c>
      <c r="AC11" s="2" t="str">
        <f>IF(OR('A créer'!D11="Oui",LEN('A créer'!D11)=0),"","ENT")</f>
        <v/>
      </c>
      <c r="AD11" s="2" t="str">
        <f>IF(OR('A créer'!D11="Oui",LEN('A créer'!D11)=0),"","*SAVE")</f>
        <v/>
      </c>
      <c r="AE11" s="2" t="str">
        <f>IF(OR('A créer'!D11="Oui",LEN('A créer'!D11)=0),"","*FN")</f>
        <v/>
      </c>
      <c r="AF11" s="6" t="str">
        <f>IF(OR('A créer'!D11="Oui",LEN('A créer'!D11)=0),"",'A créer'!A11)</f>
        <v/>
      </c>
      <c r="AG11" s="2" t="str">
        <f>IF(OR('A créer'!D11="Oui",LEN('A créer'!D11)=0),"","Tab")</f>
        <v/>
      </c>
      <c r="AH11" s="6" t="str">
        <f>IF(OR('A créer'!D11="Oui",LEN('A créer'!D11)=0),"",'A créer'!C11)</f>
        <v/>
      </c>
      <c r="AI11" s="2" t="str">
        <f>IF(OR('A créer'!D11="Oui",LEN('A créer'!D11)=0),"","Tab 4")</f>
        <v/>
      </c>
      <c r="AJ11" s="2" t="str">
        <f>IF(OR('A créer'!D11="Oui",LEN('A créer'!D11)=0),"","*SB")</f>
        <v/>
      </c>
      <c r="AK11" s="2" t="str">
        <f>IF(OR('A créer'!D11="Oui",LEN('A créer'!D11)=0),"","Tab")</f>
        <v/>
      </c>
      <c r="AL11" s="6" t="str">
        <f>IF(OR('A créer'!D11="Oui",LEN('A créer'!D11)=0),"","InterCoSte")</f>
        <v/>
      </c>
      <c r="AM11" s="2" t="str">
        <f>IF(OR('A créer'!D11="Oui",LEN('A créer'!D11)=0),"","Tab")</f>
        <v/>
      </c>
      <c r="AN11" s="2" t="str">
        <f>IF(OR('A créer'!D11="Oui",LEN('A créer'!D11)=0),"","Tab")</f>
        <v/>
      </c>
      <c r="AO11" s="2" t="str">
        <f>IF(OR('A créer'!D11="Oui",LEN('A créer'!D11)=0),"","ENT")</f>
        <v/>
      </c>
      <c r="AP11" s="2" t="str">
        <f>IF(OR('A créer'!D11="Oui",LEN('A créer'!D11)=0),"","ENT")</f>
        <v/>
      </c>
      <c r="AQ11" s="2" t="str">
        <f>IF(OR('A créer'!D11="Oui",LEN('A créer'!D11)=0),"","*SAVE")</f>
        <v/>
      </c>
      <c r="AR11" s="2" t="str">
        <f>IF(OR('A créer'!D11="Oui",LEN('A créer'!D11)=0),"","*UP")</f>
        <v/>
      </c>
      <c r="AS11" s="2" t="str">
        <f>IF(OR('A créer'!D11="Oui",LEN('A créer'!D11)=0),"","*Aé")</f>
        <v/>
      </c>
      <c r="AT11" s="6" t="str">
        <f>IF(OR('A créer'!D11="Oui",LEN('A créer'!D11)=0),"",CONCATENATE('A créer'!B11,'A créer'!A11))</f>
        <v/>
      </c>
      <c r="AU11" s="2" t="str">
        <f>IF(OR('A créer'!D11="Oui",LEN('A créer'!D11)=0),"","Tab")</f>
        <v/>
      </c>
      <c r="AV11" s="2" t="str">
        <f>IF(OR('A créer'!D11="Oui",LEN('A créer'!D11)=0),"","*DN")</f>
        <v/>
      </c>
      <c r="AW11" s="6" t="str">
        <f>IF(OR('A créer'!D11="Oui",LEN('A créer'!D11)=0),"",CONCATENATE("XXX",'A créer'!A11))</f>
        <v/>
      </c>
      <c r="AX11" s="2" t="str">
        <f>IF(OR('A créer'!D11="Oui",LEN('A créer'!D11)=0),"","Tab")</f>
        <v/>
      </c>
      <c r="AY11" s="2" t="str">
        <f>IF(OR('A créer'!D11="Oui",LEN('A créer'!D11)=0),"","*SAVE")</f>
        <v/>
      </c>
      <c r="AZ11" s="2" t="str">
        <f>IF(OR('A créer'!D11="Oui",LEN('A créer'!D11)=0),"","*ML(608,125)")</f>
        <v/>
      </c>
    </row>
    <row r="12" spans="1:52" x14ac:dyDescent="0.35">
      <c r="A12" s="2" t="str">
        <f>IF(OR('A créer'!D12="Oui",LEN('A créer'!D12)=0),IF(AND(LEN('A créer'!B12)&gt;0,'A créer'!B12&lt;&gt;'A créer'!H12)=TRUE,"*FN",""),"*FN")</f>
        <v/>
      </c>
      <c r="B12" s="6" t="str">
        <f>IF(OR('A créer'!D12="Oui",LEN('A créer'!D12)=0),IF(LEN('A créer'!B12)&gt;0,IF('A créer'!B12='A créer'!H12,"",CONCATENATE('A créer'!B12,'A créer'!A12)),""),CONCATENATE('A créer'!B12,'A créer'!A12))</f>
        <v/>
      </c>
      <c r="C12" s="2" t="str">
        <f>IF(OR('A créer'!D12="Oui",LEN('A créer'!D12)=0),IF(AND(LEN('A créer'!B12)&gt;0,'A créer'!B12&lt;&gt;'A créer'!H12)=TRUE,"Tab",""),"Tab")</f>
        <v/>
      </c>
      <c r="D12" s="6" t="str">
        <f>IF(OR('A créer'!D12="Oui",LEN('A créer'!D12)=0),IF(AND(LEN('A créer'!B12)&gt;0,'A créer'!B12&lt;&gt;'A créer'!H12)=TRUE,CONCATENATE('A créer'!B12,'A créer'!A12,"-",'A créer'!C12),""),CONCATENATE('A créer'!B12,'A créer'!A12,"-",'A créer'!C12))</f>
        <v/>
      </c>
      <c r="E12" s="2" t="str">
        <f>IF(OR('A créer'!D12="Oui",LEN('A créer'!D12)=0),IF(AND(LEN('A créer'!B12)&gt;0,'A créer'!B12&lt;&gt;'A créer'!H12)=TRUE,"Tab 4",""),"Tab 4")</f>
        <v/>
      </c>
      <c r="F12" s="2" t="str">
        <f>IF(OR('A créer'!D12="Oui",LEN('A créer'!D12)=0),IF(AND(LEN('A créer'!B12)&gt;0,'A créer'!B12&lt;&gt;'A créer'!H12)=TRUE,"Tab",""),"Tab")</f>
        <v/>
      </c>
      <c r="G12" s="2" t="str">
        <f>IF(OR('A créer'!D12="Oui",LEN('A créer'!D12)=0),IF(AND(LEN('A créer'!B12)&gt;0,'A créer'!B12&lt;&gt;'A créer'!H12)=TRUE,"Tab",""),"Tab")</f>
        <v/>
      </c>
      <c r="H12" s="2" t="str">
        <f>IF(OR('A créer'!D12="Oui",LEN('A créer'!D12)=0),IF(AND(LEN('A créer'!B12)&gt;0,'A créer'!B12&lt;&gt;'A créer'!H12)=TRUE,"ENT",""),"ENT")</f>
        <v/>
      </c>
      <c r="I12" s="6">
        <f>IF('A créer'!D12="Oui",IF(AND(LEN('A créer'!B12)&gt;0,'A créer'!B12&lt;&gt;'A créer'!H12)=TRUE,'A créer'!G12,""),'A créer'!G12)</f>
        <v>0</v>
      </c>
      <c r="J12" s="2" t="str">
        <f>IF(OR('A créer'!D12="Oui",LEN('A créer'!D12)=0),IF(AND(LEN('A créer'!B12)&gt;0,'A créer'!B12&lt;&gt;'A créer'!H12)=TRUE,"Tab",""),"Tab")</f>
        <v/>
      </c>
      <c r="K12" s="6" t="str">
        <f>IF(OR('A créer'!D12="Oui",LEN('A créer'!D12)=0),IF(AND(LEN('A créer'!B12)&gt;0,'A créer'!B12&lt;&gt;'A créer'!H12)=TRUE,"Oui",""),"Oui")</f>
        <v/>
      </c>
      <c r="L12" s="2" t="str">
        <f>IF(OR('A créer'!D12="Oui",LEN('A créer'!D12)=0),IF(AND(LEN('A créer'!B12)&gt;0,'A créer'!B12&lt;&gt;'A créer'!H12)=TRUE,"Tab",""),"Tab")</f>
        <v/>
      </c>
      <c r="M12" s="6" t="str">
        <f>IF(OR('A créer'!D12="Oui",LEN('A créer'!D12)=0),IF(AND(LEN('A créer'!B12)&gt;0,'A créer'!B12&lt;&gt;'A créer'!H12)=TRUE,'A créer'!E12,""),'A créer'!E12)</f>
        <v/>
      </c>
      <c r="N12" s="2" t="str">
        <f>IF(OR('A créer'!D12="Oui",LEN('A créer'!D12)=0),IF(AND(LEN('A créer'!B12)&gt;0,'A créer'!B12&lt;&gt;'A créer'!H12)=TRUE,"ENT",""),"ENT")</f>
        <v/>
      </c>
      <c r="O12" s="2" t="str">
        <f>IF(OR('A créer'!D12="Oui",LEN('A créer'!D12)=0),IF(AND(LEN('A créer'!B12)&gt;0,'A créer'!B12&lt;&gt;'A créer'!H12)=TRUE,"*SAVE",""),"*SAVE")</f>
        <v/>
      </c>
      <c r="P12" s="2" t="str">
        <f>IF(OR('A créer'!D12="Oui",LEN('A créer'!D12)=0),"","*FN")</f>
        <v/>
      </c>
      <c r="Q12" s="6" t="str">
        <f>IF(OR('A créer'!D12="Oui",LEN('A créer'!D12)=0),"",CONCATENATE("XXX",'A créer'!A12))</f>
        <v/>
      </c>
      <c r="R12" s="2" t="str">
        <f>IF(OR('A créer'!D12="Oui",LEN('A créer'!D12)=0),"","Tab")</f>
        <v/>
      </c>
      <c r="S12" s="6" t="str">
        <f>IF(OR('A créer'!D12="Oui",LEN('A créer'!D12)=0),"",CONCATENATE("XXX-",'A créer'!C12))</f>
        <v/>
      </c>
      <c r="T12" s="2" t="str">
        <f>IF(OR('A créer'!D12="Oui",LEN('A créer'!D12)=0),"","Tab 4")</f>
        <v/>
      </c>
      <c r="U12" s="2" t="str">
        <f>IF(OR('A créer'!D12="Oui",LEN('A créer'!D12)=0),"","Tab")</f>
        <v/>
      </c>
      <c r="V12" s="2" t="str">
        <f>IF(OR('A créer'!D12="Oui",LEN('A créer'!D12)=0),"","Tab")</f>
        <v/>
      </c>
      <c r="W12" s="2" t="str">
        <f>IF(OR('A créer'!D12="Oui",LEN('A créer'!D12)=0),"","ENT")</f>
        <v/>
      </c>
      <c r="X12" s="6" t="str">
        <f>IF(OR('A créer'!D12="Oui",LEN('A créer'!D12)=0),"",'A créer'!G12)</f>
        <v/>
      </c>
      <c r="Y12" s="2" t="str">
        <f>IF(OR('A créer'!D12="Oui",LEN('A créer'!D12)=0),"","Tab")</f>
        <v/>
      </c>
      <c r="Z12" s="6" t="str">
        <f>IF(OR('A créer'!D12="Oui",LEN('A créer'!D12)=0),"","Oui")</f>
        <v/>
      </c>
      <c r="AA12" s="2" t="str">
        <f>IF(OR('A créer'!D12="Oui",LEN('A créer'!D12)=0),"","Tab")</f>
        <v/>
      </c>
      <c r="AB12" s="6" t="str">
        <f>IF(OR('A créer'!D12="Oui",LEN('A créer'!D12)=0),"","NON")</f>
        <v/>
      </c>
      <c r="AC12" s="2" t="str">
        <f>IF(OR('A créer'!D12="Oui",LEN('A créer'!D12)=0),"","ENT")</f>
        <v/>
      </c>
      <c r="AD12" s="2" t="str">
        <f>IF(OR('A créer'!D12="Oui",LEN('A créer'!D12)=0),"","*SAVE")</f>
        <v/>
      </c>
      <c r="AE12" s="2" t="str">
        <f>IF(OR('A créer'!D12="Oui",LEN('A créer'!D12)=0),"","*FN")</f>
        <v/>
      </c>
      <c r="AF12" s="6" t="str">
        <f>IF(OR('A créer'!D12="Oui",LEN('A créer'!D12)=0),"",'A créer'!A12)</f>
        <v/>
      </c>
      <c r="AG12" s="2" t="str">
        <f>IF(OR('A créer'!D12="Oui",LEN('A créer'!D12)=0),"","Tab")</f>
        <v/>
      </c>
      <c r="AH12" s="6" t="str">
        <f>IF(OR('A créer'!D12="Oui",LEN('A créer'!D12)=0),"",'A créer'!C12)</f>
        <v/>
      </c>
      <c r="AI12" s="2" t="str">
        <f>IF(OR('A créer'!D12="Oui",LEN('A créer'!D12)=0),"","Tab 4")</f>
        <v/>
      </c>
      <c r="AJ12" s="2" t="str">
        <f>IF(OR('A créer'!D12="Oui",LEN('A créer'!D12)=0),"","*SB")</f>
        <v/>
      </c>
      <c r="AK12" s="2" t="str">
        <f>IF(OR('A créer'!D12="Oui",LEN('A créer'!D12)=0),"","Tab")</f>
        <v/>
      </c>
      <c r="AL12" s="6" t="str">
        <f>IF(OR('A créer'!D12="Oui",LEN('A créer'!D12)=0),"","InterCoSte")</f>
        <v/>
      </c>
      <c r="AM12" s="2" t="str">
        <f>IF(OR('A créer'!D12="Oui",LEN('A créer'!D12)=0),"","Tab")</f>
        <v/>
      </c>
      <c r="AN12" s="2" t="str">
        <f>IF(OR('A créer'!D12="Oui",LEN('A créer'!D12)=0),"","Tab")</f>
        <v/>
      </c>
      <c r="AO12" s="2" t="str">
        <f>IF(OR('A créer'!D12="Oui",LEN('A créer'!D12)=0),"","ENT")</f>
        <v/>
      </c>
      <c r="AP12" s="2" t="str">
        <f>IF(OR('A créer'!D12="Oui",LEN('A créer'!D12)=0),"","ENT")</f>
        <v/>
      </c>
      <c r="AQ12" s="2" t="str">
        <f>IF(OR('A créer'!D12="Oui",LEN('A créer'!D12)=0),"","*SAVE")</f>
        <v/>
      </c>
      <c r="AR12" s="2" t="str">
        <f>IF(OR('A créer'!D12="Oui",LEN('A créer'!D12)=0),"","*UP")</f>
        <v/>
      </c>
      <c r="AS12" s="2" t="str">
        <f>IF(OR('A créer'!D12="Oui",LEN('A créer'!D12)=0),"","*Aé")</f>
        <v/>
      </c>
      <c r="AT12" s="6" t="str">
        <f>IF(OR('A créer'!D12="Oui",LEN('A créer'!D12)=0),"",CONCATENATE('A créer'!B12,'A créer'!A12))</f>
        <v/>
      </c>
      <c r="AU12" s="2" t="str">
        <f>IF(OR('A créer'!D12="Oui",LEN('A créer'!D12)=0),"","Tab")</f>
        <v/>
      </c>
      <c r="AV12" s="2" t="str">
        <f>IF(OR('A créer'!D12="Oui",LEN('A créer'!D12)=0),"","*DN")</f>
        <v/>
      </c>
      <c r="AW12" s="6" t="str">
        <f>IF(OR('A créer'!D12="Oui",LEN('A créer'!D12)=0),"",CONCATENATE("XXX",'A créer'!A12))</f>
        <v/>
      </c>
      <c r="AX12" s="2" t="str">
        <f>IF(OR('A créer'!D12="Oui",LEN('A créer'!D12)=0),"","Tab")</f>
        <v/>
      </c>
      <c r="AY12" s="2" t="str">
        <f>IF(OR('A créer'!D12="Oui",LEN('A créer'!D12)=0),"","*SAVE")</f>
        <v/>
      </c>
      <c r="AZ12" s="2" t="str">
        <f>IF(OR('A créer'!D12="Oui",LEN('A créer'!D12)=0),"","*ML(608,125)")</f>
        <v/>
      </c>
    </row>
    <row r="13" spans="1:52" x14ac:dyDescent="0.35">
      <c r="A13" s="2" t="str">
        <f>IF(OR('A créer'!D13="Oui",LEN('A créer'!D13)=0),IF(AND(LEN('A créer'!B13)&gt;0,'A créer'!B13&lt;&gt;'A créer'!H13)=TRUE,"*FN",""),"*FN")</f>
        <v/>
      </c>
      <c r="B13" s="6" t="str">
        <f>IF(OR('A créer'!D13="Oui",LEN('A créer'!D13)=0),IF(LEN('A créer'!B13)&gt;0,IF('A créer'!B13='A créer'!H13,"",CONCATENATE('A créer'!B13,'A créer'!A13)),""),CONCATENATE('A créer'!B13,'A créer'!A13))</f>
        <v/>
      </c>
      <c r="C13" s="2" t="str">
        <f>IF(OR('A créer'!D13="Oui",LEN('A créer'!D13)=0),IF(AND(LEN('A créer'!B13)&gt;0,'A créer'!B13&lt;&gt;'A créer'!H13)=TRUE,"Tab",""),"Tab")</f>
        <v/>
      </c>
      <c r="D13" s="6" t="str">
        <f>IF(OR('A créer'!D13="Oui",LEN('A créer'!D13)=0),IF(AND(LEN('A créer'!B13)&gt;0,'A créer'!B13&lt;&gt;'A créer'!H13)=TRUE,CONCATENATE('A créer'!B13,'A créer'!A13,"-",'A créer'!C13),""),CONCATENATE('A créer'!B13,'A créer'!A13,"-",'A créer'!C13))</f>
        <v/>
      </c>
      <c r="E13" s="2" t="str">
        <f>IF(OR('A créer'!D13="Oui",LEN('A créer'!D13)=0),IF(AND(LEN('A créer'!B13)&gt;0,'A créer'!B13&lt;&gt;'A créer'!H13)=TRUE,"Tab 4",""),"Tab 4")</f>
        <v/>
      </c>
      <c r="F13" s="2" t="str">
        <f>IF(OR('A créer'!D13="Oui",LEN('A créer'!D13)=0),IF(AND(LEN('A créer'!B13)&gt;0,'A créer'!B13&lt;&gt;'A créer'!H13)=TRUE,"Tab",""),"Tab")</f>
        <v/>
      </c>
      <c r="G13" s="2" t="str">
        <f>IF(OR('A créer'!D13="Oui",LEN('A créer'!D13)=0),IF(AND(LEN('A créer'!B13)&gt;0,'A créer'!B13&lt;&gt;'A créer'!H13)=TRUE,"Tab",""),"Tab")</f>
        <v/>
      </c>
      <c r="H13" s="2" t="str">
        <f>IF(OR('A créer'!D13="Oui",LEN('A créer'!D13)=0),IF(AND(LEN('A créer'!B13)&gt;0,'A créer'!B13&lt;&gt;'A créer'!H13)=TRUE,"ENT",""),"ENT")</f>
        <v/>
      </c>
      <c r="I13" s="6">
        <f>IF('A créer'!D13="Oui",IF(AND(LEN('A créer'!B13)&gt;0,'A créer'!B13&lt;&gt;'A créer'!H13)=TRUE,'A créer'!G13,""),'A créer'!G13)</f>
        <v>0</v>
      </c>
      <c r="J13" s="2" t="str">
        <f>IF(OR('A créer'!D13="Oui",LEN('A créer'!D13)=0),IF(AND(LEN('A créer'!B13)&gt;0,'A créer'!B13&lt;&gt;'A créer'!H13)=TRUE,"Tab",""),"Tab")</f>
        <v/>
      </c>
      <c r="K13" s="6" t="str">
        <f>IF(OR('A créer'!D13="Oui",LEN('A créer'!D13)=0),IF(AND(LEN('A créer'!B13)&gt;0,'A créer'!B13&lt;&gt;'A créer'!H13)=TRUE,"Oui",""),"Oui")</f>
        <v/>
      </c>
      <c r="L13" s="2" t="str">
        <f>IF(OR('A créer'!D13="Oui",LEN('A créer'!D13)=0),IF(AND(LEN('A créer'!B13)&gt;0,'A créer'!B13&lt;&gt;'A créer'!H13)=TRUE,"Tab",""),"Tab")</f>
        <v/>
      </c>
      <c r="M13" s="6" t="str">
        <f>IF(OR('A créer'!D13="Oui",LEN('A créer'!D13)=0),IF(AND(LEN('A créer'!B13)&gt;0,'A créer'!B13&lt;&gt;'A créer'!H13)=TRUE,'A créer'!E13,""),'A créer'!E13)</f>
        <v/>
      </c>
      <c r="N13" s="2" t="str">
        <f>IF(OR('A créer'!D13="Oui",LEN('A créer'!D13)=0),IF(AND(LEN('A créer'!B13)&gt;0,'A créer'!B13&lt;&gt;'A créer'!H13)=TRUE,"ENT",""),"ENT")</f>
        <v/>
      </c>
      <c r="O13" s="2" t="str">
        <f>IF(OR('A créer'!D13="Oui",LEN('A créer'!D13)=0),IF(AND(LEN('A créer'!B13)&gt;0,'A créer'!B13&lt;&gt;'A créer'!H13)=TRUE,"*SAVE",""),"*SAVE")</f>
        <v/>
      </c>
      <c r="P13" s="2" t="str">
        <f>IF(OR('A créer'!D13="Oui",LEN('A créer'!D13)=0),"","*FN")</f>
        <v/>
      </c>
      <c r="Q13" s="6" t="str">
        <f>IF(OR('A créer'!D13="Oui",LEN('A créer'!D13)=0),"",CONCATENATE("XXX",'A créer'!A13))</f>
        <v/>
      </c>
      <c r="R13" s="2" t="str">
        <f>IF(OR('A créer'!D13="Oui",LEN('A créer'!D13)=0),"","Tab")</f>
        <v/>
      </c>
      <c r="S13" s="6" t="str">
        <f>IF(OR('A créer'!D13="Oui",LEN('A créer'!D13)=0),"",CONCATENATE("XXX-",'A créer'!C13))</f>
        <v/>
      </c>
      <c r="T13" s="2" t="str">
        <f>IF(OR('A créer'!D13="Oui",LEN('A créer'!D13)=0),"","Tab 4")</f>
        <v/>
      </c>
      <c r="U13" s="2" t="str">
        <f>IF(OR('A créer'!D13="Oui",LEN('A créer'!D13)=0),"","Tab")</f>
        <v/>
      </c>
      <c r="V13" s="2" t="str">
        <f>IF(OR('A créer'!D13="Oui",LEN('A créer'!D13)=0),"","Tab")</f>
        <v/>
      </c>
      <c r="W13" s="2" t="str">
        <f>IF(OR('A créer'!D13="Oui",LEN('A créer'!D13)=0),"","ENT")</f>
        <v/>
      </c>
      <c r="X13" s="6" t="str">
        <f>IF(OR('A créer'!D13="Oui",LEN('A créer'!D13)=0),"",'A créer'!G13)</f>
        <v/>
      </c>
      <c r="Y13" s="2" t="str">
        <f>IF(OR('A créer'!D13="Oui",LEN('A créer'!D13)=0),"","Tab")</f>
        <v/>
      </c>
      <c r="Z13" s="6" t="str">
        <f>IF(OR('A créer'!D13="Oui",LEN('A créer'!D13)=0),"","Oui")</f>
        <v/>
      </c>
      <c r="AA13" s="2" t="str">
        <f>IF(OR('A créer'!D13="Oui",LEN('A créer'!D13)=0),"","Tab")</f>
        <v/>
      </c>
      <c r="AB13" s="6" t="str">
        <f>IF(OR('A créer'!D13="Oui",LEN('A créer'!D13)=0),"","NON")</f>
        <v/>
      </c>
      <c r="AC13" s="2" t="str">
        <f>IF(OR('A créer'!D13="Oui",LEN('A créer'!D13)=0),"","ENT")</f>
        <v/>
      </c>
      <c r="AD13" s="2" t="str">
        <f>IF(OR('A créer'!D13="Oui",LEN('A créer'!D13)=0),"","*SAVE")</f>
        <v/>
      </c>
      <c r="AE13" s="2" t="str">
        <f>IF(OR('A créer'!D13="Oui",LEN('A créer'!D13)=0),"","*FN")</f>
        <v/>
      </c>
      <c r="AF13" s="6" t="str">
        <f>IF(OR('A créer'!D13="Oui",LEN('A créer'!D13)=0),"",'A créer'!A13)</f>
        <v/>
      </c>
      <c r="AG13" s="2" t="str">
        <f>IF(OR('A créer'!D13="Oui",LEN('A créer'!D13)=0),"","Tab")</f>
        <v/>
      </c>
      <c r="AH13" s="6" t="str">
        <f>IF(OR('A créer'!D13="Oui",LEN('A créer'!D13)=0),"",'A créer'!C13)</f>
        <v/>
      </c>
      <c r="AI13" s="2" t="str">
        <f>IF(OR('A créer'!D13="Oui",LEN('A créer'!D13)=0),"","Tab 4")</f>
        <v/>
      </c>
      <c r="AJ13" s="2" t="str">
        <f>IF(OR('A créer'!D13="Oui",LEN('A créer'!D13)=0),"","*SB")</f>
        <v/>
      </c>
      <c r="AK13" s="2" t="str">
        <f>IF(OR('A créer'!D13="Oui",LEN('A créer'!D13)=0),"","Tab")</f>
        <v/>
      </c>
      <c r="AL13" s="6" t="str">
        <f>IF(OR('A créer'!D13="Oui",LEN('A créer'!D13)=0),"","InterCoSte")</f>
        <v/>
      </c>
      <c r="AM13" s="2" t="str">
        <f>IF(OR('A créer'!D13="Oui",LEN('A créer'!D13)=0),"","Tab")</f>
        <v/>
      </c>
      <c r="AN13" s="2" t="str">
        <f>IF(OR('A créer'!D13="Oui",LEN('A créer'!D13)=0),"","Tab")</f>
        <v/>
      </c>
      <c r="AO13" s="2" t="str">
        <f>IF(OR('A créer'!D13="Oui",LEN('A créer'!D13)=0),"","ENT")</f>
        <v/>
      </c>
      <c r="AP13" s="2" t="str">
        <f>IF(OR('A créer'!D13="Oui",LEN('A créer'!D13)=0),"","ENT")</f>
        <v/>
      </c>
      <c r="AQ13" s="2" t="str">
        <f>IF(OR('A créer'!D13="Oui",LEN('A créer'!D13)=0),"","*SAVE")</f>
        <v/>
      </c>
      <c r="AR13" s="2" t="str">
        <f>IF(OR('A créer'!D13="Oui",LEN('A créer'!D13)=0),"","*UP")</f>
        <v/>
      </c>
      <c r="AS13" s="2" t="str">
        <f>IF(OR('A créer'!D13="Oui",LEN('A créer'!D13)=0),"","*Aé")</f>
        <v/>
      </c>
      <c r="AT13" s="6" t="str">
        <f>IF(OR('A créer'!D13="Oui",LEN('A créer'!D13)=0),"",CONCATENATE('A créer'!B13,'A créer'!A13))</f>
        <v/>
      </c>
      <c r="AU13" s="2" t="str">
        <f>IF(OR('A créer'!D13="Oui",LEN('A créer'!D13)=0),"","Tab")</f>
        <v/>
      </c>
      <c r="AV13" s="2" t="str">
        <f>IF(OR('A créer'!D13="Oui",LEN('A créer'!D13)=0),"","*DN")</f>
        <v/>
      </c>
      <c r="AW13" s="6" t="str">
        <f>IF(OR('A créer'!D13="Oui",LEN('A créer'!D13)=0),"",CONCATENATE("XXX",'A créer'!A13))</f>
        <v/>
      </c>
      <c r="AX13" s="2" t="str">
        <f>IF(OR('A créer'!D13="Oui",LEN('A créer'!D13)=0),"","Tab")</f>
        <v/>
      </c>
      <c r="AY13" s="2" t="str">
        <f>IF(OR('A créer'!D13="Oui",LEN('A créer'!D13)=0),"","*SAVE")</f>
        <v/>
      </c>
      <c r="AZ13" s="2" t="str">
        <f>IF(OR('A créer'!D13="Oui",LEN('A créer'!D13)=0),"","*ML(608,125)")</f>
        <v/>
      </c>
    </row>
    <row r="14" spans="1:52" x14ac:dyDescent="0.35">
      <c r="A14" s="2" t="str">
        <f>IF(OR('A créer'!D14="Oui",LEN('A créer'!D14)=0),IF(AND(LEN('A créer'!B14)&gt;0,'A créer'!B14&lt;&gt;'A créer'!H14)=TRUE,"*FN",""),"*FN")</f>
        <v/>
      </c>
      <c r="B14" s="6" t="str">
        <f>IF(OR('A créer'!D14="Oui",LEN('A créer'!D14)=0),IF(LEN('A créer'!B14)&gt;0,IF('A créer'!B14='A créer'!H14,"",CONCATENATE('A créer'!B14,'A créer'!A14)),""),CONCATENATE('A créer'!B14,'A créer'!A14))</f>
        <v/>
      </c>
      <c r="C14" s="2" t="str">
        <f>IF(OR('A créer'!D14="Oui",LEN('A créer'!D14)=0),IF(AND(LEN('A créer'!B14)&gt;0,'A créer'!B14&lt;&gt;'A créer'!H14)=TRUE,"Tab",""),"Tab")</f>
        <v/>
      </c>
      <c r="D14" s="6" t="str">
        <f>IF(OR('A créer'!D14="Oui",LEN('A créer'!D14)=0),IF(AND(LEN('A créer'!B14)&gt;0,'A créer'!B14&lt;&gt;'A créer'!H14)=TRUE,CONCATENATE('A créer'!B14,'A créer'!A14,"-",'A créer'!C14),""),CONCATENATE('A créer'!B14,'A créer'!A14,"-",'A créer'!C14))</f>
        <v/>
      </c>
      <c r="E14" s="2" t="str">
        <f>IF(OR('A créer'!D14="Oui",LEN('A créer'!D14)=0),IF(AND(LEN('A créer'!B14)&gt;0,'A créer'!B14&lt;&gt;'A créer'!H14)=TRUE,"Tab 4",""),"Tab 4")</f>
        <v/>
      </c>
      <c r="F14" s="2" t="str">
        <f>IF(OR('A créer'!D14="Oui",LEN('A créer'!D14)=0),IF(AND(LEN('A créer'!B14)&gt;0,'A créer'!B14&lt;&gt;'A créer'!H14)=TRUE,"Tab",""),"Tab")</f>
        <v/>
      </c>
      <c r="G14" s="2" t="str">
        <f>IF(OR('A créer'!D14="Oui",LEN('A créer'!D14)=0),IF(AND(LEN('A créer'!B14)&gt;0,'A créer'!B14&lt;&gt;'A créer'!H14)=TRUE,"Tab",""),"Tab")</f>
        <v/>
      </c>
      <c r="H14" s="2" t="str">
        <f>IF(OR('A créer'!D14="Oui",LEN('A créer'!D14)=0),IF(AND(LEN('A créer'!B14)&gt;0,'A créer'!B14&lt;&gt;'A créer'!H14)=TRUE,"ENT",""),"ENT")</f>
        <v/>
      </c>
      <c r="I14" s="6">
        <f>IF('A créer'!D14="Oui",IF(AND(LEN('A créer'!B14)&gt;0,'A créer'!B14&lt;&gt;'A créer'!H14)=TRUE,'A créer'!G14,""),'A créer'!G14)</f>
        <v>0</v>
      </c>
      <c r="J14" s="2" t="str">
        <f>IF(OR('A créer'!D14="Oui",LEN('A créer'!D14)=0),IF(AND(LEN('A créer'!B14)&gt;0,'A créer'!B14&lt;&gt;'A créer'!H14)=TRUE,"Tab",""),"Tab")</f>
        <v/>
      </c>
      <c r="K14" s="6" t="str">
        <f>IF(OR('A créer'!D14="Oui",LEN('A créer'!D14)=0),IF(AND(LEN('A créer'!B14)&gt;0,'A créer'!B14&lt;&gt;'A créer'!H14)=TRUE,"Oui",""),"Oui")</f>
        <v/>
      </c>
      <c r="L14" s="2" t="str">
        <f>IF(OR('A créer'!D14="Oui",LEN('A créer'!D14)=0),IF(AND(LEN('A créer'!B14)&gt;0,'A créer'!B14&lt;&gt;'A créer'!H14)=TRUE,"Tab",""),"Tab")</f>
        <v/>
      </c>
      <c r="M14" s="6" t="str">
        <f>IF(OR('A créer'!D14="Oui",LEN('A créer'!D14)=0),IF(AND(LEN('A créer'!B14)&gt;0,'A créer'!B14&lt;&gt;'A créer'!H14)=TRUE,'A créer'!E14,""),'A créer'!E14)</f>
        <v/>
      </c>
      <c r="N14" s="2" t="str">
        <f>IF(OR('A créer'!D14="Oui",LEN('A créer'!D14)=0),IF(AND(LEN('A créer'!B14)&gt;0,'A créer'!B14&lt;&gt;'A créer'!H14)=TRUE,"ENT",""),"ENT")</f>
        <v/>
      </c>
      <c r="O14" s="2" t="str">
        <f>IF(OR('A créer'!D14="Oui",LEN('A créer'!D14)=0),IF(AND(LEN('A créer'!B14)&gt;0,'A créer'!B14&lt;&gt;'A créer'!H14)=TRUE,"*SAVE",""),"*SAVE")</f>
        <v/>
      </c>
      <c r="P14" s="2" t="str">
        <f>IF(OR('A créer'!D14="Oui",LEN('A créer'!D14)=0),"","*FN")</f>
        <v/>
      </c>
      <c r="Q14" s="6" t="str">
        <f>IF(OR('A créer'!D14="Oui",LEN('A créer'!D14)=0),"",CONCATENATE("XXX",'A créer'!A14))</f>
        <v/>
      </c>
      <c r="R14" s="2" t="str">
        <f>IF(OR('A créer'!D14="Oui",LEN('A créer'!D14)=0),"","Tab")</f>
        <v/>
      </c>
      <c r="S14" s="6" t="str">
        <f>IF(OR('A créer'!D14="Oui",LEN('A créer'!D14)=0),"",CONCATENATE("XXX-",'A créer'!C14))</f>
        <v/>
      </c>
      <c r="T14" s="2" t="str">
        <f>IF(OR('A créer'!D14="Oui",LEN('A créer'!D14)=0),"","Tab 4")</f>
        <v/>
      </c>
      <c r="U14" s="2" t="str">
        <f>IF(OR('A créer'!D14="Oui",LEN('A créer'!D14)=0),"","Tab")</f>
        <v/>
      </c>
      <c r="V14" s="2" t="str">
        <f>IF(OR('A créer'!D14="Oui",LEN('A créer'!D14)=0),"","Tab")</f>
        <v/>
      </c>
      <c r="W14" s="2" t="str">
        <f>IF(OR('A créer'!D14="Oui",LEN('A créer'!D14)=0),"","ENT")</f>
        <v/>
      </c>
      <c r="X14" s="6" t="str">
        <f>IF(OR('A créer'!D14="Oui",LEN('A créer'!D14)=0),"",'A créer'!G14)</f>
        <v/>
      </c>
      <c r="Y14" s="2" t="str">
        <f>IF(OR('A créer'!D14="Oui",LEN('A créer'!D14)=0),"","Tab")</f>
        <v/>
      </c>
      <c r="Z14" s="6" t="str">
        <f>IF(OR('A créer'!D14="Oui",LEN('A créer'!D14)=0),"","Oui")</f>
        <v/>
      </c>
      <c r="AA14" s="2" t="str">
        <f>IF(OR('A créer'!D14="Oui",LEN('A créer'!D14)=0),"","Tab")</f>
        <v/>
      </c>
      <c r="AB14" s="6" t="str">
        <f>IF(OR('A créer'!D14="Oui",LEN('A créer'!D14)=0),"","NON")</f>
        <v/>
      </c>
      <c r="AC14" s="2" t="str">
        <f>IF(OR('A créer'!D14="Oui",LEN('A créer'!D14)=0),"","ENT")</f>
        <v/>
      </c>
      <c r="AD14" s="2" t="str">
        <f>IF(OR('A créer'!D14="Oui",LEN('A créer'!D14)=0),"","*SAVE")</f>
        <v/>
      </c>
      <c r="AE14" s="2" t="str">
        <f>IF(OR('A créer'!D14="Oui",LEN('A créer'!D14)=0),"","*FN")</f>
        <v/>
      </c>
      <c r="AF14" s="6" t="str">
        <f>IF(OR('A créer'!D14="Oui",LEN('A créer'!D14)=0),"",'A créer'!A14)</f>
        <v/>
      </c>
      <c r="AG14" s="2" t="str">
        <f>IF(OR('A créer'!D14="Oui",LEN('A créer'!D14)=0),"","Tab")</f>
        <v/>
      </c>
      <c r="AH14" s="6" t="str">
        <f>IF(OR('A créer'!D14="Oui",LEN('A créer'!D14)=0),"",'A créer'!C14)</f>
        <v/>
      </c>
      <c r="AI14" s="2" t="str">
        <f>IF(OR('A créer'!D14="Oui",LEN('A créer'!D14)=0),"","Tab 4")</f>
        <v/>
      </c>
      <c r="AJ14" s="2" t="str">
        <f>IF(OR('A créer'!D14="Oui",LEN('A créer'!D14)=0),"","*SB")</f>
        <v/>
      </c>
      <c r="AK14" s="2" t="str">
        <f>IF(OR('A créer'!D14="Oui",LEN('A créer'!D14)=0),"","Tab")</f>
        <v/>
      </c>
      <c r="AL14" s="6" t="str">
        <f>IF(OR('A créer'!D14="Oui",LEN('A créer'!D14)=0),"","InterCoSte")</f>
        <v/>
      </c>
      <c r="AM14" s="2" t="str">
        <f>IF(OR('A créer'!D14="Oui",LEN('A créer'!D14)=0),"","Tab")</f>
        <v/>
      </c>
      <c r="AN14" s="2" t="str">
        <f>IF(OR('A créer'!D14="Oui",LEN('A créer'!D14)=0),"","Tab")</f>
        <v/>
      </c>
      <c r="AO14" s="2" t="str">
        <f>IF(OR('A créer'!D14="Oui",LEN('A créer'!D14)=0),"","ENT")</f>
        <v/>
      </c>
      <c r="AP14" s="2" t="str">
        <f>IF(OR('A créer'!D14="Oui",LEN('A créer'!D14)=0),"","ENT")</f>
        <v/>
      </c>
      <c r="AQ14" s="2" t="str">
        <f>IF(OR('A créer'!D14="Oui",LEN('A créer'!D14)=0),"","*SAVE")</f>
        <v/>
      </c>
      <c r="AR14" s="2" t="str">
        <f>IF(OR('A créer'!D14="Oui",LEN('A créer'!D14)=0),"","*UP")</f>
        <v/>
      </c>
      <c r="AS14" s="2" t="str">
        <f>IF(OR('A créer'!D14="Oui",LEN('A créer'!D14)=0),"","*Aé")</f>
        <v/>
      </c>
      <c r="AT14" s="6" t="str">
        <f>IF(OR('A créer'!D14="Oui",LEN('A créer'!D14)=0),"",CONCATENATE('A créer'!B14,'A créer'!A14))</f>
        <v/>
      </c>
      <c r="AU14" s="2" t="str">
        <f>IF(OR('A créer'!D14="Oui",LEN('A créer'!D14)=0),"","Tab")</f>
        <v/>
      </c>
      <c r="AV14" s="2" t="str">
        <f>IF(OR('A créer'!D14="Oui",LEN('A créer'!D14)=0),"","*DN")</f>
        <v/>
      </c>
      <c r="AW14" s="6" t="str">
        <f>IF(OR('A créer'!D14="Oui",LEN('A créer'!D14)=0),"",CONCATENATE("XXX",'A créer'!A14))</f>
        <v/>
      </c>
      <c r="AX14" s="2" t="str">
        <f>IF(OR('A créer'!D14="Oui",LEN('A créer'!D14)=0),"","Tab")</f>
        <v/>
      </c>
      <c r="AY14" s="2" t="str">
        <f>IF(OR('A créer'!D14="Oui",LEN('A créer'!D14)=0),"","*SAVE")</f>
        <v/>
      </c>
      <c r="AZ14" s="2" t="str">
        <f>IF(OR('A créer'!D14="Oui",LEN('A créer'!D14)=0),"","*ML(602,118)")</f>
        <v/>
      </c>
    </row>
    <row r="15" spans="1:52" x14ac:dyDescent="0.35">
      <c r="A15" s="2" t="str">
        <f>IF(OR('A créer'!D15="Oui",LEN('A créer'!D15)=0),IF(AND(LEN('A créer'!B15)&gt;0,'A créer'!B15&lt;&gt;'A créer'!H15)=TRUE,"*FN",""),"*FN")</f>
        <v/>
      </c>
      <c r="B15" s="6" t="str">
        <f>IF(OR('A créer'!D15="Oui",LEN('A créer'!D15)=0),IF(LEN('A créer'!B15)&gt;0,IF('A créer'!B15='A créer'!H15,"",CONCATENATE('A créer'!B15,'A créer'!A15)),""),CONCATENATE('A créer'!B15,'A créer'!A15))</f>
        <v/>
      </c>
      <c r="C15" s="2" t="str">
        <f>IF(OR('A créer'!D15="Oui",LEN('A créer'!D15)=0),IF(AND(LEN('A créer'!B15)&gt;0,'A créer'!B15&lt;&gt;'A créer'!H15)=TRUE,"Tab",""),"Tab")</f>
        <v/>
      </c>
      <c r="D15" s="6" t="str">
        <f>IF(OR('A créer'!D15="Oui",LEN('A créer'!D15)=0),IF(AND(LEN('A créer'!B15)&gt;0,'A créer'!B15&lt;&gt;'A créer'!H15)=TRUE,CONCATENATE('A créer'!B15,'A créer'!A15,"-",'A créer'!C15),""),CONCATENATE('A créer'!B15,'A créer'!A15,"-",'A créer'!C15))</f>
        <v/>
      </c>
      <c r="E15" s="2" t="str">
        <f>IF(OR('A créer'!D15="Oui",LEN('A créer'!D15)=0),IF(AND(LEN('A créer'!B15)&gt;0,'A créer'!B15&lt;&gt;'A créer'!H15)=TRUE,"Tab 4",""),"Tab 4")</f>
        <v/>
      </c>
      <c r="F15" s="2" t="str">
        <f>IF(OR('A créer'!D15="Oui",LEN('A créer'!D15)=0),IF(AND(LEN('A créer'!B15)&gt;0,'A créer'!B15&lt;&gt;'A créer'!H15)=TRUE,"Tab",""),"Tab")</f>
        <v/>
      </c>
      <c r="G15" s="2" t="str">
        <f>IF(OR('A créer'!D15="Oui",LEN('A créer'!D15)=0),IF(AND(LEN('A créer'!B15)&gt;0,'A créer'!B15&lt;&gt;'A créer'!H15)=TRUE,"Tab",""),"Tab")</f>
        <v/>
      </c>
      <c r="H15" s="2" t="str">
        <f>IF(OR('A créer'!D15="Oui",LEN('A créer'!D15)=0),IF(AND(LEN('A créer'!B15)&gt;0,'A créer'!B15&lt;&gt;'A créer'!H15)=TRUE,"ENT",""),"ENT")</f>
        <v/>
      </c>
      <c r="I15" s="6">
        <f>IF('A créer'!D15="Oui",IF(AND(LEN('A créer'!B15)&gt;0,'A créer'!B15&lt;&gt;'A créer'!H15)=TRUE,'A créer'!G15,""),'A créer'!G15)</f>
        <v>0</v>
      </c>
      <c r="J15" s="2" t="str">
        <f>IF(OR('A créer'!D15="Oui",LEN('A créer'!D15)=0),IF(AND(LEN('A créer'!B15)&gt;0,'A créer'!B15&lt;&gt;'A créer'!H15)=TRUE,"Tab",""),"Tab")</f>
        <v/>
      </c>
      <c r="K15" s="6" t="str">
        <f>IF(OR('A créer'!D15="Oui",LEN('A créer'!D15)=0),IF(AND(LEN('A créer'!B15)&gt;0,'A créer'!B15&lt;&gt;'A créer'!H15)=TRUE,"Oui",""),"Oui")</f>
        <v/>
      </c>
      <c r="L15" s="2" t="str">
        <f>IF(OR('A créer'!D15="Oui",LEN('A créer'!D15)=0),IF(AND(LEN('A créer'!B15)&gt;0,'A créer'!B15&lt;&gt;'A créer'!H15)=TRUE,"Tab",""),"Tab")</f>
        <v/>
      </c>
      <c r="M15" s="6" t="str">
        <f>IF(OR('A créer'!D15="Oui",LEN('A créer'!D15)=0),IF(AND(LEN('A créer'!B15)&gt;0,'A créer'!B15&lt;&gt;'A créer'!H15)=TRUE,'A créer'!E15,""),'A créer'!E15)</f>
        <v/>
      </c>
      <c r="N15" s="2" t="str">
        <f>IF(OR('A créer'!D15="Oui",LEN('A créer'!D15)=0),IF(AND(LEN('A créer'!B15)&gt;0,'A créer'!B15&lt;&gt;'A créer'!H15)=TRUE,"ENT",""),"ENT")</f>
        <v/>
      </c>
      <c r="O15" s="2" t="str">
        <f>IF(OR('A créer'!D15="Oui",LEN('A créer'!D15)=0),IF(AND(LEN('A créer'!B15)&gt;0,'A créer'!B15&lt;&gt;'A créer'!H15)=TRUE,"*SAVE",""),"*SAVE")</f>
        <v/>
      </c>
      <c r="P15" s="2" t="str">
        <f>IF(OR('A créer'!D15="Oui",LEN('A créer'!D15)=0),"","*FN")</f>
        <v/>
      </c>
      <c r="Q15" s="6" t="str">
        <f>IF(OR('A créer'!D15="Oui",LEN('A créer'!D15)=0),"",CONCATENATE("XXX",'A créer'!A15))</f>
        <v/>
      </c>
      <c r="R15" s="2" t="str">
        <f>IF(OR('A créer'!D15="Oui",LEN('A créer'!D15)=0),"","Tab")</f>
        <v/>
      </c>
      <c r="S15" s="6" t="str">
        <f>IF(OR('A créer'!D15="Oui",LEN('A créer'!D15)=0),"",CONCATENATE("XXX-",'A créer'!C15))</f>
        <v/>
      </c>
      <c r="T15" s="2" t="str">
        <f>IF(OR('A créer'!D15="Oui",LEN('A créer'!D15)=0),"","Tab 4")</f>
        <v/>
      </c>
      <c r="U15" s="2" t="str">
        <f>IF(OR('A créer'!D15="Oui",LEN('A créer'!D15)=0),"","Tab")</f>
        <v/>
      </c>
      <c r="V15" s="2" t="str">
        <f>IF(OR('A créer'!D15="Oui",LEN('A créer'!D15)=0),"","Tab")</f>
        <v/>
      </c>
      <c r="W15" s="2" t="str">
        <f>IF(OR('A créer'!D15="Oui",LEN('A créer'!D15)=0),"","ENT")</f>
        <v/>
      </c>
      <c r="X15" s="6" t="str">
        <f>IF(OR('A créer'!D15="Oui",LEN('A créer'!D15)=0),"",'A créer'!G15)</f>
        <v/>
      </c>
      <c r="Y15" s="2" t="str">
        <f>IF(OR('A créer'!D15="Oui",LEN('A créer'!D15)=0),"","Tab")</f>
        <v/>
      </c>
      <c r="Z15" s="6" t="str">
        <f>IF(OR('A créer'!D15="Oui",LEN('A créer'!D15)=0),"","Oui")</f>
        <v/>
      </c>
      <c r="AA15" s="2" t="str">
        <f>IF(OR('A créer'!D15="Oui",LEN('A créer'!D15)=0),"","Tab")</f>
        <v/>
      </c>
      <c r="AB15" s="6" t="str">
        <f>IF(OR('A créer'!D15="Oui",LEN('A créer'!D15)=0),"","NON")</f>
        <v/>
      </c>
      <c r="AC15" s="2" t="str">
        <f>IF(OR('A créer'!D15="Oui",LEN('A créer'!D15)=0),"","ENT")</f>
        <v/>
      </c>
      <c r="AD15" s="2" t="str">
        <f>IF(OR('A créer'!D15="Oui",LEN('A créer'!D15)=0),"","*SAVE")</f>
        <v/>
      </c>
      <c r="AE15" s="2" t="str">
        <f>IF(OR('A créer'!D15="Oui",LEN('A créer'!D15)=0),"","*FN")</f>
        <v/>
      </c>
      <c r="AF15" s="6" t="str">
        <f>IF(OR('A créer'!D15="Oui",LEN('A créer'!D15)=0),"",'A créer'!A15)</f>
        <v/>
      </c>
      <c r="AG15" s="2" t="str">
        <f>IF(OR('A créer'!D15="Oui",LEN('A créer'!D15)=0),"","Tab")</f>
        <v/>
      </c>
      <c r="AH15" s="6" t="str">
        <f>IF(OR('A créer'!D15="Oui",LEN('A créer'!D15)=0),"",'A créer'!C15)</f>
        <v/>
      </c>
      <c r="AI15" s="2" t="str">
        <f>IF(OR('A créer'!D15="Oui",LEN('A créer'!D15)=0),"","Tab 4")</f>
        <v/>
      </c>
      <c r="AJ15" s="2" t="str">
        <f>IF(OR('A créer'!D15="Oui",LEN('A créer'!D15)=0),"","*SB")</f>
        <v/>
      </c>
      <c r="AK15" s="2" t="str">
        <f>IF(OR('A créer'!D15="Oui",LEN('A créer'!D15)=0),"","Tab")</f>
        <v/>
      </c>
      <c r="AL15" s="6" t="str">
        <f>IF(OR('A créer'!D15="Oui",LEN('A créer'!D15)=0),"","InterCoSte")</f>
        <v/>
      </c>
      <c r="AM15" s="2" t="str">
        <f>IF(OR('A créer'!D15="Oui",LEN('A créer'!D15)=0),"","Tab")</f>
        <v/>
      </c>
      <c r="AN15" s="2" t="str">
        <f>IF(OR('A créer'!D15="Oui",LEN('A créer'!D15)=0),"","Tab")</f>
        <v/>
      </c>
      <c r="AO15" s="2" t="str">
        <f>IF(OR('A créer'!D15="Oui",LEN('A créer'!D15)=0),"","ENT")</f>
        <v/>
      </c>
      <c r="AP15" s="2" t="str">
        <f>IF(OR('A créer'!D15="Oui",LEN('A créer'!D15)=0),"","ENT")</f>
        <v/>
      </c>
      <c r="AQ15" s="2" t="str">
        <f>IF(OR('A créer'!D15="Oui",LEN('A créer'!D15)=0),"","*SAVE")</f>
        <v/>
      </c>
      <c r="AR15" s="2" t="str">
        <f>IF(OR('A créer'!D15="Oui",LEN('A créer'!D15)=0),"","*UP")</f>
        <v/>
      </c>
      <c r="AS15" s="2" t="str">
        <f>IF(OR('A créer'!D15="Oui",LEN('A créer'!D15)=0),"","*Aé")</f>
        <v/>
      </c>
      <c r="AT15" s="6" t="str">
        <f>IF(OR('A créer'!D15="Oui",LEN('A créer'!D15)=0),"",CONCATENATE('A créer'!B15,'A créer'!A15))</f>
        <v/>
      </c>
      <c r="AU15" s="2" t="str">
        <f>IF(OR('A créer'!D15="Oui",LEN('A créer'!D15)=0),"","Tab")</f>
        <v/>
      </c>
      <c r="AV15" s="2" t="str">
        <f>IF(OR('A créer'!D15="Oui",LEN('A créer'!D15)=0),"","*DN")</f>
        <v/>
      </c>
      <c r="AW15" s="6" t="str">
        <f>IF(OR('A créer'!D15="Oui",LEN('A créer'!D15)=0),"",CONCATENATE("XXX",'A créer'!A15))</f>
        <v/>
      </c>
      <c r="AX15" s="2" t="str">
        <f>IF(OR('A créer'!D15="Oui",LEN('A créer'!D15)=0),"","Tab")</f>
        <v/>
      </c>
      <c r="AY15" s="2" t="str">
        <f>IF(OR('A créer'!D15="Oui",LEN('A créer'!D15)=0),"","*SAVE")</f>
        <v/>
      </c>
      <c r="AZ15" s="2" t="str">
        <f>IF(OR('A créer'!D15="Oui",LEN('A créer'!D15)=0),"","*ML(751,142)")</f>
        <v/>
      </c>
    </row>
    <row r="16" spans="1:52" x14ac:dyDescent="0.35">
      <c r="A16" s="2" t="str">
        <f>IF(OR('A créer'!D16="Oui",LEN('A créer'!D16)=0),IF(AND(LEN('A créer'!B16)&gt;0,'A créer'!B16&lt;&gt;'A créer'!H16)=TRUE,"*FN",""),"*FN")</f>
        <v/>
      </c>
      <c r="B16" s="6" t="str">
        <f>IF(OR('A créer'!D16="Oui",LEN('A créer'!D16)=0),IF(LEN('A créer'!B16)&gt;0,IF('A créer'!B16='A créer'!H16,"",CONCATENATE('A créer'!B16,'A créer'!A16)),""),CONCATENATE('A créer'!B16,'A créer'!A16))</f>
        <v/>
      </c>
      <c r="C16" s="2" t="str">
        <f>IF(OR('A créer'!D16="Oui",LEN('A créer'!D16)=0),IF(AND(LEN('A créer'!B16)&gt;0,'A créer'!B16&lt;&gt;'A créer'!H16)=TRUE,"Tab",""),"Tab")</f>
        <v/>
      </c>
      <c r="D16" s="6" t="str">
        <f>IF(OR('A créer'!D16="Oui",LEN('A créer'!D16)=0),IF(AND(LEN('A créer'!B16)&gt;0,'A créer'!B16&lt;&gt;'A créer'!H16)=TRUE,CONCATENATE('A créer'!B16,'A créer'!A16,"-",'A créer'!C16),""),CONCATENATE('A créer'!B16,'A créer'!A16,"-",'A créer'!C16))</f>
        <v/>
      </c>
      <c r="E16" s="2" t="str">
        <f>IF(OR('A créer'!D16="Oui",LEN('A créer'!D16)=0),IF(AND(LEN('A créer'!B16)&gt;0,'A créer'!B16&lt;&gt;'A créer'!H16)=TRUE,"Tab 4",""),"Tab 4")</f>
        <v/>
      </c>
      <c r="F16" s="2" t="str">
        <f>IF(OR('A créer'!D16="Oui",LEN('A créer'!D16)=0),IF(AND(LEN('A créer'!B16)&gt;0,'A créer'!B16&lt;&gt;'A créer'!H16)=TRUE,"Tab",""),"Tab")</f>
        <v/>
      </c>
      <c r="G16" s="2" t="str">
        <f>IF(OR('A créer'!D16="Oui",LEN('A créer'!D16)=0),IF(AND(LEN('A créer'!B16)&gt;0,'A créer'!B16&lt;&gt;'A créer'!H16)=TRUE,"Tab",""),"Tab")</f>
        <v/>
      </c>
      <c r="H16" s="2" t="str">
        <f>IF(OR('A créer'!D16="Oui",LEN('A créer'!D16)=0),IF(AND(LEN('A créer'!B16)&gt;0,'A créer'!B16&lt;&gt;'A créer'!H16)=TRUE,"ENT",""),"ENT")</f>
        <v/>
      </c>
      <c r="I16" s="6">
        <f>IF('A créer'!D16="Oui",IF(AND(LEN('A créer'!B16)&gt;0,'A créer'!B16&lt;&gt;'A créer'!H16)=TRUE,'A créer'!G16,""),'A créer'!G16)</f>
        <v>0</v>
      </c>
      <c r="J16" s="2" t="str">
        <f>IF(OR('A créer'!D16="Oui",LEN('A créer'!D16)=0),IF(AND(LEN('A créer'!B16)&gt;0,'A créer'!B16&lt;&gt;'A créer'!H16)=TRUE,"Tab",""),"Tab")</f>
        <v/>
      </c>
      <c r="K16" s="6" t="str">
        <f>IF(OR('A créer'!D16="Oui",LEN('A créer'!D16)=0),IF(AND(LEN('A créer'!B16)&gt;0,'A créer'!B16&lt;&gt;'A créer'!H16)=TRUE,"Oui",""),"Oui")</f>
        <v/>
      </c>
      <c r="L16" s="2" t="str">
        <f>IF(OR('A créer'!D16="Oui",LEN('A créer'!D16)=0),IF(AND(LEN('A créer'!B16)&gt;0,'A créer'!B16&lt;&gt;'A créer'!H16)=TRUE,"Tab",""),"Tab")</f>
        <v/>
      </c>
      <c r="M16" s="6" t="str">
        <f>IF(OR('A créer'!D16="Oui",LEN('A créer'!D16)=0),IF(AND(LEN('A créer'!B16)&gt;0,'A créer'!B16&lt;&gt;'A créer'!H16)=TRUE,'A créer'!E16,""),'A créer'!E16)</f>
        <v/>
      </c>
      <c r="N16" s="2" t="str">
        <f>IF(OR('A créer'!D16="Oui",LEN('A créer'!D16)=0),IF(AND(LEN('A créer'!B16)&gt;0,'A créer'!B16&lt;&gt;'A créer'!H16)=TRUE,"ENT",""),"ENT")</f>
        <v/>
      </c>
      <c r="O16" s="2" t="str">
        <f>IF(OR('A créer'!D16="Oui",LEN('A créer'!D16)=0),IF(AND(LEN('A créer'!B16)&gt;0,'A créer'!B16&lt;&gt;'A créer'!H16)=TRUE,"*SAVE",""),"*SAVE")</f>
        <v/>
      </c>
      <c r="P16" s="2" t="str">
        <f>IF(OR('A créer'!D16="Oui",LEN('A créer'!D16)=0),"","*FN")</f>
        <v/>
      </c>
      <c r="Q16" s="6" t="str">
        <f>IF(OR('A créer'!D16="Oui",LEN('A créer'!D16)=0),"",CONCATENATE("XXX",'A créer'!A16))</f>
        <v/>
      </c>
      <c r="R16" s="2" t="str">
        <f>IF(OR('A créer'!D16="Oui",LEN('A créer'!D16)=0),"","Tab")</f>
        <v/>
      </c>
      <c r="S16" s="6" t="str">
        <f>IF(OR('A créer'!D16="Oui",LEN('A créer'!D16)=0),"",CONCATENATE("XXX-",'A créer'!C16))</f>
        <v/>
      </c>
      <c r="T16" s="2" t="str">
        <f>IF(OR('A créer'!D16="Oui",LEN('A créer'!D16)=0),"","Tab 4")</f>
        <v/>
      </c>
      <c r="U16" s="2" t="str">
        <f>IF(OR('A créer'!D16="Oui",LEN('A créer'!D16)=0),"","Tab")</f>
        <v/>
      </c>
      <c r="V16" s="2" t="str">
        <f>IF(OR('A créer'!D16="Oui",LEN('A créer'!D16)=0),"","Tab")</f>
        <v/>
      </c>
      <c r="W16" s="2" t="str">
        <f>IF(OR('A créer'!D16="Oui",LEN('A créer'!D16)=0),"","ENT")</f>
        <v/>
      </c>
      <c r="X16" s="6" t="str">
        <f>IF(OR('A créer'!D16="Oui",LEN('A créer'!D16)=0),"",'A créer'!G16)</f>
        <v/>
      </c>
      <c r="Y16" s="2" t="str">
        <f>IF(OR('A créer'!D16="Oui",LEN('A créer'!D16)=0),"","Tab")</f>
        <v/>
      </c>
      <c r="Z16" s="6" t="str">
        <f>IF(OR('A créer'!D16="Oui",LEN('A créer'!D16)=0),"","Oui")</f>
        <v/>
      </c>
      <c r="AA16" s="2" t="str">
        <f>IF(OR('A créer'!D16="Oui",LEN('A créer'!D16)=0),"","Tab")</f>
        <v/>
      </c>
      <c r="AB16" s="6" t="str">
        <f>IF(OR('A créer'!D16="Oui",LEN('A créer'!D16)=0),"","NON")</f>
        <v/>
      </c>
      <c r="AC16" s="2" t="str">
        <f>IF(OR('A créer'!D16="Oui",LEN('A créer'!D16)=0),"","ENT")</f>
        <v/>
      </c>
      <c r="AD16" s="2" t="str">
        <f>IF(OR('A créer'!D16="Oui",LEN('A créer'!D16)=0),"","*SAVE")</f>
        <v/>
      </c>
      <c r="AE16" s="2" t="str">
        <f>IF(OR('A créer'!D16="Oui",LEN('A créer'!D16)=0),"","*FN")</f>
        <v/>
      </c>
      <c r="AF16" s="6" t="str">
        <f>IF(OR('A créer'!D16="Oui",LEN('A créer'!D16)=0),"",'A créer'!A16)</f>
        <v/>
      </c>
      <c r="AG16" s="2" t="str">
        <f>IF(OR('A créer'!D16="Oui",LEN('A créer'!D16)=0),"","Tab")</f>
        <v/>
      </c>
      <c r="AH16" s="6" t="str">
        <f>IF(OR('A créer'!D16="Oui",LEN('A créer'!D16)=0),"",'A créer'!C16)</f>
        <v/>
      </c>
      <c r="AI16" s="2" t="str">
        <f>IF(OR('A créer'!D16="Oui",LEN('A créer'!D16)=0),"","Tab 4")</f>
        <v/>
      </c>
      <c r="AJ16" s="2" t="str">
        <f>IF(OR('A créer'!D16="Oui",LEN('A créer'!D16)=0),"","*SB")</f>
        <v/>
      </c>
      <c r="AK16" s="2" t="str">
        <f>IF(OR('A créer'!D16="Oui",LEN('A créer'!D16)=0),"","Tab")</f>
        <v/>
      </c>
      <c r="AL16" s="6" t="str">
        <f>IF(OR('A créer'!D16="Oui",LEN('A créer'!D16)=0),"","InterCoSte")</f>
        <v/>
      </c>
      <c r="AM16" s="2" t="str">
        <f>IF(OR('A créer'!D16="Oui",LEN('A créer'!D16)=0),"","Tab")</f>
        <v/>
      </c>
      <c r="AN16" s="2" t="str">
        <f>IF(OR('A créer'!D16="Oui",LEN('A créer'!D16)=0),"","Tab")</f>
        <v/>
      </c>
      <c r="AO16" s="2" t="str">
        <f>IF(OR('A créer'!D16="Oui",LEN('A créer'!D16)=0),"","ENT")</f>
        <v/>
      </c>
      <c r="AP16" s="2" t="str">
        <f>IF(OR('A créer'!D16="Oui",LEN('A créer'!D16)=0),"","ENT")</f>
        <v/>
      </c>
      <c r="AQ16" s="2" t="str">
        <f>IF(OR('A créer'!D16="Oui",LEN('A créer'!D16)=0),"","*SAVE")</f>
        <v/>
      </c>
      <c r="AR16" s="2" t="str">
        <f>IF(OR('A créer'!D16="Oui",LEN('A créer'!D16)=0),"","*UP")</f>
        <v/>
      </c>
      <c r="AS16" s="2" t="str">
        <f>IF(OR('A créer'!D16="Oui",LEN('A créer'!D16)=0),"","*Aé")</f>
        <v/>
      </c>
      <c r="AT16" s="6" t="str">
        <f>IF(OR('A créer'!D16="Oui",LEN('A créer'!D16)=0),"",CONCATENATE('A créer'!B16,'A créer'!A16))</f>
        <v/>
      </c>
      <c r="AU16" s="2" t="str">
        <f>IF(OR('A créer'!D16="Oui",LEN('A créer'!D16)=0),"","Tab")</f>
        <v/>
      </c>
      <c r="AV16" s="2" t="str">
        <f>IF(OR('A créer'!D16="Oui",LEN('A créer'!D16)=0),"","*DN")</f>
        <v/>
      </c>
      <c r="AW16" s="6" t="str">
        <f>IF(OR('A créer'!D16="Oui",LEN('A créer'!D16)=0),"",CONCATENATE("XXX",'A créer'!A16))</f>
        <v/>
      </c>
      <c r="AX16" s="2" t="str">
        <f>IF(OR('A créer'!D16="Oui",LEN('A créer'!D16)=0),"","Tab")</f>
        <v/>
      </c>
      <c r="AY16" s="2" t="str">
        <f>IF(OR('A créer'!D16="Oui",LEN('A créer'!D16)=0),"","*SAVE")</f>
        <v/>
      </c>
      <c r="AZ16" s="2" t="str">
        <f>IF(OR('A créer'!D16="Oui",LEN('A créer'!D16)=0),"","*ML(751,142)")</f>
        <v/>
      </c>
    </row>
    <row r="17" spans="1:52" x14ac:dyDescent="0.35">
      <c r="A17" s="2" t="str">
        <f>IF(OR('A créer'!D17="Oui",LEN('A créer'!D17)=0),IF(AND(LEN('A créer'!B17)&gt;0,'A créer'!B17&lt;&gt;'A créer'!H17)=TRUE,"*FN",""),"*FN")</f>
        <v/>
      </c>
      <c r="B17" s="6" t="str">
        <f>IF(OR('A créer'!D17="Oui",LEN('A créer'!D17)=0),IF(LEN('A créer'!B17)&gt;0,IF('A créer'!B17='A créer'!H17,"",CONCATENATE('A créer'!B17,'A créer'!A17)),""),CONCATENATE('A créer'!B17,'A créer'!A17))</f>
        <v/>
      </c>
      <c r="C17" s="2" t="str">
        <f>IF(OR('A créer'!D17="Oui",LEN('A créer'!D17)=0),IF(AND(LEN('A créer'!B17)&gt;0,'A créer'!B17&lt;&gt;'A créer'!H17)=TRUE,"Tab",""),"Tab")</f>
        <v/>
      </c>
      <c r="D17" s="6" t="str">
        <f>IF(OR('A créer'!D17="Oui",LEN('A créer'!D17)=0),IF(AND(LEN('A créer'!B17)&gt;0,'A créer'!B17&lt;&gt;'A créer'!H17)=TRUE,CONCATENATE('A créer'!B17,'A créer'!A17,"-",'A créer'!C17),""),CONCATENATE('A créer'!B17,'A créer'!A17,"-",'A créer'!C17))</f>
        <v/>
      </c>
      <c r="E17" s="2" t="str">
        <f>IF(OR('A créer'!D17="Oui",LEN('A créer'!D17)=0),IF(AND(LEN('A créer'!B17)&gt;0,'A créer'!B17&lt;&gt;'A créer'!H17)=TRUE,"Tab 4",""),"Tab 4")</f>
        <v/>
      </c>
      <c r="F17" s="2" t="str">
        <f>IF(OR('A créer'!D17="Oui",LEN('A créer'!D17)=0),IF(AND(LEN('A créer'!B17)&gt;0,'A créer'!B17&lt;&gt;'A créer'!H17)=TRUE,"Tab",""),"Tab")</f>
        <v/>
      </c>
      <c r="G17" s="2" t="str">
        <f>IF(OR('A créer'!D17="Oui",LEN('A créer'!D17)=0),IF(AND(LEN('A créer'!B17)&gt;0,'A créer'!B17&lt;&gt;'A créer'!H17)=TRUE,"Tab",""),"Tab")</f>
        <v/>
      </c>
      <c r="H17" s="2" t="str">
        <f>IF(OR('A créer'!D17="Oui",LEN('A créer'!D17)=0),IF(AND(LEN('A créer'!B17)&gt;0,'A créer'!B17&lt;&gt;'A créer'!H17)=TRUE,"ENT",""),"ENT")</f>
        <v/>
      </c>
      <c r="I17" s="6">
        <f>IF('A créer'!D17="Oui",IF(AND(LEN('A créer'!B17)&gt;0,'A créer'!B17&lt;&gt;'A créer'!H17)=TRUE,'A créer'!G17,""),'A créer'!G17)</f>
        <v>0</v>
      </c>
      <c r="J17" s="2" t="str">
        <f>IF(OR('A créer'!D17="Oui",LEN('A créer'!D17)=0),IF(AND(LEN('A créer'!B17)&gt;0,'A créer'!B17&lt;&gt;'A créer'!H17)=TRUE,"Tab",""),"Tab")</f>
        <v/>
      </c>
      <c r="K17" s="6" t="str">
        <f>IF(OR('A créer'!D17="Oui",LEN('A créer'!D17)=0),IF(AND(LEN('A créer'!B17)&gt;0,'A créer'!B17&lt;&gt;'A créer'!H17)=TRUE,"Oui",""),"Oui")</f>
        <v/>
      </c>
      <c r="L17" s="2" t="str">
        <f>IF(OR('A créer'!D17="Oui",LEN('A créer'!D17)=0),IF(AND(LEN('A créer'!B17)&gt;0,'A créer'!B17&lt;&gt;'A créer'!H17)=TRUE,"Tab",""),"Tab")</f>
        <v/>
      </c>
      <c r="M17" s="6" t="str">
        <f>IF(OR('A créer'!D17="Oui",LEN('A créer'!D17)=0),IF(AND(LEN('A créer'!B17)&gt;0,'A créer'!B17&lt;&gt;'A créer'!H17)=TRUE,'A créer'!E17,""),'A créer'!E17)</f>
        <v/>
      </c>
      <c r="N17" s="2" t="str">
        <f>IF(OR('A créer'!D17="Oui",LEN('A créer'!D17)=0),IF(AND(LEN('A créer'!B17)&gt;0,'A créer'!B17&lt;&gt;'A créer'!H17)=TRUE,"ENT",""),"ENT")</f>
        <v/>
      </c>
      <c r="O17" s="2" t="str">
        <f>IF(OR('A créer'!D17="Oui",LEN('A créer'!D17)=0),IF(AND(LEN('A créer'!B17)&gt;0,'A créer'!B17&lt;&gt;'A créer'!H17)=TRUE,"*SAVE",""),"*SAVE")</f>
        <v/>
      </c>
      <c r="P17" s="2" t="str">
        <f>IF(OR('A créer'!D17="Oui",LEN('A créer'!D17)=0),"","*FN")</f>
        <v/>
      </c>
      <c r="Q17" s="6" t="str">
        <f>IF(OR('A créer'!D17="Oui",LEN('A créer'!D17)=0),"",CONCATENATE("XXX",'A créer'!A17))</f>
        <v/>
      </c>
      <c r="R17" s="2" t="str">
        <f>IF(OR('A créer'!D17="Oui",LEN('A créer'!D17)=0),"","Tab")</f>
        <v/>
      </c>
      <c r="S17" s="6" t="str">
        <f>IF(OR('A créer'!D17="Oui",LEN('A créer'!D17)=0),"",CONCATENATE("XXX-",'A créer'!C17))</f>
        <v/>
      </c>
      <c r="T17" s="2" t="str">
        <f>IF(OR('A créer'!D17="Oui",LEN('A créer'!D17)=0),"","Tab 4")</f>
        <v/>
      </c>
      <c r="U17" s="2" t="str">
        <f>IF(OR('A créer'!D17="Oui",LEN('A créer'!D17)=0),"","Tab")</f>
        <v/>
      </c>
      <c r="V17" s="2" t="str">
        <f>IF(OR('A créer'!D17="Oui",LEN('A créer'!D17)=0),"","Tab")</f>
        <v/>
      </c>
      <c r="W17" s="2" t="str">
        <f>IF(OR('A créer'!D17="Oui",LEN('A créer'!D17)=0),"","ENT")</f>
        <v/>
      </c>
      <c r="X17" s="6" t="str">
        <f>IF(OR('A créer'!D17="Oui",LEN('A créer'!D17)=0),"",'A créer'!G17)</f>
        <v/>
      </c>
      <c r="Y17" s="2" t="str">
        <f>IF(OR('A créer'!D17="Oui",LEN('A créer'!D17)=0),"","Tab")</f>
        <v/>
      </c>
      <c r="Z17" s="6" t="str">
        <f>IF(OR('A créer'!D17="Oui",LEN('A créer'!D17)=0),"","Oui")</f>
        <v/>
      </c>
      <c r="AA17" s="2" t="str">
        <f>IF(OR('A créer'!D17="Oui",LEN('A créer'!D17)=0),"","Tab")</f>
        <v/>
      </c>
      <c r="AB17" s="6" t="str">
        <f>IF(OR('A créer'!D17="Oui",LEN('A créer'!D17)=0),"","NON")</f>
        <v/>
      </c>
      <c r="AC17" s="2" t="str">
        <f>IF(OR('A créer'!D17="Oui",LEN('A créer'!D17)=0),"","ENT")</f>
        <v/>
      </c>
      <c r="AD17" s="2" t="str">
        <f>IF(OR('A créer'!D17="Oui",LEN('A créer'!D17)=0),"","*SAVE")</f>
        <v/>
      </c>
      <c r="AE17" s="2" t="str">
        <f>IF(OR('A créer'!D17="Oui",LEN('A créer'!D17)=0),"","*FN")</f>
        <v/>
      </c>
      <c r="AF17" s="6" t="str">
        <f>IF(OR('A créer'!D17="Oui",LEN('A créer'!D17)=0),"",'A créer'!A17)</f>
        <v/>
      </c>
      <c r="AG17" s="2" t="str">
        <f>IF(OR('A créer'!D17="Oui",LEN('A créer'!D17)=0),"","Tab")</f>
        <v/>
      </c>
      <c r="AH17" s="6" t="str">
        <f>IF(OR('A créer'!D17="Oui",LEN('A créer'!D17)=0),"",'A créer'!C17)</f>
        <v/>
      </c>
      <c r="AI17" s="2" t="str">
        <f>IF(OR('A créer'!D17="Oui",LEN('A créer'!D17)=0),"","Tab 4")</f>
        <v/>
      </c>
      <c r="AJ17" s="2" t="str">
        <f>IF(OR('A créer'!D17="Oui",LEN('A créer'!D17)=0),"","*SB")</f>
        <v/>
      </c>
      <c r="AK17" s="2" t="str">
        <f>IF(OR('A créer'!D17="Oui",LEN('A créer'!D17)=0),"","Tab")</f>
        <v/>
      </c>
      <c r="AL17" s="6" t="str">
        <f>IF(OR('A créer'!D17="Oui",LEN('A créer'!D17)=0),"","InterCoSte")</f>
        <v/>
      </c>
      <c r="AM17" s="2" t="str">
        <f>IF(OR('A créer'!D17="Oui",LEN('A créer'!D17)=0),"","Tab")</f>
        <v/>
      </c>
      <c r="AN17" s="2" t="str">
        <f>IF(OR('A créer'!D17="Oui",LEN('A créer'!D17)=0),"","Tab")</f>
        <v/>
      </c>
      <c r="AO17" s="2" t="str">
        <f>IF(OR('A créer'!D17="Oui",LEN('A créer'!D17)=0),"","ENT")</f>
        <v/>
      </c>
      <c r="AP17" s="2" t="str">
        <f>IF(OR('A créer'!D17="Oui",LEN('A créer'!D17)=0),"","ENT")</f>
        <v/>
      </c>
      <c r="AQ17" s="2" t="str">
        <f>IF(OR('A créer'!D17="Oui",LEN('A créer'!D17)=0),"","*SAVE")</f>
        <v/>
      </c>
      <c r="AR17" s="2" t="str">
        <f>IF(OR('A créer'!D17="Oui",LEN('A créer'!D17)=0),"","*UP")</f>
        <v/>
      </c>
      <c r="AS17" s="2" t="str">
        <f>IF(OR('A créer'!D17="Oui",LEN('A créer'!D17)=0),"","*Aé")</f>
        <v/>
      </c>
      <c r="AT17" s="6" t="str">
        <f>IF(OR('A créer'!D17="Oui",LEN('A créer'!D17)=0),"",CONCATENATE('A créer'!B17,'A créer'!A17))</f>
        <v/>
      </c>
      <c r="AU17" s="2" t="str">
        <f>IF(OR('A créer'!D17="Oui",LEN('A créer'!D17)=0),"","Tab")</f>
        <v/>
      </c>
      <c r="AV17" s="2" t="str">
        <f>IF(OR('A créer'!D17="Oui",LEN('A créer'!D17)=0),"","*DN")</f>
        <v/>
      </c>
      <c r="AW17" s="6" t="str">
        <f>IF(OR('A créer'!D17="Oui",LEN('A créer'!D17)=0),"",CONCATENATE("XXX",'A créer'!A17))</f>
        <v/>
      </c>
      <c r="AX17" s="2" t="str">
        <f>IF(OR('A créer'!D17="Oui",LEN('A créer'!D17)=0),"","Tab")</f>
        <v/>
      </c>
      <c r="AY17" s="2" t="str">
        <f>IF(OR('A créer'!D17="Oui",LEN('A créer'!D17)=0),"","*SAVE")</f>
        <v/>
      </c>
      <c r="AZ17" s="2" t="str">
        <f>IF(OR('A créer'!D17="Oui",LEN('A créer'!D17)=0),"","*ML(751,142)")</f>
        <v/>
      </c>
    </row>
    <row r="18" spans="1:52" x14ac:dyDescent="0.35">
      <c r="A18" s="2" t="str">
        <f>IF(OR('A créer'!D18="Oui",LEN('A créer'!D18)=0),IF(AND(LEN('A créer'!B18)&gt;0,'A créer'!B18&lt;&gt;'A créer'!H18)=TRUE,"*FN",""),"*FN")</f>
        <v/>
      </c>
      <c r="B18" s="6" t="str">
        <f>IF(OR('A créer'!D18="Oui",LEN('A créer'!D18)=0),IF(LEN('A créer'!B18)&gt;0,IF('A créer'!B18='A créer'!H18,"",CONCATENATE('A créer'!B18,'A créer'!A18)),""),CONCATENATE('A créer'!B18,'A créer'!A18))</f>
        <v/>
      </c>
      <c r="C18" s="2" t="str">
        <f>IF(OR('A créer'!D18="Oui",LEN('A créer'!D18)=0),IF(AND(LEN('A créer'!B18)&gt;0,'A créer'!B18&lt;&gt;'A créer'!H18)=TRUE,"Tab",""),"Tab")</f>
        <v/>
      </c>
      <c r="D18" s="6" t="str">
        <f>IF(OR('A créer'!D18="Oui",LEN('A créer'!D18)=0),IF(AND(LEN('A créer'!B18)&gt;0,'A créer'!B18&lt;&gt;'A créer'!H18)=TRUE,CONCATENATE('A créer'!B18,'A créer'!A18,"-",'A créer'!C18),""),CONCATENATE('A créer'!B18,'A créer'!A18,"-",'A créer'!C18))</f>
        <v/>
      </c>
      <c r="E18" s="2" t="str">
        <f>IF(OR('A créer'!D18="Oui",LEN('A créer'!D18)=0),IF(AND(LEN('A créer'!B18)&gt;0,'A créer'!B18&lt;&gt;'A créer'!H18)=TRUE,"Tab 4",""),"Tab 4")</f>
        <v/>
      </c>
      <c r="F18" s="2" t="str">
        <f>IF(OR('A créer'!D18="Oui",LEN('A créer'!D18)=0),IF(AND(LEN('A créer'!B18)&gt;0,'A créer'!B18&lt;&gt;'A créer'!H18)=TRUE,"Tab",""),"Tab")</f>
        <v/>
      </c>
      <c r="G18" s="2" t="str">
        <f>IF(OR('A créer'!D18="Oui",LEN('A créer'!D18)=0),IF(AND(LEN('A créer'!B18)&gt;0,'A créer'!B18&lt;&gt;'A créer'!H18)=TRUE,"Tab",""),"Tab")</f>
        <v/>
      </c>
      <c r="H18" s="2" t="str">
        <f>IF(OR('A créer'!D18="Oui",LEN('A créer'!D18)=0),IF(AND(LEN('A créer'!B18)&gt;0,'A créer'!B18&lt;&gt;'A créer'!H18)=TRUE,"ENT",""),"ENT")</f>
        <v/>
      </c>
      <c r="I18" s="6">
        <f>IF('A créer'!D18="Oui",IF(AND(LEN('A créer'!B18)&gt;0,'A créer'!B18&lt;&gt;'A créer'!H18)=TRUE,'A créer'!G18,""),'A créer'!G18)</f>
        <v>0</v>
      </c>
      <c r="J18" s="2" t="str">
        <f>IF(OR('A créer'!D18="Oui",LEN('A créer'!D18)=0),IF(AND(LEN('A créer'!B18)&gt;0,'A créer'!B18&lt;&gt;'A créer'!H18)=TRUE,"Tab",""),"Tab")</f>
        <v/>
      </c>
      <c r="K18" s="6" t="str">
        <f>IF(OR('A créer'!D18="Oui",LEN('A créer'!D18)=0),IF(AND(LEN('A créer'!B18)&gt;0,'A créer'!B18&lt;&gt;'A créer'!H18)=TRUE,"Oui",""),"Oui")</f>
        <v/>
      </c>
      <c r="L18" s="2" t="str">
        <f>IF(OR('A créer'!D18="Oui",LEN('A créer'!D18)=0),IF(AND(LEN('A créer'!B18)&gt;0,'A créer'!B18&lt;&gt;'A créer'!H18)=TRUE,"Tab",""),"Tab")</f>
        <v/>
      </c>
      <c r="M18" s="6" t="str">
        <f>IF(OR('A créer'!D18="Oui",LEN('A créer'!D18)=0),IF(AND(LEN('A créer'!B18)&gt;0,'A créer'!B18&lt;&gt;'A créer'!H18)=TRUE,'A créer'!E18,""),'A créer'!E18)</f>
        <v/>
      </c>
      <c r="N18" s="2" t="str">
        <f>IF(OR('A créer'!D18="Oui",LEN('A créer'!D18)=0),IF(AND(LEN('A créer'!B18)&gt;0,'A créer'!B18&lt;&gt;'A créer'!H18)=TRUE,"ENT",""),"ENT")</f>
        <v/>
      </c>
      <c r="O18" s="2" t="str">
        <f>IF(OR('A créer'!D18="Oui",LEN('A créer'!D18)=0),IF(AND(LEN('A créer'!B18)&gt;0,'A créer'!B18&lt;&gt;'A créer'!H18)=TRUE,"*SAVE",""),"*SAVE")</f>
        <v/>
      </c>
      <c r="P18" s="2" t="str">
        <f>IF(OR('A créer'!D18="Oui",LEN('A créer'!D18)=0),"","*FN")</f>
        <v/>
      </c>
      <c r="Q18" s="6" t="str">
        <f>IF(OR('A créer'!D18="Oui",LEN('A créer'!D18)=0),"",CONCATENATE("XXX",'A créer'!A18))</f>
        <v/>
      </c>
      <c r="R18" s="2" t="str">
        <f>IF(OR('A créer'!D18="Oui",LEN('A créer'!D18)=0),"","Tab")</f>
        <v/>
      </c>
      <c r="S18" s="6" t="str">
        <f>IF(OR('A créer'!D18="Oui",LEN('A créer'!D18)=0),"",CONCATENATE("XXX-",'A créer'!C18))</f>
        <v/>
      </c>
      <c r="T18" s="2" t="str">
        <f>IF(OR('A créer'!D18="Oui",LEN('A créer'!D18)=0),"","Tab 4")</f>
        <v/>
      </c>
      <c r="U18" s="2" t="str">
        <f>IF(OR('A créer'!D18="Oui",LEN('A créer'!D18)=0),"","Tab")</f>
        <v/>
      </c>
      <c r="V18" s="2" t="str">
        <f>IF(OR('A créer'!D18="Oui",LEN('A créer'!D18)=0),"","Tab")</f>
        <v/>
      </c>
      <c r="W18" s="2" t="str">
        <f>IF(OR('A créer'!D18="Oui",LEN('A créer'!D18)=0),"","ENT")</f>
        <v/>
      </c>
      <c r="X18" s="6" t="str">
        <f>IF(OR('A créer'!D18="Oui",LEN('A créer'!D18)=0),"",'A créer'!G18)</f>
        <v/>
      </c>
      <c r="Y18" s="2" t="str">
        <f>IF(OR('A créer'!D18="Oui",LEN('A créer'!D18)=0),"","Tab")</f>
        <v/>
      </c>
      <c r="Z18" s="6" t="str">
        <f>IF(OR('A créer'!D18="Oui",LEN('A créer'!D18)=0),"","Oui")</f>
        <v/>
      </c>
      <c r="AA18" s="2" t="str">
        <f>IF(OR('A créer'!D18="Oui",LEN('A créer'!D18)=0),"","Tab")</f>
        <v/>
      </c>
      <c r="AB18" s="6" t="str">
        <f>IF(OR('A créer'!D18="Oui",LEN('A créer'!D18)=0),"","NON")</f>
        <v/>
      </c>
      <c r="AC18" s="2" t="str">
        <f>IF(OR('A créer'!D18="Oui",LEN('A créer'!D18)=0),"","ENT")</f>
        <v/>
      </c>
      <c r="AD18" s="2" t="str">
        <f>IF(OR('A créer'!D18="Oui",LEN('A créer'!D18)=0),"","*SAVE")</f>
        <v/>
      </c>
      <c r="AE18" s="2" t="str">
        <f>IF(OR('A créer'!D18="Oui",LEN('A créer'!D18)=0),"","*FN")</f>
        <v/>
      </c>
      <c r="AF18" s="6" t="str">
        <f>IF(OR('A créer'!D18="Oui",LEN('A créer'!D18)=0),"",'A créer'!A18)</f>
        <v/>
      </c>
      <c r="AG18" s="2" t="str">
        <f>IF(OR('A créer'!D18="Oui",LEN('A créer'!D18)=0),"","Tab")</f>
        <v/>
      </c>
      <c r="AH18" s="6" t="str">
        <f>IF(OR('A créer'!D18="Oui",LEN('A créer'!D18)=0),"",'A créer'!C18)</f>
        <v/>
      </c>
      <c r="AI18" s="2" t="str">
        <f>IF(OR('A créer'!D18="Oui",LEN('A créer'!D18)=0),"","Tab 4")</f>
        <v/>
      </c>
      <c r="AJ18" s="2" t="str">
        <f>IF(OR('A créer'!D18="Oui",LEN('A créer'!D18)=0),"","*SB")</f>
        <v/>
      </c>
      <c r="AK18" s="2" t="str">
        <f>IF(OR('A créer'!D18="Oui",LEN('A créer'!D18)=0),"","Tab")</f>
        <v/>
      </c>
      <c r="AL18" s="6" t="str">
        <f>IF(OR('A créer'!D18="Oui",LEN('A créer'!D18)=0),"","InterCoSte")</f>
        <v/>
      </c>
      <c r="AM18" s="2" t="str">
        <f>IF(OR('A créer'!D18="Oui",LEN('A créer'!D18)=0),"","Tab")</f>
        <v/>
      </c>
      <c r="AN18" s="2" t="str">
        <f>IF(OR('A créer'!D18="Oui",LEN('A créer'!D18)=0),"","Tab")</f>
        <v/>
      </c>
      <c r="AO18" s="2" t="str">
        <f>IF(OR('A créer'!D18="Oui",LEN('A créer'!D18)=0),"","ENT")</f>
        <v/>
      </c>
      <c r="AP18" s="2" t="str">
        <f>IF(OR('A créer'!D18="Oui",LEN('A créer'!D18)=0),"","ENT")</f>
        <v/>
      </c>
      <c r="AQ18" s="2" t="str">
        <f>IF(OR('A créer'!D18="Oui",LEN('A créer'!D18)=0),"","*SAVE")</f>
        <v/>
      </c>
      <c r="AR18" s="2" t="str">
        <f>IF(OR('A créer'!D18="Oui",LEN('A créer'!D18)=0),"","*UP")</f>
        <v/>
      </c>
      <c r="AS18" s="2" t="str">
        <f>IF(OR('A créer'!D18="Oui",LEN('A créer'!D18)=0),"","*Aé")</f>
        <v/>
      </c>
      <c r="AT18" s="6" t="str">
        <f>IF(OR('A créer'!D18="Oui",LEN('A créer'!D18)=0),"",CONCATENATE('A créer'!B18,'A créer'!A18))</f>
        <v/>
      </c>
      <c r="AU18" s="2" t="str">
        <f>IF(OR('A créer'!D18="Oui",LEN('A créer'!D18)=0),"","Tab")</f>
        <v/>
      </c>
      <c r="AV18" s="2" t="str">
        <f>IF(OR('A créer'!D18="Oui",LEN('A créer'!D18)=0),"","*DN")</f>
        <v/>
      </c>
      <c r="AW18" s="6" t="str">
        <f>IF(OR('A créer'!D18="Oui",LEN('A créer'!D18)=0),"",CONCATENATE("XXX",'A créer'!A18))</f>
        <v/>
      </c>
      <c r="AX18" s="2" t="str">
        <f>IF(OR('A créer'!D18="Oui",LEN('A créer'!D18)=0),"","Tab")</f>
        <v/>
      </c>
      <c r="AY18" s="2" t="str">
        <f>IF(OR('A créer'!D18="Oui",LEN('A créer'!D18)=0),"","*SAVE")</f>
        <v/>
      </c>
      <c r="AZ18" s="2" t="str">
        <f>IF(OR('A créer'!D18="Oui",LEN('A créer'!D18)=0),"","*ML(751,142)")</f>
        <v/>
      </c>
    </row>
    <row r="19" spans="1:52" x14ac:dyDescent="0.35">
      <c r="A19" s="2" t="str">
        <f>IF(OR('A créer'!D19="Oui",LEN('A créer'!D19)=0),IF(AND(LEN('A créer'!B19)&gt;0,'A créer'!B19&lt;&gt;'A créer'!H19)=TRUE,"*FN",""),"*FN")</f>
        <v/>
      </c>
      <c r="B19" s="6" t="str">
        <f>IF(OR('A créer'!D19="Oui",LEN('A créer'!D19)=0),IF(LEN('A créer'!B19)&gt;0,IF('A créer'!B19='A créer'!H19,"",CONCATENATE('A créer'!B19,'A créer'!A19)),""),CONCATENATE('A créer'!B19,'A créer'!A19))</f>
        <v/>
      </c>
      <c r="C19" s="2" t="str">
        <f>IF(OR('A créer'!D19="Oui",LEN('A créer'!D19)=0),IF(AND(LEN('A créer'!B19)&gt;0,'A créer'!B19&lt;&gt;'A créer'!H19)=TRUE,"Tab",""),"Tab")</f>
        <v/>
      </c>
      <c r="D19" s="6" t="str">
        <f>IF(OR('A créer'!D19="Oui",LEN('A créer'!D19)=0),IF(AND(LEN('A créer'!B19)&gt;0,'A créer'!B19&lt;&gt;'A créer'!H19)=TRUE,CONCATENATE('A créer'!B19,'A créer'!A19,"-",'A créer'!C19),""),CONCATENATE('A créer'!B19,'A créer'!A19,"-",'A créer'!C19))</f>
        <v/>
      </c>
      <c r="E19" s="2" t="str">
        <f>IF(OR('A créer'!D19="Oui",LEN('A créer'!D19)=0),IF(AND(LEN('A créer'!B19)&gt;0,'A créer'!B19&lt;&gt;'A créer'!H19)=TRUE,"Tab 4",""),"Tab 4")</f>
        <v/>
      </c>
      <c r="F19" s="2" t="str">
        <f>IF(OR('A créer'!D19="Oui",LEN('A créer'!D19)=0),IF(AND(LEN('A créer'!B19)&gt;0,'A créer'!B19&lt;&gt;'A créer'!H19)=TRUE,"Tab",""),"Tab")</f>
        <v/>
      </c>
      <c r="G19" s="2" t="str">
        <f>IF(OR('A créer'!D19="Oui",LEN('A créer'!D19)=0),IF(AND(LEN('A créer'!B19)&gt;0,'A créer'!B19&lt;&gt;'A créer'!H19)=TRUE,"Tab",""),"Tab")</f>
        <v/>
      </c>
      <c r="H19" s="2" t="str">
        <f>IF(OR('A créer'!D19="Oui",LEN('A créer'!D19)=0),IF(AND(LEN('A créer'!B19)&gt;0,'A créer'!B19&lt;&gt;'A créer'!H19)=TRUE,"ENT",""),"ENT")</f>
        <v/>
      </c>
      <c r="I19" s="6">
        <f>IF('A créer'!D19="Oui",IF(AND(LEN('A créer'!B19)&gt;0,'A créer'!B19&lt;&gt;'A créer'!H19)=TRUE,'A créer'!G19,""),'A créer'!G19)</f>
        <v>0</v>
      </c>
      <c r="J19" s="2" t="str">
        <f>IF(OR('A créer'!D19="Oui",LEN('A créer'!D19)=0),IF(AND(LEN('A créer'!B19)&gt;0,'A créer'!B19&lt;&gt;'A créer'!H19)=TRUE,"Tab",""),"Tab")</f>
        <v/>
      </c>
      <c r="K19" s="6" t="str">
        <f>IF(OR('A créer'!D19="Oui",LEN('A créer'!D19)=0),IF(AND(LEN('A créer'!B19)&gt;0,'A créer'!B19&lt;&gt;'A créer'!H19)=TRUE,"Oui",""),"Oui")</f>
        <v/>
      </c>
      <c r="L19" s="2" t="str">
        <f>IF(OR('A créer'!D19="Oui",LEN('A créer'!D19)=0),IF(AND(LEN('A créer'!B19)&gt;0,'A créer'!B19&lt;&gt;'A créer'!H19)=TRUE,"Tab",""),"Tab")</f>
        <v/>
      </c>
      <c r="M19" s="6" t="str">
        <f>IF(OR('A créer'!D19="Oui",LEN('A créer'!D19)=0),IF(AND(LEN('A créer'!B19)&gt;0,'A créer'!B19&lt;&gt;'A créer'!H19)=TRUE,'A créer'!E19,""),'A créer'!E19)</f>
        <v/>
      </c>
      <c r="N19" s="2" t="str">
        <f>IF(OR('A créer'!D19="Oui",LEN('A créer'!D19)=0),IF(AND(LEN('A créer'!B19)&gt;0,'A créer'!B19&lt;&gt;'A créer'!H19)=TRUE,"ENT",""),"ENT")</f>
        <v/>
      </c>
      <c r="O19" s="2" t="str">
        <f>IF(OR('A créer'!D19="Oui",LEN('A créer'!D19)=0),IF(AND(LEN('A créer'!B19)&gt;0,'A créer'!B19&lt;&gt;'A créer'!H19)=TRUE,"*SAVE",""),"*SAVE")</f>
        <v/>
      </c>
      <c r="P19" s="2" t="str">
        <f>IF(OR('A créer'!D19="Oui",LEN('A créer'!D19)=0),"","*FN")</f>
        <v/>
      </c>
      <c r="Q19" s="6" t="str">
        <f>IF(OR('A créer'!D19="Oui",LEN('A créer'!D19)=0),"",CONCATENATE("XXX",'A créer'!A19))</f>
        <v/>
      </c>
      <c r="R19" s="2" t="str">
        <f>IF(OR('A créer'!D19="Oui",LEN('A créer'!D19)=0),"","Tab")</f>
        <v/>
      </c>
      <c r="S19" s="6" t="str">
        <f>IF(OR('A créer'!D19="Oui",LEN('A créer'!D19)=0),"",CONCATENATE("XXX-",'A créer'!C19))</f>
        <v/>
      </c>
      <c r="T19" s="2" t="str">
        <f>IF(OR('A créer'!D19="Oui",LEN('A créer'!D19)=0),"","Tab 4")</f>
        <v/>
      </c>
      <c r="U19" s="2" t="str">
        <f>IF(OR('A créer'!D19="Oui",LEN('A créer'!D19)=0),"","Tab")</f>
        <v/>
      </c>
      <c r="V19" s="2" t="str">
        <f>IF(OR('A créer'!D19="Oui",LEN('A créer'!D19)=0),"","Tab")</f>
        <v/>
      </c>
      <c r="W19" s="2" t="str">
        <f>IF(OR('A créer'!D19="Oui",LEN('A créer'!D19)=0),"","ENT")</f>
        <v/>
      </c>
      <c r="X19" s="6" t="str">
        <f>IF(OR('A créer'!D19="Oui",LEN('A créer'!D19)=0),"",'A créer'!G19)</f>
        <v/>
      </c>
      <c r="Y19" s="2" t="str">
        <f>IF(OR('A créer'!D19="Oui",LEN('A créer'!D19)=0),"","Tab")</f>
        <v/>
      </c>
      <c r="Z19" s="6" t="str">
        <f>IF(OR('A créer'!D19="Oui",LEN('A créer'!D19)=0),"","Oui")</f>
        <v/>
      </c>
      <c r="AA19" s="2" t="str">
        <f>IF(OR('A créer'!D19="Oui",LEN('A créer'!D19)=0),"","Tab")</f>
        <v/>
      </c>
      <c r="AB19" s="6" t="str">
        <f>IF(OR('A créer'!D19="Oui",LEN('A créer'!D19)=0),"","NON")</f>
        <v/>
      </c>
      <c r="AC19" s="2" t="str">
        <f>IF(OR('A créer'!D19="Oui",LEN('A créer'!D19)=0),"","ENT")</f>
        <v/>
      </c>
      <c r="AD19" s="2" t="str">
        <f>IF(OR('A créer'!D19="Oui",LEN('A créer'!D19)=0),"","*SAVE")</f>
        <v/>
      </c>
      <c r="AE19" s="2" t="str">
        <f>IF(OR('A créer'!D19="Oui",LEN('A créer'!D19)=0),"","*FN")</f>
        <v/>
      </c>
      <c r="AF19" s="6" t="str">
        <f>IF(OR('A créer'!D19="Oui",LEN('A créer'!D19)=0),"",'A créer'!A19)</f>
        <v/>
      </c>
      <c r="AG19" s="2" t="str">
        <f>IF(OR('A créer'!D19="Oui",LEN('A créer'!D19)=0),"","Tab")</f>
        <v/>
      </c>
      <c r="AH19" s="6" t="str">
        <f>IF(OR('A créer'!D19="Oui",LEN('A créer'!D19)=0),"",'A créer'!C19)</f>
        <v/>
      </c>
      <c r="AI19" s="2" t="str">
        <f>IF(OR('A créer'!D19="Oui",LEN('A créer'!D19)=0),"","Tab 4")</f>
        <v/>
      </c>
      <c r="AJ19" s="2" t="str">
        <f>IF(OR('A créer'!D19="Oui",LEN('A créer'!D19)=0),"","*SB")</f>
        <v/>
      </c>
      <c r="AK19" s="2" t="str">
        <f>IF(OR('A créer'!D19="Oui",LEN('A créer'!D19)=0),"","Tab")</f>
        <v/>
      </c>
      <c r="AL19" s="6" t="str">
        <f>IF(OR('A créer'!D19="Oui",LEN('A créer'!D19)=0),"","InterCoSte")</f>
        <v/>
      </c>
      <c r="AM19" s="2" t="str">
        <f>IF(OR('A créer'!D19="Oui",LEN('A créer'!D19)=0),"","Tab")</f>
        <v/>
      </c>
      <c r="AN19" s="2" t="str">
        <f>IF(OR('A créer'!D19="Oui",LEN('A créer'!D19)=0),"","Tab")</f>
        <v/>
      </c>
      <c r="AO19" s="2" t="str">
        <f>IF(OR('A créer'!D19="Oui",LEN('A créer'!D19)=0),"","ENT")</f>
        <v/>
      </c>
      <c r="AP19" s="2" t="str">
        <f>IF(OR('A créer'!D19="Oui",LEN('A créer'!D19)=0),"","ENT")</f>
        <v/>
      </c>
      <c r="AQ19" s="2" t="str">
        <f>IF(OR('A créer'!D19="Oui",LEN('A créer'!D19)=0),"","*SAVE")</f>
        <v/>
      </c>
      <c r="AR19" s="2" t="str">
        <f>IF(OR('A créer'!D19="Oui",LEN('A créer'!D19)=0),"","*UP")</f>
        <v/>
      </c>
      <c r="AS19" s="2" t="str">
        <f>IF(OR('A créer'!D19="Oui",LEN('A créer'!D19)=0),"","*Aé")</f>
        <v/>
      </c>
      <c r="AT19" s="6" t="str">
        <f>IF(OR('A créer'!D19="Oui",LEN('A créer'!D19)=0),"",CONCATENATE('A créer'!B19,'A créer'!A19))</f>
        <v/>
      </c>
      <c r="AU19" s="2" t="str">
        <f>IF(OR('A créer'!D19="Oui",LEN('A créer'!D19)=0),"","Tab")</f>
        <v/>
      </c>
      <c r="AV19" s="2" t="str">
        <f>IF(OR('A créer'!D19="Oui",LEN('A créer'!D19)=0),"","*DN")</f>
        <v/>
      </c>
      <c r="AW19" s="6" t="str">
        <f>IF(OR('A créer'!D19="Oui",LEN('A créer'!D19)=0),"",CONCATENATE("XXX",'A créer'!A19))</f>
        <v/>
      </c>
      <c r="AX19" s="2" t="str">
        <f>IF(OR('A créer'!D19="Oui",LEN('A créer'!D19)=0),"","Tab")</f>
        <v/>
      </c>
      <c r="AY19" s="2" t="str">
        <f>IF(OR('A créer'!D19="Oui",LEN('A créer'!D19)=0),"","*SAVE")</f>
        <v/>
      </c>
      <c r="AZ19" s="2" t="str">
        <f>IF(OR('A créer'!D19="Oui",LEN('A créer'!D19)=0),"","*ML(751,142)")</f>
        <v/>
      </c>
    </row>
    <row r="20" spans="1:52" x14ac:dyDescent="0.35">
      <c r="A20" s="2" t="str">
        <f>IF(OR('A créer'!D20="Oui",LEN('A créer'!D20)=0),IF(AND(LEN('A créer'!B20)&gt;0,'A créer'!B20&lt;&gt;'A créer'!H20)=TRUE,"*FN",""),"*FN")</f>
        <v/>
      </c>
      <c r="B20" s="6" t="str">
        <f>IF(OR('A créer'!D20="Oui",LEN('A créer'!D20)=0),IF(LEN('A créer'!B20)&gt;0,IF('A créer'!B20='A créer'!H20,"",CONCATENATE('A créer'!B20,'A créer'!A20)),""),CONCATENATE('A créer'!B20,'A créer'!A20))</f>
        <v/>
      </c>
      <c r="C20" s="2" t="str">
        <f>IF(OR('A créer'!D20="Oui",LEN('A créer'!D20)=0),IF(AND(LEN('A créer'!B20)&gt;0,'A créer'!B20&lt;&gt;'A créer'!H20)=TRUE,"Tab",""),"Tab")</f>
        <v/>
      </c>
      <c r="D20" s="6" t="str">
        <f>IF(OR('A créer'!D20="Oui",LEN('A créer'!D20)=0),IF(AND(LEN('A créer'!B20)&gt;0,'A créer'!B20&lt;&gt;'A créer'!H20)=TRUE,CONCATENATE('A créer'!B20,'A créer'!A20,"-",'A créer'!C20),""),CONCATENATE('A créer'!B20,'A créer'!A20,"-",'A créer'!C20))</f>
        <v/>
      </c>
      <c r="E20" s="2" t="str">
        <f>IF(OR('A créer'!D20="Oui",LEN('A créer'!D20)=0),IF(AND(LEN('A créer'!B20)&gt;0,'A créer'!B20&lt;&gt;'A créer'!H20)=TRUE,"Tab 4",""),"Tab 4")</f>
        <v/>
      </c>
      <c r="F20" s="2" t="str">
        <f>IF(OR('A créer'!D20="Oui",LEN('A créer'!D20)=0),IF(AND(LEN('A créer'!B20)&gt;0,'A créer'!B20&lt;&gt;'A créer'!H20)=TRUE,"Tab",""),"Tab")</f>
        <v/>
      </c>
      <c r="G20" s="2" t="str">
        <f>IF(OR('A créer'!D20="Oui",LEN('A créer'!D20)=0),IF(AND(LEN('A créer'!B20)&gt;0,'A créer'!B20&lt;&gt;'A créer'!H20)=TRUE,"Tab",""),"Tab")</f>
        <v/>
      </c>
      <c r="H20" s="2" t="str">
        <f>IF(OR('A créer'!D20="Oui",LEN('A créer'!D20)=0),IF(AND(LEN('A créer'!B20)&gt;0,'A créer'!B20&lt;&gt;'A créer'!H20)=TRUE,"ENT",""),"ENT")</f>
        <v/>
      </c>
      <c r="I20" s="6">
        <f>IF('A créer'!D20="Oui",IF(AND(LEN('A créer'!B20)&gt;0,'A créer'!B20&lt;&gt;'A créer'!H20)=TRUE,'A créer'!G20,""),'A créer'!G20)</f>
        <v>0</v>
      </c>
      <c r="J20" s="2" t="str">
        <f>IF(OR('A créer'!D20="Oui",LEN('A créer'!D20)=0),IF(AND(LEN('A créer'!B20)&gt;0,'A créer'!B20&lt;&gt;'A créer'!H20)=TRUE,"Tab",""),"Tab")</f>
        <v/>
      </c>
      <c r="K20" s="6" t="str">
        <f>IF(OR('A créer'!D20="Oui",LEN('A créer'!D20)=0),IF(AND(LEN('A créer'!B20)&gt;0,'A créer'!B20&lt;&gt;'A créer'!H20)=TRUE,"Oui",""),"Oui")</f>
        <v/>
      </c>
      <c r="L20" s="2" t="str">
        <f>IF(OR('A créer'!D20="Oui",LEN('A créer'!D20)=0),IF(AND(LEN('A créer'!B20)&gt;0,'A créer'!B20&lt;&gt;'A créer'!H20)=TRUE,"Tab",""),"Tab")</f>
        <v/>
      </c>
      <c r="M20" s="6" t="str">
        <f>IF(OR('A créer'!D20="Oui",LEN('A créer'!D20)=0),IF(AND(LEN('A créer'!B20)&gt;0,'A créer'!B20&lt;&gt;'A créer'!H20)=TRUE,'A créer'!E20,""),'A créer'!E20)</f>
        <v/>
      </c>
      <c r="N20" s="2" t="str">
        <f>IF(OR('A créer'!D20="Oui",LEN('A créer'!D20)=0),IF(AND(LEN('A créer'!B20)&gt;0,'A créer'!B20&lt;&gt;'A créer'!H20)=TRUE,"ENT",""),"ENT")</f>
        <v/>
      </c>
      <c r="O20" s="2" t="str">
        <f>IF(OR('A créer'!D20="Oui",LEN('A créer'!D20)=0),IF(AND(LEN('A créer'!B20)&gt;0,'A créer'!B20&lt;&gt;'A créer'!H20)=TRUE,"*SAVE",""),"*SAVE")</f>
        <v/>
      </c>
      <c r="P20" s="2" t="str">
        <f>IF(OR('A créer'!D20="Oui",LEN('A créer'!D20)=0),"","*FN")</f>
        <v/>
      </c>
      <c r="Q20" s="6" t="str">
        <f>IF(OR('A créer'!D20="Oui",LEN('A créer'!D20)=0),"",CONCATENATE("XXX",'A créer'!A20))</f>
        <v/>
      </c>
      <c r="R20" s="2" t="str">
        <f>IF(OR('A créer'!D20="Oui",LEN('A créer'!D20)=0),"","Tab")</f>
        <v/>
      </c>
      <c r="S20" s="6" t="str">
        <f>IF(OR('A créer'!D20="Oui",LEN('A créer'!D20)=0),"",CONCATENATE("XXX-",'A créer'!C20))</f>
        <v/>
      </c>
      <c r="T20" s="2" t="str">
        <f>IF(OR('A créer'!D20="Oui",LEN('A créer'!D20)=0),"","Tab 4")</f>
        <v/>
      </c>
      <c r="U20" s="2" t="str">
        <f>IF(OR('A créer'!D20="Oui",LEN('A créer'!D20)=0),"","Tab")</f>
        <v/>
      </c>
      <c r="V20" s="2" t="str">
        <f>IF(OR('A créer'!D20="Oui",LEN('A créer'!D20)=0),"","Tab")</f>
        <v/>
      </c>
      <c r="W20" s="2" t="str">
        <f>IF(OR('A créer'!D20="Oui",LEN('A créer'!D20)=0),"","ENT")</f>
        <v/>
      </c>
      <c r="X20" s="6" t="str">
        <f>IF(OR('A créer'!D20="Oui",LEN('A créer'!D20)=0),"",'A créer'!G20)</f>
        <v/>
      </c>
      <c r="Y20" s="2" t="str">
        <f>IF(OR('A créer'!D20="Oui",LEN('A créer'!D20)=0),"","Tab")</f>
        <v/>
      </c>
      <c r="Z20" s="6" t="str">
        <f>IF(OR('A créer'!D20="Oui",LEN('A créer'!D20)=0),"","Oui")</f>
        <v/>
      </c>
      <c r="AA20" s="2" t="str">
        <f>IF(OR('A créer'!D20="Oui",LEN('A créer'!D20)=0),"","Tab")</f>
        <v/>
      </c>
      <c r="AB20" s="6" t="str">
        <f>IF(OR('A créer'!D20="Oui",LEN('A créer'!D20)=0),"","NON")</f>
        <v/>
      </c>
      <c r="AC20" s="2" t="str">
        <f>IF(OR('A créer'!D20="Oui",LEN('A créer'!D20)=0),"","ENT")</f>
        <v/>
      </c>
      <c r="AD20" s="2" t="str">
        <f>IF(OR('A créer'!D20="Oui",LEN('A créer'!D20)=0),"","*SAVE")</f>
        <v/>
      </c>
      <c r="AE20" s="2" t="str">
        <f>IF(OR('A créer'!D20="Oui",LEN('A créer'!D20)=0),"","*FN")</f>
        <v/>
      </c>
      <c r="AF20" s="6" t="str">
        <f>IF(OR('A créer'!D20="Oui",LEN('A créer'!D20)=0),"",'A créer'!A20)</f>
        <v/>
      </c>
      <c r="AG20" s="2" t="str">
        <f>IF(OR('A créer'!D20="Oui",LEN('A créer'!D20)=0),"","Tab")</f>
        <v/>
      </c>
      <c r="AH20" s="6" t="str">
        <f>IF(OR('A créer'!D20="Oui",LEN('A créer'!D20)=0),"",'A créer'!C20)</f>
        <v/>
      </c>
      <c r="AI20" s="2" t="str">
        <f>IF(OR('A créer'!D20="Oui",LEN('A créer'!D20)=0),"","Tab 4")</f>
        <v/>
      </c>
      <c r="AJ20" s="2" t="str">
        <f>IF(OR('A créer'!D20="Oui",LEN('A créer'!D20)=0),"","*SB")</f>
        <v/>
      </c>
      <c r="AK20" s="2" t="str">
        <f>IF(OR('A créer'!D20="Oui",LEN('A créer'!D20)=0),"","Tab")</f>
        <v/>
      </c>
      <c r="AL20" s="6" t="str">
        <f>IF(OR('A créer'!D20="Oui",LEN('A créer'!D20)=0),"","InterCoSte")</f>
        <v/>
      </c>
      <c r="AM20" s="2" t="str">
        <f>IF(OR('A créer'!D20="Oui",LEN('A créer'!D20)=0),"","Tab")</f>
        <v/>
      </c>
      <c r="AN20" s="2" t="str">
        <f>IF(OR('A créer'!D20="Oui",LEN('A créer'!D20)=0),"","Tab")</f>
        <v/>
      </c>
      <c r="AO20" s="2" t="str">
        <f>IF(OR('A créer'!D20="Oui",LEN('A créer'!D20)=0),"","ENT")</f>
        <v/>
      </c>
      <c r="AP20" s="2" t="str">
        <f>IF(OR('A créer'!D20="Oui",LEN('A créer'!D20)=0),"","ENT")</f>
        <v/>
      </c>
      <c r="AQ20" s="2" t="str">
        <f>IF(OR('A créer'!D20="Oui",LEN('A créer'!D20)=0),"","*SAVE")</f>
        <v/>
      </c>
      <c r="AR20" s="2" t="str">
        <f>IF(OR('A créer'!D20="Oui",LEN('A créer'!D20)=0),"","*UP")</f>
        <v/>
      </c>
      <c r="AS20" s="2" t="str">
        <f>IF(OR('A créer'!D20="Oui",LEN('A créer'!D20)=0),"","*Aé")</f>
        <v/>
      </c>
      <c r="AT20" s="6" t="str">
        <f>IF(OR('A créer'!D20="Oui",LEN('A créer'!D20)=0),"",CONCATENATE('A créer'!B20,'A créer'!A20))</f>
        <v/>
      </c>
      <c r="AU20" s="2" t="str">
        <f>IF(OR('A créer'!D20="Oui",LEN('A créer'!D20)=0),"","Tab")</f>
        <v/>
      </c>
      <c r="AV20" s="2" t="str">
        <f>IF(OR('A créer'!D20="Oui",LEN('A créer'!D20)=0),"","*DN")</f>
        <v/>
      </c>
      <c r="AW20" s="6" t="str">
        <f>IF(OR('A créer'!D20="Oui",LEN('A créer'!D20)=0),"",CONCATENATE("XXX",'A créer'!A20))</f>
        <v/>
      </c>
      <c r="AX20" s="2" t="str">
        <f>IF(OR('A créer'!D20="Oui",LEN('A créer'!D20)=0),"","Tab")</f>
        <v/>
      </c>
      <c r="AY20" s="2" t="str">
        <f>IF(OR('A créer'!D20="Oui",LEN('A créer'!D20)=0),"","*SAVE")</f>
        <v/>
      </c>
      <c r="AZ20" s="2" t="str">
        <f>IF(OR('A créer'!D20="Oui",LEN('A créer'!D20)=0),"","*ML(751,142)")</f>
        <v/>
      </c>
    </row>
    <row r="21" spans="1:52" x14ac:dyDescent="0.35">
      <c r="A21" s="2" t="str">
        <f>IF(OR('A créer'!D21="Oui",LEN('A créer'!D21)=0),IF(AND(LEN('A créer'!B21)&gt;0,'A créer'!B21&lt;&gt;'A créer'!H21)=TRUE,"*FN",""),"*FN")</f>
        <v/>
      </c>
      <c r="B21" s="6" t="str">
        <f>IF(OR('A créer'!D21="Oui",LEN('A créer'!D21)=0),IF(LEN('A créer'!B21)&gt;0,IF('A créer'!B21='A créer'!H21,"",CONCATENATE('A créer'!B21,'A créer'!A21)),""),CONCATENATE('A créer'!B21,'A créer'!A21))</f>
        <v/>
      </c>
      <c r="C21" s="2" t="str">
        <f>IF(OR('A créer'!D21="Oui",LEN('A créer'!D21)=0),IF(AND(LEN('A créer'!B21)&gt;0,'A créer'!B21&lt;&gt;'A créer'!H21)=TRUE,"Tab",""),"Tab")</f>
        <v/>
      </c>
      <c r="D21" s="6" t="str">
        <f>IF(OR('A créer'!D21="Oui",LEN('A créer'!D21)=0),IF(AND(LEN('A créer'!B21)&gt;0,'A créer'!B21&lt;&gt;'A créer'!H21)=TRUE,CONCATENATE('A créer'!B21,'A créer'!A21,"-",'A créer'!C21),""),CONCATENATE('A créer'!B21,'A créer'!A21,"-",'A créer'!C21))</f>
        <v/>
      </c>
      <c r="E21" s="2" t="str">
        <f>IF(OR('A créer'!D21="Oui",LEN('A créer'!D21)=0),IF(AND(LEN('A créer'!B21)&gt;0,'A créer'!B21&lt;&gt;'A créer'!H21)=TRUE,"Tab 4",""),"Tab 4")</f>
        <v/>
      </c>
      <c r="F21" s="2" t="str">
        <f>IF(OR('A créer'!D21="Oui",LEN('A créer'!D21)=0),IF(AND(LEN('A créer'!B21)&gt;0,'A créer'!B21&lt;&gt;'A créer'!H21)=TRUE,"Tab",""),"Tab")</f>
        <v/>
      </c>
      <c r="G21" s="2" t="str">
        <f>IF(OR('A créer'!D21="Oui",LEN('A créer'!D21)=0),IF(AND(LEN('A créer'!B21)&gt;0,'A créer'!B21&lt;&gt;'A créer'!H21)=TRUE,"Tab",""),"Tab")</f>
        <v/>
      </c>
      <c r="H21" s="2" t="str">
        <f>IF(OR('A créer'!D21="Oui",LEN('A créer'!D21)=0),IF(AND(LEN('A créer'!B21)&gt;0,'A créer'!B21&lt;&gt;'A créer'!H21)=TRUE,"ENT",""),"ENT")</f>
        <v/>
      </c>
      <c r="I21" s="6">
        <f>IF('A créer'!D21="Oui",IF(AND(LEN('A créer'!B21)&gt;0,'A créer'!B21&lt;&gt;'A créer'!H21)=TRUE,'A créer'!G21,""),'A créer'!G21)</f>
        <v>0</v>
      </c>
      <c r="J21" s="2" t="str">
        <f>IF(OR('A créer'!D21="Oui",LEN('A créer'!D21)=0),IF(AND(LEN('A créer'!B21)&gt;0,'A créer'!B21&lt;&gt;'A créer'!H21)=TRUE,"Tab",""),"Tab")</f>
        <v/>
      </c>
      <c r="K21" s="6" t="str">
        <f>IF(OR('A créer'!D21="Oui",LEN('A créer'!D21)=0),IF(AND(LEN('A créer'!B21)&gt;0,'A créer'!B21&lt;&gt;'A créer'!H21)=TRUE,"Oui",""),"Oui")</f>
        <v/>
      </c>
      <c r="L21" s="2" t="str">
        <f>IF(OR('A créer'!D21="Oui",LEN('A créer'!D21)=0),IF(AND(LEN('A créer'!B21)&gt;0,'A créer'!B21&lt;&gt;'A créer'!H21)=TRUE,"Tab",""),"Tab")</f>
        <v/>
      </c>
      <c r="M21" s="6" t="str">
        <f>IF(OR('A créer'!D21="Oui",LEN('A créer'!D21)=0),IF(AND(LEN('A créer'!B21)&gt;0,'A créer'!B21&lt;&gt;'A créer'!H21)=TRUE,'A créer'!E21,""),'A créer'!E21)</f>
        <v/>
      </c>
      <c r="N21" s="2" t="str">
        <f>IF(OR('A créer'!D21="Oui",LEN('A créer'!D21)=0),IF(AND(LEN('A créer'!B21)&gt;0,'A créer'!B21&lt;&gt;'A créer'!H21)=TRUE,"ENT",""),"ENT")</f>
        <v/>
      </c>
      <c r="O21" s="2" t="str">
        <f>IF(OR('A créer'!D21="Oui",LEN('A créer'!D21)=0),IF(AND(LEN('A créer'!B21)&gt;0,'A créer'!B21&lt;&gt;'A créer'!H21)=TRUE,"*SAVE",""),"*SAVE")</f>
        <v/>
      </c>
      <c r="P21" s="2" t="str">
        <f>IF(OR('A créer'!D21="Oui",LEN('A créer'!D21)=0),"","*FN")</f>
        <v/>
      </c>
      <c r="Q21" s="6" t="str">
        <f>IF(OR('A créer'!D21="Oui",LEN('A créer'!D21)=0),"",CONCATENATE("XXX",'A créer'!A21))</f>
        <v/>
      </c>
      <c r="R21" s="2" t="str">
        <f>IF(OR('A créer'!D21="Oui",LEN('A créer'!D21)=0),"","Tab")</f>
        <v/>
      </c>
      <c r="S21" s="6" t="str">
        <f>IF(OR('A créer'!D21="Oui",LEN('A créer'!D21)=0),"",CONCATENATE("XXX-",'A créer'!C21))</f>
        <v/>
      </c>
      <c r="T21" s="2" t="str">
        <f>IF(OR('A créer'!D21="Oui",LEN('A créer'!D21)=0),"","Tab 4")</f>
        <v/>
      </c>
      <c r="U21" s="2" t="str">
        <f>IF(OR('A créer'!D21="Oui",LEN('A créer'!D21)=0),"","Tab")</f>
        <v/>
      </c>
      <c r="V21" s="2" t="str">
        <f>IF(OR('A créer'!D21="Oui",LEN('A créer'!D21)=0),"","Tab")</f>
        <v/>
      </c>
      <c r="W21" s="2" t="str">
        <f>IF(OR('A créer'!D21="Oui",LEN('A créer'!D21)=0),"","ENT")</f>
        <v/>
      </c>
      <c r="X21" s="6" t="str">
        <f>IF(OR('A créer'!D21="Oui",LEN('A créer'!D21)=0),"",'A créer'!G21)</f>
        <v/>
      </c>
      <c r="Y21" s="2" t="str">
        <f>IF(OR('A créer'!D21="Oui",LEN('A créer'!D21)=0),"","Tab")</f>
        <v/>
      </c>
      <c r="Z21" s="6" t="str">
        <f>IF(OR('A créer'!D21="Oui",LEN('A créer'!D21)=0),"","Oui")</f>
        <v/>
      </c>
      <c r="AA21" s="2" t="str">
        <f>IF(OR('A créer'!D21="Oui",LEN('A créer'!D21)=0),"","Tab")</f>
        <v/>
      </c>
      <c r="AB21" s="6" t="str">
        <f>IF(OR('A créer'!D21="Oui",LEN('A créer'!D21)=0),"","NON")</f>
        <v/>
      </c>
      <c r="AC21" s="2" t="str">
        <f>IF(OR('A créer'!D21="Oui",LEN('A créer'!D21)=0),"","ENT")</f>
        <v/>
      </c>
      <c r="AD21" s="2" t="str">
        <f>IF(OR('A créer'!D21="Oui",LEN('A créer'!D21)=0),"","*SAVE")</f>
        <v/>
      </c>
      <c r="AE21" s="2" t="str">
        <f>IF(OR('A créer'!D21="Oui",LEN('A créer'!D21)=0),"","*FN")</f>
        <v/>
      </c>
      <c r="AF21" s="6" t="str">
        <f>IF(OR('A créer'!D21="Oui",LEN('A créer'!D21)=0),"",'A créer'!A21)</f>
        <v/>
      </c>
      <c r="AG21" s="2" t="str">
        <f>IF(OR('A créer'!D21="Oui",LEN('A créer'!D21)=0),"","Tab")</f>
        <v/>
      </c>
      <c r="AH21" s="6" t="str">
        <f>IF(OR('A créer'!D21="Oui",LEN('A créer'!D21)=0),"",'A créer'!C21)</f>
        <v/>
      </c>
      <c r="AI21" s="2" t="str">
        <f>IF(OR('A créer'!D21="Oui",LEN('A créer'!D21)=0),"","Tab 4")</f>
        <v/>
      </c>
      <c r="AJ21" s="2" t="str">
        <f>IF(OR('A créer'!D21="Oui",LEN('A créer'!D21)=0),"","*SB")</f>
        <v/>
      </c>
      <c r="AK21" s="2" t="str">
        <f>IF(OR('A créer'!D21="Oui",LEN('A créer'!D21)=0),"","Tab")</f>
        <v/>
      </c>
      <c r="AL21" s="6" t="str">
        <f>IF(OR('A créer'!D21="Oui",LEN('A créer'!D21)=0),"","InterCoSte")</f>
        <v/>
      </c>
      <c r="AM21" s="2" t="str">
        <f>IF(OR('A créer'!D21="Oui",LEN('A créer'!D21)=0),"","Tab")</f>
        <v/>
      </c>
      <c r="AN21" s="2" t="str">
        <f>IF(OR('A créer'!D21="Oui",LEN('A créer'!D21)=0),"","Tab")</f>
        <v/>
      </c>
      <c r="AO21" s="2" t="str">
        <f>IF(OR('A créer'!D21="Oui",LEN('A créer'!D21)=0),"","ENT")</f>
        <v/>
      </c>
      <c r="AP21" s="2" t="str">
        <f>IF(OR('A créer'!D21="Oui",LEN('A créer'!D21)=0),"","ENT")</f>
        <v/>
      </c>
      <c r="AQ21" s="2" t="str">
        <f>IF(OR('A créer'!D21="Oui",LEN('A créer'!D21)=0),"","*SAVE")</f>
        <v/>
      </c>
      <c r="AR21" s="2" t="str">
        <f>IF(OR('A créer'!D21="Oui",LEN('A créer'!D21)=0),"","*UP")</f>
        <v/>
      </c>
      <c r="AS21" s="2" t="str">
        <f>IF(OR('A créer'!D21="Oui",LEN('A créer'!D21)=0),"","*Aé")</f>
        <v/>
      </c>
      <c r="AT21" s="6" t="str">
        <f>IF(OR('A créer'!D21="Oui",LEN('A créer'!D21)=0),"",CONCATENATE('A créer'!B21,'A créer'!A21))</f>
        <v/>
      </c>
      <c r="AU21" s="2" t="str">
        <f>IF(OR('A créer'!D21="Oui",LEN('A créer'!D21)=0),"","Tab")</f>
        <v/>
      </c>
      <c r="AV21" s="2" t="str">
        <f>IF(OR('A créer'!D21="Oui",LEN('A créer'!D21)=0),"","*DN")</f>
        <v/>
      </c>
      <c r="AW21" s="6" t="str">
        <f>IF(OR('A créer'!D21="Oui",LEN('A créer'!D21)=0),"",CONCATENATE("XXX",'A créer'!A21))</f>
        <v/>
      </c>
      <c r="AX21" s="2" t="str">
        <f>IF(OR('A créer'!D21="Oui",LEN('A créer'!D21)=0),"","Tab")</f>
        <v/>
      </c>
      <c r="AY21" s="2" t="str">
        <f>IF(OR('A créer'!D21="Oui",LEN('A créer'!D21)=0),"","*SAVE")</f>
        <v/>
      </c>
      <c r="AZ21" s="2" t="str">
        <f>IF(OR('A créer'!D21="Oui",LEN('A créer'!D21)=0),"","*ML(751,142)")</f>
        <v/>
      </c>
    </row>
    <row r="22" spans="1:52" x14ac:dyDescent="0.35">
      <c r="A22" s="2" t="str">
        <f>IF(OR('A créer'!D22="Oui",LEN('A créer'!D22)=0),IF(AND(LEN('A créer'!B22)&gt;0,'A créer'!B22&lt;&gt;'A créer'!H22)=TRUE,"*FN",""),"*FN")</f>
        <v/>
      </c>
      <c r="B22" s="6" t="str">
        <f>IF(OR('A créer'!D22="Oui",LEN('A créer'!D22)=0),IF(LEN('A créer'!B22)&gt;0,IF('A créer'!B22='A créer'!H22,"",CONCATENATE('A créer'!B22,'A créer'!A22)),""),CONCATENATE('A créer'!B22,'A créer'!A22))</f>
        <v/>
      </c>
      <c r="C22" s="2" t="str">
        <f>IF(OR('A créer'!D22="Oui",LEN('A créer'!D22)=0),IF(AND(LEN('A créer'!B22)&gt;0,'A créer'!B22&lt;&gt;'A créer'!H22)=TRUE,"Tab",""),"Tab")</f>
        <v/>
      </c>
      <c r="D22" s="6" t="str">
        <f>IF(OR('A créer'!D22="Oui",LEN('A créer'!D22)=0),IF(AND(LEN('A créer'!B22)&gt;0,'A créer'!B22&lt;&gt;'A créer'!H22)=TRUE,CONCATENATE('A créer'!B22,'A créer'!A22,"-",'A créer'!C22),""),CONCATENATE('A créer'!B22,'A créer'!A22,"-",'A créer'!C22))</f>
        <v/>
      </c>
      <c r="E22" s="2" t="str">
        <f>IF(OR('A créer'!D22="Oui",LEN('A créer'!D22)=0),IF(AND(LEN('A créer'!B22)&gt;0,'A créer'!B22&lt;&gt;'A créer'!H22)=TRUE,"Tab 4",""),"Tab 4")</f>
        <v/>
      </c>
      <c r="F22" s="2" t="str">
        <f>IF(OR('A créer'!D22="Oui",LEN('A créer'!D22)=0),IF(AND(LEN('A créer'!B22)&gt;0,'A créer'!B22&lt;&gt;'A créer'!H22)=TRUE,"Tab",""),"Tab")</f>
        <v/>
      </c>
      <c r="G22" s="2" t="str">
        <f>IF(OR('A créer'!D22="Oui",LEN('A créer'!D22)=0),IF(AND(LEN('A créer'!B22)&gt;0,'A créer'!B22&lt;&gt;'A créer'!H22)=TRUE,"Tab",""),"Tab")</f>
        <v/>
      </c>
      <c r="H22" s="2" t="str">
        <f>IF(OR('A créer'!D22="Oui",LEN('A créer'!D22)=0),IF(AND(LEN('A créer'!B22)&gt;0,'A créer'!B22&lt;&gt;'A créer'!H22)=TRUE,"ENT",""),"ENT")</f>
        <v/>
      </c>
      <c r="I22" s="6">
        <f>IF('A créer'!D22="Oui",IF(AND(LEN('A créer'!B22)&gt;0,'A créer'!B22&lt;&gt;'A créer'!H22)=TRUE,'A créer'!G22,""),'A créer'!G22)</f>
        <v>0</v>
      </c>
      <c r="J22" s="2" t="str">
        <f>IF(OR('A créer'!D22="Oui",LEN('A créer'!D22)=0),IF(AND(LEN('A créer'!B22)&gt;0,'A créer'!B22&lt;&gt;'A créer'!H22)=TRUE,"Tab",""),"Tab")</f>
        <v/>
      </c>
      <c r="K22" s="6" t="str">
        <f>IF(OR('A créer'!D22="Oui",LEN('A créer'!D22)=0),IF(AND(LEN('A créer'!B22)&gt;0,'A créer'!B22&lt;&gt;'A créer'!H22)=TRUE,"Oui",""),"Oui")</f>
        <v/>
      </c>
      <c r="L22" s="2" t="str">
        <f>IF(OR('A créer'!D22="Oui",LEN('A créer'!D22)=0),IF(AND(LEN('A créer'!B22)&gt;0,'A créer'!B22&lt;&gt;'A créer'!H22)=TRUE,"Tab",""),"Tab")</f>
        <v/>
      </c>
      <c r="M22" s="6" t="str">
        <f>IF(OR('A créer'!D22="Oui",LEN('A créer'!D22)=0),IF(AND(LEN('A créer'!B22)&gt;0,'A créer'!B22&lt;&gt;'A créer'!H22)=TRUE,'A créer'!E22,""),'A créer'!E22)</f>
        <v/>
      </c>
      <c r="N22" s="2" t="str">
        <f>IF(OR('A créer'!D22="Oui",LEN('A créer'!D22)=0),IF(AND(LEN('A créer'!B22)&gt;0,'A créer'!B22&lt;&gt;'A créer'!H22)=TRUE,"ENT",""),"ENT")</f>
        <v/>
      </c>
      <c r="O22" s="2" t="str">
        <f>IF(OR('A créer'!D22="Oui",LEN('A créer'!D22)=0),IF(AND(LEN('A créer'!B22)&gt;0,'A créer'!B22&lt;&gt;'A créer'!H22)=TRUE,"*SAVE",""),"*SAVE")</f>
        <v/>
      </c>
      <c r="P22" s="2" t="str">
        <f>IF(OR('A créer'!D22="Oui",LEN('A créer'!D22)=0),"","*FN")</f>
        <v/>
      </c>
      <c r="Q22" s="6" t="str">
        <f>IF(OR('A créer'!D22="Oui",LEN('A créer'!D22)=0),"",CONCATENATE("XXX",'A créer'!A22))</f>
        <v/>
      </c>
      <c r="R22" s="2" t="str">
        <f>IF(OR('A créer'!D22="Oui",LEN('A créer'!D22)=0),"","Tab")</f>
        <v/>
      </c>
      <c r="S22" s="6" t="str">
        <f>IF(OR('A créer'!D22="Oui",LEN('A créer'!D22)=0),"",CONCATENATE("XXX-",'A créer'!C22))</f>
        <v/>
      </c>
      <c r="T22" s="2" t="str">
        <f>IF(OR('A créer'!D22="Oui",LEN('A créer'!D22)=0),"","Tab 4")</f>
        <v/>
      </c>
      <c r="U22" s="2" t="str">
        <f>IF(OR('A créer'!D22="Oui",LEN('A créer'!D22)=0),"","Tab")</f>
        <v/>
      </c>
      <c r="V22" s="2" t="str">
        <f>IF(OR('A créer'!D22="Oui",LEN('A créer'!D22)=0),"","Tab")</f>
        <v/>
      </c>
      <c r="W22" s="2" t="str">
        <f>IF(OR('A créer'!D22="Oui",LEN('A créer'!D22)=0),"","ENT")</f>
        <v/>
      </c>
      <c r="X22" s="6" t="str">
        <f>IF(OR('A créer'!D22="Oui",LEN('A créer'!D22)=0),"",'A créer'!G22)</f>
        <v/>
      </c>
      <c r="Y22" s="2" t="str">
        <f>IF(OR('A créer'!D22="Oui",LEN('A créer'!D22)=0),"","Tab")</f>
        <v/>
      </c>
      <c r="Z22" s="6" t="str">
        <f>IF(OR('A créer'!D22="Oui",LEN('A créer'!D22)=0),"","Oui")</f>
        <v/>
      </c>
      <c r="AA22" s="2" t="str">
        <f>IF(OR('A créer'!D22="Oui",LEN('A créer'!D22)=0),"","Tab")</f>
        <v/>
      </c>
      <c r="AB22" s="6" t="str">
        <f>IF(OR('A créer'!D22="Oui",LEN('A créer'!D22)=0),"","NON")</f>
        <v/>
      </c>
      <c r="AC22" s="2" t="str">
        <f>IF(OR('A créer'!D22="Oui",LEN('A créer'!D22)=0),"","ENT")</f>
        <v/>
      </c>
      <c r="AD22" s="2" t="str">
        <f>IF(OR('A créer'!D22="Oui",LEN('A créer'!D22)=0),"","*SAVE")</f>
        <v/>
      </c>
      <c r="AE22" s="2" t="str">
        <f>IF(OR('A créer'!D22="Oui",LEN('A créer'!D22)=0),"","*FN")</f>
        <v/>
      </c>
      <c r="AF22" s="6" t="str">
        <f>IF(OR('A créer'!D22="Oui",LEN('A créer'!D22)=0),"",'A créer'!A22)</f>
        <v/>
      </c>
      <c r="AG22" s="2" t="str">
        <f>IF(OR('A créer'!D22="Oui",LEN('A créer'!D22)=0),"","Tab")</f>
        <v/>
      </c>
      <c r="AH22" s="6" t="str">
        <f>IF(OR('A créer'!D22="Oui",LEN('A créer'!D22)=0),"",'A créer'!C22)</f>
        <v/>
      </c>
      <c r="AI22" s="2" t="str">
        <f>IF(OR('A créer'!D22="Oui",LEN('A créer'!D22)=0),"","Tab 4")</f>
        <v/>
      </c>
      <c r="AJ22" s="2" t="str">
        <f>IF(OR('A créer'!D22="Oui",LEN('A créer'!D22)=0),"","*SB")</f>
        <v/>
      </c>
      <c r="AK22" s="2" t="str">
        <f>IF(OR('A créer'!D22="Oui",LEN('A créer'!D22)=0),"","Tab")</f>
        <v/>
      </c>
      <c r="AL22" s="6" t="str">
        <f>IF(OR('A créer'!D22="Oui",LEN('A créer'!D22)=0),"","InterCoSte")</f>
        <v/>
      </c>
      <c r="AM22" s="2" t="str">
        <f>IF(OR('A créer'!D22="Oui",LEN('A créer'!D22)=0),"","Tab")</f>
        <v/>
      </c>
      <c r="AN22" s="2" t="str">
        <f>IF(OR('A créer'!D22="Oui",LEN('A créer'!D22)=0),"","Tab")</f>
        <v/>
      </c>
      <c r="AO22" s="2" t="str">
        <f>IF(OR('A créer'!D22="Oui",LEN('A créer'!D22)=0),"","ENT")</f>
        <v/>
      </c>
      <c r="AP22" s="2" t="str">
        <f>IF(OR('A créer'!D22="Oui",LEN('A créer'!D22)=0),"","ENT")</f>
        <v/>
      </c>
      <c r="AQ22" s="2" t="str">
        <f>IF(OR('A créer'!D22="Oui",LEN('A créer'!D22)=0),"","*SAVE")</f>
        <v/>
      </c>
      <c r="AR22" s="2" t="str">
        <f>IF(OR('A créer'!D22="Oui",LEN('A créer'!D22)=0),"","*UP")</f>
        <v/>
      </c>
      <c r="AS22" s="2" t="str">
        <f>IF(OR('A créer'!D22="Oui",LEN('A créer'!D22)=0),"","*Aé")</f>
        <v/>
      </c>
      <c r="AT22" s="6" t="str">
        <f>IF(OR('A créer'!D22="Oui",LEN('A créer'!D22)=0),"",CONCATENATE('A créer'!B22,'A créer'!A22))</f>
        <v/>
      </c>
      <c r="AU22" s="2" t="str">
        <f>IF(OR('A créer'!D22="Oui",LEN('A créer'!D22)=0),"","Tab")</f>
        <v/>
      </c>
      <c r="AV22" s="2" t="str">
        <f>IF(OR('A créer'!D22="Oui",LEN('A créer'!D22)=0),"","*DN")</f>
        <v/>
      </c>
      <c r="AW22" s="6" t="str">
        <f>IF(OR('A créer'!D22="Oui",LEN('A créer'!D22)=0),"",CONCATENATE("XXX",'A créer'!A22))</f>
        <v/>
      </c>
      <c r="AX22" s="2" t="str">
        <f>IF(OR('A créer'!D22="Oui",LEN('A créer'!D22)=0),"","Tab")</f>
        <v/>
      </c>
      <c r="AY22" s="2" t="str">
        <f>IF(OR('A créer'!D22="Oui",LEN('A créer'!D22)=0),"","*SAVE")</f>
        <v/>
      </c>
      <c r="AZ22" s="2" t="str">
        <f>IF(OR('A créer'!D22="Oui",LEN('A créer'!D22)=0),"","*ML(751,142)")</f>
        <v/>
      </c>
    </row>
    <row r="23" spans="1:52" x14ac:dyDescent="0.35">
      <c r="A23" s="2" t="str">
        <f>IF(OR('A créer'!D23="Oui",LEN('A créer'!D23)=0),IF(AND(LEN('A créer'!B23)&gt;0,'A créer'!B23&lt;&gt;'A créer'!H23)=TRUE,"*FN",""),"*FN")</f>
        <v/>
      </c>
      <c r="B23" s="6" t="str">
        <f>IF(OR('A créer'!D23="Oui",LEN('A créer'!D23)=0),IF(LEN('A créer'!B23)&gt;0,IF('A créer'!B23='A créer'!H23,"",CONCATENATE('A créer'!B23,'A créer'!A23)),""),CONCATENATE('A créer'!B23,'A créer'!A23))</f>
        <v/>
      </c>
      <c r="C23" s="2" t="str">
        <f>IF(OR('A créer'!D23="Oui",LEN('A créer'!D23)=0),IF(AND(LEN('A créer'!B23)&gt;0,'A créer'!B23&lt;&gt;'A créer'!H23)=TRUE,"Tab",""),"Tab")</f>
        <v/>
      </c>
      <c r="D23" s="6" t="str">
        <f>IF(OR('A créer'!D23="Oui",LEN('A créer'!D23)=0),IF(AND(LEN('A créer'!B23)&gt;0,'A créer'!B23&lt;&gt;'A créer'!H23)=TRUE,CONCATENATE('A créer'!B23,'A créer'!A23,"-",'A créer'!C23),""),CONCATENATE('A créer'!B23,'A créer'!A23,"-",'A créer'!C23))</f>
        <v/>
      </c>
      <c r="E23" s="2" t="str">
        <f>IF(OR('A créer'!D23="Oui",LEN('A créer'!D23)=0),IF(AND(LEN('A créer'!B23)&gt;0,'A créer'!B23&lt;&gt;'A créer'!H23)=TRUE,"Tab 4",""),"Tab 4")</f>
        <v/>
      </c>
      <c r="F23" s="2" t="str">
        <f>IF(OR('A créer'!D23="Oui",LEN('A créer'!D23)=0),IF(AND(LEN('A créer'!B23)&gt;0,'A créer'!B23&lt;&gt;'A créer'!H23)=TRUE,"Tab",""),"Tab")</f>
        <v/>
      </c>
      <c r="G23" s="2" t="str">
        <f>IF(OR('A créer'!D23="Oui",LEN('A créer'!D23)=0),IF(AND(LEN('A créer'!B23)&gt;0,'A créer'!B23&lt;&gt;'A créer'!H23)=TRUE,"Tab",""),"Tab")</f>
        <v/>
      </c>
      <c r="H23" s="2" t="str">
        <f>IF(OR('A créer'!D23="Oui",LEN('A créer'!D23)=0),IF(AND(LEN('A créer'!B23)&gt;0,'A créer'!B23&lt;&gt;'A créer'!H23)=TRUE,"ENT",""),"ENT")</f>
        <v/>
      </c>
      <c r="I23" s="6">
        <f>IF('A créer'!D23="Oui",IF(AND(LEN('A créer'!B23)&gt;0,'A créer'!B23&lt;&gt;'A créer'!H23)=TRUE,'A créer'!G23,""),'A créer'!G23)</f>
        <v>0</v>
      </c>
      <c r="J23" s="2" t="str">
        <f>IF(OR('A créer'!D23="Oui",LEN('A créer'!D23)=0),IF(AND(LEN('A créer'!B23)&gt;0,'A créer'!B23&lt;&gt;'A créer'!H23)=TRUE,"Tab",""),"Tab")</f>
        <v/>
      </c>
      <c r="K23" s="6" t="str">
        <f>IF(OR('A créer'!D23="Oui",LEN('A créer'!D23)=0),IF(AND(LEN('A créer'!B23)&gt;0,'A créer'!B23&lt;&gt;'A créer'!H23)=TRUE,"Oui",""),"Oui")</f>
        <v/>
      </c>
      <c r="L23" s="2" t="str">
        <f>IF(OR('A créer'!D23="Oui",LEN('A créer'!D23)=0),IF(AND(LEN('A créer'!B23)&gt;0,'A créer'!B23&lt;&gt;'A créer'!H23)=TRUE,"Tab",""),"Tab")</f>
        <v/>
      </c>
      <c r="M23" s="6" t="str">
        <f>IF(OR('A créer'!D23="Oui",LEN('A créer'!D23)=0),IF(AND(LEN('A créer'!B23)&gt;0,'A créer'!B23&lt;&gt;'A créer'!H23)=TRUE,'A créer'!E23,""),'A créer'!E23)</f>
        <v/>
      </c>
      <c r="N23" s="2" t="str">
        <f>IF(OR('A créer'!D23="Oui",LEN('A créer'!D23)=0),IF(AND(LEN('A créer'!B23)&gt;0,'A créer'!B23&lt;&gt;'A créer'!H23)=TRUE,"ENT",""),"ENT")</f>
        <v/>
      </c>
      <c r="O23" s="2" t="str">
        <f>IF(OR('A créer'!D23="Oui",LEN('A créer'!D23)=0),IF(AND(LEN('A créer'!B23)&gt;0,'A créer'!B23&lt;&gt;'A créer'!H23)=TRUE,"*SAVE",""),"*SAVE")</f>
        <v/>
      </c>
      <c r="P23" s="2" t="str">
        <f>IF(OR('A créer'!D23="Oui",LEN('A créer'!D23)=0),"","*FN")</f>
        <v/>
      </c>
      <c r="Q23" s="6" t="str">
        <f>IF(OR('A créer'!D23="Oui",LEN('A créer'!D23)=0),"",CONCATENATE("XXX",'A créer'!A23))</f>
        <v/>
      </c>
      <c r="R23" s="2" t="str">
        <f>IF(OR('A créer'!D23="Oui",LEN('A créer'!D23)=0),"","Tab")</f>
        <v/>
      </c>
      <c r="S23" s="6" t="str">
        <f>IF(OR('A créer'!D23="Oui",LEN('A créer'!D23)=0),"",CONCATENATE("XXX-",'A créer'!C23))</f>
        <v/>
      </c>
      <c r="T23" s="2" t="str">
        <f>IF(OR('A créer'!D23="Oui",LEN('A créer'!D23)=0),"","Tab 4")</f>
        <v/>
      </c>
      <c r="U23" s="2" t="str">
        <f>IF(OR('A créer'!D23="Oui",LEN('A créer'!D23)=0),"","Tab")</f>
        <v/>
      </c>
      <c r="V23" s="2" t="str">
        <f>IF(OR('A créer'!D23="Oui",LEN('A créer'!D23)=0),"","Tab")</f>
        <v/>
      </c>
      <c r="W23" s="2" t="str">
        <f>IF(OR('A créer'!D23="Oui",LEN('A créer'!D23)=0),"","ENT")</f>
        <v/>
      </c>
      <c r="X23" s="6" t="str">
        <f>IF(OR('A créer'!D23="Oui",LEN('A créer'!D23)=0),"",'A créer'!G23)</f>
        <v/>
      </c>
      <c r="Y23" s="2" t="str">
        <f>IF(OR('A créer'!D23="Oui",LEN('A créer'!D23)=0),"","Tab")</f>
        <v/>
      </c>
      <c r="Z23" s="6" t="str">
        <f>IF(OR('A créer'!D23="Oui",LEN('A créer'!D23)=0),"","Oui")</f>
        <v/>
      </c>
      <c r="AA23" s="2" t="str">
        <f>IF(OR('A créer'!D23="Oui",LEN('A créer'!D23)=0),"","Tab")</f>
        <v/>
      </c>
      <c r="AB23" s="6" t="str">
        <f>IF(OR('A créer'!D23="Oui",LEN('A créer'!D23)=0),"","NON")</f>
        <v/>
      </c>
      <c r="AC23" s="2" t="str">
        <f>IF(OR('A créer'!D23="Oui",LEN('A créer'!D23)=0),"","ENT")</f>
        <v/>
      </c>
      <c r="AD23" s="2" t="str">
        <f>IF(OR('A créer'!D23="Oui",LEN('A créer'!D23)=0),"","*SAVE")</f>
        <v/>
      </c>
      <c r="AE23" s="2" t="str">
        <f>IF(OR('A créer'!D23="Oui",LEN('A créer'!D23)=0),"","*FN")</f>
        <v/>
      </c>
      <c r="AF23" s="6" t="str">
        <f>IF(OR('A créer'!D23="Oui",LEN('A créer'!D23)=0),"",'A créer'!A23)</f>
        <v/>
      </c>
      <c r="AG23" s="2" t="str">
        <f>IF(OR('A créer'!D23="Oui",LEN('A créer'!D23)=0),"","Tab")</f>
        <v/>
      </c>
      <c r="AH23" s="6" t="str">
        <f>IF(OR('A créer'!D23="Oui",LEN('A créer'!D23)=0),"",'A créer'!C23)</f>
        <v/>
      </c>
      <c r="AI23" s="2" t="str">
        <f>IF(OR('A créer'!D23="Oui",LEN('A créer'!D23)=0),"","Tab 4")</f>
        <v/>
      </c>
      <c r="AJ23" s="2" t="str">
        <f>IF(OR('A créer'!D23="Oui",LEN('A créer'!D23)=0),"","*SB")</f>
        <v/>
      </c>
      <c r="AK23" s="2" t="str">
        <f>IF(OR('A créer'!D23="Oui",LEN('A créer'!D23)=0),"","Tab")</f>
        <v/>
      </c>
      <c r="AL23" s="6" t="str">
        <f>IF(OR('A créer'!D23="Oui",LEN('A créer'!D23)=0),"","InterCoSte")</f>
        <v/>
      </c>
      <c r="AM23" s="2" t="str">
        <f>IF(OR('A créer'!D23="Oui",LEN('A créer'!D23)=0),"","Tab")</f>
        <v/>
      </c>
      <c r="AN23" s="2" t="str">
        <f>IF(OR('A créer'!D23="Oui",LEN('A créer'!D23)=0),"","Tab")</f>
        <v/>
      </c>
      <c r="AO23" s="2" t="str">
        <f>IF(OR('A créer'!D23="Oui",LEN('A créer'!D23)=0),"","ENT")</f>
        <v/>
      </c>
      <c r="AP23" s="2" t="str">
        <f>IF(OR('A créer'!D23="Oui",LEN('A créer'!D23)=0),"","ENT")</f>
        <v/>
      </c>
      <c r="AQ23" s="2" t="str">
        <f>IF(OR('A créer'!D23="Oui",LEN('A créer'!D23)=0),"","*SAVE")</f>
        <v/>
      </c>
      <c r="AR23" s="2" t="str">
        <f>IF(OR('A créer'!D23="Oui",LEN('A créer'!D23)=0),"","*UP")</f>
        <v/>
      </c>
      <c r="AS23" s="2" t="str">
        <f>IF(OR('A créer'!D23="Oui",LEN('A créer'!D23)=0),"","*Aé")</f>
        <v/>
      </c>
      <c r="AT23" s="6" t="str">
        <f>IF(OR('A créer'!D23="Oui",LEN('A créer'!D23)=0),"",CONCATENATE('A créer'!B23,'A créer'!A23))</f>
        <v/>
      </c>
      <c r="AU23" s="2" t="str">
        <f>IF(OR('A créer'!D23="Oui",LEN('A créer'!D23)=0),"","Tab")</f>
        <v/>
      </c>
      <c r="AV23" s="2" t="str">
        <f>IF(OR('A créer'!D23="Oui",LEN('A créer'!D23)=0),"","*DN")</f>
        <v/>
      </c>
      <c r="AW23" s="6" t="str">
        <f>IF(OR('A créer'!D23="Oui",LEN('A créer'!D23)=0),"",CONCATENATE("XXX",'A créer'!A23))</f>
        <v/>
      </c>
      <c r="AX23" s="2" t="str">
        <f>IF(OR('A créer'!D23="Oui",LEN('A créer'!D23)=0),"","Tab")</f>
        <v/>
      </c>
      <c r="AY23" s="2" t="str">
        <f>IF(OR('A créer'!D23="Oui",LEN('A créer'!D23)=0),"","*SAVE")</f>
        <v/>
      </c>
      <c r="AZ23" s="2" t="str">
        <f>IF(OR('A créer'!D23="Oui",LEN('A créer'!D23)=0),"","*ML(751,142)")</f>
        <v/>
      </c>
    </row>
    <row r="24" spans="1:52" x14ac:dyDescent="0.35">
      <c r="A24" s="2" t="str">
        <f>IF(OR('A créer'!D24="Oui",LEN('A créer'!D24)=0),IF(AND(LEN('A créer'!B24)&gt;0,'A créer'!B24&lt;&gt;'A créer'!H24)=TRUE,"*FN",""),"*FN")</f>
        <v/>
      </c>
      <c r="B24" s="6" t="str">
        <f>IF(OR('A créer'!D24="Oui",LEN('A créer'!D24)=0),IF(LEN('A créer'!B24)&gt;0,IF('A créer'!B24='A créer'!H24,"",CONCATENATE('A créer'!B24,'A créer'!A24)),""),CONCATENATE('A créer'!B24,'A créer'!A24))</f>
        <v/>
      </c>
      <c r="C24" s="2" t="str">
        <f>IF(OR('A créer'!D24="Oui",LEN('A créer'!D24)=0),IF(AND(LEN('A créer'!B24)&gt;0,'A créer'!B24&lt;&gt;'A créer'!H24)=TRUE,"Tab",""),"Tab")</f>
        <v/>
      </c>
      <c r="D24" s="6" t="str">
        <f>IF(OR('A créer'!D24="Oui",LEN('A créer'!D24)=0),IF(AND(LEN('A créer'!B24)&gt;0,'A créer'!B24&lt;&gt;'A créer'!H24)=TRUE,CONCATENATE('A créer'!B24,'A créer'!A24,"-",'A créer'!C24),""),CONCATENATE('A créer'!B24,'A créer'!A24,"-",'A créer'!C24))</f>
        <v/>
      </c>
      <c r="E24" s="2" t="str">
        <f>IF(OR('A créer'!D24="Oui",LEN('A créer'!D24)=0),IF(AND(LEN('A créer'!B24)&gt;0,'A créer'!B24&lt;&gt;'A créer'!H24)=TRUE,"Tab 4",""),"Tab 4")</f>
        <v/>
      </c>
      <c r="F24" s="2" t="str">
        <f>IF(OR('A créer'!D24="Oui",LEN('A créer'!D24)=0),IF(AND(LEN('A créer'!B24)&gt;0,'A créer'!B24&lt;&gt;'A créer'!H24)=TRUE,"Tab",""),"Tab")</f>
        <v/>
      </c>
      <c r="G24" s="2" t="str">
        <f>IF(OR('A créer'!D24="Oui",LEN('A créer'!D24)=0),IF(AND(LEN('A créer'!B24)&gt;0,'A créer'!B24&lt;&gt;'A créer'!H24)=TRUE,"Tab",""),"Tab")</f>
        <v/>
      </c>
      <c r="H24" s="2" t="str">
        <f>IF(OR('A créer'!D24="Oui",LEN('A créer'!D24)=0),IF(AND(LEN('A créer'!B24)&gt;0,'A créer'!B24&lt;&gt;'A créer'!H24)=TRUE,"ENT",""),"ENT")</f>
        <v/>
      </c>
      <c r="I24" s="6">
        <f>IF('A créer'!D24="Oui",IF(AND(LEN('A créer'!B24)&gt;0,'A créer'!B24&lt;&gt;'A créer'!H24)=TRUE,'A créer'!G24,""),'A créer'!G24)</f>
        <v>0</v>
      </c>
      <c r="J24" s="2" t="str">
        <f>IF(OR('A créer'!D24="Oui",LEN('A créer'!D24)=0),IF(AND(LEN('A créer'!B24)&gt;0,'A créer'!B24&lt;&gt;'A créer'!H24)=TRUE,"Tab",""),"Tab")</f>
        <v/>
      </c>
      <c r="K24" s="6" t="str">
        <f>IF(OR('A créer'!D24="Oui",LEN('A créer'!D24)=0),IF(AND(LEN('A créer'!B24)&gt;0,'A créer'!B24&lt;&gt;'A créer'!H24)=TRUE,"Oui",""),"Oui")</f>
        <v/>
      </c>
      <c r="L24" s="2" t="str">
        <f>IF(OR('A créer'!D24="Oui",LEN('A créer'!D24)=0),IF(AND(LEN('A créer'!B24)&gt;0,'A créer'!B24&lt;&gt;'A créer'!H24)=TRUE,"Tab",""),"Tab")</f>
        <v/>
      </c>
      <c r="M24" s="6" t="str">
        <f>IF(OR('A créer'!D24="Oui",LEN('A créer'!D24)=0),IF(AND(LEN('A créer'!B24)&gt;0,'A créer'!B24&lt;&gt;'A créer'!H24)=TRUE,'A créer'!E24,""),'A créer'!E24)</f>
        <v/>
      </c>
      <c r="N24" s="2" t="str">
        <f>IF(OR('A créer'!D24="Oui",LEN('A créer'!D24)=0),IF(AND(LEN('A créer'!B24)&gt;0,'A créer'!B24&lt;&gt;'A créer'!H24)=TRUE,"ENT",""),"ENT")</f>
        <v/>
      </c>
      <c r="O24" s="2" t="str">
        <f>IF(OR('A créer'!D24="Oui",LEN('A créer'!D24)=0),IF(AND(LEN('A créer'!B24)&gt;0,'A créer'!B24&lt;&gt;'A créer'!H24)=TRUE,"*SAVE",""),"*SAVE")</f>
        <v/>
      </c>
      <c r="P24" s="2" t="str">
        <f>IF(OR('A créer'!D24="Oui",LEN('A créer'!D24)=0),"","*FN")</f>
        <v/>
      </c>
      <c r="Q24" s="6" t="str">
        <f>IF(OR('A créer'!D24="Oui",LEN('A créer'!D24)=0),"",CONCATENATE("XXX",'A créer'!A24))</f>
        <v/>
      </c>
      <c r="R24" s="2" t="str">
        <f>IF(OR('A créer'!D24="Oui",LEN('A créer'!D24)=0),"","Tab")</f>
        <v/>
      </c>
      <c r="S24" s="6" t="str">
        <f>IF(OR('A créer'!D24="Oui",LEN('A créer'!D24)=0),"",CONCATENATE("XXX-",'A créer'!C24))</f>
        <v/>
      </c>
      <c r="T24" s="2" t="str">
        <f>IF(OR('A créer'!D24="Oui",LEN('A créer'!D24)=0),"","Tab 4")</f>
        <v/>
      </c>
      <c r="U24" s="2" t="str">
        <f>IF(OR('A créer'!D24="Oui",LEN('A créer'!D24)=0),"","Tab")</f>
        <v/>
      </c>
      <c r="V24" s="2" t="str">
        <f>IF(OR('A créer'!D24="Oui",LEN('A créer'!D24)=0),"","Tab")</f>
        <v/>
      </c>
      <c r="W24" s="2" t="str">
        <f>IF(OR('A créer'!D24="Oui",LEN('A créer'!D24)=0),"","ENT")</f>
        <v/>
      </c>
      <c r="X24" s="6" t="str">
        <f>IF(OR('A créer'!D24="Oui",LEN('A créer'!D24)=0),"",'A créer'!G24)</f>
        <v/>
      </c>
      <c r="Y24" s="2" t="str">
        <f>IF(OR('A créer'!D24="Oui",LEN('A créer'!D24)=0),"","Tab")</f>
        <v/>
      </c>
      <c r="Z24" s="6" t="str">
        <f>IF(OR('A créer'!D24="Oui",LEN('A créer'!D24)=0),"","Oui")</f>
        <v/>
      </c>
      <c r="AA24" s="2" t="str">
        <f>IF(OR('A créer'!D24="Oui",LEN('A créer'!D24)=0),"","Tab")</f>
        <v/>
      </c>
      <c r="AB24" s="6" t="str">
        <f>IF(OR('A créer'!D24="Oui",LEN('A créer'!D24)=0),"","NON")</f>
        <v/>
      </c>
      <c r="AC24" s="2" t="str">
        <f>IF(OR('A créer'!D24="Oui",LEN('A créer'!D24)=0),"","ENT")</f>
        <v/>
      </c>
      <c r="AD24" s="2" t="str">
        <f>IF(OR('A créer'!D24="Oui",LEN('A créer'!D24)=0),"","*SAVE")</f>
        <v/>
      </c>
      <c r="AE24" s="2" t="str">
        <f>IF(OR('A créer'!D24="Oui",LEN('A créer'!D24)=0),"","*FN")</f>
        <v/>
      </c>
      <c r="AF24" s="6" t="str">
        <f>IF(OR('A créer'!D24="Oui",LEN('A créer'!D24)=0),"",'A créer'!A24)</f>
        <v/>
      </c>
      <c r="AG24" s="2" t="str">
        <f>IF(OR('A créer'!D24="Oui",LEN('A créer'!D24)=0),"","Tab")</f>
        <v/>
      </c>
      <c r="AH24" s="6" t="str">
        <f>IF(OR('A créer'!D24="Oui",LEN('A créer'!D24)=0),"",'A créer'!C24)</f>
        <v/>
      </c>
      <c r="AI24" s="2" t="str">
        <f>IF(OR('A créer'!D24="Oui",LEN('A créer'!D24)=0),"","Tab 4")</f>
        <v/>
      </c>
      <c r="AJ24" s="2" t="str">
        <f>IF(OR('A créer'!D24="Oui",LEN('A créer'!D24)=0),"","*SB")</f>
        <v/>
      </c>
      <c r="AK24" s="2" t="str">
        <f>IF(OR('A créer'!D24="Oui",LEN('A créer'!D24)=0),"","Tab")</f>
        <v/>
      </c>
      <c r="AL24" s="6" t="str">
        <f>IF(OR('A créer'!D24="Oui",LEN('A créer'!D24)=0),"","InterCoSte")</f>
        <v/>
      </c>
      <c r="AM24" s="2" t="str">
        <f>IF(OR('A créer'!D24="Oui",LEN('A créer'!D24)=0),"","Tab")</f>
        <v/>
      </c>
      <c r="AN24" s="2" t="str">
        <f>IF(OR('A créer'!D24="Oui",LEN('A créer'!D24)=0),"","Tab")</f>
        <v/>
      </c>
      <c r="AO24" s="2" t="str">
        <f>IF(OR('A créer'!D24="Oui",LEN('A créer'!D24)=0),"","ENT")</f>
        <v/>
      </c>
      <c r="AP24" s="2" t="str">
        <f>IF(OR('A créer'!D24="Oui",LEN('A créer'!D24)=0),"","ENT")</f>
        <v/>
      </c>
      <c r="AQ24" s="2" t="str">
        <f>IF(OR('A créer'!D24="Oui",LEN('A créer'!D24)=0),"","*SAVE")</f>
        <v/>
      </c>
      <c r="AR24" s="2" t="str">
        <f>IF(OR('A créer'!D24="Oui",LEN('A créer'!D24)=0),"","*UP")</f>
        <v/>
      </c>
      <c r="AS24" s="2" t="str">
        <f>IF(OR('A créer'!D24="Oui",LEN('A créer'!D24)=0),"","*Aé")</f>
        <v/>
      </c>
      <c r="AT24" s="6" t="str">
        <f>IF(OR('A créer'!D24="Oui",LEN('A créer'!D24)=0),"",CONCATENATE('A créer'!B24,'A créer'!A24))</f>
        <v/>
      </c>
      <c r="AU24" s="2" t="str">
        <f>IF(OR('A créer'!D24="Oui",LEN('A créer'!D24)=0),"","Tab")</f>
        <v/>
      </c>
      <c r="AV24" s="2" t="str">
        <f>IF(OR('A créer'!D24="Oui",LEN('A créer'!D24)=0),"","*DN")</f>
        <v/>
      </c>
      <c r="AW24" s="6" t="str">
        <f>IF(OR('A créer'!D24="Oui",LEN('A créer'!D24)=0),"",CONCATENATE("XXX",'A créer'!A24))</f>
        <v/>
      </c>
      <c r="AX24" s="2" t="str">
        <f>IF(OR('A créer'!D24="Oui",LEN('A créer'!D24)=0),"","Tab")</f>
        <v/>
      </c>
      <c r="AY24" s="2" t="str">
        <f>IF(OR('A créer'!D24="Oui",LEN('A créer'!D24)=0),"","*SAVE")</f>
        <v/>
      </c>
      <c r="AZ24" s="2" t="str">
        <f>IF(OR('A créer'!D24="Oui",LEN('A créer'!D24)=0),"","*ML(751,142)")</f>
        <v/>
      </c>
    </row>
    <row r="25" spans="1:52" x14ac:dyDescent="0.35">
      <c r="A25" s="2" t="str">
        <f>IF(OR('A créer'!D25="Oui",LEN('A créer'!D25)=0),IF(AND(LEN('A créer'!B25)&gt;0,'A créer'!B25&lt;&gt;'A créer'!H25)=TRUE,"*FN",""),"*FN")</f>
        <v/>
      </c>
      <c r="B25" s="6" t="str">
        <f>IF(OR('A créer'!D25="Oui",LEN('A créer'!D25)=0),IF(LEN('A créer'!B25)&gt;0,IF('A créer'!B25='A créer'!H25,"",CONCATENATE('A créer'!B25,'A créer'!A25)),""),CONCATENATE('A créer'!B25,'A créer'!A25))</f>
        <v/>
      </c>
      <c r="C25" s="2" t="str">
        <f>IF(OR('A créer'!D25="Oui",LEN('A créer'!D25)=0),IF(AND(LEN('A créer'!B25)&gt;0,'A créer'!B25&lt;&gt;'A créer'!H25)=TRUE,"Tab",""),"Tab")</f>
        <v/>
      </c>
      <c r="D25" s="6" t="str">
        <f>IF(OR('A créer'!D25="Oui",LEN('A créer'!D25)=0),IF(AND(LEN('A créer'!B25)&gt;0,'A créer'!B25&lt;&gt;'A créer'!H25)=TRUE,CONCATENATE('A créer'!B25,'A créer'!A25,"-",'A créer'!C25),""),CONCATENATE('A créer'!B25,'A créer'!A25,"-",'A créer'!C25))</f>
        <v/>
      </c>
      <c r="E25" s="2" t="str">
        <f>IF(OR('A créer'!D25="Oui",LEN('A créer'!D25)=0),IF(AND(LEN('A créer'!B25)&gt;0,'A créer'!B25&lt;&gt;'A créer'!H25)=TRUE,"Tab 4",""),"Tab 4")</f>
        <v/>
      </c>
      <c r="F25" s="2" t="str">
        <f>IF(OR('A créer'!D25="Oui",LEN('A créer'!D25)=0),IF(AND(LEN('A créer'!B25)&gt;0,'A créer'!B25&lt;&gt;'A créer'!H25)=TRUE,"Tab",""),"Tab")</f>
        <v/>
      </c>
      <c r="G25" s="2" t="str">
        <f>IF(OR('A créer'!D25="Oui",LEN('A créer'!D25)=0),IF(AND(LEN('A créer'!B25)&gt;0,'A créer'!B25&lt;&gt;'A créer'!H25)=TRUE,"Tab",""),"Tab")</f>
        <v/>
      </c>
      <c r="H25" s="2" t="str">
        <f>IF(OR('A créer'!D25="Oui",LEN('A créer'!D25)=0),IF(AND(LEN('A créer'!B25)&gt;0,'A créer'!B25&lt;&gt;'A créer'!H25)=TRUE,"ENT",""),"ENT")</f>
        <v/>
      </c>
      <c r="I25" s="6">
        <f>IF('A créer'!D25="Oui",IF(AND(LEN('A créer'!B25)&gt;0,'A créer'!B25&lt;&gt;'A créer'!H25)=TRUE,'A créer'!G25,""),'A créer'!G25)</f>
        <v>0</v>
      </c>
      <c r="J25" s="2" t="str">
        <f>IF(OR('A créer'!D25="Oui",LEN('A créer'!D25)=0),IF(AND(LEN('A créer'!B25)&gt;0,'A créer'!B25&lt;&gt;'A créer'!H25)=TRUE,"Tab",""),"Tab")</f>
        <v/>
      </c>
      <c r="K25" s="6" t="str">
        <f>IF(OR('A créer'!D25="Oui",LEN('A créer'!D25)=0),IF(AND(LEN('A créer'!B25)&gt;0,'A créer'!B25&lt;&gt;'A créer'!H25)=TRUE,"Oui",""),"Oui")</f>
        <v/>
      </c>
      <c r="L25" s="2" t="str">
        <f>IF(OR('A créer'!D25="Oui",LEN('A créer'!D25)=0),IF(AND(LEN('A créer'!B25)&gt;0,'A créer'!B25&lt;&gt;'A créer'!H25)=TRUE,"Tab",""),"Tab")</f>
        <v/>
      </c>
      <c r="M25" s="6" t="str">
        <f>IF(OR('A créer'!D25="Oui",LEN('A créer'!D25)=0),IF(AND(LEN('A créer'!B25)&gt;0,'A créer'!B25&lt;&gt;'A créer'!H25)=TRUE,'A créer'!E25,""),'A créer'!E25)</f>
        <v/>
      </c>
      <c r="N25" s="2" t="str">
        <f>IF(OR('A créer'!D25="Oui",LEN('A créer'!D25)=0),IF(AND(LEN('A créer'!B25)&gt;0,'A créer'!B25&lt;&gt;'A créer'!H25)=TRUE,"ENT",""),"ENT")</f>
        <v/>
      </c>
      <c r="O25" s="2" t="str">
        <f>IF(OR('A créer'!D25="Oui",LEN('A créer'!D25)=0),IF(AND(LEN('A créer'!B25)&gt;0,'A créer'!B25&lt;&gt;'A créer'!H25)=TRUE,"*SAVE",""),"*SAVE")</f>
        <v/>
      </c>
      <c r="P25" s="2" t="str">
        <f>IF(OR('A créer'!D25="Oui",LEN('A créer'!D25)=0),"","*FN")</f>
        <v/>
      </c>
      <c r="Q25" s="6" t="str">
        <f>IF(OR('A créer'!D25="Oui",LEN('A créer'!D25)=0),"",CONCATENATE("XXX",'A créer'!A25))</f>
        <v/>
      </c>
      <c r="R25" s="2" t="str">
        <f>IF(OR('A créer'!D25="Oui",LEN('A créer'!D25)=0),"","Tab")</f>
        <v/>
      </c>
      <c r="S25" s="6" t="str">
        <f>IF(OR('A créer'!D25="Oui",LEN('A créer'!D25)=0),"",CONCATENATE("XXX-",'A créer'!C25))</f>
        <v/>
      </c>
      <c r="T25" s="2" t="str">
        <f>IF(OR('A créer'!D25="Oui",LEN('A créer'!D25)=0),"","Tab 4")</f>
        <v/>
      </c>
      <c r="U25" s="2" t="str">
        <f>IF(OR('A créer'!D25="Oui",LEN('A créer'!D25)=0),"","Tab")</f>
        <v/>
      </c>
      <c r="V25" s="2" t="str">
        <f>IF(OR('A créer'!D25="Oui",LEN('A créer'!D25)=0),"","Tab")</f>
        <v/>
      </c>
      <c r="W25" s="2" t="str">
        <f>IF(OR('A créer'!D25="Oui",LEN('A créer'!D25)=0),"","ENT")</f>
        <v/>
      </c>
      <c r="X25" s="6" t="str">
        <f>IF(OR('A créer'!D25="Oui",LEN('A créer'!D25)=0),"",'A créer'!G25)</f>
        <v/>
      </c>
      <c r="Y25" s="2" t="str">
        <f>IF(OR('A créer'!D25="Oui",LEN('A créer'!D25)=0),"","Tab")</f>
        <v/>
      </c>
      <c r="Z25" s="6" t="str">
        <f>IF(OR('A créer'!D25="Oui",LEN('A créer'!D25)=0),"","Oui")</f>
        <v/>
      </c>
      <c r="AA25" s="2" t="str">
        <f>IF(OR('A créer'!D25="Oui",LEN('A créer'!D25)=0),"","Tab")</f>
        <v/>
      </c>
      <c r="AB25" s="6" t="str">
        <f>IF(OR('A créer'!D25="Oui",LEN('A créer'!D25)=0),"","NON")</f>
        <v/>
      </c>
      <c r="AC25" s="2" t="str">
        <f>IF(OR('A créer'!D25="Oui",LEN('A créer'!D25)=0),"","ENT")</f>
        <v/>
      </c>
      <c r="AD25" s="2" t="str">
        <f>IF(OR('A créer'!D25="Oui",LEN('A créer'!D25)=0),"","*SAVE")</f>
        <v/>
      </c>
      <c r="AE25" s="2" t="str">
        <f>IF(OR('A créer'!D25="Oui",LEN('A créer'!D25)=0),"","*FN")</f>
        <v/>
      </c>
      <c r="AF25" s="6" t="str">
        <f>IF(OR('A créer'!D25="Oui",LEN('A créer'!D25)=0),"",'A créer'!A25)</f>
        <v/>
      </c>
      <c r="AG25" s="2" t="str">
        <f>IF(OR('A créer'!D25="Oui",LEN('A créer'!D25)=0),"","Tab")</f>
        <v/>
      </c>
      <c r="AH25" s="6" t="str">
        <f>IF(OR('A créer'!D25="Oui",LEN('A créer'!D25)=0),"",'A créer'!C25)</f>
        <v/>
      </c>
      <c r="AI25" s="2" t="str">
        <f>IF(OR('A créer'!D25="Oui",LEN('A créer'!D25)=0),"","Tab 4")</f>
        <v/>
      </c>
      <c r="AJ25" s="2" t="str">
        <f>IF(OR('A créer'!D25="Oui",LEN('A créer'!D25)=0),"","*SB")</f>
        <v/>
      </c>
      <c r="AK25" s="2" t="str">
        <f>IF(OR('A créer'!D25="Oui",LEN('A créer'!D25)=0),"","Tab")</f>
        <v/>
      </c>
      <c r="AL25" s="6" t="str">
        <f>IF(OR('A créer'!D25="Oui",LEN('A créer'!D25)=0),"","InterCoSte")</f>
        <v/>
      </c>
      <c r="AM25" s="2" t="str">
        <f>IF(OR('A créer'!D25="Oui",LEN('A créer'!D25)=0),"","Tab")</f>
        <v/>
      </c>
      <c r="AN25" s="2" t="str">
        <f>IF(OR('A créer'!D25="Oui",LEN('A créer'!D25)=0),"","Tab")</f>
        <v/>
      </c>
      <c r="AO25" s="2" t="str">
        <f>IF(OR('A créer'!D25="Oui",LEN('A créer'!D25)=0),"","ENT")</f>
        <v/>
      </c>
      <c r="AP25" s="2" t="str">
        <f>IF(OR('A créer'!D25="Oui",LEN('A créer'!D25)=0),"","ENT")</f>
        <v/>
      </c>
      <c r="AQ25" s="2" t="str">
        <f>IF(OR('A créer'!D25="Oui",LEN('A créer'!D25)=0),"","*SAVE")</f>
        <v/>
      </c>
      <c r="AR25" s="2" t="str">
        <f>IF(OR('A créer'!D25="Oui",LEN('A créer'!D25)=0),"","*UP")</f>
        <v/>
      </c>
      <c r="AS25" s="2" t="str">
        <f>IF(OR('A créer'!D25="Oui",LEN('A créer'!D25)=0),"","*Aé")</f>
        <v/>
      </c>
      <c r="AT25" s="6" t="str">
        <f>IF(OR('A créer'!D25="Oui",LEN('A créer'!D25)=0),"",CONCATENATE('A créer'!B25,'A créer'!A25))</f>
        <v/>
      </c>
      <c r="AU25" s="2" t="str">
        <f>IF(OR('A créer'!D25="Oui",LEN('A créer'!D25)=0),"","Tab")</f>
        <v/>
      </c>
      <c r="AV25" s="2" t="str">
        <f>IF(OR('A créer'!D25="Oui",LEN('A créer'!D25)=0),"","*DN")</f>
        <v/>
      </c>
      <c r="AW25" s="6" t="str">
        <f>IF(OR('A créer'!D25="Oui",LEN('A créer'!D25)=0),"",CONCATENATE("XXX",'A créer'!A25))</f>
        <v/>
      </c>
      <c r="AX25" s="2" t="str">
        <f>IF(OR('A créer'!D25="Oui",LEN('A créer'!D25)=0),"","Tab")</f>
        <v/>
      </c>
      <c r="AY25" s="2" t="str">
        <f>IF(OR('A créer'!D25="Oui",LEN('A créer'!D25)=0),"","*SAVE")</f>
        <v/>
      </c>
      <c r="AZ25" s="2" t="str">
        <f>IF(OR('A créer'!D25="Oui",LEN('A créer'!D25)=0),"","*ML(751,142)")</f>
        <v/>
      </c>
    </row>
    <row r="26" spans="1:52" x14ac:dyDescent="0.35">
      <c r="A26" s="2" t="str">
        <f>IF(OR('A créer'!D26="Oui",LEN('A créer'!D26)=0),IF(AND(LEN('A créer'!B26)&gt;0,'A créer'!B26&lt;&gt;'A créer'!H26)=TRUE,"*FN",""),"*FN")</f>
        <v/>
      </c>
      <c r="B26" s="6" t="str">
        <f>IF(OR('A créer'!D26="Oui",LEN('A créer'!D26)=0),IF(LEN('A créer'!B26)&gt;0,IF('A créer'!B26='A créer'!H26,"",CONCATENATE('A créer'!B26,'A créer'!A26)),""),CONCATENATE('A créer'!B26,'A créer'!A26))</f>
        <v/>
      </c>
      <c r="C26" s="2" t="str">
        <f>IF(OR('A créer'!D26="Oui",LEN('A créer'!D26)=0),IF(AND(LEN('A créer'!B26)&gt;0,'A créer'!B26&lt;&gt;'A créer'!H26)=TRUE,"Tab",""),"Tab")</f>
        <v/>
      </c>
      <c r="D26" s="6" t="str">
        <f>IF(OR('A créer'!D26="Oui",LEN('A créer'!D26)=0),IF(AND(LEN('A créer'!B26)&gt;0,'A créer'!B26&lt;&gt;'A créer'!H26)=TRUE,CONCATENATE('A créer'!B26,'A créer'!A26,"-",'A créer'!C26),""),CONCATENATE('A créer'!B26,'A créer'!A26,"-",'A créer'!C26))</f>
        <v/>
      </c>
      <c r="E26" s="2" t="str">
        <f>IF(OR('A créer'!D26="Oui",LEN('A créer'!D26)=0),IF(AND(LEN('A créer'!B26)&gt;0,'A créer'!B26&lt;&gt;'A créer'!H26)=TRUE,"Tab 4",""),"Tab 4")</f>
        <v/>
      </c>
      <c r="F26" s="2" t="str">
        <f>IF(OR('A créer'!D26="Oui",LEN('A créer'!D26)=0),IF(AND(LEN('A créer'!B26)&gt;0,'A créer'!B26&lt;&gt;'A créer'!H26)=TRUE,"Tab",""),"Tab")</f>
        <v/>
      </c>
      <c r="G26" s="2" t="str">
        <f>IF(OR('A créer'!D26="Oui",LEN('A créer'!D26)=0),IF(AND(LEN('A créer'!B26)&gt;0,'A créer'!B26&lt;&gt;'A créer'!H26)=TRUE,"Tab",""),"Tab")</f>
        <v/>
      </c>
      <c r="H26" s="2" t="str">
        <f>IF(OR('A créer'!D26="Oui",LEN('A créer'!D26)=0),IF(AND(LEN('A créer'!B26)&gt;0,'A créer'!B26&lt;&gt;'A créer'!H26)=TRUE,"ENT",""),"ENT")</f>
        <v/>
      </c>
      <c r="I26" s="6">
        <f>IF('A créer'!D26="Oui",IF(AND(LEN('A créer'!B26)&gt;0,'A créer'!B26&lt;&gt;'A créer'!H26)=TRUE,'A créer'!G26,""),'A créer'!G26)</f>
        <v>0</v>
      </c>
      <c r="J26" s="2" t="str">
        <f>IF(OR('A créer'!D26="Oui",LEN('A créer'!D26)=0),IF(AND(LEN('A créer'!B26)&gt;0,'A créer'!B26&lt;&gt;'A créer'!H26)=TRUE,"Tab",""),"Tab")</f>
        <v/>
      </c>
      <c r="K26" s="6" t="str">
        <f>IF(OR('A créer'!D26="Oui",LEN('A créer'!D26)=0),IF(AND(LEN('A créer'!B26)&gt;0,'A créer'!B26&lt;&gt;'A créer'!H26)=TRUE,"Oui",""),"Oui")</f>
        <v/>
      </c>
      <c r="L26" s="2" t="str">
        <f>IF(OR('A créer'!D26="Oui",LEN('A créer'!D26)=0),IF(AND(LEN('A créer'!B26)&gt;0,'A créer'!B26&lt;&gt;'A créer'!H26)=TRUE,"Tab",""),"Tab")</f>
        <v/>
      </c>
      <c r="M26" s="6" t="str">
        <f>IF(OR('A créer'!D26="Oui",LEN('A créer'!D26)=0),IF(AND(LEN('A créer'!B26)&gt;0,'A créer'!B26&lt;&gt;'A créer'!H26)=TRUE,'A créer'!E26,""),'A créer'!E26)</f>
        <v/>
      </c>
      <c r="N26" s="2" t="str">
        <f>IF(OR('A créer'!D26="Oui",LEN('A créer'!D26)=0),IF(AND(LEN('A créer'!B26)&gt;0,'A créer'!B26&lt;&gt;'A créer'!H26)=TRUE,"ENT",""),"ENT")</f>
        <v/>
      </c>
      <c r="O26" s="2" t="str">
        <f>IF(OR('A créer'!D26="Oui",LEN('A créer'!D26)=0),IF(AND(LEN('A créer'!B26)&gt;0,'A créer'!B26&lt;&gt;'A créer'!H26)=TRUE,"*SAVE",""),"*SAVE")</f>
        <v/>
      </c>
      <c r="P26" s="2" t="str">
        <f>IF(OR('A créer'!D26="Oui",LEN('A créer'!D26)=0),"","*FN")</f>
        <v/>
      </c>
      <c r="Q26" s="6" t="str">
        <f>IF(OR('A créer'!D26="Oui",LEN('A créer'!D26)=0),"",CONCATENATE("XXX",'A créer'!A26))</f>
        <v/>
      </c>
      <c r="R26" s="2" t="str">
        <f>IF(OR('A créer'!D26="Oui",LEN('A créer'!D26)=0),"","Tab")</f>
        <v/>
      </c>
      <c r="S26" s="6" t="str">
        <f>IF(OR('A créer'!D26="Oui",LEN('A créer'!D26)=0),"",CONCATENATE("XXX-",'A créer'!C26))</f>
        <v/>
      </c>
      <c r="T26" s="2" t="str">
        <f>IF(OR('A créer'!D26="Oui",LEN('A créer'!D26)=0),"","Tab 4")</f>
        <v/>
      </c>
      <c r="U26" s="2" t="str">
        <f>IF(OR('A créer'!D26="Oui",LEN('A créer'!D26)=0),"","Tab")</f>
        <v/>
      </c>
      <c r="V26" s="2" t="str">
        <f>IF(OR('A créer'!D26="Oui",LEN('A créer'!D26)=0),"","Tab")</f>
        <v/>
      </c>
      <c r="W26" s="2" t="str">
        <f>IF(OR('A créer'!D26="Oui",LEN('A créer'!D26)=0),"","ENT")</f>
        <v/>
      </c>
      <c r="X26" s="6" t="str">
        <f>IF(OR('A créer'!D26="Oui",LEN('A créer'!D26)=0),"",'A créer'!G26)</f>
        <v/>
      </c>
      <c r="Y26" s="2" t="str">
        <f>IF(OR('A créer'!D26="Oui",LEN('A créer'!D26)=0),"","Tab")</f>
        <v/>
      </c>
      <c r="Z26" s="6" t="str">
        <f>IF(OR('A créer'!D26="Oui",LEN('A créer'!D26)=0),"","Oui")</f>
        <v/>
      </c>
      <c r="AA26" s="2" t="str">
        <f>IF(OR('A créer'!D26="Oui",LEN('A créer'!D26)=0),"","Tab")</f>
        <v/>
      </c>
      <c r="AB26" s="6" t="str">
        <f>IF(OR('A créer'!D26="Oui",LEN('A créer'!D26)=0),"","NON")</f>
        <v/>
      </c>
      <c r="AC26" s="2" t="str">
        <f>IF(OR('A créer'!D26="Oui",LEN('A créer'!D26)=0),"","ENT")</f>
        <v/>
      </c>
      <c r="AD26" s="2" t="str">
        <f>IF(OR('A créer'!D26="Oui",LEN('A créer'!D26)=0),"","*SAVE")</f>
        <v/>
      </c>
      <c r="AE26" s="2" t="str">
        <f>IF(OR('A créer'!D26="Oui",LEN('A créer'!D26)=0),"","*FN")</f>
        <v/>
      </c>
      <c r="AF26" s="6" t="str">
        <f>IF(OR('A créer'!D26="Oui",LEN('A créer'!D26)=0),"",'A créer'!A26)</f>
        <v/>
      </c>
      <c r="AG26" s="2" t="str">
        <f>IF(OR('A créer'!D26="Oui",LEN('A créer'!D26)=0),"","Tab")</f>
        <v/>
      </c>
      <c r="AH26" s="6" t="str">
        <f>IF(OR('A créer'!D26="Oui",LEN('A créer'!D26)=0),"",'A créer'!C26)</f>
        <v/>
      </c>
      <c r="AI26" s="2" t="str">
        <f>IF(OR('A créer'!D26="Oui",LEN('A créer'!D26)=0),"","Tab 4")</f>
        <v/>
      </c>
      <c r="AJ26" s="2" t="str">
        <f>IF(OR('A créer'!D26="Oui",LEN('A créer'!D26)=0),"","*SB")</f>
        <v/>
      </c>
      <c r="AK26" s="2" t="str">
        <f>IF(OR('A créer'!D26="Oui",LEN('A créer'!D26)=0),"","Tab")</f>
        <v/>
      </c>
      <c r="AL26" s="6" t="str">
        <f>IF(OR('A créer'!D26="Oui",LEN('A créer'!D26)=0),"","InterCoSte")</f>
        <v/>
      </c>
      <c r="AM26" s="2" t="str">
        <f>IF(OR('A créer'!D26="Oui",LEN('A créer'!D26)=0),"","Tab")</f>
        <v/>
      </c>
      <c r="AN26" s="2" t="str">
        <f>IF(OR('A créer'!D26="Oui",LEN('A créer'!D26)=0),"","Tab")</f>
        <v/>
      </c>
      <c r="AO26" s="2" t="str">
        <f>IF(OR('A créer'!D26="Oui",LEN('A créer'!D26)=0),"","ENT")</f>
        <v/>
      </c>
      <c r="AP26" s="2" t="str">
        <f>IF(OR('A créer'!D26="Oui",LEN('A créer'!D26)=0),"","ENT")</f>
        <v/>
      </c>
      <c r="AQ26" s="2" t="str">
        <f>IF(OR('A créer'!D26="Oui",LEN('A créer'!D26)=0),"","*SAVE")</f>
        <v/>
      </c>
      <c r="AR26" s="2" t="str">
        <f>IF(OR('A créer'!D26="Oui",LEN('A créer'!D26)=0),"","*UP")</f>
        <v/>
      </c>
      <c r="AS26" s="2" t="str">
        <f>IF(OR('A créer'!D26="Oui",LEN('A créer'!D26)=0),"","*Aé")</f>
        <v/>
      </c>
      <c r="AT26" s="6" t="str">
        <f>IF(OR('A créer'!D26="Oui",LEN('A créer'!D26)=0),"",CONCATENATE('A créer'!B26,'A créer'!A26))</f>
        <v/>
      </c>
      <c r="AU26" s="2" t="str">
        <f>IF(OR('A créer'!D26="Oui",LEN('A créer'!D26)=0),"","Tab")</f>
        <v/>
      </c>
      <c r="AV26" s="2" t="str">
        <f>IF(OR('A créer'!D26="Oui",LEN('A créer'!D26)=0),"","*DN")</f>
        <v/>
      </c>
      <c r="AW26" s="6" t="str">
        <f>IF(OR('A créer'!D26="Oui",LEN('A créer'!D26)=0),"",CONCATENATE("XXX",'A créer'!A26))</f>
        <v/>
      </c>
      <c r="AX26" s="2" t="str">
        <f>IF(OR('A créer'!D26="Oui",LEN('A créer'!D26)=0),"","Tab")</f>
        <v/>
      </c>
      <c r="AY26" s="2" t="str">
        <f>IF(OR('A créer'!D26="Oui",LEN('A créer'!D26)=0),"","*SAVE")</f>
        <v/>
      </c>
      <c r="AZ26" s="2" t="str">
        <f>IF(OR('A créer'!D26="Oui",LEN('A créer'!D26)=0),"","*ML(751,142)")</f>
        <v/>
      </c>
    </row>
    <row r="27" spans="1:52" x14ac:dyDescent="0.35">
      <c r="A27" s="2" t="str">
        <f>IF(OR('A créer'!D27="Oui",LEN('A créer'!D27)=0),IF(AND(LEN('A créer'!B27)&gt;0,'A créer'!B27&lt;&gt;'A créer'!H27)=TRUE,"*FN",""),"*FN")</f>
        <v/>
      </c>
      <c r="B27" s="6" t="str">
        <f>IF(OR('A créer'!D27="Oui",LEN('A créer'!D27)=0),IF(LEN('A créer'!B27)&gt;0,IF('A créer'!B27='A créer'!H27,"",CONCATENATE('A créer'!B27,'A créer'!A27)),""),CONCATENATE('A créer'!B27,'A créer'!A27))</f>
        <v/>
      </c>
      <c r="C27" s="2" t="str">
        <f>IF(OR('A créer'!D27="Oui",LEN('A créer'!D27)=0),IF(AND(LEN('A créer'!B27)&gt;0,'A créer'!B27&lt;&gt;'A créer'!H27)=TRUE,"Tab",""),"Tab")</f>
        <v/>
      </c>
      <c r="D27" s="6" t="str">
        <f>IF(OR('A créer'!D27="Oui",LEN('A créer'!D27)=0),IF(AND(LEN('A créer'!B27)&gt;0,'A créer'!B27&lt;&gt;'A créer'!H27)=TRUE,CONCATENATE('A créer'!B27,'A créer'!A27,"-",'A créer'!C27),""),CONCATENATE('A créer'!B27,'A créer'!A27,"-",'A créer'!C27))</f>
        <v/>
      </c>
      <c r="E27" s="2" t="str">
        <f>IF(OR('A créer'!D27="Oui",LEN('A créer'!D27)=0),IF(AND(LEN('A créer'!B27)&gt;0,'A créer'!B27&lt;&gt;'A créer'!H27)=TRUE,"Tab 4",""),"Tab 4")</f>
        <v/>
      </c>
      <c r="F27" s="2" t="str">
        <f>IF(OR('A créer'!D27="Oui",LEN('A créer'!D27)=0),IF(AND(LEN('A créer'!B27)&gt;0,'A créer'!B27&lt;&gt;'A créer'!H27)=TRUE,"Tab",""),"Tab")</f>
        <v/>
      </c>
      <c r="G27" s="2" t="str">
        <f>IF(OR('A créer'!D27="Oui",LEN('A créer'!D27)=0),IF(AND(LEN('A créer'!B27)&gt;0,'A créer'!B27&lt;&gt;'A créer'!H27)=TRUE,"Tab",""),"Tab")</f>
        <v/>
      </c>
      <c r="H27" s="2" t="str">
        <f>IF(OR('A créer'!D27="Oui",LEN('A créer'!D27)=0),IF(AND(LEN('A créer'!B27)&gt;0,'A créer'!B27&lt;&gt;'A créer'!H27)=TRUE,"ENT",""),"ENT")</f>
        <v/>
      </c>
      <c r="I27" s="6">
        <f>IF('A créer'!D27="Oui",IF(AND(LEN('A créer'!B27)&gt;0,'A créer'!B27&lt;&gt;'A créer'!H27)=TRUE,'A créer'!G27,""),'A créer'!G27)</f>
        <v>0</v>
      </c>
      <c r="J27" s="2" t="str">
        <f>IF(OR('A créer'!D27="Oui",LEN('A créer'!D27)=0),IF(AND(LEN('A créer'!B27)&gt;0,'A créer'!B27&lt;&gt;'A créer'!H27)=TRUE,"Tab",""),"Tab")</f>
        <v/>
      </c>
      <c r="K27" s="6" t="str">
        <f>IF(OR('A créer'!D27="Oui",LEN('A créer'!D27)=0),IF(AND(LEN('A créer'!B27)&gt;0,'A créer'!B27&lt;&gt;'A créer'!H27)=TRUE,"Oui",""),"Oui")</f>
        <v/>
      </c>
      <c r="L27" s="2" t="str">
        <f>IF(OR('A créer'!D27="Oui",LEN('A créer'!D27)=0),IF(AND(LEN('A créer'!B27)&gt;0,'A créer'!B27&lt;&gt;'A créer'!H27)=TRUE,"Tab",""),"Tab")</f>
        <v/>
      </c>
      <c r="M27" s="6" t="str">
        <f>IF(OR('A créer'!D27="Oui",LEN('A créer'!D27)=0),IF(AND(LEN('A créer'!B27)&gt;0,'A créer'!B27&lt;&gt;'A créer'!H27)=TRUE,'A créer'!E27,""),'A créer'!E27)</f>
        <v/>
      </c>
      <c r="N27" s="2" t="str">
        <f>IF(OR('A créer'!D27="Oui",LEN('A créer'!D27)=0),IF(AND(LEN('A créer'!B27)&gt;0,'A créer'!B27&lt;&gt;'A créer'!H27)=TRUE,"ENT",""),"ENT")</f>
        <v/>
      </c>
      <c r="O27" s="2" t="str">
        <f>IF(OR('A créer'!D27="Oui",LEN('A créer'!D27)=0),IF(AND(LEN('A créer'!B27)&gt;0,'A créer'!B27&lt;&gt;'A créer'!H27)=TRUE,"*SAVE",""),"*SAVE")</f>
        <v/>
      </c>
      <c r="P27" s="2" t="str">
        <f>IF(OR('A créer'!D27="Oui",LEN('A créer'!D27)=0),"","*FN")</f>
        <v/>
      </c>
      <c r="Q27" s="6" t="str">
        <f>IF(OR('A créer'!D27="Oui",LEN('A créer'!D27)=0),"",CONCATENATE("XXX",'A créer'!A27))</f>
        <v/>
      </c>
      <c r="R27" s="2" t="str">
        <f>IF(OR('A créer'!D27="Oui",LEN('A créer'!D27)=0),"","Tab")</f>
        <v/>
      </c>
      <c r="S27" s="6" t="str">
        <f>IF(OR('A créer'!D27="Oui",LEN('A créer'!D27)=0),"",CONCATENATE("XXX-",'A créer'!C27))</f>
        <v/>
      </c>
      <c r="T27" s="2" t="str">
        <f>IF(OR('A créer'!D27="Oui",LEN('A créer'!D27)=0),"","Tab 4")</f>
        <v/>
      </c>
      <c r="U27" s="2" t="str">
        <f>IF(OR('A créer'!D27="Oui",LEN('A créer'!D27)=0),"","Tab")</f>
        <v/>
      </c>
      <c r="V27" s="2" t="str">
        <f>IF(OR('A créer'!D27="Oui",LEN('A créer'!D27)=0),"","Tab")</f>
        <v/>
      </c>
      <c r="W27" s="2" t="str">
        <f>IF(OR('A créer'!D27="Oui",LEN('A créer'!D27)=0),"","ENT")</f>
        <v/>
      </c>
      <c r="X27" s="6" t="str">
        <f>IF(OR('A créer'!D27="Oui",LEN('A créer'!D27)=0),"",'A créer'!G27)</f>
        <v/>
      </c>
      <c r="Y27" s="2" t="str">
        <f>IF(OR('A créer'!D27="Oui",LEN('A créer'!D27)=0),"","Tab")</f>
        <v/>
      </c>
      <c r="Z27" s="6" t="str">
        <f>IF(OR('A créer'!D27="Oui",LEN('A créer'!D27)=0),"","Oui")</f>
        <v/>
      </c>
      <c r="AA27" s="2" t="str">
        <f>IF(OR('A créer'!D27="Oui",LEN('A créer'!D27)=0),"","Tab")</f>
        <v/>
      </c>
      <c r="AB27" s="6" t="str">
        <f>IF(OR('A créer'!D27="Oui",LEN('A créer'!D27)=0),"","NON")</f>
        <v/>
      </c>
      <c r="AC27" s="2" t="str">
        <f>IF(OR('A créer'!D27="Oui",LEN('A créer'!D27)=0),"","ENT")</f>
        <v/>
      </c>
      <c r="AD27" s="2" t="str">
        <f>IF(OR('A créer'!D27="Oui",LEN('A créer'!D27)=0),"","*SAVE")</f>
        <v/>
      </c>
      <c r="AE27" s="2" t="str">
        <f>IF(OR('A créer'!D27="Oui",LEN('A créer'!D27)=0),"","*FN")</f>
        <v/>
      </c>
      <c r="AF27" s="6" t="str">
        <f>IF(OR('A créer'!D27="Oui",LEN('A créer'!D27)=0),"",'A créer'!A27)</f>
        <v/>
      </c>
      <c r="AG27" s="2" t="str">
        <f>IF(OR('A créer'!D27="Oui",LEN('A créer'!D27)=0),"","Tab")</f>
        <v/>
      </c>
      <c r="AH27" s="6" t="str">
        <f>IF(OR('A créer'!D27="Oui",LEN('A créer'!D27)=0),"",'A créer'!C27)</f>
        <v/>
      </c>
      <c r="AI27" s="2" t="str">
        <f>IF(OR('A créer'!D27="Oui",LEN('A créer'!D27)=0),"","Tab 4")</f>
        <v/>
      </c>
      <c r="AJ27" s="2" t="str">
        <f>IF(OR('A créer'!D27="Oui",LEN('A créer'!D27)=0),"","*SB")</f>
        <v/>
      </c>
      <c r="AK27" s="2" t="str">
        <f>IF(OR('A créer'!D27="Oui",LEN('A créer'!D27)=0),"","Tab")</f>
        <v/>
      </c>
      <c r="AL27" s="6" t="str">
        <f>IF(OR('A créer'!D27="Oui",LEN('A créer'!D27)=0),"","InterCoSte")</f>
        <v/>
      </c>
      <c r="AM27" s="2" t="str">
        <f>IF(OR('A créer'!D27="Oui",LEN('A créer'!D27)=0),"","Tab")</f>
        <v/>
      </c>
      <c r="AN27" s="2" t="str">
        <f>IF(OR('A créer'!D27="Oui",LEN('A créer'!D27)=0),"","Tab")</f>
        <v/>
      </c>
      <c r="AO27" s="2" t="str">
        <f>IF(OR('A créer'!D27="Oui",LEN('A créer'!D27)=0),"","ENT")</f>
        <v/>
      </c>
      <c r="AP27" s="2" t="str">
        <f>IF(OR('A créer'!D27="Oui",LEN('A créer'!D27)=0),"","ENT")</f>
        <v/>
      </c>
      <c r="AQ27" s="2" t="str">
        <f>IF(OR('A créer'!D27="Oui",LEN('A créer'!D27)=0),"","*SAVE")</f>
        <v/>
      </c>
      <c r="AR27" s="2" t="str">
        <f>IF(OR('A créer'!D27="Oui",LEN('A créer'!D27)=0),"","*UP")</f>
        <v/>
      </c>
      <c r="AS27" s="2" t="str">
        <f>IF(OR('A créer'!D27="Oui",LEN('A créer'!D27)=0),"","*Aé")</f>
        <v/>
      </c>
      <c r="AT27" s="6" t="str">
        <f>IF(OR('A créer'!D27="Oui",LEN('A créer'!D27)=0),"",CONCATENATE('A créer'!B27,'A créer'!A27))</f>
        <v/>
      </c>
      <c r="AU27" s="2" t="str">
        <f>IF(OR('A créer'!D27="Oui",LEN('A créer'!D27)=0),"","Tab")</f>
        <v/>
      </c>
      <c r="AV27" s="2" t="str">
        <f>IF(OR('A créer'!D27="Oui",LEN('A créer'!D27)=0),"","*DN")</f>
        <v/>
      </c>
      <c r="AW27" s="6" t="str">
        <f>IF(OR('A créer'!D27="Oui",LEN('A créer'!D27)=0),"",CONCATENATE("XXX",'A créer'!A27))</f>
        <v/>
      </c>
      <c r="AX27" s="2" t="str">
        <f>IF(OR('A créer'!D27="Oui",LEN('A créer'!D27)=0),"","Tab")</f>
        <v/>
      </c>
      <c r="AY27" s="2" t="str">
        <f>IF(OR('A créer'!D27="Oui",LEN('A créer'!D27)=0),"","*SAVE")</f>
        <v/>
      </c>
      <c r="AZ27" s="2" t="str">
        <f>IF(OR('A créer'!D27="Oui",LEN('A créer'!D27)=0),"","*ML(751,142)")</f>
        <v/>
      </c>
    </row>
    <row r="28" spans="1:52" x14ac:dyDescent="0.35">
      <c r="A28" s="2" t="str">
        <f>IF(OR('A créer'!D28="Oui",LEN('A créer'!D28)=0),IF(AND(LEN('A créer'!B28)&gt;0,'A créer'!B28&lt;&gt;'A créer'!H28)=TRUE,"*FN",""),"*FN")</f>
        <v/>
      </c>
      <c r="B28" s="6" t="str">
        <f>IF(OR('A créer'!D28="Oui",LEN('A créer'!D28)=0),IF(LEN('A créer'!B28)&gt;0,IF('A créer'!B28='A créer'!H28,"",CONCATENATE('A créer'!B28,'A créer'!A28)),""),CONCATENATE('A créer'!B28,'A créer'!A28))</f>
        <v/>
      </c>
      <c r="C28" s="2" t="str">
        <f>IF(OR('A créer'!D28="Oui",LEN('A créer'!D28)=0),IF(AND(LEN('A créer'!B28)&gt;0,'A créer'!B28&lt;&gt;'A créer'!H28)=TRUE,"Tab",""),"Tab")</f>
        <v/>
      </c>
      <c r="D28" s="6" t="str">
        <f>IF(OR('A créer'!D28="Oui",LEN('A créer'!D28)=0),IF(AND(LEN('A créer'!B28)&gt;0,'A créer'!B28&lt;&gt;'A créer'!H28)=TRUE,CONCATENATE('A créer'!B28,'A créer'!A28,"-",'A créer'!C28),""),CONCATENATE('A créer'!B28,'A créer'!A28,"-",'A créer'!C28))</f>
        <v/>
      </c>
      <c r="E28" s="2" t="str">
        <f>IF(OR('A créer'!D28="Oui",LEN('A créer'!D28)=0),IF(AND(LEN('A créer'!B28)&gt;0,'A créer'!B28&lt;&gt;'A créer'!H28)=TRUE,"Tab 4",""),"Tab 4")</f>
        <v/>
      </c>
      <c r="F28" s="2" t="str">
        <f>IF(OR('A créer'!D28="Oui",LEN('A créer'!D28)=0),IF(AND(LEN('A créer'!B28)&gt;0,'A créer'!B28&lt;&gt;'A créer'!H28)=TRUE,"Tab",""),"Tab")</f>
        <v/>
      </c>
      <c r="G28" s="2" t="str">
        <f>IF(OR('A créer'!D28="Oui",LEN('A créer'!D28)=0),IF(AND(LEN('A créer'!B28)&gt;0,'A créer'!B28&lt;&gt;'A créer'!H28)=TRUE,"Tab",""),"Tab")</f>
        <v/>
      </c>
      <c r="H28" s="2" t="str">
        <f>IF(OR('A créer'!D28="Oui",LEN('A créer'!D28)=0),IF(AND(LEN('A créer'!B28)&gt;0,'A créer'!B28&lt;&gt;'A créer'!H28)=TRUE,"ENT",""),"ENT")</f>
        <v/>
      </c>
      <c r="I28" s="6">
        <f>IF('A créer'!D28="Oui",IF(AND(LEN('A créer'!B28)&gt;0,'A créer'!B28&lt;&gt;'A créer'!H28)=TRUE,'A créer'!G28,""),'A créer'!G28)</f>
        <v>0</v>
      </c>
      <c r="J28" s="2" t="str">
        <f>IF(OR('A créer'!D28="Oui",LEN('A créer'!D28)=0),IF(AND(LEN('A créer'!B28)&gt;0,'A créer'!B28&lt;&gt;'A créer'!H28)=TRUE,"Tab",""),"Tab")</f>
        <v/>
      </c>
      <c r="K28" s="6" t="str">
        <f>IF(OR('A créer'!D28="Oui",LEN('A créer'!D28)=0),IF(AND(LEN('A créer'!B28)&gt;0,'A créer'!B28&lt;&gt;'A créer'!H28)=TRUE,"Oui",""),"Oui")</f>
        <v/>
      </c>
      <c r="L28" s="2" t="str">
        <f>IF(OR('A créer'!D28="Oui",LEN('A créer'!D28)=0),IF(AND(LEN('A créer'!B28)&gt;0,'A créer'!B28&lt;&gt;'A créer'!H28)=TRUE,"Tab",""),"Tab")</f>
        <v/>
      </c>
      <c r="M28" s="6" t="str">
        <f>IF(OR('A créer'!D28="Oui",LEN('A créer'!D28)=0),IF(AND(LEN('A créer'!B28)&gt;0,'A créer'!B28&lt;&gt;'A créer'!H28)=TRUE,'A créer'!E28,""),'A créer'!E28)</f>
        <v/>
      </c>
      <c r="N28" s="2" t="str">
        <f>IF(OR('A créer'!D28="Oui",LEN('A créer'!D28)=0),IF(AND(LEN('A créer'!B28)&gt;0,'A créer'!B28&lt;&gt;'A créer'!H28)=TRUE,"ENT",""),"ENT")</f>
        <v/>
      </c>
      <c r="O28" s="2" t="str">
        <f>IF(OR('A créer'!D28="Oui",LEN('A créer'!D28)=0),IF(AND(LEN('A créer'!B28)&gt;0,'A créer'!B28&lt;&gt;'A créer'!H28)=TRUE,"*SAVE",""),"*SAVE")</f>
        <v/>
      </c>
      <c r="P28" s="2" t="str">
        <f>IF(OR('A créer'!D28="Oui",LEN('A créer'!D28)=0),"","*FN")</f>
        <v/>
      </c>
      <c r="Q28" s="6" t="str">
        <f>IF(OR('A créer'!D28="Oui",LEN('A créer'!D28)=0),"",CONCATENATE("XXX",'A créer'!A28))</f>
        <v/>
      </c>
      <c r="R28" s="2" t="str">
        <f>IF(OR('A créer'!D28="Oui",LEN('A créer'!D28)=0),"","Tab")</f>
        <v/>
      </c>
      <c r="S28" s="6" t="str">
        <f>IF(OR('A créer'!D28="Oui",LEN('A créer'!D28)=0),"",CONCATENATE("XXX-",'A créer'!C28))</f>
        <v/>
      </c>
      <c r="T28" s="2" t="str">
        <f>IF(OR('A créer'!D28="Oui",LEN('A créer'!D28)=0),"","Tab 4")</f>
        <v/>
      </c>
      <c r="U28" s="2" t="str">
        <f>IF(OR('A créer'!D28="Oui",LEN('A créer'!D28)=0),"","Tab")</f>
        <v/>
      </c>
      <c r="V28" s="2" t="str">
        <f>IF(OR('A créer'!D28="Oui",LEN('A créer'!D28)=0),"","Tab")</f>
        <v/>
      </c>
      <c r="W28" s="2" t="str">
        <f>IF(OR('A créer'!D28="Oui",LEN('A créer'!D28)=0),"","ENT")</f>
        <v/>
      </c>
      <c r="X28" s="6" t="str">
        <f>IF(OR('A créer'!D28="Oui",LEN('A créer'!D28)=0),"",'A créer'!G28)</f>
        <v/>
      </c>
      <c r="Y28" s="2" t="str">
        <f>IF(OR('A créer'!D28="Oui",LEN('A créer'!D28)=0),"","Tab")</f>
        <v/>
      </c>
      <c r="Z28" s="6" t="str">
        <f>IF(OR('A créer'!D28="Oui",LEN('A créer'!D28)=0),"","Oui")</f>
        <v/>
      </c>
      <c r="AA28" s="2" t="str">
        <f>IF(OR('A créer'!D28="Oui",LEN('A créer'!D28)=0),"","Tab")</f>
        <v/>
      </c>
      <c r="AB28" s="6" t="str">
        <f>IF(OR('A créer'!D28="Oui",LEN('A créer'!D28)=0),"","NON")</f>
        <v/>
      </c>
      <c r="AC28" s="2" t="str">
        <f>IF(OR('A créer'!D28="Oui",LEN('A créer'!D28)=0),"","ENT")</f>
        <v/>
      </c>
      <c r="AD28" s="2" t="str">
        <f>IF(OR('A créer'!D28="Oui",LEN('A créer'!D28)=0),"","*SAVE")</f>
        <v/>
      </c>
      <c r="AE28" s="2" t="str">
        <f>IF(OR('A créer'!D28="Oui",LEN('A créer'!D28)=0),"","*FN")</f>
        <v/>
      </c>
      <c r="AF28" s="6" t="str">
        <f>IF(OR('A créer'!D28="Oui",LEN('A créer'!D28)=0),"",'A créer'!A28)</f>
        <v/>
      </c>
      <c r="AG28" s="2" t="str">
        <f>IF(OR('A créer'!D28="Oui",LEN('A créer'!D28)=0),"","Tab")</f>
        <v/>
      </c>
      <c r="AH28" s="6" t="str">
        <f>IF(OR('A créer'!D28="Oui",LEN('A créer'!D28)=0),"",'A créer'!C28)</f>
        <v/>
      </c>
      <c r="AI28" s="2" t="str">
        <f>IF(OR('A créer'!D28="Oui",LEN('A créer'!D28)=0),"","Tab 4")</f>
        <v/>
      </c>
      <c r="AJ28" s="2" t="str">
        <f>IF(OR('A créer'!D28="Oui",LEN('A créer'!D28)=0),"","*SB")</f>
        <v/>
      </c>
      <c r="AK28" s="2" t="str">
        <f>IF(OR('A créer'!D28="Oui",LEN('A créer'!D28)=0),"","Tab")</f>
        <v/>
      </c>
      <c r="AL28" s="6" t="str">
        <f>IF(OR('A créer'!D28="Oui",LEN('A créer'!D28)=0),"","InterCoSte")</f>
        <v/>
      </c>
      <c r="AM28" s="2" t="str">
        <f>IF(OR('A créer'!D28="Oui",LEN('A créer'!D28)=0),"","Tab")</f>
        <v/>
      </c>
      <c r="AN28" s="2" t="str">
        <f>IF(OR('A créer'!D28="Oui",LEN('A créer'!D28)=0),"","Tab")</f>
        <v/>
      </c>
      <c r="AO28" s="2" t="str">
        <f>IF(OR('A créer'!D28="Oui",LEN('A créer'!D28)=0),"","ENT")</f>
        <v/>
      </c>
      <c r="AP28" s="2" t="str">
        <f>IF(OR('A créer'!D28="Oui",LEN('A créer'!D28)=0),"","ENT")</f>
        <v/>
      </c>
      <c r="AQ28" s="2" t="str">
        <f>IF(OR('A créer'!D28="Oui",LEN('A créer'!D28)=0),"","*SAVE")</f>
        <v/>
      </c>
      <c r="AR28" s="2" t="str">
        <f>IF(OR('A créer'!D28="Oui",LEN('A créer'!D28)=0),"","*UP")</f>
        <v/>
      </c>
      <c r="AS28" s="2" t="str">
        <f>IF(OR('A créer'!D28="Oui",LEN('A créer'!D28)=0),"","*Aé")</f>
        <v/>
      </c>
      <c r="AT28" s="6" t="str">
        <f>IF(OR('A créer'!D28="Oui",LEN('A créer'!D28)=0),"",CONCATENATE('A créer'!B28,'A créer'!A28))</f>
        <v/>
      </c>
      <c r="AU28" s="2" t="str">
        <f>IF(OR('A créer'!D28="Oui",LEN('A créer'!D28)=0),"","Tab")</f>
        <v/>
      </c>
      <c r="AV28" s="2" t="str">
        <f>IF(OR('A créer'!D28="Oui",LEN('A créer'!D28)=0),"","*DN")</f>
        <v/>
      </c>
      <c r="AW28" s="6" t="str">
        <f>IF(OR('A créer'!D28="Oui",LEN('A créer'!D28)=0),"",CONCATENATE("XXX",'A créer'!A28))</f>
        <v/>
      </c>
      <c r="AX28" s="2" t="str">
        <f>IF(OR('A créer'!D28="Oui",LEN('A créer'!D28)=0),"","Tab")</f>
        <v/>
      </c>
      <c r="AY28" s="2" t="str">
        <f>IF(OR('A créer'!D28="Oui",LEN('A créer'!D28)=0),"","*SAVE")</f>
        <v/>
      </c>
      <c r="AZ28" s="2" t="str">
        <f>IF(OR('A créer'!D28="Oui",LEN('A créer'!D28)=0),"","*ML(751,142)")</f>
        <v/>
      </c>
    </row>
    <row r="29" spans="1:52" x14ac:dyDescent="0.35">
      <c r="A29" s="2" t="str">
        <f>IF(OR('A créer'!D29="Oui",LEN('A créer'!D29)=0),IF(AND(LEN('A créer'!B29)&gt;0,'A créer'!B29&lt;&gt;'A créer'!H29)=TRUE,"*FN",""),"*FN")</f>
        <v/>
      </c>
      <c r="B29" s="6" t="str">
        <f>IF(OR('A créer'!D29="Oui",LEN('A créer'!D29)=0),IF(LEN('A créer'!B29)&gt;0,IF('A créer'!B29='A créer'!H29,"",CONCATENATE('A créer'!B29,'A créer'!A29)),""),CONCATENATE('A créer'!B29,'A créer'!A29))</f>
        <v/>
      </c>
      <c r="C29" s="2" t="str">
        <f>IF(OR('A créer'!D29="Oui",LEN('A créer'!D29)=0),IF(AND(LEN('A créer'!B29)&gt;0,'A créer'!B29&lt;&gt;'A créer'!H29)=TRUE,"Tab",""),"Tab")</f>
        <v/>
      </c>
      <c r="D29" s="6" t="str">
        <f>IF(OR('A créer'!D29="Oui",LEN('A créer'!D29)=0),IF(AND(LEN('A créer'!B29)&gt;0,'A créer'!B29&lt;&gt;'A créer'!H29)=TRUE,CONCATENATE('A créer'!B29,'A créer'!A29,"-",'A créer'!C29),""),CONCATENATE('A créer'!B29,'A créer'!A29,"-",'A créer'!C29))</f>
        <v/>
      </c>
      <c r="E29" s="2" t="str">
        <f>IF(OR('A créer'!D29="Oui",LEN('A créer'!D29)=0),IF(AND(LEN('A créer'!B29)&gt;0,'A créer'!B29&lt;&gt;'A créer'!H29)=TRUE,"Tab 4",""),"Tab 4")</f>
        <v/>
      </c>
      <c r="F29" s="2" t="str">
        <f>IF(OR('A créer'!D29="Oui",LEN('A créer'!D29)=0),IF(AND(LEN('A créer'!B29)&gt;0,'A créer'!B29&lt;&gt;'A créer'!H29)=TRUE,"Tab",""),"Tab")</f>
        <v/>
      </c>
      <c r="G29" s="2" t="str">
        <f>IF(OR('A créer'!D29="Oui",LEN('A créer'!D29)=0),IF(AND(LEN('A créer'!B29)&gt;0,'A créer'!B29&lt;&gt;'A créer'!H29)=TRUE,"Tab",""),"Tab")</f>
        <v/>
      </c>
      <c r="H29" s="2" t="str">
        <f>IF(OR('A créer'!D29="Oui",LEN('A créer'!D29)=0),IF(AND(LEN('A créer'!B29)&gt;0,'A créer'!B29&lt;&gt;'A créer'!H29)=TRUE,"ENT",""),"ENT")</f>
        <v/>
      </c>
      <c r="I29" s="6">
        <f>IF('A créer'!D29="Oui",IF(AND(LEN('A créer'!B29)&gt;0,'A créer'!B29&lt;&gt;'A créer'!H29)=TRUE,'A créer'!G29,""),'A créer'!G29)</f>
        <v>0</v>
      </c>
      <c r="J29" s="2" t="str">
        <f>IF(OR('A créer'!D29="Oui",LEN('A créer'!D29)=0),IF(AND(LEN('A créer'!B29)&gt;0,'A créer'!B29&lt;&gt;'A créer'!H29)=TRUE,"Tab",""),"Tab")</f>
        <v/>
      </c>
      <c r="K29" s="6" t="str">
        <f>IF(OR('A créer'!D29="Oui",LEN('A créer'!D29)=0),IF(AND(LEN('A créer'!B29)&gt;0,'A créer'!B29&lt;&gt;'A créer'!H29)=TRUE,"Oui",""),"Oui")</f>
        <v/>
      </c>
      <c r="L29" s="2" t="str">
        <f>IF(OR('A créer'!D29="Oui",LEN('A créer'!D29)=0),IF(AND(LEN('A créer'!B29)&gt;0,'A créer'!B29&lt;&gt;'A créer'!H29)=TRUE,"Tab",""),"Tab")</f>
        <v/>
      </c>
      <c r="M29" s="6" t="str">
        <f>IF(OR('A créer'!D29="Oui",LEN('A créer'!D29)=0),IF(AND(LEN('A créer'!B29)&gt;0,'A créer'!B29&lt;&gt;'A créer'!H29)=TRUE,'A créer'!E29,""),'A créer'!E29)</f>
        <v/>
      </c>
      <c r="N29" s="2" t="str">
        <f>IF(OR('A créer'!D29="Oui",LEN('A créer'!D29)=0),IF(AND(LEN('A créer'!B29)&gt;0,'A créer'!B29&lt;&gt;'A créer'!H29)=TRUE,"ENT",""),"ENT")</f>
        <v/>
      </c>
      <c r="O29" s="2" t="str">
        <f>IF(OR('A créer'!D29="Oui",LEN('A créer'!D29)=0),IF(AND(LEN('A créer'!B29)&gt;0,'A créer'!B29&lt;&gt;'A créer'!H29)=TRUE,"*SAVE",""),"*SAVE")</f>
        <v/>
      </c>
      <c r="P29" s="2" t="str">
        <f>IF(OR('A créer'!D29="Oui",LEN('A créer'!D29)=0),"","*FN")</f>
        <v/>
      </c>
      <c r="Q29" s="6" t="str">
        <f>IF(OR('A créer'!D29="Oui",LEN('A créer'!D29)=0),"",CONCATENATE("XXX",'A créer'!A29))</f>
        <v/>
      </c>
      <c r="R29" s="2" t="str">
        <f>IF(OR('A créer'!D29="Oui",LEN('A créer'!D29)=0),"","Tab")</f>
        <v/>
      </c>
      <c r="S29" s="6" t="str">
        <f>IF(OR('A créer'!D29="Oui",LEN('A créer'!D29)=0),"",CONCATENATE("XXX-",'A créer'!C29))</f>
        <v/>
      </c>
      <c r="T29" s="2" t="str">
        <f>IF(OR('A créer'!D29="Oui",LEN('A créer'!D29)=0),"","Tab 4")</f>
        <v/>
      </c>
      <c r="U29" s="2" t="str">
        <f>IF(OR('A créer'!D29="Oui",LEN('A créer'!D29)=0),"","Tab")</f>
        <v/>
      </c>
      <c r="V29" s="2" t="str">
        <f>IF(OR('A créer'!D29="Oui",LEN('A créer'!D29)=0),"","Tab")</f>
        <v/>
      </c>
      <c r="W29" s="2" t="str">
        <f>IF(OR('A créer'!D29="Oui",LEN('A créer'!D29)=0),"","ENT")</f>
        <v/>
      </c>
      <c r="X29" s="6" t="str">
        <f>IF(OR('A créer'!D29="Oui",LEN('A créer'!D29)=0),"",'A créer'!G29)</f>
        <v/>
      </c>
      <c r="Y29" s="2" t="str">
        <f>IF(OR('A créer'!D29="Oui",LEN('A créer'!D29)=0),"","Tab")</f>
        <v/>
      </c>
      <c r="Z29" s="6" t="str">
        <f>IF(OR('A créer'!D29="Oui",LEN('A créer'!D29)=0),"","Oui")</f>
        <v/>
      </c>
      <c r="AA29" s="2" t="str">
        <f>IF(OR('A créer'!D29="Oui",LEN('A créer'!D29)=0),"","Tab")</f>
        <v/>
      </c>
      <c r="AB29" s="6" t="str">
        <f>IF(OR('A créer'!D29="Oui",LEN('A créer'!D29)=0),"","NON")</f>
        <v/>
      </c>
      <c r="AC29" s="2" t="str">
        <f>IF(OR('A créer'!D29="Oui",LEN('A créer'!D29)=0),"","ENT")</f>
        <v/>
      </c>
      <c r="AD29" s="2" t="str">
        <f>IF(OR('A créer'!D29="Oui",LEN('A créer'!D29)=0),"","*SAVE")</f>
        <v/>
      </c>
      <c r="AE29" s="2" t="str">
        <f>IF(OR('A créer'!D29="Oui",LEN('A créer'!D29)=0),"","*FN")</f>
        <v/>
      </c>
      <c r="AF29" s="6" t="str">
        <f>IF(OR('A créer'!D29="Oui",LEN('A créer'!D29)=0),"",'A créer'!A29)</f>
        <v/>
      </c>
      <c r="AG29" s="2" t="str">
        <f>IF(OR('A créer'!D29="Oui",LEN('A créer'!D29)=0),"","Tab")</f>
        <v/>
      </c>
      <c r="AH29" s="6" t="str">
        <f>IF(OR('A créer'!D29="Oui",LEN('A créer'!D29)=0),"",'A créer'!C29)</f>
        <v/>
      </c>
      <c r="AI29" s="2" t="str">
        <f>IF(OR('A créer'!D29="Oui",LEN('A créer'!D29)=0),"","Tab 4")</f>
        <v/>
      </c>
      <c r="AJ29" s="2" t="str">
        <f>IF(OR('A créer'!D29="Oui",LEN('A créer'!D29)=0),"","*SB")</f>
        <v/>
      </c>
      <c r="AK29" s="2" t="str">
        <f>IF(OR('A créer'!D29="Oui",LEN('A créer'!D29)=0),"","Tab")</f>
        <v/>
      </c>
      <c r="AL29" s="6" t="str">
        <f>IF(OR('A créer'!D29="Oui",LEN('A créer'!D29)=0),"","InterCoSte")</f>
        <v/>
      </c>
      <c r="AM29" s="2" t="str">
        <f>IF(OR('A créer'!D29="Oui",LEN('A créer'!D29)=0),"","Tab")</f>
        <v/>
      </c>
      <c r="AN29" s="2" t="str">
        <f>IF(OR('A créer'!D29="Oui",LEN('A créer'!D29)=0),"","Tab")</f>
        <v/>
      </c>
      <c r="AO29" s="2" t="str">
        <f>IF(OR('A créer'!D29="Oui",LEN('A créer'!D29)=0),"","ENT")</f>
        <v/>
      </c>
      <c r="AP29" s="2" t="str">
        <f>IF(OR('A créer'!D29="Oui",LEN('A créer'!D29)=0),"","ENT")</f>
        <v/>
      </c>
      <c r="AQ29" s="2" t="str">
        <f>IF(OR('A créer'!D29="Oui",LEN('A créer'!D29)=0),"","*SAVE")</f>
        <v/>
      </c>
      <c r="AR29" s="2" t="str">
        <f>IF(OR('A créer'!D29="Oui",LEN('A créer'!D29)=0),"","*UP")</f>
        <v/>
      </c>
      <c r="AS29" s="2" t="str">
        <f>IF(OR('A créer'!D29="Oui",LEN('A créer'!D29)=0),"","*Aé")</f>
        <v/>
      </c>
      <c r="AT29" s="6" t="str">
        <f>IF(OR('A créer'!D29="Oui",LEN('A créer'!D29)=0),"",CONCATENATE('A créer'!B29,'A créer'!A29))</f>
        <v/>
      </c>
      <c r="AU29" s="2" t="str">
        <f>IF(OR('A créer'!D29="Oui",LEN('A créer'!D29)=0),"","Tab")</f>
        <v/>
      </c>
      <c r="AV29" s="2" t="str">
        <f>IF(OR('A créer'!D29="Oui",LEN('A créer'!D29)=0),"","*DN")</f>
        <v/>
      </c>
      <c r="AW29" s="6" t="str">
        <f>IF(OR('A créer'!D29="Oui",LEN('A créer'!D29)=0),"",CONCATENATE("XXX",'A créer'!A29))</f>
        <v/>
      </c>
      <c r="AX29" s="2" t="str">
        <f>IF(OR('A créer'!D29="Oui",LEN('A créer'!D29)=0),"","Tab")</f>
        <v/>
      </c>
      <c r="AY29" s="2" t="str">
        <f>IF(OR('A créer'!D29="Oui",LEN('A créer'!D29)=0),"","*SAVE")</f>
        <v/>
      </c>
      <c r="AZ29" s="2" t="str">
        <f>IF(OR('A créer'!D29="Oui",LEN('A créer'!D29)=0),"","*ML(751,142)")</f>
        <v/>
      </c>
    </row>
    <row r="30" spans="1:52" x14ac:dyDescent="0.35">
      <c r="A30" s="2" t="str">
        <f>IF(OR('A créer'!D30="Oui",LEN('A créer'!D30)=0),IF(AND(LEN('A créer'!B30)&gt;0,'A créer'!B30&lt;&gt;'A créer'!H30)=TRUE,"*FN",""),"*FN")</f>
        <v/>
      </c>
      <c r="B30" s="6" t="str">
        <f>IF(OR('A créer'!D30="Oui",LEN('A créer'!D30)=0),IF(LEN('A créer'!B30)&gt;0,IF('A créer'!B30='A créer'!H30,"",CONCATENATE('A créer'!B30,'A créer'!A30)),""),CONCATENATE('A créer'!B30,'A créer'!A30))</f>
        <v/>
      </c>
      <c r="C30" s="2" t="str">
        <f>IF(OR('A créer'!D30="Oui",LEN('A créer'!D30)=0),IF(AND(LEN('A créer'!B30)&gt;0,'A créer'!B30&lt;&gt;'A créer'!H30)=TRUE,"Tab",""),"Tab")</f>
        <v/>
      </c>
      <c r="D30" s="6" t="str">
        <f>IF(OR('A créer'!D30="Oui",LEN('A créer'!D30)=0),IF(AND(LEN('A créer'!B30)&gt;0,'A créer'!B30&lt;&gt;'A créer'!H30)=TRUE,CONCATENATE('A créer'!B30,'A créer'!A30,"-",'A créer'!C30),""),CONCATENATE('A créer'!B30,'A créer'!A30,"-",'A créer'!C30))</f>
        <v/>
      </c>
      <c r="E30" s="2" t="str">
        <f>IF(OR('A créer'!D30="Oui",LEN('A créer'!D30)=0),IF(AND(LEN('A créer'!B30)&gt;0,'A créer'!B30&lt;&gt;'A créer'!H30)=TRUE,"Tab 4",""),"Tab 4")</f>
        <v/>
      </c>
      <c r="F30" s="2" t="str">
        <f>IF(OR('A créer'!D30="Oui",LEN('A créer'!D30)=0),IF(AND(LEN('A créer'!B30)&gt;0,'A créer'!B30&lt;&gt;'A créer'!H30)=TRUE,"Tab",""),"Tab")</f>
        <v/>
      </c>
      <c r="G30" s="2" t="str">
        <f>IF(OR('A créer'!D30="Oui",LEN('A créer'!D30)=0),IF(AND(LEN('A créer'!B30)&gt;0,'A créer'!B30&lt;&gt;'A créer'!H30)=TRUE,"Tab",""),"Tab")</f>
        <v/>
      </c>
      <c r="H30" s="2" t="str">
        <f>IF(OR('A créer'!D30="Oui",LEN('A créer'!D30)=0),IF(AND(LEN('A créer'!B30)&gt;0,'A créer'!B30&lt;&gt;'A créer'!H30)=TRUE,"ENT",""),"ENT")</f>
        <v/>
      </c>
      <c r="I30" s="6">
        <f>IF('A créer'!D30="Oui",IF(AND(LEN('A créer'!B30)&gt;0,'A créer'!B30&lt;&gt;'A créer'!H30)=TRUE,'A créer'!G30,""),'A créer'!G30)</f>
        <v>0</v>
      </c>
      <c r="J30" s="2" t="str">
        <f>IF(OR('A créer'!D30="Oui",LEN('A créer'!D30)=0),IF(AND(LEN('A créer'!B30)&gt;0,'A créer'!B30&lt;&gt;'A créer'!H30)=TRUE,"Tab",""),"Tab")</f>
        <v/>
      </c>
      <c r="K30" s="6" t="str">
        <f>IF(OR('A créer'!D30="Oui",LEN('A créer'!D30)=0),IF(AND(LEN('A créer'!B30)&gt;0,'A créer'!B30&lt;&gt;'A créer'!H30)=TRUE,"Oui",""),"Oui")</f>
        <v/>
      </c>
      <c r="L30" s="2" t="str">
        <f>IF(OR('A créer'!D30="Oui",LEN('A créer'!D30)=0),IF(AND(LEN('A créer'!B30)&gt;0,'A créer'!B30&lt;&gt;'A créer'!H30)=TRUE,"Tab",""),"Tab")</f>
        <v/>
      </c>
      <c r="M30" s="6" t="str">
        <f>IF(OR('A créer'!D30="Oui",LEN('A créer'!D30)=0),IF(AND(LEN('A créer'!B30)&gt;0,'A créer'!B30&lt;&gt;'A créer'!H30)=TRUE,'A créer'!E30,""),'A créer'!E30)</f>
        <v/>
      </c>
      <c r="N30" s="2" t="str">
        <f>IF(OR('A créer'!D30="Oui",LEN('A créer'!D30)=0),IF(AND(LEN('A créer'!B30)&gt;0,'A créer'!B30&lt;&gt;'A créer'!H30)=TRUE,"ENT",""),"ENT")</f>
        <v/>
      </c>
      <c r="O30" s="2" t="str">
        <f>IF(OR('A créer'!D30="Oui",LEN('A créer'!D30)=0),IF(AND(LEN('A créer'!B30)&gt;0,'A créer'!B30&lt;&gt;'A créer'!H30)=TRUE,"*SAVE",""),"*SAVE")</f>
        <v/>
      </c>
      <c r="P30" s="2" t="str">
        <f>IF(OR('A créer'!D30="Oui",LEN('A créer'!D30)=0),"","*FN")</f>
        <v/>
      </c>
      <c r="Q30" s="6" t="str">
        <f>IF(OR('A créer'!D30="Oui",LEN('A créer'!D30)=0),"",CONCATENATE("XXX",'A créer'!A30))</f>
        <v/>
      </c>
      <c r="R30" s="2" t="str">
        <f>IF(OR('A créer'!D30="Oui",LEN('A créer'!D30)=0),"","Tab")</f>
        <v/>
      </c>
      <c r="S30" s="6" t="str">
        <f>IF(OR('A créer'!D30="Oui",LEN('A créer'!D30)=0),"",CONCATENATE("XXX-",'A créer'!C30))</f>
        <v/>
      </c>
      <c r="T30" s="2" t="str">
        <f>IF(OR('A créer'!D30="Oui",LEN('A créer'!D30)=0),"","Tab 4")</f>
        <v/>
      </c>
      <c r="U30" s="2" t="str">
        <f>IF(OR('A créer'!D30="Oui",LEN('A créer'!D30)=0),"","Tab")</f>
        <v/>
      </c>
      <c r="V30" s="2" t="str">
        <f>IF(OR('A créer'!D30="Oui",LEN('A créer'!D30)=0),"","Tab")</f>
        <v/>
      </c>
      <c r="W30" s="2" t="str">
        <f>IF(OR('A créer'!D30="Oui",LEN('A créer'!D30)=0),"","ENT")</f>
        <v/>
      </c>
      <c r="X30" s="6" t="str">
        <f>IF(OR('A créer'!D30="Oui",LEN('A créer'!D30)=0),"",'A créer'!G30)</f>
        <v/>
      </c>
      <c r="Y30" s="2" t="str">
        <f>IF(OR('A créer'!D30="Oui",LEN('A créer'!D30)=0),"","Tab")</f>
        <v/>
      </c>
      <c r="Z30" s="6" t="str">
        <f>IF(OR('A créer'!D30="Oui",LEN('A créer'!D30)=0),"","Oui")</f>
        <v/>
      </c>
      <c r="AA30" s="2" t="str">
        <f>IF(OR('A créer'!D30="Oui",LEN('A créer'!D30)=0),"","Tab")</f>
        <v/>
      </c>
      <c r="AB30" s="6" t="str">
        <f>IF(OR('A créer'!D30="Oui",LEN('A créer'!D30)=0),"","NON")</f>
        <v/>
      </c>
      <c r="AC30" s="2" t="str">
        <f>IF(OR('A créer'!D30="Oui",LEN('A créer'!D30)=0),"","ENT")</f>
        <v/>
      </c>
      <c r="AD30" s="2" t="str">
        <f>IF(OR('A créer'!D30="Oui",LEN('A créer'!D30)=0),"","*SAVE")</f>
        <v/>
      </c>
      <c r="AE30" s="2" t="str">
        <f>IF(OR('A créer'!D30="Oui",LEN('A créer'!D30)=0),"","*FN")</f>
        <v/>
      </c>
      <c r="AF30" s="6" t="str">
        <f>IF(OR('A créer'!D30="Oui",LEN('A créer'!D30)=0),"",'A créer'!A30)</f>
        <v/>
      </c>
      <c r="AG30" s="2" t="str">
        <f>IF(OR('A créer'!D30="Oui",LEN('A créer'!D30)=0),"","Tab")</f>
        <v/>
      </c>
      <c r="AH30" s="6" t="str">
        <f>IF(OR('A créer'!D30="Oui",LEN('A créer'!D30)=0),"",'A créer'!C30)</f>
        <v/>
      </c>
      <c r="AI30" s="2" t="str">
        <f>IF(OR('A créer'!D30="Oui",LEN('A créer'!D30)=0),"","Tab 4")</f>
        <v/>
      </c>
      <c r="AJ30" s="2" t="str">
        <f>IF(OR('A créer'!D30="Oui",LEN('A créer'!D30)=0),"","*SB")</f>
        <v/>
      </c>
      <c r="AK30" s="2" t="str">
        <f>IF(OR('A créer'!D30="Oui",LEN('A créer'!D30)=0),"","Tab")</f>
        <v/>
      </c>
      <c r="AL30" s="6" t="str">
        <f>IF(OR('A créer'!D30="Oui",LEN('A créer'!D30)=0),"","InterCoSte")</f>
        <v/>
      </c>
      <c r="AM30" s="2" t="str">
        <f>IF(OR('A créer'!D30="Oui",LEN('A créer'!D30)=0),"","Tab")</f>
        <v/>
      </c>
      <c r="AN30" s="2" t="str">
        <f>IF(OR('A créer'!D30="Oui",LEN('A créer'!D30)=0),"","Tab")</f>
        <v/>
      </c>
      <c r="AO30" s="2" t="str">
        <f>IF(OR('A créer'!D30="Oui",LEN('A créer'!D30)=0),"","ENT")</f>
        <v/>
      </c>
      <c r="AP30" s="2" t="str">
        <f>IF(OR('A créer'!D30="Oui",LEN('A créer'!D30)=0),"","ENT")</f>
        <v/>
      </c>
      <c r="AQ30" s="2" t="str">
        <f>IF(OR('A créer'!D30="Oui",LEN('A créer'!D30)=0),"","*SAVE")</f>
        <v/>
      </c>
      <c r="AR30" s="2" t="str">
        <f>IF(OR('A créer'!D30="Oui",LEN('A créer'!D30)=0),"","*UP")</f>
        <v/>
      </c>
      <c r="AS30" s="2" t="str">
        <f>IF(OR('A créer'!D30="Oui",LEN('A créer'!D30)=0),"","*Aé")</f>
        <v/>
      </c>
      <c r="AT30" s="6" t="str">
        <f>IF(OR('A créer'!D30="Oui",LEN('A créer'!D30)=0),"",CONCATENATE('A créer'!B30,'A créer'!A30))</f>
        <v/>
      </c>
      <c r="AU30" s="2" t="str">
        <f>IF(OR('A créer'!D30="Oui",LEN('A créer'!D30)=0),"","Tab")</f>
        <v/>
      </c>
      <c r="AV30" s="2" t="str">
        <f>IF(OR('A créer'!D30="Oui",LEN('A créer'!D30)=0),"","*DN")</f>
        <v/>
      </c>
      <c r="AW30" s="6" t="str">
        <f>IF(OR('A créer'!D30="Oui",LEN('A créer'!D30)=0),"",CONCATENATE("XXX",'A créer'!A30))</f>
        <v/>
      </c>
      <c r="AX30" s="2" t="str">
        <f>IF(OR('A créer'!D30="Oui",LEN('A créer'!D30)=0),"","Tab")</f>
        <v/>
      </c>
      <c r="AY30" s="2" t="str">
        <f>IF(OR('A créer'!D30="Oui",LEN('A créer'!D30)=0),"","*SAVE")</f>
        <v/>
      </c>
      <c r="AZ30" s="2" t="str">
        <f>IF(OR('A créer'!D30="Oui",LEN('A créer'!D30)=0),"","*ML(751,142)")</f>
        <v/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Y30"/>
  <sheetViews>
    <sheetView zoomScale="80" zoomScaleNormal="80" workbookViewId="0">
      <pane ySplit="1" topLeftCell="A2" activePane="bottomLeft" state="frozenSplit"/>
      <selection activeCell="G30" sqref="G30"/>
      <selection pane="bottomLeft" activeCell="A4" sqref="A4:Y4"/>
    </sheetView>
  </sheetViews>
  <sheetFormatPr baseColWidth="10" defaultRowHeight="14.5" x14ac:dyDescent="0.35"/>
  <cols>
    <col min="1" max="1" width="4.26953125" bestFit="1" customWidth="1"/>
    <col min="2" max="2" width="9" customWidth="1"/>
    <col min="3" max="3" width="4" bestFit="1" customWidth="1"/>
    <col min="4" max="4" width="59" customWidth="1"/>
    <col min="5" max="5" width="5.81640625" customWidth="1"/>
    <col min="6" max="7" width="4" bestFit="1" customWidth="1"/>
    <col min="8" max="8" width="4.453125" bestFit="1" customWidth="1"/>
    <col min="9" max="9" width="4" bestFit="1" customWidth="1"/>
    <col min="10" max="10" width="4.1796875" bestFit="1" customWidth="1"/>
    <col min="11" max="11" width="4" bestFit="1" customWidth="1"/>
    <col min="12" max="12" width="7.453125" customWidth="1"/>
    <col min="13" max="13" width="4" bestFit="1" customWidth="1"/>
    <col min="14" max="14" width="4.453125" bestFit="1" customWidth="1"/>
    <col min="15" max="15" width="4" bestFit="1" customWidth="1"/>
    <col min="17" max="17" width="4" bestFit="1" customWidth="1"/>
    <col min="18" max="18" width="4.26953125" bestFit="1" customWidth="1"/>
    <col min="19" max="19" width="6.1796875" customWidth="1"/>
    <col min="20" max="20" width="4.26953125" customWidth="1"/>
    <col min="21" max="22" width="5.453125" customWidth="1"/>
    <col min="23" max="23" width="15" customWidth="1"/>
    <col min="24" max="24" width="4.26953125" bestFit="1" customWidth="1"/>
    <col min="25" max="25" width="6.1796875" bestFit="1" customWidth="1"/>
  </cols>
  <sheetData>
    <row r="1" spans="1:25" x14ac:dyDescent="0.35">
      <c r="A1" s="2" t="s">
        <v>18</v>
      </c>
      <c r="B1" t="s">
        <v>35</v>
      </c>
      <c r="C1" s="2" t="s">
        <v>4</v>
      </c>
      <c r="D1" t="s">
        <v>21</v>
      </c>
      <c r="E1" s="2" t="s">
        <v>93</v>
      </c>
      <c r="F1" s="2" t="s">
        <v>4</v>
      </c>
      <c r="G1" s="2" t="s">
        <v>4</v>
      </c>
      <c r="H1" s="4" t="s">
        <v>56</v>
      </c>
      <c r="I1" s="2" t="s">
        <v>4</v>
      </c>
      <c r="J1" s="4" t="s">
        <v>57</v>
      </c>
      <c r="K1" s="2" t="s">
        <v>4</v>
      </c>
      <c r="L1" s="4" t="s">
        <v>58</v>
      </c>
      <c r="M1" s="2" t="s">
        <v>4</v>
      </c>
      <c r="N1" s="4" t="s">
        <v>59</v>
      </c>
      <c r="O1" s="2" t="s">
        <v>4</v>
      </c>
      <c r="P1" s="4" t="s">
        <v>60</v>
      </c>
      <c r="Q1" s="2" t="s">
        <v>4</v>
      </c>
      <c r="R1" s="2" t="s">
        <v>15</v>
      </c>
      <c r="S1" s="2" t="s">
        <v>93</v>
      </c>
      <c r="T1" s="2" t="s">
        <v>4</v>
      </c>
      <c r="U1" s="2" t="s">
        <v>4</v>
      </c>
      <c r="V1" s="2" t="s">
        <v>4</v>
      </c>
      <c r="W1" s="4" t="s">
        <v>61</v>
      </c>
      <c r="X1" s="2" t="s">
        <v>15</v>
      </c>
      <c r="Y1" s="2" t="s">
        <v>16</v>
      </c>
    </row>
    <row r="2" spans="1:25" x14ac:dyDescent="0.35">
      <c r="A2" s="2" t="str">
        <f>IF(AND(LEN('A créer'!P2)=0,OR('A créer'!D2="Oui",LEN('A créer'!D2)=0))=TRUE,"","*FN")</f>
        <v>*FN</v>
      </c>
      <c r="B2">
        <f>IF(AND(LEN('A créer'!P2)=0,OR('A créer'!D2="Oui",LEN('A créer'!D2)=0))=TRUE,"",'A créer'!P2)</f>
        <v>513578</v>
      </c>
      <c r="C2" s="2" t="str">
        <f>IF(AND(LEN('A créer'!P2)=0,OR('A créer'!D2="Oui",LEN('A créer'!D2)=0))=TRUE,"","Tab")</f>
        <v>Tab</v>
      </c>
      <c r="D2" t="str">
        <f>IF(AND(LEN('A créer'!P2)=0,OR('A créer'!D2="Oui",LEN('A créer'!D2)=0))=TRUE,"",CONCATENATE('A créer'!Q2," ",'A créer'!A2," ",'A créer'!C2,"/",'A créer'!B2))</f>
        <v>BNP PARIBAS 0535 CHARLEVILLE RENOUVELABLE/DCW</v>
      </c>
      <c r="E2" s="2" t="str">
        <f>IF(AND(LEN('A créer'!P2)=0,OR('A créer'!D2="Oui",LEN('A créer'!D2)=0))=TRUE,"","Tab 4")</f>
        <v>Tab 4</v>
      </c>
      <c r="F2" s="2" t="str">
        <f>IF(AND(LEN('A créer'!P2)=0,OR('A créer'!D2="Oui",LEN('A créer'!D2)=0))=TRUE,"","Tab")</f>
        <v>Tab</v>
      </c>
      <c r="G2" s="2" t="str">
        <f>IF(AND(LEN('A créer'!P2)=0,OR('A créer'!D2="Oui",LEN('A créer'!D2)=0))=TRUE,"","Tab")</f>
        <v>Tab</v>
      </c>
      <c r="H2" t="str">
        <f>IF(AND(LEN('A créer'!P2)=0,OR('A créer'!D2="Oui",LEN('A créer'!D2)=0))=TRUE,"","Non")</f>
        <v>Non</v>
      </c>
      <c r="I2" s="2" t="str">
        <f>IF(AND(LEN('A créer'!P2)=0,OR('A créer'!D2="Oui",LEN('A créer'!D2)=0))=TRUE,"","Tab")</f>
        <v>Tab</v>
      </c>
      <c r="J2" t="str">
        <f>IF(AND(LEN('A créer'!P2)=0,OR('A créer'!D2="Oui",LEN('A créer'!D2)=0))=TRUE,"","Oui")</f>
        <v>Oui</v>
      </c>
      <c r="K2" s="2" t="str">
        <f>IF(AND(LEN('A créer'!P2)=0,OR('A créer'!D2="Oui",LEN('A créer'!D2)=0))=TRUE,"","Tab")</f>
        <v>Tab</v>
      </c>
      <c r="L2" t="str">
        <f>IF(AND(LEN('A créer'!P2)=0,OR('A créer'!D2="Oui",LEN('A créer'!D2)=0))=TRUE,"","Actif")</f>
        <v>Actif</v>
      </c>
      <c r="M2" s="2" t="str">
        <f>IF(AND(LEN('A créer'!P2)=0,OR('A créer'!D2="Oui",LEN('A créer'!D2)=0))=TRUE,"","Tab")</f>
        <v>Tab</v>
      </c>
      <c r="N2" t="str">
        <f>IF(AND(LEN('A créer'!P2)=0,OR('A créer'!D2="Oui",LEN('A créer'!D2)=0))=TRUE,"","Non")</f>
        <v>Non</v>
      </c>
      <c r="O2" s="2" t="str">
        <f>IF(AND(LEN('A créer'!P2)=0,OR('A créer'!D2="Oui",LEN('A créer'!D2)=0))=TRUE,"","Tab")</f>
        <v>Tab</v>
      </c>
      <c r="P2" t="str">
        <f>IF(AND(LEN('A créer'!P2)=0,OR('A créer'!D2="Oui",LEN('A créer'!D2)=0))=TRUE,"","Non")</f>
        <v>Non</v>
      </c>
      <c r="Q2" s="2" t="str">
        <f>IF(AND(LEN('A créer'!P2)=0,OR('A créer'!D2="Oui",LEN('A créer'!D2)=0))=TRUE,"","Tab")</f>
        <v>Tab</v>
      </c>
      <c r="R2" s="2" t="str">
        <f>IF(AND(LEN('A créer'!P2)=0,OR('A créer'!D2="Oui",LEN('A créer'!D2)=0))=TRUE,"","ENT")</f>
        <v>ENT</v>
      </c>
      <c r="S2" s="2" t="s">
        <v>93</v>
      </c>
      <c r="T2" s="2" t="str">
        <f>IF(AND(LEN('A créer'!P2)=0,OR('A créer'!D2="Oui",LEN('A créer'!D2)=0))=TRUE,"","Tab")</f>
        <v>Tab</v>
      </c>
      <c r="U2" s="2" t="str">
        <f>IF(AND(LEN('A créer'!P2)=0,OR('A créer'!D2="Oui",LEN('A créer'!D2)=0))=TRUE,"","Tab")</f>
        <v>Tab</v>
      </c>
      <c r="V2" s="2" t="str">
        <f>IF(AND(LEN('A créer'!P2)=0,OR('A créer'!D2="Oui",LEN('A créer'!D2)=0))=TRUE,"","Tab")</f>
        <v>Tab</v>
      </c>
      <c r="W2" s="4" t="str">
        <f>IF(AND(LEN('A créer'!P2)=0,OR('A créer'!D2="Oui",LEN('A créer'!D2)=0))=TRUE,"","Non")</f>
        <v>Non</v>
      </c>
      <c r="X2" s="2" t="str">
        <f>IF(AND(LEN('A créer'!P2)=0,OR('A créer'!D2="Oui",LEN('A créer'!D2)=0))=TRUE,"","ENT")</f>
        <v>ENT</v>
      </c>
      <c r="Y2" s="2" t="str">
        <f>IF(AND(LEN('A créer'!P2)=0,OR('A créer'!D2="Oui",LEN('A créer'!D2)=0))=TRUE,"","*SAVE")</f>
        <v>*SAVE</v>
      </c>
    </row>
    <row r="3" spans="1:25" x14ac:dyDescent="0.35">
      <c r="A3" s="2" t="str">
        <f>IF(AND(LEN('A créer'!P3)=0,OR('A créer'!D3="Oui",LEN('A créer'!D3)=0))=TRUE,"","*FN")</f>
        <v/>
      </c>
      <c r="B3" s="6" t="str">
        <f>IF(AND(LEN('A créer'!P3)=0,OR('A créer'!D3="Oui",LEN('A créer'!D3)=0))=TRUE,"",'A créer'!P3)</f>
        <v/>
      </c>
      <c r="C3" s="2" t="str">
        <f>IF(AND(LEN('A créer'!P3)=0,OR('A créer'!D3="Oui",LEN('A créer'!D3)=0))=TRUE,"","Tab")</f>
        <v/>
      </c>
      <c r="D3" s="6" t="str">
        <f>IF(AND(LEN('A créer'!P3)=0,OR('A créer'!D3="Oui",LEN('A créer'!D3)=0))=TRUE,"",CONCATENATE('A créer'!Q3," ",'A créer'!A3," ",'A créer'!C3,"/",'A créer'!B3))</f>
        <v/>
      </c>
      <c r="E3" s="2" t="str">
        <f>IF(AND(LEN('A créer'!P3)=0,OR('A créer'!D3="Oui",LEN('A créer'!D3)=0))=TRUE,"","Tab 4")</f>
        <v/>
      </c>
      <c r="F3" s="2" t="str">
        <f>IF(AND(LEN('A créer'!P3)=0,OR('A créer'!D3="Oui",LEN('A créer'!D3)=0))=TRUE,"","Tab")</f>
        <v/>
      </c>
      <c r="G3" s="2" t="str">
        <f>IF(AND(LEN('A créer'!P3)=0,OR('A créer'!D3="Oui",LEN('A créer'!D3)=0))=TRUE,"","Tab")</f>
        <v/>
      </c>
      <c r="H3" s="6" t="str">
        <f>IF(AND(LEN('A créer'!P3)=0,OR('A créer'!D3="Oui",LEN('A créer'!D3)=0))=TRUE,"","Non")</f>
        <v/>
      </c>
      <c r="I3" s="2" t="str">
        <f>IF(AND(LEN('A créer'!P3)=0,OR('A créer'!D3="Oui",LEN('A créer'!D3)=0))=TRUE,"","Tab")</f>
        <v/>
      </c>
      <c r="J3" s="6" t="str">
        <f>IF(AND(LEN('A créer'!P3)=0,OR('A créer'!D3="Oui",LEN('A créer'!D3)=0))=TRUE,"","Oui")</f>
        <v/>
      </c>
      <c r="K3" s="2" t="str">
        <f>IF(AND(LEN('A créer'!P3)=0,OR('A créer'!D3="Oui",LEN('A créer'!D3)=0))=TRUE,"","Tab")</f>
        <v/>
      </c>
      <c r="L3" s="6" t="str">
        <f>IF(AND(LEN('A créer'!P3)=0,OR('A créer'!D3="Oui",LEN('A créer'!D3)=0))=TRUE,"","Actif")</f>
        <v/>
      </c>
      <c r="M3" s="2" t="str">
        <f>IF(AND(LEN('A créer'!P3)=0,OR('A créer'!D3="Oui",LEN('A créer'!D3)=0))=TRUE,"","Tab")</f>
        <v/>
      </c>
      <c r="N3" s="6" t="str">
        <f>IF(AND(LEN('A créer'!P3)=0,OR('A créer'!D3="Oui",LEN('A créer'!D3)=0))=TRUE,"","Non")</f>
        <v/>
      </c>
      <c r="O3" s="2" t="str">
        <f>IF(AND(LEN('A créer'!P3)=0,OR('A créer'!D3="Oui",LEN('A créer'!D3)=0))=TRUE,"","Tab")</f>
        <v/>
      </c>
      <c r="P3" s="6" t="str">
        <f>IF(AND(LEN('A créer'!P3)=0,OR('A créer'!D3="Oui",LEN('A créer'!D3)=0))=TRUE,"","Non")</f>
        <v/>
      </c>
      <c r="Q3" s="2" t="str">
        <f>IF(AND(LEN('A créer'!P3)=0,OR('A créer'!D3="Oui",LEN('A créer'!D3)=0))=TRUE,"","Tab")</f>
        <v/>
      </c>
      <c r="R3" s="2" t="str">
        <f>IF(AND(LEN('A créer'!P3)=0,OR('A créer'!D3="Oui",LEN('A créer'!D3)=0))=TRUE,"","ENT")</f>
        <v/>
      </c>
      <c r="S3" s="2" t="s">
        <v>93</v>
      </c>
      <c r="T3" s="2" t="str">
        <f>IF(AND(LEN('A créer'!P3)=0,OR('A créer'!D3="Oui",LEN('A créer'!D3)=0))=TRUE,"","Tab")</f>
        <v/>
      </c>
      <c r="U3" s="2" t="str">
        <f>IF(AND(LEN('A créer'!P3)=0,OR('A créer'!D3="Oui",LEN('A créer'!D3)=0))=TRUE,"","Tab")</f>
        <v/>
      </c>
      <c r="V3" s="2" t="str">
        <f>IF(AND(LEN('A créer'!P3)=0,OR('A créer'!D3="Oui",LEN('A créer'!D3)=0))=TRUE,"","Tab")</f>
        <v/>
      </c>
      <c r="W3" s="4" t="str">
        <f>IF(AND(LEN('A créer'!P3)=0,OR('A créer'!D3="Oui",LEN('A créer'!D3)=0))=TRUE,"","Non")</f>
        <v/>
      </c>
      <c r="X3" s="2" t="str">
        <f>IF(AND(LEN('A créer'!P3)=0,OR('A créer'!D3="Oui",LEN('A créer'!D3)=0))=TRUE,"","ENT")</f>
        <v/>
      </c>
      <c r="Y3" s="2" t="str">
        <f>IF(AND(LEN('A créer'!P3)=0,OR('A créer'!D3="Oui",LEN('A créer'!D3)=0))=TRUE,"","*SAVE")</f>
        <v/>
      </c>
    </row>
    <row r="4" spans="1:25" x14ac:dyDescent="0.35">
      <c r="A4" s="2" t="str">
        <f>IF(AND(LEN('A créer'!P4)=0,OR('A créer'!D4="Oui",LEN('A créer'!D4)=0))=TRUE,"","*FN")</f>
        <v>*FN</v>
      </c>
      <c r="B4" s="6">
        <f>IF(AND(LEN('A créer'!P4)=0,OR('A créer'!D4="Oui",LEN('A créer'!D4)=0))=TRUE,"",'A créer'!P4)</f>
        <v>513619</v>
      </c>
      <c r="C4" s="2" t="str">
        <f>IF(AND(LEN('A créer'!P4)=0,OR('A créer'!D4="Oui",LEN('A créer'!D4)=0))=TRUE,"","Tab")</f>
        <v>Tab</v>
      </c>
      <c r="D4" s="6" t="str">
        <f>IF(AND(LEN('A créer'!P4)=0,OR('A créer'!D4="Oui",LEN('A créer'!D4)=0))=TRUE,"",CONCATENATE('A créer'!Q4," ",'A créer'!A4," ",'A créer'!C4,"/",'A créer'!B4))</f>
        <v>SOCIETE GENERALE 0595 MIRECOURT ENERGIES/DCW</v>
      </c>
      <c r="E4" s="2" t="str">
        <f>IF(AND(LEN('A créer'!P4)=0,OR('A créer'!D4="Oui",LEN('A créer'!D4)=0))=TRUE,"","Tab 4")</f>
        <v>Tab 4</v>
      </c>
      <c r="F4" s="2" t="str">
        <f>IF(AND(LEN('A créer'!P4)=0,OR('A créer'!D4="Oui",LEN('A créer'!D4)=0))=TRUE,"","Tab")</f>
        <v>Tab</v>
      </c>
      <c r="G4" s="2" t="str">
        <f>IF(AND(LEN('A créer'!P4)=0,OR('A créer'!D4="Oui",LEN('A créer'!D4)=0))=TRUE,"","Tab")</f>
        <v>Tab</v>
      </c>
      <c r="H4" s="6" t="str">
        <f>IF(AND(LEN('A créer'!P4)=0,OR('A créer'!D4="Oui",LEN('A créer'!D4)=0))=TRUE,"","Non")</f>
        <v>Non</v>
      </c>
      <c r="I4" s="2" t="str">
        <f>IF(AND(LEN('A créer'!P4)=0,OR('A créer'!D4="Oui",LEN('A créer'!D4)=0))=TRUE,"","Tab")</f>
        <v>Tab</v>
      </c>
      <c r="J4" s="6" t="str">
        <f>IF(AND(LEN('A créer'!P4)=0,OR('A créer'!D4="Oui",LEN('A créer'!D4)=0))=TRUE,"","Oui")</f>
        <v>Oui</v>
      </c>
      <c r="K4" s="2" t="str">
        <f>IF(AND(LEN('A créer'!P4)=0,OR('A créer'!D4="Oui",LEN('A créer'!D4)=0))=TRUE,"","Tab")</f>
        <v>Tab</v>
      </c>
      <c r="L4" s="6" t="str">
        <f>IF(AND(LEN('A créer'!P4)=0,OR('A créer'!D4="Oui",LEN('A créer'!D4)=0))=TRUE,"","Actif")</f>
        <v>Actif</v>
      </c>
      <c r="M4" s="2" t="str">
        <f>IF(AND(LEN('A créer'!P4)=0,OR('A créer'!D4="Oui",LEN('A créer'!D4)=0))=TRUE,"","Tab")</f>
        <v>Tab</v>
      </c>
      <c r="N4" s="6" t="str">
        <f>IF(AND(LEN('A créer'!P4)=0,OR('A créer'!D4="Oui",LEN('A créer'!D4)=0))=TRUE,"","Non")</f>
        <v>Non</v>
      </c>
      <c r="O4" s="2" t="str">
        <f>IF(AND(LEN('A créer'!P4)=0,OR('A créer'!D4="Oui",LEN('A créer'!D4)=0))=TRUE,"","Tab")</f>
        <v>Tab</v>
      </c>
      <c r="P4" s="6" t="str">
        <f>IF(AND(LEN('A créer'!P4)=0,OR('A créer'!D4="Oui",LEN('A créer'!D4)=0))=TRUE,"","Non")</f>
        <v>Non</v>
      </c>
      <c r="Q4" s="2" t="str">
        <f>IF(AND(LEN('A créer'!P4)=0,OR('A créer'!D4="Oui",LEN('A créer'!D4)=0))=TRUE,"","Tab")</f>
        <v>Tab</v>
      </c>
      <c r="R4" s="2" t="str">
        <f>IF(AND(LEN('A créer'!P4)=0,OR('A créer'!D4="Oui",LEN('A créer'!D4)=0))=TRUE,"","ENT")</f>
        <v>ENT</v>
      </c>
      <c r="S4" s="2" t="s">
        <v>93</v>
      </c>
      <c r="T4" s="2" t="str">
        <f>IF(AND(LEN('A créer'!P4)=0,OR('A créer'!D4="Oui",LEN('A créer'!D4)=0))=TRUE,"","Tab")</f>
        <v>Tab</v>
      </c>
      <c r="U4" s="2" t="str">
        <f>IF(AND(LEN('A créer'!P4)=0,OR('A créer'!D4="Oui",LEN('A créer'!D4)=0))=TRUE,"","Tab")</f>
        <v>Tab</v>
      </c>
      <c r="V4" s="2" t="str">
        <f>IF(AND(LEN('A créer'!P4)=0,OR('A créer'!D4="Oui",LEN('A créer'!D4)=0))=TRUE,"","Tab")</f>
        <v>Tab</v>
      </c>
      <c r="W4" s="4" t="str">
        <f>IF(AND(LEN('A créer'!P4)=0,OR('A créer'!D4="Oui",LEN('A créer'!D4)=0))=TRUE,"","Non")</f>
        <v>Non</v>
      </c>
      <c r="X4" s="2" t="str">
        <f>IF(AND(LEN('A créer'!P4)=0,OR('A créer'!D4="Oui",LEN('A créer'!D4)=0))=TRUE,"","ENT")</f>
        <v>ENT</v>
      </c>
      <c r="Y4" s="2" t="str">
        <f>IF(AND(LEN('A créer'!P4)=0,OR('A créer'!D4="Oui",LEN('A créer'!D4)=0))=TRUE,"","*SAVE")</f>
        <v>*SAVE</v>
      </c>
    </row>
    <row r="5" spans="1:25" x14ac:dyDescent="0.35">
      <c r="A5" s="2" t="str">
        <f>IF(AND(LEN('A créer'!P5)=0,OR('A créer'!D5="Oui",LEN('A créer'!D5)=0))=TRUE,"","*FN")</f>
        <v/>
      </c>
      <c r="B5" s="6" t="str">
        <f>IF(AND(LEN('A créer'!P5)=0,OR('A créer'!D5="Oui",LEN('A créer'!D5)=0))=TRUE,"",'A créer'!P5)</f>
        <v/>
      </c>
      <c r="C5" s="2" t="str">
        <f>IF(AND(LEN('A créer'!P5)=0,OR('A créer'!D5="Oui",LEN('A créer'!D5)=0))=TRUE,"","Tab")</f>
        <v/>
      </c>
      <c r="D5" s="6" t="str">
        <f>IF(AND(LEN('A créer'!P5)=0,OR('A créer'!D5="Oui",LEN('A créer'!D5)=0))=TRUE,"",CONCATENATE('A créer'!Q5," ",'A créer'!A5," ",'A créer'!C5,"/",'A créer'!B5))</f>
        <v/>
      </c>
      <c r="E5" s="2" t="str">
        <f>IF(AND(LEN('A créer'!P5)=0,OR('A créer'!D5="Oui",LEN('A créer'!D5)=0))=TRUE,"","Tab 4")</f>
        <v/>
      </c>
      <c r="F5" s="2" t="str">
        <f>IF(AND(LEN('A créer'!P5)=0,OR('A créer'!D5="Oui",LEN('A créer'!D5)=0))=TRUE,"","Tab")</f>
        <v/>
      </c>
      <c r="G5" s="2" t="str">
        <f>IF(AND(LEN('A créer'!P5)=0,OR('A créer'!D5="Oui",LEN('A créer'!D5)=0))=TRUE,"","Tab")</f>
        <v/>
      </c>
      <c r="H5" s="6" t="str">
        <f>IF(AND(LEN('A créer'!P5)=0,OR('A créer'!D5="Oui",LEN('A créer'!D5)=0))=TRUE,"","Non")</f>
        <v/>
      </c>
      <c r="I5" s="2" t="str">
        <f>IF(AND(LEN('A créer'!P5)=0,OR('A créer'!D5="Oui",LEN('A créer'!D5)=0))=TRUE,"","Tab")</f>
        <v/>
      </c>
      <c r="J5" s="6" t="str">
        <f>IF(AND(LEN('A créer'!P5)=0,OR('A créer'!D5="Oui",LEN('A créer'!D5)=0))=TRUE,"","Oui")</f>
        <v/>
      </c>
      <c r="K5" s="2" t="str">
        <f>IF(AND(LEN('A créer'!P5)=0,OR('A créer'!D5="Oui",LEN('A créer'!D5)=0))=TRUE,"","Tab")</f>
        <v/>
      </c>
      <c r="L5" s="6" t="str">
        <f>IF(AND(LEN('A créer'!P5)=0,OR('A créer'!D5="Oui",LEN('A créer'!D5)=0))=TRUE,"","Actif")</f>
        <v/>
      </c>
      <c r="M5" s="2" t="str">
        <f>IF(AND(LEN('A créer'!P5)=0,OR('A créer'!D5="Oui",LEN('A créer'!D5)=0))=TRUE,"","Tab")</f>
        <v/>
      </c>
      <c r="N5" s="6" t="str">
        <f>IF(AND(LEN('A créer'!P5)=0,OR('A créer'!D5="Oui",LEN('A créer'!D5)=0))=TRUE,"","Non")</f>
        <v/>
      </c>
      <c r="O5" s="2" t="str">
        <f>IF(AND(LEN('A créer'!P5)=0,OR('A créer'!D5="Oui",LEN('A créer'!D5)=0))=TRUE,"","Tab")</f>
        <v/>
      </c>
      <c r="P5" s="6" t="str">
        <f>IF(AND(LEN('A créer'!P5)=0,OR('A créer'!D5="Oui",LEN('A créer'!D5)=0))=TRUE,"","Non")</f>
        <v/>
      </c>
      <c r="Q5" s="2" t="str">
        <f>IF(AND(LEN('A créer'!P5)=0,OR('A créer'!D5="Oui",LEN('A créer'!D5)=0))=TRUE,"","Tab")</f>
        <v/>
      </c>
      <c r="R5" s="2" t="str">
        <f>IF(AND(LEN('A créer'!P5)=0,OR('A créer'!D5="Oui",LEN('A créer'!D5)=0))=TRUE,"","ENT")</f>
        <v/>
      </c>
      <c r="S5" s="2" t="s">
        <v>93</v>
      </c>
      <c r="T5" s="2" t="str">
        <f>IF(AND(LEN('A créer'!P5)=0,OR('A créer'!D5="Oui",LEN('A créer'!D5)=0))=TRUE,"","Tab")</f>
        <v/>
      </c>
      <c r="U5" s="2" t="str">
        <f>IF(AND(LEN('A créer'!P5)=0,OR('A créer'!D5="Oui",LEN('A créer'!D5)=0))=TRUE,"","Tab")</f>
        <v/>
      </c>
      <c r="V5" s="2" t="str">
        <f>IF(AND(LEN('A créer'!P5)=0,OR('A créer'!D5="Oui",LEN('A créer'!D5)=0))=TRUE,"","Tab")</f>
        <v/>
      </c>
      <c r="W5" s="4" t="str">
        <f>IF(AND(LEN('A créer'!P5)=0,OR('A créer'!D5="Oui",LEN('A créer'!D5)=0))=TRUE,"","Non")</f>
        <v/>
      </c>
      <c r="X5" s="2" t="str">
        <f>IF(AND(LEN('A créer'!P5)=0,OR('A créer'!D5="Oui",LEN('A créer'!D5)=0))=TRUE,"","ENT")</f>
        <v/>
      </c>
      <c r="Y5" s="2" t="str">
        <f>IF(AND(LEN('A créer'!P5)=0,OR('A créer'!D5="Oui",LEN('A créer'!D5)=0))=TRUE,"","*SAVE")</f>
        <v/>
      </c>
    </row>
    <row r="6" spans="1:25" x14ac:dyDescent="0.35">
      <c r="A6" s="2" t="str">
        <f>IF(AND(LEN('A créer'!P6)=0,OR('A créer'!D6="Oui",LEN('A créer'!D6)=0))=TRUE,"","*FN")</f>
        <v/>
      </c>
      <c r="B6" s="6" t="str">
        <f>IF(AND(LEN('A créer'!P6)=0,OR('A créer'!D6="Oui",LEN('A créer'!D6)=0))=TRUE,"",'A créer'!P6)</f>
        <v/>
      </c>
      <c r="C6" s="2" t="str">
        <f>IF(AND(LEN('A créer'!P6)=0,OR('A créer'!D6="Oui",LEN('A créer'!D6)=0))=TRUE,"","Tab")</f>
        <v/>
      </c>
      <c r="D6" s="6" t="str">
        <f>IF(AND(LEN('A créer'!P6)=0,OR('A créer'!D6="Oui",LEN('A créer'!D6)=0))=TRUE,"",CONCATENATE('A créer'!Q6," ",'A créer'!A6," ",'A créer'!C6,"/",'A créer'!B6))</f>
        <v/>
      </c>
      <c r="E6" s="2" t="str">
        <f>IF(AND(LEN('A créer'!P6)=0,OR('A créer'!D6="Oui",LEN('A créer'!D6)=0))=TRUE,"","Tab 4")</f>
        <v/>
      </c>
      <c r="F6" s="2" t="str">
        <f>IF(AND(LEN('A créer'!P6)=0,OR('A créer'!D6="Oui",LEN('A créer'!D6)=0))=TRUE,"","Tab")</f>
        <v/>
      </c>
      <c r="G6" s="2" t="str">
        <f>IF(AND(LEN('A créer'!P6)=0,OR('A créer'!D6="Oui",LEN('A créer'!D6)=0))=TRUE,"","Tab")</f>
        <v/>
      </c>
      <c r="H6" s="6" t="str">
        <f>IF(AND(LEN('A créer'!P6)=0,OR('A créer'!D6="Oui",LEN('A créer'!D6)=0))=TRUE,"","Non")</f>
        <v/>
      </c>
      <c r="I6" s="2" t="str">
        <f>IF(AND(LEN('A créer'!P6)=0,OR('A créer'!D6="Oui",LEN('A créer'!D6)=0))=TRUE,"","Tab")</f>
        <v/>
      </c>
      <c r="J6" s="6" t="str">
        <f>IF(AND(LEN('A créer'!P6)=0,OR('A créer'!D6="Oui",LEN('A créer'!D6)=0))=TRUE,"","Oui")</f>
        <v/>
      </c>
      <c r="K6" s="2" t="str">
        <f>IF(AND(LEN('A créer'!P6)=0,OR('A créer'!D6="Oui",LEN('A créer'!D6)=0))=TRUE,"","Tab")</f>
        <v/>
      </c>
      <c r="L6" s="6" t="str">
        <f>IF(AND(LEN('A créer'!P6)=0,OR('A créer'!D6="Oui",LEN('A créer'!D6)=0))=TRUE,"","Actif")</f>
        <v/>
      </c>
      <c r="M6" s="2" t="str">
        <f>IF(AND(LEN('A créer'!P6)=0,OR('A créer'!D6="Oui",LEN('A créer'!D6)=0))=TRUE,"","Tab")</f>
        <v/>
      </c>
      <c r="N6" s="6" t="str">
        <f>IF(AND(LEN('A créer'!P6)=0,OR('A créer'!D6="Oui",LEN('A créer'!D6)=0))=TRUE,"","Non")</f>
        <v/>
      </c>
      <c r="O6" s="2" t="str">
        <f>IF(AND(LEN('A créer'!P6)=0,OR('A créer'!D6="Oui",LEN('A créer'!D6)=0))=TRUE,"","Tab")</f>
        <v/>
      </c>
      <c r="P6" s="6" t="str">
        <f>IF(AND(LEN('A créer'!P6)=0,OR('A créer'!D6="Oui",LEN('A créer'!D6)=0))=TRUE,"","Non")</f>
        <v/>
      </c>
      <c r="Q6" s="2" t="str">
        <f>IF(AND(LEN('A créer'!P6)=0,OR('A créer'!D6="Oui",LEN('A créer'!D6)=0))=TRUE,"","Tab")</f>
        <v/>
      </c>
      <c r="R6" s="2" t="str">
        <f>IF(AND(LEN('A créer'!P6)=0,OR('A créer'!D6="Oui",LEN('A créer'!D6)=0))=TRUE,"","ENT")</f>
        <v/>
      </c>
      <c r="S6" s="2" t="s">
        <v>93</v>
      </c>
      <c r="T6" s="2" t="str">
        <f>IF(AND(LEN('A créer'!P6)=0,OR('A créer'!D6="Oui",LEN('A créer'!D6)=0))=TRUE,"","Tab")</f>
        <v/>
      </c>
      <c r="U6" s="2" t="str">
        <f>IF(AND(LEN('A créer'!P6)=0,OR('A créer'!D6="Oui",LEN('A créer'!D6)=0))=TRUE,"","Tab")</f>
        <v/>
      </c>
      <c r="V6" s="2" t="str">
        <f>IF(AND(LEN('A créer'!P6)=0,OR('A créer'!D6="Oui",LEN('A créer'!D6)=0))=TRUE,"","Tab")</f>
        <v/>
      </c>
      <c r="W6" s="4" t="str">
        <f>IF(AND(LEN('A créer'!P6)=0,OR('A créer'!D6="Oui",LEN('A créer'!D6)=0))=TRUE,"","Non")</f>
        <v/>
      </c>
      <c r="X6" s="2" t="str">
        <f>IF(AND(LEN('A créer'!P6)=0,OR('A créer'!D6="Oui",LEN('A créer'!D6)=0))=TRUE,"","ENT")</f>
        <v/>
      </c>
      <c r="Y6" s="2" t="str">
        <f>IF(AND(LEN('A créer'!P6)=0,OR('A créer'!D6="Oui",LEN('A créer'!D6)=0))=TRUE,"","*SAVE")</f>
        <v/>
      </c>
    </row>
    <row r="7" spans="1:25" x14ac:dyDescent="0.35">
      <c r="A7" s="2" t="str">
        <f>IF(AND(LEN('A créer'!P7)=0,OR('A créer'!D7="Oui",LEN('A créer'!D7)=0))=TRUE,"","*FN")</f>
        <v/>
      </c>
      <c r="B7" s="6" t="str">
        <f>IF(AND(LEN('A créer'!P7)=0,OR('A créer'!D7="Oui",LEN('A créer'!D7)=0))=TRUE,"",'A créer'!P7)</f>
        <v/>
      </c>
      <c r="C7" s="2" t="str">
        <f>IF(AND(LEN('A créer'!P7)=0,OR('A créer'!D7="Oui",LEN('A créer'!D7)=0))=TRUE,"","Tab")</f>
        <v/>
      </c>
      <c r="D7" s="6" t="str">
        <f>IF(AND(LEN('A créer'!P7)=0,OR('A créer'!D7="Oui",LEN('A créer'!D7)=0))=TRUE,"",CONCATENATE('A créer'!Q7," ",'A créer'!A7," ",'A créer'!C7,"/",'A créer'!B7))</f>
        <v/>
      </c>
      <c r="E7" s="2" t="str">
        <f>IF(AND(LEN('A créer'!P7)=0,OR('A créer'!D7="Oui",LEN('A créer'!D7)=0))=TRUE,"","Tab 4")</f>
        <v/>
      </c>
      <c r="F7" s="2" t="str">
        <f>IF(AND(LEN('A créer'!P7)=0,OR('A créer'!D7="Oui",LEN('A créer'!D7)=0))=TRUE,"","Tab")</f>
        <v/>
      </c>
      <c r="G7" s="2" t="str">
        <f>IF(AND(LEN('A créer'!P7)=0,OR('A créer'!D7="Oui",LEN('A créer'!D7)=0))=TRUE,"","Tab")</f>
        <v/>
      </c>
      <c r="H7" s="6" t="str">
        <f>IF(AND(LEN('A créer'!P7)=0,OR('A créer'!D7="Oui",LEN('A créer'!D7)=0))=TRUE,"","Non")</f>
        <v/>
      </c>
      <c r="I7" s="2" t="str">
        <f>IF(AND(LEN('A créer'!P7)=0,OR('A créer'!D7="Oui",LEN('A créer'!D7)=0))=TRUE,"","Tab")</f>
        <v/>
      </c>
      <c r="J7" s="6" t="str">
        <f>IF(AND(LEN('A créer'!P7)=0,OR('A créer'!D7="Oui",LEN('A créer'!D7)=0))=TRUE,"","Oui")</f>
        <v/>
      </c>
      <c r="K7" s="2" t="str">
        <f>IF(AND(LEN('A créer'!P7)=0,OR('A créer'!D7="Oui",LEN('A créer'!D7)=0))=TRUE,"","Tab")</f>
        <v/>
      </c>
      <c r="L7" s="6" t="str">
        <f>IF(AND(LEN('A créer'!P7)=0,OR('A créer'!D7="Oui",LEN('A créer'!D7)=0))=TRUE,"","Actif")</f>
        <v/>
      </c>
      <c r="M7" s="2" t="str">
        <f>IF(AND(LEN('A créer'!P7)=0,OR('A créer'!D7="Oui",LEN('A créer'!D7)=0))=TRUE,"","Tab")</f>
        <v/>
      </c>
      <c r="N7" s="6" t="str">
        <f>IF(AND(LEN('A créer'!P7)=0,OR('A créer'!D7="Oui",LEN('A créer'!D7)=0))=TRUE,"","Non")</f>
        <v/>
      </c>
      <c r="O7" s="2" t="str">
        <f>IF(AND(LEN('A créer'!P7)=0,OR('A créer'!D7="Oui",LEN('A créer'!D7)=0))=TRUE,"","Tab")</f>
        <v/>
      </c>
      <c r="P7" s="6" t="str">
        <f>IF(AND(LEN('A créer'!P7)=0,OR('A créer'!D7="Oui",LEN('A créer'!D7)=0))=TRUE,"","Non")</f>
        <v/>
      </c>
      <c r="Q7" s="2" t="str">
        <f>IF(AND(LEN('A créer'!P7)=0,OR('A créer'!D7="Oui",LEN('A créer'!D7)=0))=TRUE,"","Tab")</f>
        <v/>
      </c>
      <c r="R7" s="2" t="str">
        <f>IF(AND(LEN('A créer'!P7)=0,OR('A créer'!D7="Oui",LEN('A créer'!D7)=0))=TRUE,"","ENT")</f>
        <v/>
      </c>
      <c r="S7" s="2" t="s">
        <v>93</v>
      </c>
      <c r="T7" s="2" t="str">
        <f>IF(AND(LEN('A créer'!P7)=0,OR('A créer'!D7="Oui",LEN('A créer'!D7)=0))=TRUE,"","Tab")</f>
        <v/>
      </c>
      <c r="U7" s="2" t="str">
        <f>IF(AND(LEN('A créer'!P7)=0,OR('A créer'!D7="Oui",LEN('A créer'!D7)=0))=TRUE,"","Tab")</f>
        <v/>
      </c>
      <c r="V7" s="2" t="str">
        <f>IF(AND(LEN('A créer'!P7)=0,OR('A créer'!D7="Oui",LEN('A créer'!D7)=0))=TRUE,"","Tab")</f>
        <v/>
      </c>
      <c r="W7" s="4" t="str">
        <f>IF(AND(LEN('A créer'!P7)=0,OR('A créer'!D7="Oui",LEN('A créer'!D7)=0))=TRUE,"","Non")</f>
        <v/>
      </c>
      <c r="X7" s="2" t="str">
        <f>IF(AND(LEN('A créer'!P7)=0,OR('A créer'!D7="Oui",LEN('A créer'!D7)=0))=TRUE,"","ENT")</f>
        <v/>
      </c>
      <c r="Y7" s="2" t="str">
        <f>IF(AND(LEN('A créer'!P7)=0,OR('A créer'!D7="Oui",LEN('A créer'!D7)=0))=TRUE,"","*SAVE")</f>
        <v/>
      </c>
    </row>
    <row r="8" spans="1:25" x14ac:dyDescent="0.35">
      <c r="A8" s="2" t="str">
        <f>IF(AND(LEN('A créer'!P8)=0,OR('A créer'!D8="Oui",LEN('A créer'!D8)=0))=TRUE,"","*FN")</f>
        <v/>
      </c>
      <c r="B8" s="6" t="str">
        <f>IF(AND(LEN('A créer'!P8)=0,OR('A créer'!D8="Oui",LEN('A créer'!D8)=0))=TRUE,"",'A créer'!P8)</f>
        <v/>
      </c>
      <c r="C8" s="2" t="str">
        <f>IF(AND(LEN('A créer'!P8)=0,OR('A créer'!D8="Oui",LEN('A créer'!D8)=0))=TRUE,"","Tab")</f>
        <v/>
      </c>
      <c r="D8" s="6" t="str">
        <f>IF(AND(LEN('A créer'!P8)=0,OR('A créer'!D8="Oui",LEN('A créer'!D8)=0))=TRUE,"",CONCATENATE('A créer'!Q8," ",'A créer'!A8," ",'A créer'!C8,"/",'A créer'!B8))</f>
        <v/>
      </c>
      <c r="E8" s="2" t="str">
        <f>IF(AND(LEN('A créer'!P8)=0,OR('A créer'!D8="Oui",LEN('A créer'!D8)=0))=TRUE,"","Tab 4")</f>
        <v/>
      </c>
      <c r="F8" s="2" t="str">
        <f>IF(AND(LEN('A créer'!P8)=0,OR('A créer'!D8="Oui",LEN('A créer'!D8)=0))=TRUE,"","Tab")</f>
        <v/>
      </c>
      <c r="G8" s="2" t="str">
        <f>IF(AND(LEN('A créer'!P8)=0,OR('A créer'!D8="Oui",LEN('A créer'!D8)=0))=TRUE,"","Tab")</f>
        <v/>
      </c>
      <c r="H8" s="6" t="str">
        <f>IF(AND(LEN('A créer'!P8)=0,OR('A créer'!D8="Oui",LEN('A créer'!D8)=0))=TRUE,"","Non")</f>
        <v/>
      </c>
      <c r="I8" s="2" t="str">
        <f>IF(AND(LEN('A créer'!P8)=0,OR('A créer'!D8="Oui",LEN('A créer'!D8)=0))=TRUE,"","Tab")</f>
        <v/>
      </c>
      <c r="J8" s="6" t="str">
        <f>IF(AND(LEN('A créer'!P8)=0,OR('A créer'!D8="Oui",LEN('A créer'!D8)=0))=TRUE,"","Oui")</f>
        <v/>
      </c>
      <c r="K8" s="2" t="str">
        <f>IF(AND(LEN('A créer'!P8)=0,OR('A créer'!D8="Oui",LEN('A créer'!D8)=0))=TRUE,"","Tab")</f>
        <v/>
      </c>
      <c r="L8" s="6" t="str">
        <f>IF(AND(LEN('A créer'!P8)=0,OR('A créer'!D8="Oui",LEN('A créer'!D8)=0))=TRUE,"","Actif")</f>
        <v/>
      </c>
      <c r="M8" s="2" t="str">
        <f>IF(AND(LEN('A créer'!P8)=0,OR('A créer'!D8="Oui",LEN('A créer'!D8)=0))=TRUE,"","Tab")</f>
        <v/>
      </c>
      <c r="N8" s="6" t="str">
        <f>IF(AND(LEN('A créer'!P8)=0,OR('A créer'!D8="Oui",LEN('A créer'!D8)=0))=TRUE,"","Non")</f>
        <v/>
      </c>
      <c r="O8" s="2" t="str">
        <f>IF(AND(LEN('A créer'!P8)=0,OR('A créer'!D8="Oui",LEN('A créer'!D8)=0))=TRUE,"","Tab")</f>
        <v/>
      </c>
      <c r="P8" s="6" t="str">
        <f>IF(AND(LEN('A créer'!P8)=0,OR('A créer'!D8="Oui",LEN('A créer'!D8)=0))=TRUE,"","Non")</f>
        <v/>
      </c>
      <c r="Q8" s="2" t="str">
        <f>IF(AND(LEN('A créer'!P8)=0,OR('A créer'!D8="Oui",LEN('A créer'!D8)=0))=TRUE,"","Tab")</f>
        <v/>
      </c>
      <c r="R8" s="2" t="str">
        <f>IF(AND(LEN('A créer'!P8)=0,OR('A créer'!D8="Oui",LEN('A créer'!D8)=0))=TRUE,"","ENT")</f>
        <v/>
      </c>
      <c r="S8" s="2" t="s">
        <v>93</v>
      </c>
      <c r="T8" s="2" t="str">
        <f>IF(AND(LEN('A créer'!P8)=0,OR('A créer'!D8="Oui",LEN('A créer'!D8)=0))=TRUE,"","Tab")</f>
        <v/>
      </c>
      <c r="U8" s="2" t="str">
        <f>IF(AND(LEN('A créer'!P8)=0,OR('A créer'!D8="Oui",LEN('A créer'!D8)=0))=TRUE,"","Tab")</f>
        <v/>
      </c>
      <c r="V8" s="2" t="str">
        <f>IF(AND(LEN('A créer'!P8)=0,OR('A créer'!D8="Oui",LEN('A créer'!D8)=0))=TRUE,"","Tab")</f>
        <v/>
      </c>
      <c r="W8" s="4" t="str">
        <f>IF(AND(LEN('A créer'!P8)=0,OR('A créer'!D8="Oui",LEN('A créer'!D8)=0))=TRUE,"","Non")</f>
        <v/>
      </c>
      <c r="X8" s="2" t="str">
        <f>IF(AND(LEN('A créer'!P8)=0,OR('A créer'!D8="Oui",LEN('A créer'!D8)=0))=TRUE,"","ENT")</f>
        <v/>
      </c>
      <c r="Y8" s="2" t="str">
        <f>IF(AND(LEN('A créer'!P8)=0,OR('A créer'!D8="Oui",LEN('A créer'!D8)=0))=TRUE,"","*SAVE")</f>
        <v/>
      </c>
    </row>
    <row r="9" spans="1:25" x14ac:dyDescent="0.35">
      <c r="A9" s="2" t="str">
        <f>IF(AND(LEN('A créer'!P9)=0,OR('A créer'!D9="Oui",LEN('A créer'!D9)=0))=TRUE,"","*FN")</f>
        <v/>
      </c>
      <c r="B9" s="6" t="str">
        <f>IF(AND(LEN('A créer'!P9)=0,OR('A créer'!D9="Oui",LEN('A créer'!D9)=0))=TRUE,"",'A créer'!P9)</f>
        <v/>
      </c>
      <c r="C9" s="2" t="str">
        <f>IF(AND(LEN('A créer'!P9)=0,OR('A créer'!D9="Oui",LEN('A créer'!D9)=0))=TRUE,"","Tab")</f>
        <v/>
      </c>
      <c r="D9" s="6" t="str">
        <f>IF(AND(LEN('A créer'!P9)=0,OR('A créer'!D9="Oui",LEN('A créer'!D9)=0))=TRUE,"",CONCATENATE('A créer'!Q9," ",'A créer'!A9," ",'A créer'!C9,"/",'A créer'!B9))</f>
        <v/>
      </c>
      <c r="E9" s="2" t="str">
        <f>IF(AND(LEN('A créer'!P9)=0,OR('A créer'!D9="Oui",LEN('A créer'!D9)=0))=TRUE,"","Tab 4")</f>
        <v/>
      </c>
      <c r="F9" s="2" t="str">
        <f>IF(AND(LEN('A créer'!P9)=0,OR('A créer'!D9="Oui",LEN('A créer'!D9)=0))=TRUE,"","Tab")</f>
        <v/>
      </c>
      <c r="G9" s="2" t="str">
        <f>IF(AND(LEN('A créer'!P9)=0,OR('A créer'!D9="Oui",LEN('A créer'!D9)=0))=TRUE,"","Tab")</f>
        <v/>
      </c>
      <c r="H9" s="6" t="str">
        <f>IF(AND(LEN('A créer'!P9)=0,OR('A créer'!D9="Oui",LEN('A créer'!D9)=0))=TRUE,"","Non")</f>
        <v/>
      </c>
      <c r="I9" s="2" t="str">
        <f>IF(AND(LEN('A créer'!P9)=0,OR('A créer'!D9="Oui",LEN('A créer'!D9)=0))=TRUE,"","Tab")</f>
        <v/>
      </c>
      <c r="J9" s="6" t="str">
        <f>IF(AND(LEN('A créer'!P9)=0,OR('A créer'!D9="Oui",LEN('A créer'!D9)=0))=TRUE,"","Oui")</f>
        <v/>
      </c>
      <c r="K9" s="2" t="str">
        <f>IF(AND(LEN('A créer'!P9)=0,OR('A créer'!D9="Oui",LEN('A créer'!D9)=0))=TRUE,"","Tab")</f>
        <v/>
      </c>
      <c r="L9" s="6" t="str">
        <f>IF(AND(LEN('A créer'!P9)=0,OR('A créer'!D9="Oui",LEN('A créer'!D9)=0))=TRUE,"","Actif")</f>
        <v/>
      </c>
      <c r="M9" s="2" t="str">
        <f>IF(AND(LEN('A créer'!P9)=0,OR('A créer'!D9="Oui",LEN('A créer'!D9)=0))=TRUE,"","Tab")</f>
        <v/>
      </c>
      <c r="N9" s="6" t="str">
        <f>IF(AND(LEN('A créer'!P9)=0,OR('A créer'!D9="Oui",LEN('A créer'!D9)=0))=TRUE,"","Non")</f>
        <v/>
      </c>
      <c r="O9" s="2" t="str">
        <f>IF(AND(LEN('A créer'!P9)=0,OR('A créer'!D9="Oui",LEN('A créer'!D9)=0))=TRUE,"","Tab")</f>
        <v/>
      </c>
      <c r="P9" s="6" t="str">
        <f>IF(AND(LEN('A créer'!P9)=0,OR('A créer'!D9="Oui",LEN('A créer'!D9)=0))=TRUE,"","Non")</f>
        <v/>
      </c>
      <c r="Q9" s="2" t="str">
        <f>IF(AND(LEN('A créer'!P9)=0,OR('A créer'!D9="Oui",LEN('A créer'!D9)=0))=TRUE,"","Tab")</f>
        <v/>
      </c>
      <c r="R9" s="2" t="str">
        <f>IF(AND(LEN('A créer'!P9)=0,OR('A créer'!D9="Oui",LEN('A créer'!D9)=0))=TRUE,"","ENT")</f>
        <v/>
      </c>
      <c r="S9" s="2" t="s">
        <v>93</v>
      </c>
      <c r="T9" s="2" t="str">
        <f>IF(AND(LEN('A créer'!P9)=0,OR('A créer'!D9="Oui",LEN('A créer'!D9)=0))=TRUE,"","Tab")</f>
        <v/>
      </c>
      <c r="U9" s="2" t="str">
        <f>IF(AND(LEN('A créer'!P9)=0,OR('A créer'!D9="Oui",LEN('A créer'!D9)=0))=TRUE,"","Tab")</f>
        <v/>
      </c>
      <c r="V9" s="2" t="str">
        <f>IF(AND(LEN('A créer'!P9)=0,OR('A créer'!D9="Oui",LEN('A créer'!D9)=0))=TRUE,"","Tab")</f>
        <v/>
      </c>
      <c r="W9" s="4" t="str">
        <f>IF(AND(LEN('A créer'!P9)=0,OR('A créer'!D9="Oui",LEN('A créer'!D9)=0))=TRUE,"","Non")</f>
        <v/>
      </c>
      <c r="X9" s="2" t="str">
        <f>IF(AND(LEN('A créer'!P9)=0,OR('A créer'!D9="Oui",LEN('A créer'!D9)=0))=TRUE,"","ENT")</f>
        <v/>
      </c>
      <c r="Y9" s="2" t="str">
        <f>IF(AND(LEN('A créer'!P9)=0,OR('A créer'!D9="Oui",LEN('A créer'!D9)=0))=TRUE,"","*SAVE")</f>
        <v/>
      </c>
    </row>
    <row r="10" spans="1:25" x14ac:dyDescent="0.35">
      <c r="A10" s="2" t="str">
        <f>IF(AND(LEN('A créer'!P10)=0,OR('A créer'!D10="Oui",LEN('A créer'!D10)=0))=TRUE,"","*FN")</f>
        <v/>
      </c>
      <c r="B10" s="6" t="str">
        <f>IF(AND(LEN('A créer'!P10)=0,OR('A créer'!D10="Oui",LEN('A créer'!D10)=0))=TRUE,"",'A créer'!P10)</f>
        <v/>
      </c>
      <c r="C10" s="2" t="str">
        <f>IF(AND(LEN('A créer'!P10)=0,OR('A créer'!D10="Oui",LEN('A créer'!D10)=0))=TRUE,"","Tab")</f>
        <v/>
      </c>
      <c r="D10" s="6" t="str">
        <f>IF(AND(LEN('A créer'!P10)=0,OR('A créer'!D10="Oui",LEN('A créer'!D10)=0))=TRUE,"",CONCATENATE('A créer'!Q10," ",'A créer'!A10," ",'A créer'!C10,"/",'A créer'!B10))</f>
        <v/>
      </c>
      <c r="E10" s="2" t="str">
        <f>IF(AND(LEN('A créer'!P10)=0,OR('A créer'!D10="Oui",LEN('A créer'!D10)=0))=TRUE,"","Tab 4")</f>
        <v/>
      </c>
      <c r="F10" s="2" t="str">
        <f>IF(AND(LEN('A créer'!P10)=0,OR('A créer'!D10="Oui",LEN('A créer'!D10)=0))=TRUE,"","Tab")</f>
        <v/>
      </c>
      <c r="G10" s="2" t="str">
        <f>IF(AND(LEN('A créer'!P10)=0,OR('A créer'!D10="Oui",LEN('A créer'!D10)=0))=TRUE,"","Tab")</f>
        <v/>
      </c>
      <c r="H10" s="6" t="str">
        <f>IF(AND(LEN('A créer'!P10)=0,OR('A créer'!D10="Oui",LEN('A créer'!D10)=0))=TRUE,"","Non")</f>
        <v/>
      </c>
      <c r="I10" s="2" t="str">
        <f>IF(AND(LEN('A créer'!P10)=0,OR('A créer'!D10="Oui",LEN('A créer'!D10)=0))=TRUE,"","Tab")</f>
        <v/>
      </c>
      <c r="J10" s="6" t="str">
        <f>IF(AND(LEN('A créer'!P10)=0,OR('A créer'!D10="Oui",LEN('A créer'!D10)=0))=TRUE,"","Oui")</f>
        <v/>
      </c>
      <c r="K10" s="2" t="str">
        <f>IF(AND(LEN('A créer'!P10)=0,OR('A créer'!D10="Oui",LEN('A créer'!D10)=0))=TRUE,"","Tab")</f>
        <v/>
      </c>
      <c r="L10" s="6" t="str">
        <f>IF(AND(LEN('A créer'!P10)=0,OR('A créer'!D10="Oui",LEN('A créer'!D10)=0))=TRUE,"","Actif")</f>
        <v/>
      </c>
      <c r="M10" s="2" t="str">
        <f>IF(AND(LEN('A créer'!P10)=0,OR('A créer'!D10="Oui",LEN('A créer'!D10)=0))=TRUE,"","Tab")</f>
        <v/>
      </c>
      <c r="N10" s="6" t="str">
        <f>IF(AND(LEN('A créer'!P10)=0,OR('A créer'!D10="Oui",LEN('A créer'!D10)=0))=TRUE,"","Non")</f>
        <v/>
      </c>
      <c r="O10" s="2" t="str">
        <f>IF(AND(LEN('A créer'!P10)=0,OR('A créer'!D10="Oui",LEN('A créer'!D10)=0))=TRUE,"","Tab")</f>
        <v/>
      </c>
      <c r="P10" s="6" t="str">
        <f>IF(AND(LEN('A créer'!P10)=0,OR('A créer'!D10="Oui",LEN('A créer'!D10)=0))=TRUE,"","Non")</f>
        <v/>
      </c>
      <c r="Q10" s="2" t="str">
        <f>IF(AND(LEN('A créer'!P10)=0,OR('A créer'!D10="Oui",LEN('A créer'!D10)=0))=TRUE,"","Tab")</f>
        <v/>
      </c>
      <c r="R10" s="2" t="str">
        <f>IF(AND(LEN('A créer'!P10)=0,OR('A créer'!D10="Oui",LEN('A créer'!D10)=0))=TRUE,"","ENT")</f>
        <v/>
      </c>
      <c r="S10" s="2" t="s">
        <v>93</v>
      </c>
      <c r="T10" s="2" t="str">
        <f>IF(AND(LEN('A créer'!P10)=0,OR('A créer'!D10="Oui",LEN('A créer'!D10)=0))=TRUE,"","Tab")</f>
        <v/>
      </c>
      <c r="U10" s="2" t="str">
        <f>IF(AND(LEN('A créer'!P10)=0,OR('A créer'!D10="Oui",LEN('A créer'!D10)=0))=TRUE,"","Tab")</f>
        <v/>
      </c>
      <c r="V10" s="2" t="str">
        <f>IF(AND(LEN('A créer'!P10)=0,OR('A créer'!D10="Oui",LEN('A créer'!D10)=0))=TRUE,"","Tab")</f>
        <v/>
      </c>
      <c r="W10" s="4" t="str">
        <f>IF(AND(LEN('A créer'!P10)=0,OR('A créer'!D10="Oui",LEN('A créer'!D10)=0))=TRUE,"","Non")</f>
        <v/>
      </c>
      <c r="X10" s="2" t="str">
        <f>IF(AND(LEN('A créer'!P10)=0,OR('A créer'!D10="Oui",LEN('A créer'!D10)=0))=TRUE,"","ENT")</f>
        <v/>
      </c>
      <c r="Y10" s="2" t="str">
        <f>IF(AND(LEN('A créer'!P10)=0,OR('A créer'!D10="Oui",LEN('A créer'!D10)=0))=TRUE,"","*SAVE")</f>
        <v/>
      </c>
    </row>
    <row r="11" spans="1:25" x14ac:dyDescent="0.35">
      <c r="A11" s="2" t="str">
        <f>IF(AND(LEN('A créer'!P11)=0,OR('A créer'!D11="Oui",LEN('A créer'!D11)=0))=TRUE,"","*FN")</f>
        <v/>
      </c>
      <c r="B11" s="6" t="str">
        <f>IF(AND(LEN('A créer'!P11)=0,OR('A créer'!D11="Oui",LEN('A créer'!D11)=0))=TRUE,"",'A créer'!P11)</f>
        <v/>
      </c>
      <c r="C11" s="2" t="str">
        <f>IF(AND(LEN('A créer'!P11)=0,OR('A créer'!D11="Oui",LEN('A créer'!D11)=0))=TRUE,"","Tab")</f>
        <v/>
      </c>
      <c r="D11" s="6" t="str">
        <f>IF(AND(LEN('A créer'!P11)=0,OR('A créer'!D11="Oui",LEN('A créer'!D11)=0))=TRUE,"",CONCATENATE('A créer'!Q11," ",'A créer'!A11," ",'A créer'!C11,"/",'A créer'!B11))</f>
        <v/>
      </c>
      <c r="E11" s="2" t="str">
        <f>IF(AND(LEN('A créer'!P11)=0,OR('A créer'!D11="Oui",LEN('A créer'!D11)=0))=TRUE,"","Tab 4")</f>
        <v/>
      </c>
      <c r="F11" s="2" t="str">
        <f>IF(AND(LEN('A créer'!P11)=0,OR('A créer'!D11="Oui",LEN('A créer'!D11)=0))=TRUE,"","Tab")</f>
        <v/>
      </c>
      <c r="G11" s="2" t="str">
        <f>IF(AND(LEN('A créer'!P11)=0,OR('A créer'!D11="Oui",LEN('A créer'!D11)=0))=TRUE,"","Tab")</f>
        <v/>
      </c>
      <c r="H11" s="6" t="str">
        <f>IF(AND(LEN('A créer'!P11)=0,OR('A créer'!D11="Oui",LEN('A créer'!D11)=0))=TRUE,"","Non")</f>
        <v/>
      </c>
      <c r="I11" s="2" t="str">
        <f>IF(AND(LEN('A créer'!P11)=0,OR('A créer'!D11="Oui",LEN('A créer'!D11)=0))=TRUE,"","Tab")</f>
        <v/>
      </c>
      <c r="J11" s="6" t="str">
        <f>IF(AND(LEN('A créer'!P11)=0,OR('A créer'!D11="Oui",LEN('A créer'!D11)=0))=TRUE,"","Oui")</f>
        <v/>
      </c>
      <c r="K11" s="2" t="str">
        <f>IF(AND(LEN('A créer'!P11)=0,OR('A créer'!D11="Oui",LEN('A créer'!D11)=0))=TRUE,"","Tab")</f>
        <v/>
      </c>
      <c r="L11" s="6" t="str">
        <f>IF(AND(LEN('A créer'!P11)=0,OR('A créer'!D11="Oui",LEN('A créer'!D11)=0))=TRUE,"","Actif")</f>
        <v/>
      </c>
      <c r="M11" s="2" t="str">
        <f>IF(AND(LEN('A créer'!P11)=0,OR('A créer'!D11="Oui",LEN('A créer'!D11)=0))=TRUE,"","Tab")</f>
        <v/>
      </c>
      <c r="N11" s="6" t="str">
        <f>IF(AND(LEN('A créer'!P11)=0,OR('A créer'!D11="Oui",LEN('A créer'!D11)=0))=TRUE,"","Non")</f>
        <v/>
      </c>
      <c r="O11" s="2" t="str">
        <f>IF(AND(LEN('A créer'!P11)=0,OR('A créer'!D11="Oui",LEN('A créer'!D11)=0))=TRUE,"","Tab")</f>
        <v/>
      </c>
      <c r="P11" s="6" t="str">
        <f>IF(AND(LEN('A créer'!P11)=0,OR('A créer'!D11="Oui",LEN('A créer'!D11)=0))=TRUE,"","Non")</f>
        <v/>
      </c>
      <c r="Q11" s="2" t="str">
        <f>IF(AND(LEN('A créer'!P11)=0,OR('A créer'!D11="Oui",LEN('A créer'!D11)=0))=TRUE,"","Tab")</f>
        <v/>
      </c>
      <c r="R11" s="2" t="str">
        <f>IF(AND(LEN('A créer'!P11)=0,OR('A créer'!D11="Oui",LEN('A créer'!D11)=0))=TRUE,"","ENT")</f>
        <v/>
      </c>
      <c r="S11" s="2" t="s">
        <v>93</v>
      </c>
      <c r="T11" s="2" t="str">
        <f>IF(AND(LEN('A créer'!P11)=0,OR('A créer'!D11="Oui",LEN('A créer'!D11)=0))=TRUE,"","Tab")</f>
        <v/>
      </c>
      <c r="U11" s="2" t="str">
        <f>IF(AND(LEN('A créer'!P11)=0,OR('A créer'!D11="Oui",LEN('A créer'!D11)=0))=TRUE,"","Tab")</f>
        <v/>
      </c>
      <c r="V11" s="2" t="str">
        <f>IF(AND(LEN('A créer'!P11)=0,OR('A créer'!D11="Oui",LEN('A créer'!D11)=0))=TRUE,"","Tab")</f>
        <v/>
      </c>
      <c r="W11" s="4" t="str">
        <f>IF(AND(LEN('A créer'!P11)=0,OR('A créer'!D11="Oui",LEN('A créer'!D11)=0))=TRUE,"","Non")</f>
        <v/>
      </c>
      <c r="X11" s="2" t="str">
        <f>IF(AND(LEN('A créer'!P11)=0,OR('A créer'!D11="Oui",LEN('A créer'!D11)=0))=TRUE,"","ENT")</f>
        <v/>
      </c>
      <c r="Y11" s="2" t="str">
        <f>IF(AND(LEN('A créer'!P11)=0,OR('A créer'!D11="Oui",LEN('A créer'!D11)=0))=TRUE,"","*SAVE")</f>
        <v/>
      </c>
    </row>
    <row r="12" spans="1:25" x14ac:dyDescent="0.35">
      <c r="A12" s="2" t="str">
        <f>IF(AND(LEN('A créer'!P12)=0,OR('A créer'!D12="Oui",LEN('A créer'!D12)=0))=TRUE,"","*FN")</f>
        <v/>
      </c>
      <c r="B12" s="6" t="str">
        <f>IF(AND(LEN('A créer'!P12)=0,OR('A créer'!D12="Oui",LEN('A créer'!D12)=0))=TRUE,"",'A créer'!P12)</f>
        <v/>
      </c>
      <c r="C12" s="2" t="str">
        <f>IF(AND(LEN('A créer'!P12)=0,OR('A créer'!D12="Oui",LEN('A créer'!D12)=0))=TRUE,"","Tab")</f>
        <v/>
      </c>
      <c r="D12" s="6" t="str">
        <f>IF(AND(LEN('A créer'!P12)=0,OR('A créer'!D12="Oui",LEN('A créer'!D12)=0))=TRUE,"",CONCATENATE('A créer'!Q12," ",'A créer'!A12," ",'A créer'!C12,"/",'A créer'!B12))</f>
        <v/>
      </c>
      <c r="E12" s="2" t="str">
        <f>IF(AND(LEN('A créer'!P12)=0,OR('A créer'!D12="Oui",LEN('A créer'!D12)=0))=TRUE,"","Tab 4")</f>
        <v/>
      </c>
      <c r="F12" s="2" t="str">
        <f>IF(AND(LEN('A créer'!P12)=0,OR('A créer'!D12="Oui",LEN('A créer'!D12)=0))=TRUE,"","Tab")</f>
        <v/>
      </c>
      <c r="G12" s="2" t="str">
        <f>IF(AND(LEN('A créer'!P12)=0,OR('A créer'!D12="Oui",LEN('A créer'!D12)=0))=TRUE,"","Tab")</f>
        <v/>
      </c>
      <c r="H12" s="6" t="str">
        <f>IF(AND(LEN('A créer'!P12)=0,OR('A créer'!D12="Oui",LEN('A créer'!D12)=0))=TRUE,"","Non")</f>
        <v/>
      </c>
      <c r="I12" s="2" t="str">
        <f>IF(AND(LEN('A créer'!P12)=0,OR('A créer'!D12="Oui",LEN('A créer'!D12)=0))=TRUE,"","Tab")</f>
        <v/>
      </c>
      <c r="J12" s="6" t="str">
        <f>IF(AND(LEN('A créer'!P12)=0,OR('A créer'!D12="Oui",LEN('A créer'!D12)=0))=TRUE,"","Oui")</f>
        <v/>
      </c>
      <c r="K12" s="2" t="str">
        <f>IF(AND(LEN('A créer'!P12)=0,OR('A créer'!D12="Oui",LEN('A créer'!D12)=0))=TRUE,"","Tab")</f>
        <v/>
      </c>
      <c r="L12" s="6" t="str">
        <f>IF(AND(LEN('A créer'!P12)=0,OR('A créer'!D12="Oui",LEN('A créer'!D12)=0))=TRUE,"","Actif")</f>
        <v/>
      </c>
      <c r="M12" s="2" t="str">
        <f>IF(AND(LEN('A créer'!P12)=0,OR('A créer'!D12="Oui",LEN('A créer'!D12)=0))=TRUE,"","Tab")</f>
        <v/>
      </c>
      <c r="N12" s="6" t="str">
        <f>IF(AND(LEN('A créer'!P12)=0,OR('A créer'!D12="Oui",LEN('A créer'!D12)=0))=TRUE,"","Non")</f>
        <v/>
      </c>
      <c r="O12" s="2" t="str">
        <f>IF(AND(LEN('A créer'!P12)=0,OR('A créer'!D12="Oui",LEN('A créer'!D12)=0))=TRUE,"","Tab")</f>
        <v/>
      </c>
      <c r="P12" s="6" t="str">
        <f>IF(AND(LEN('A créer'!P12)=0,OR('A créer'!D12="Oui",LEN('A créer'!D12)=0))=TRUE,"","Non")</f>
        <v/>
      </c>
      <c r="Q12" s="2" t="str">
        <f>IF(AND(LEN('A créer'!P12)=0,OR('A créer'!D12="Oui",LEN('A créer'!D12)=0))=TRUE,"","Tab")</f>
        <v/>
      </c>
      <c r="R12" s="2" t="str">
        <f>IF(AND(LEN('A créer'!P12)=0,OR('A créer'!D12="Oui",LEN('A créer'!D12)=0))=TRUE,"","ENT")</f>
        <v/>
      </c>
      <c r="S12" s="2" t="s">
        <v>93</v>
      </c>
      <c r="T12" s="2" t="str">
        <f>IF(AND(LEN('A créer'!P12)=0,OR('A créer'!D12="Oui",LEN('A créer'!D12)=0))=TRUE,"","Tab")</f>
        <v/>
      </c>
      <c r="U12" s="2" t="str">
        <f>IF(AND(LEN('A créer'!P12)=0,OR('A créer'!D12="Oui",LEN('A créer'!D12)=0))=TRUE,"","Tab")</f>
        <v/>
      </c>
      <c r="V12" s="2" t="str">
        <f>IF(AND(LEN('A créer'!P12)=0,OR('A créer'!D12="Oui",LEN('A créer'!D12)=0))=TRUE,"","Tab")</f>
        <v/>
      </c>
      <c r="W12" s="4" t="str">
        <f>IF(AND(LEN('A créer'!P12)=0,OR('A créer'!D12="Oui",LEN('A créer'!D12)=0))=TRUE,"","Non")</f>
        <v/>
      </c>
      <c r="X12" s="2" t="str">
        <f>IF(AND(LEN('A créer'!P12)=0,OR('A créer'!D12="Oui",LEN('A créer'!D12)=0))=TRUE,"","ENT")</f>
        <v/>
      </c>
      <c r="Y12" s="2" t="str">
        <f>IF(AND(LEN('A créer'!P12)=0,OR('A créer'!D12="Oui",LEN('A créer'!D12)=0))=TRUE,"","*SAVE")</f>
        <v/>
      </c>
    </row>
    <row r="13" spans="1:25" x14ac:dyDescent="0.35">
      <c r="A13" s="2" t="str">
        <f>IF(AND(LEN('A créer'!P13)=0,OR('A créer'!D13="Oui",LEN('A créer'!D13)=0))=TRUE,"","*FN")</f>
        <v/>
      </c>
      <c r="B13" s="6" t="str">
        <f>IF(AND(LEN('A créer'!P13)=0,OR('A créer'!D13="Oui",LEN('A créer'!D13)=0))=TRUE,"",'A créer'!P13)</f>
        <v/>
      </c>
      <c r="C13" s="2" t="str">
        <f>IF(AND(LEN('A créer'!P13)=0,OR('A créer'!D13="Oui",LEN('A créer'!D13)=0))=TRUE,"","Tab")</f>
        <v/>
      </c>
      <c r="D13" s="6" t="str">
        <f>IF(AND(LEN('A créer'!P13)=0,OR('A créer'!D13="Oui",LEN('A créer'!D13)=0))=TRUE,"",CONCATENATE('A créer'!Q13," ",'A créer'!A13," ",'A créer'!C13,"/",'A créer'!B13))</f>
        <v/>
      </c>
      <c r="E13" s="2" t="str">
        <f>IF(AND(LEN('A créer'!P13)=0,OR('A créer'!D13="Oui",LEN('A créer'!D13)=0))=TRUE,"","Tab 4")</f>
        <v/>
      </c>
      <c r="F13" s="2" t="str">
        <f>IF(AND(LEN('A créer'!P13)=0,OR('A créer'!D13="Oui",LEN('A créer'!D13)=0))=TRUE,"","Tab")</f>
        <v/>
      </c>
      <c r="G13" s="2" t="str">
        <f>IF(AND(LEN('A créer'!P13)=0,OR('A créer'!D13="Oui",LEN('A créer'!D13)=0))=TRUE,"","Tab")</f>
        <v/>
      </c>
      <c r="H13" s="6" t="str">
        <f>IF(AND(LEN('A créer'!P13)=0,OR('A créer'!D13="Oui",LEN('A créer'!D13)=0))=TRUE,"","Non")</f>
        <v/>
      </c>
      <c r="I13" s="2" t="str">
        <f>IF(AND(LEN('A créer'!P13)=0,OR('A créer'!D13="Oui",LEN('A créer'!D13)=0))=TRUE,"","Tab")</f>
        <v/>
      </c>
      <c r="J13" s="6" t="str">
        <f>IF(AND(LEN('A créer'!P13)=0,OR('A créer'!D13="Oui",LEN('A créer'!D13)=0))=TRUE,"","Oui")</f>
        <v/>
      </c>
      <c r="K13" s="2" t="str">
        <f>IF(AND(LEN('A créer'!P13)=0,OR('A créer'!D13="Oui",LEN('A créer'!D13)=0))=TRUE,"","Tab")</f>
        <v/>
      </c>
      <c r="L13" s="6" t="str">
        <f>IF(AND(LEN('A créer'!P13)=0,OR('A créer'!D13="Oui",LEN('A créer'!D13)=0))=TRUE,"","Actif")</f>
        <v/>
      </c>
      <c r="M13" s="2" t="str">
        <f>IF(AND(LEN('A créer'!P13)=0,OR('A créer'!D13="Oui",LEN('A créer'!D13)=0))=TRUE,"","Tab")</f>
        <v/>
      </c>
      <c r="N13" s="6" t="str">
        <f>IF(AND(LEN('A créer'!P13)=0,OR('A créer'!D13="Oui",LEN('A créer'!D13)=0))=TRUE,"","Non")</f>
        <v/>
      </c>
      <c r="O13" s="2" t="str">
        <f>IF(AND(LEN('A créer'!P13)=0,OR('A créer'!D13="Oui",LEN('A créer'!D13)=0))=TRUE,"","Tab")</f>
        <v/>
      </c>
      <c r="P13" s="6" t="str">
        <f>IF(AND(LEN('A créer'!P13)=0,OR('A créer'!D13="Oui",LEN('A créer'!D13)=0))=TRUE,"","Non")</f>
        <v/>
      </c>
      <c r="Q13" s="2" t="str">
        <f>IF(AND(LEN('A créer'!P13)=0,OR('A créer'!D13="Oui",LEN('A créer'!D13)=0))=TRUE,"","Tab")</f>
        <v/>
      </c>
      <c r="R13" s="2" t="str">
        <f>IF(AND(LEN('A créer'!P13)=0,OR('A créer'!D13="Oui",LEN('A créer'!D13)=0))=TRUE,"","ENT")</f>
        <v/>
      </c>
      <c r="S13" s="2" t="s">
        <v>93</v>
      </c>
      <c r="T13" s="2" t="str">
        <f>IF(AND(LEN('A créer'!P13)=0,OR('A créer'!D13="Oui",LEN('A créer'!D13)=0))=TRUE,"","Tab")</f>
        <v/>
      </c>
      <c r="U13" s="2" t="str">
        <f>IF(AND(LEN('A créer'!P13)=0,OR('A créer'!D13="Oui",LEN('A créer'!D13)=0))=TRUE,"","Tab")</f>
        <v/>
      </c>
      <c r="V13" s="2" t="str">
        <f>IF(AND(LEN('A créer'!P13)=0,OR('A créer'!D13="Oui",LEN('A créer'!D13)=0))=TRUE,"","Tab")</f>
        <v/>
      </c>
      <c r="W13" s="4" t="str">
        <f>IF(AND(LEN('A créer'!P13)=0,OR('A créer'!D13="Oui",LEN('A créer'!D13)=0))=TRUE,"","Non")</f>
        <v/>
      </c>
      <c r="X13" s="2" t="str">
        <f>IF(AND(LEN('A créer'!P13)=0,OR('A créer'!D13="Oui",LEN('A créer'!D13)=0))=TRUE,"","ENT")</f>
        <v/>
      </c>
      <c r="Y13" s="2" t="str">
        <f>IF(AND(LEN('A créer'!P13)=0,OR('A créer'!D13="Oui",LEN('A créer'!D13)=0))=TRUE,"","*SAVE")</f>
        <v/>
      </c>
    </row>
    <row r="14" spans="1:25" x14ac:dyDescent="0.35">
      <c r="A14" s="2" t="str">
        <f>IF(AND(LEN('A créer'!P14)=0,OR('A créer'!D14="Oui",LEN('A créer'!D14)=0))=TRUE,"","*FN")</f>
        <v/>
      </c>
      <c r="B14" s="6" t="str">
        <f>IF(AND(LEN('A créer'!P14)=0,OR('A créer'!D14="Oui",LEN('A créer'!D14)=0))=TRUE,"",'A créer'!P14)</f>
        <v/>
      </c>
      <c r="C14" s="2" t="str">
        <f>IF(AND(LEN('A créer'!P14)=0,OR('A créer'!D14="Oui",LEN('A créer'!D14)=0))=TRUE,"","Tab")</f>
        <v/>
      </c>
      <c r="D14" s="6" t="str">
        <f>IF(AND(LEN('A créer'!P14)=0,OR('A créer'!D14="Oui",LEN('A créer'!D14)=0))=TRUE,"",CONCATENATE('A créer'!Q14," ",'A créer'!A14," ",'A créer'!C14,"/",'A créer'!B14))</f>
        <v/>
      </c>
      <c r="E14" s="2" t="str">
        <f>IF(AND(LEN('A créer'!P14)=0,OR('A créer'!D14="Oui",LEN('A créer'!D14)=0))=TRUE,"","Tab 4")</f>
        <v/>
      </c>
      <c r="F14" s="2" t="str">
        <f>IF(AND(LEN('A créer'!P14)=0,OR('A créer'!D14="Oui",LEN('A créer'!D14)=0))=TRUE,"","Tab")</f>
        <v/>
      </c>
      <c r="G14" s="2" t="str">
        <f>IF(AND(LEN('A créer'!P14)=0,OR('A créer'!D14="Oui",LEN('A créer'!D14)=0))=TRUE,"","Tab")</f>
        <v/>
      </c>
      <c r="H14" s="6" t="str">
        <f>IF(AND(LEN('A créer'!P14)=0,OR('A créer'!D14="Oui",LEN('A créer'!D14)=0))=TRUE,"","Non")</f>
        <v/>
      </c>
      <c r="I14" s="2" t="str">
        <f>IF(AND(LEN('A créer'!P14)=0,OR('A créer'!D14="Oui",LEN('A créer'!D14)=0))=TRUE,"","Tab")</f>
        <v/>
      </c>
      <c r="J14" s="6" t="str">
        <f>IF(AND(LEN('A créer'!P14)=0,OR('A créer'!D14="Oui",LEN('A créer'!D14)=0))=TRUE,"","Oui")</f>
        <v/>
      </c>
      <c r="K14" s="2" t="str">
        <f>IF(AND(LEN('A créer'!P14)=0,OR('A créer'!D14="Oui",LEN('A créer'!D14)=0))=TRUE,"","Tab")</f>
        <v/>
      </c>
      <c r="L14" s="6" t="str">
        <f>IF(AND(LEN('A créer'!P14)=0,OR('A créer'!D14="Oui",LEN('A créer'!D14)=0))=TRUE,"","Actif")</f>
        <v/>
      </c>
      <c r="M14" s="2" t="str">
        <f>IF(AND(LEN('A créer'!P14)=0,OR('A créer'!D14="Oui",LEN('A créer'!D14)=0))=TRUE,"","Tab")</f>
        <v/>
      </c>
      <c r="N14" s="6" t="str">
        <f>IF(AND(LEN('A créer'!P14)=0,OR('A créer'!D14="Oui",LEN('A créer'!D14)=0))=TRUE,"","Non")</f>
        <v/>
      </c>
      <c r="O14" s="2" t="str">
        <f>IF(AND(LEN('A créer'!P14)=0,OR('A créer'!D14="Oui",LEN('A créer'!D14)=0))=TRUE,"","Tab")</f>
        <v/>
      </c>
      <c r="P14" s="6" t="str">
        <f>IF(AND(LEN('A créer'!P14)=0,OR('A créer'!D14="Oui",LEN('A créer'!D14)=0))=TRUE,"","Non")</f>
        <v/>
      </c>
      <c r="Q14" s="2" t="str">
        <f>IF(AND(LEN('A créer'!P14)=0,OR('A créer'!D14="Oui",LEN('A créer'!D14)=0))=TRUE,"","Tab")</f>
        <v/>
      </c>
      <c r="R14" s="2" t="str">
        <f>IF(AND(LEN('A créer'!P14)=0,OR('A créer'!D14="Oui",LEN('A créer'!D14)=0))=TRUE,"","ENT")</f>
        <v/>
      </c>
      <c r="S14" s="2" t="str">
        <f>IF(AND(LEN('A créer'!P14)=0,OR('A créer'!D14="Oui",LEN('A créer'!D14)=0))=TRUE,"","Tab4")</f>
        <v/>
      </c>
      <c r="T14" s="2" t="str">
        <f>IF(AND(LEN('A créer'!P14)=0,OR('A créer'!D14="Oui",LEN('A créer'!D14)=0))=TRUE,"","Tab")</f>
        <v/>
      </c>
      <c r="U14" s="2" t="str">
        <f>IF(AND(LEN('A créer'!P14)=0,OR('A créer'!D14="Oui",LEN('A créer'!D14)=0))=TRUE,"","Tab")</f>
        <v/>
      </c>
      <c r="V14" s="2" t="str">
        <f>IF(AND(LEN('A créer'!P14)=0,OR('A créer'!D14="Oui",LEN('A créer'!D14)=0))=TRUE,"","Tab")</f>
        <v/>
      </c>
      <c r="W14" s="4" t="str">
        <f>IF(AND(LEN('A créer'!P14)=0,OR('A créer'!D14="Oui",LEN('A créer'!D14)=0))=TRUE,"","Non")</f>
        <v/>
      </c>
      <c r="X14" s="2" t="str">
        <f>IF(AND(LEN('A créer'!P14)=0,OR('A créer'!D14="Oui",LEN('A créer'!D14)=0))=TRUE,"","ENT")</f>
        <v/>
      </c>
      <c r="Y14" s="2" t="str">
        <f>IF(AND(LEN('A créer'!P14)=0,OR('A créer'!D14="Oui",LEN('A créer'!D14)=0))=TRUE,"","*SAVE")</f>
        <v/>
      </c>
    </row>
    <row r="15" spans="1:25" x14ac:dyDescent="0.35">
      <c r="A15" s="2" t="str">
        <f>IF(AND(LEN('A créer'!P15)=0,OR('A créer'!D15="Oui",LEN('A créer'!D15)=0))=TRUE,"","*FN")</f>
        <v/>
      </c>
      <c r="B15" s="6" t="str">
        <f>IF(AND(LEN('A créer'!P15)=0,OR('A créer'!D15="Oui",LEN('A créer'!D15)=0))=TRUE,"",'A créer'!P15)</f>
        <v/>
      </c>
      <c r="C15" s="2" t="str">
        <f>IF(AND(LEN('A créer'!P15)=0,OR('A créer'!D15="Oui",LEN('A créer'!D15)=0))=TRUE,"","Tab")</f>
        <v/>
      </c>
      <c r="D15" s="6" t="str">
        <f>IF(AND(LEN('A créer'!P15)=0,OR('A créer'!D15="Oui",LEN('A créer'!D15)=0))=TRUE,"",CONCATENATE('A créer'!Q15," ",'A créer'!A15," ",'A créer'!C15,"/",'A créer'!B15))</f>
        <v/>
      </c>
      <c r="E15" s="2" t="str">
        <f>IF(AND(LEN('A créer'!P15)=0,OR('A créer'!D15="Oui",LEN('A créer'!D15)=0))=TRUE,"","Tab 4")</f>
        <v/>
      </c>
      <c r="F15" s="2" t="str">
        <f>IF(AND(LEN('A créer'!P15)=0,OR('A créer'!D15="Oui",LEN('A créer'!D15)=0))=TRUE,"","Tab")</f>
        <v/>
      </c>
      <c r="G15" s="2" t="str">
        <f>IF(AND(LEN('A créer'!P15)=0,OR('A créer'!D15="Oui",LEN('A créer'!D15)=0))=TRUE,"","Tab")</f>
        <v/>
      </c>
      <c r="H15" s="6" t="str">
        <f>IF(AND(LEN('A créer'!P15)=0,OR('A créer'!D15="Oui",LEN('A créer'!D15)=0))=TRUE,"","Non")</f>
        <v/>
      </c>
      <c r="I15" s="2" t="str">
        <f>IF(AND(LEN('A créer'!P15)=0,OR('A créer'!D15="Oui",LEN('A créer'!D15)=0))=TRUE,"","Tab")</f>
        <v/>
      </c>
      <c r="J15" s="6" t="str">
        <f>IF(AND(LEN('A créer'!P15)=0,OR('A créer'!D15="Oui",LEN('A créer'!D15)=0))=TRUE,"","Oui")</f>
        <v/>
      </c>
      <c r="K15" s="2" t="str">
        <f>IF(AND(LEN('A créer'!P15)=0,OR('A créer'!D15="Oui",LEN('A créer'!D15)=0))=TRUE,"","Tab")</f>
        <v/>
      </c>
      <c r="L15" s="6" t="str">
        <f>IF(AND(LEN('A créer'!P15)=0,OR('A créer'!D15="Oui",LEN('A créer'!D15)=0))=TRUE,"","Actif")</f>
        <v/>
      </c>
      <c r="M15" s="2" t="str">
        <f>IF(AND(LEN('A créer'!P15)=0,OR('A créer'!D15="Oui",LEN('A créer'!D15)=0))=TRUE,"","Tab")</f>
        <v/>
      </c>
      <c r="N15" s="6" t="str">
        <f>IF(AND(LEN('A créer'!P15)=0,OR('A créer'!D15="Oui",LEN('A créer'!D15)=0))=TRUE,"","Non")</f>
        <v/>
      </c>
      <c r="O15" s="2" t="str">
        <f>IF(AND(LEN('A créer'!P15)=0,OR('A créer'!D15="Oui",LEN('A créer'!D15)=0))=TRUE,"","Tab")</f>
        <v/>
      </c>
      <c r="P15" s="6" t="str">
        <f>IF(AND(LEN('A créer'!P15)=0,OR('A créer'!D15="Oui",LEN('A créer'!D15)=0))=TRUE,"","Non")</f>
        <v/>
      </c>
      <c r="Q15" s="2" t="str">
        <f>IF(AND(LEN('A créer'!P15)=0,OR('A créer'!D15="Oui",LEN('A créer'!D15)=0))=TRUE,"","Tab")</f>
        <v/>
      </c>
      <c r="R15" s="2" t="str">
        <f>IF(AND(LEN('A créer'!P15)=0,OR('A créer'!D15="Oui",LEN('A créer'!D15)=0))=TRUE,"","ENT")</f>
        <v/>
      </c>
      <c r="S15" s="2" t="str">
        <f>IF(AND(LEN('A créer'!P15)=0,OR('A créer'!D15="Oui",LEN('A créer'!D15)=0))=TRUE,"","Tab4")</f>
        <v/>
      </c>
      <c r="T15" s="2" t="str">
        <f>IF(AND(LEN('A créer'!P15)=0,OR('A créer'!D15="Oui",LEN('A créer'!D15)=0))=TRUE,"","Tab")</f>
        <v/>
      </c>
      <c r="U15" s="2" t="str">
        <f>IF(AND(LEN('A créer'!P15)=0,OR('A créer'!D15="Oui",LEN('A créer'!D15)=0))=TRUE,"","Tab")</f>
        <v/>
      </c>
      <c r="V15" s="2" t="str">
        <f>IF(AND(LEN('A créer'!P15)=0,OR('A créer'!D15="Oui",LEN('A créer'!D15)=0))=TRUE,"","Tab")</f>
        <v/>
      </c>
      <c r="W15" s="4" t="str">
        <f>IF(AND(LEN('A créer'!P15)=0,OR('A créer'!D15="Oui",LEN('A créer'!D15)=0))=TRUE,"","Non")</f>
        <v/>
      </c>
      <c r="X15" s="2" t="str">
        <f>IF(AND(LEN('A créer'!P15)=0,OR('A créer'!D15="Oui",LEN('A créer'!D15)=0))=TRUE,"","ENT")</f>
        <v/>
      </c>
      <c r="Y15" s="2" t="str">
        <f>IF(AND(LEN('A créer'!P15)=0,OR('A créer'!D15="Oui",LEN('A créer'!D15)=0))=TRUE,"","*SAVE")</f>
        <v/>
      </c>
    </row>
    <row r="16" spans="1:25" x14ac:dyDescent="0.35">
      <c r="A16" s="2" t="str">
        <f>IF(AND(LEN('A créer'!P16)=0,OR('A créer'!D16="Oui",LEN('A créer'!D16)=0))=TRUE,"","*FN")</f>
        <v/>
      </c>
      <c r="B16" s="6" t="str">
        <f>IF(AND(LEN('A créer'!P16)=0,OR('A créer'!D16="Oui",LEN('A créer'!D16)=0))=TRUE,"",'A créer'!P16)</f>
        <v/>
      </c>
      <c r="C16" s="2" t="str">
        <f>IF(AND(LEN('A créer'!P16)=0,OR('A créer'!D16="Oui",LEN('A créer'!D16)=0))=TRUE,"","Tab")</f>
        <v/>
      </c>
      <c r="D16" s="6" t="str">
        <f>IF(AND(LEN('A créer'!P16)=0,OR('A créer'!D16="Oui",LEN('A créer'!D16)=0))=TRUE,"",CONCATENATE('A créer'!Q16," ",'A créer'!A16," ",'A créer'!C16,"/",'A créer'!B16))</f>
        <v/>
      </c>
      <c r="E16" s="2" t="str">
        <f>IF(AND(LEN('A créer'!P16)=0,OR('A créer'!D16="Oui",LEN('A créer'!D16)=0))=TRUE,"","Tab 4")</f>
        <v/>
      </c>
      <c r="F16" s="2" t="str">
        <f>IF(AND(LEN('A créer'!P16)=0,OR('A créer'!D16="Oui",LEN('A créer'!D16)=0))=TRUE,"","Tab")</f>
        <v/>
      </c>
      <c r="G16" s="2" t="str">
        <f>IF(AND(LEN('A créer'!P16)=0,OR('A créer'!D16="Oui",LEN('A créer'!D16)=0))=TRUE,"","Tab")</f>
        <v/>
      </c>
      <c r="H16" s="6" t="str">
        <f>IF(AND(LEN('A créer'!P16)=0,OR('A créer'!D16="Oui",LEN('A créer'!D16)=0))=TRUE,"","Non")</f>
        <v/>
      </c>
      <c r="I16" s="2" t="str">
        <f>IF(AND(LEN('A créer'!P16)=0,OR('A créer'!D16="Oui",LEN('A créer'!D16)=0))=TRUE,"","Tab")</f>
        <v/>
      </c>
      <c r="J16" s="6" t="str">
        <f>IF(AND(LEN('A créer'!P16)=0,OR('A créer'!D16="Oui",LEN('A créer'!D16)=0))=TRUE,"","Oui")</f>
        <v/>
      </c>
      <c r="K16" s="2" t="str">
        <f>IF(AND(LEN('A créer'!P16)=0,OR('A créer'!D16="Oui",LEN('A créer'!D16)=0))=TRUE,"","Tab")</f>
        <v/>
      </c>
      <c r="L16" s="6" t="str">
        <f>IF(AND(LEN('A créer'!P16)=0,OR('A créer'!D16="Oui",LEN('A créer'!D16)=0))=TRUE,"","Actif")</f>
        <v/>
      </c>
      <c r="M16" s="2" t="str">
        <f>IF(AND(LEN('A créer'!P16)=0,OR('A créer'!D16="Oui",LEN('A créer'!D16)=0))=TRUE,"","Tab")</f>
        <v/>
      </c>
      <c r="N16" s="6" t="str">
        <f>IF(AND(LEN('A créer'!P16)=0,OR('A créer'!D16="Oui",LEN('A créer'!D16)=0))=TRUE,"","Non")</f>
        <v/>
      </c>
      <c r="O16" s="2" t="str">
        <f>IF(AND(LEN('A créer'!P16)=0,OR('A créer'!D16="Oui",LEN('A créer'!D16)=0))=TRUE,"","Tab")</f>
        <v/>
      </c>
      <c r="P16" s="6" t="str">
        <f>IF(AND(LEN('A créer'!P16)=0,OR('A créer'!D16="Oui",LEN('A créer'!D16)=0))=TRUE,"","Non")</f>
        <v/>
      </c>
      <c r="Q16" s="2" t="str">
        <f>IF(AND(LEN('A créer'!P16)=0,OR('A créer'!D16="Oui",LEN('A créer'!D16)=0))=TRUE,"","Tab")</f>
        <v/>
      </c>
      <c r="R16" s="2" t="str">
        <f>IF(AND(LEN('A créer'!P16)=0,OR('A créer'!D16="Oui",LEN('A créer'!D16)=0))=TRUE,"","ENT")</f>
        <v/>
      </c>
      <c r="S16" s="2" t="str">
        <f>IF(AND(LEN('A créer'!P16)=0,OR('A créer'!D16="Oui",LEN('A créer'!D16)=0))=TRUE,"","Tab4")</f>
        <v/>
      </c>
      <c r="T16" s="2" t="str">
        <f>IF(AND(LEN('A créer'!P16)=0,OR('A créer'!D16="Oui",LEN('A créer'!D16)=0))=TRUE,"","Tab")</f>
        <v/>
      </c>
      <c r="U16" s="2" t="str">
        <f>IF(AND(LEN('A créer'!P16)=0,OR('A créer'!D16="Oui",LEN('A créer'!D16)=0))=TRUE,"","Tab")</f>
        <v/>
      </c>
      <c r="V16" s="2" t="str">
        <f>IF(AND(LEN('A créer'!P16)=0,OR('A créer'!D16="Oui",LEN('A créer'!D16)=0))=TRUE,"","Tab")</f>
        <v/>
      </c>
      <c r="W16" s="4" t="str">
        <f>IF(AND(LEN('A créer'!P16)=0,OR('A créer'!D16="Oui",LEN('A créer'!D16)=0))=TRUE,"","Non")</f>
        <v/>
      </c>
      <c r="X16" s="2" t="str">
        <f>IF(AND(LEN('A créer'!P16)=0,OR('A créer'!D16="Oui",LEN('A créer'!D16)=0))=TRUE,"","ENT")</f>
        <v/>
      </c>
      <c r="Y16" s="2" t="str">
        <f>IF(AND(LEN('A créer'!P16)=0,OR('A créer'!D16="Oui",LEN('A créer'!D16)=0))=TRUE,"","*SAVE")</f>
        <v/>
      </c>
    </row>
    <row r="17" spans="1:25" x14ac:dyDescent="0.35">
      <c r="A17" s="2" t="str">
        <f>IF(AND(LEN('A créer'!P17)=0,OR('A créer'!D17="Oui",LEN('A créer'!D17)=0))=TRUE,"","*FN")</f>
        <v/>
      </c>
      <c r="B17" s="6" t="str">
        <f>IF(AND(LEN('A créer'!P17)=0,OR('A créer'!D17="Oui",LEN('A créer'!D17)=0))=TRUE,"",'A créer'!P17)</f>
        <v/>
      </c>
      <c r="C17" s="2" t="str">
        <f>IF(AND(LEN('A créer'!P17)=0,OR('A créer'!D17="Oui",LEN('A créer'!D17)=0))=TRUE,"","Tab")</f>
        <v/>
      </c>
      <c r="D17" s="6" t="str">
        <f>IF(AND(LEN('A créer'!P17)=0,OR('A créer'!D17="Oui",LEN('A créer'!D17)=0))=TRUE,"",CONCATENATE('A créer'!Q17," ",'A créer'!A17," ",'A créer'!C17,"/",'A créer'!B17))</f>
        <v/>
      </c>
      <c r="E17" s="2" t="str">
        <f>IF(AND(LEN('A créer'!P17)=0,OR('A créer'!D17="Oui",LEN('A créer'!D17)=0))=TRUE,"","Tab 4")</f>
        <v/>
      </c>
      <c r="F17" s="2" t="str">
        <f>IF(AND(LEN('A créer'!P17)=0,OR('A créer'!D17="Oui",LEN('A créer'!D17)=0))=TRUE,"","Tab")</f>
        <v/>
      </c>
      <c r="G17" s="2" t="str">
        <f>IF(AND(LEN('A créer'!P17)=0,OR('A créer'!D17="Oui",LEN('A créer'!D17)=0))=TRUE,"","Tab")</f>
        <v/>
      </c>
      <c r="H17" s="6" t="str">
        <f>IF(AND(LEN('A créer'!P17)=0,OR('A créer'!D17="Oui",LEN('A créer'!D17)=0))=TRUE,"","Non")</f>
        <v/>
      </c>
      <c r="I17" s="2" t="str">
        <f>IF(AND(LEN('A créer'!P17)=0,OR('A créer'!D17="Oui",LEN('A créer'!D17)=0))=TRUE,"","Tab")</f>
        <v/>
      </c>
      <c r="J17" s="6" t="str">
        <f>IF(AND(LEN('A créer'!P17)=0,OR('A créer'!D17="Oui",LEN('A créer'!D17)=0))=TRUE,"","Oui")</f>
        <v/>
      </c>
      <c r="K17" s="2" t="str">
        <f>IF(AND(LEN('A créer'!P17)=0,OR('A créer'!D17="Oui",LEN('A créer'!D17)=0))=TRUE,"","Tab")</f>
        <v/>
      </c>
      <c r="L17" s="6" t="str">
        <f>IF(AND(LEN('A créer'!P17)=0,OR('A créer'!D17="Oui",LEN('A créer'!D17)=0))=TRUE,"","Actif")</f>
        <v/>
      </c>
      <c r="M17" s="2" t="str">
        <f>IF(AND(LEN('A créer'!P17)=0,OR('A créer'!D17="Oui",LEN('A créer'!D17)=0))=TRUE,"","Tab")</f>
        <v/>
      </c>
      <c r="N17" s="6" t="str">
        <f>IF(AND(LEN('A créer'!P17)=0,OR('A créer'!D17="Oui",LEN('A créer'!D17)=0))=TRUE,"","Non")</f>
        <v/>
      </c>
      <c r="O17" s="2" t="str">
        <f>IF(AND(LEN('A créer'!P17)=0,OR('A créer'!D17="Oui",LEN('A créer'!D17)=0))=TRUE,"","Tab")</f>
        <v/>
      </c>
      <c r="P17" s="6" t="str">
        <f>IF(AND(LEN('A créer'!P17)=0,OR('A créer'!D17="Oui",LEN('A créer'!D17)=0))=TRUE,"","Non")</f>
        <v/>
      </c>
      <c r="Q17" s="2" t="str">
        <f>IF(AND(LEN('A créer'!P17)=0,OR('A créer'!D17="Oui",LEN('A créer'!D17)=0))=TRUE,"","Tab")</f>
        <v/>
      </c>
      <c r="R17" s="2" t="str">
        <f>IF(AND(LEN('A créer'!P17)=0,OR('A créer'!D17="Oui",LEN('A créer'!D17)=0))=TRUE,"","ENT")</f>
        <v/>
      </c>
      <c r="S17" s="2" t="str">
        <f>IF(AND(LEN('A créer'!P17)=0,OR('A créer'!D17="Oui",LEN('A créer'!D17)=0))=TRUE,"","Tab4")</f>
        <v/>
      </c>
      <c r="T17" s="2" t="str">
        <f>IF(AND(LEN('A créer'!P17)=0,OR('A créer'!D17="Oui",LEN('A créer'!D17)=0))=TRUE,"","Tab")</f>
        <v/>
      </c>
      <c r="U17" s="2" t="str">
        <f>IF(AND(LEN('A créer'!P17)=0,OR('A créer'!D17="Oui",LEN('A créer'!D17)=0))=TRUE,"","Tab")</f>
        <v/>
      </c>
      <c r="V17" s="2" t="str">
        <f>IF(AND(LEN('A créer'!P17)=0,OR('A créer'!D17="Oui",LEN('A créer'!D17)=0))=TRUE,"","Tab")</f>
        <v/>
      </c>
      <c r="W17" s="4" t="str">
        <f>IF(AND(LEN('A créer'!P17)=0,OR('A créer'!D17="Oui",LEN('A créer'!D17)=0))=TRUE,"","Non")</f>
        <v/>
      </c>
      <c r="X17" s="2" t="str">
        <f>IF(AND(LEN('A créer'!P17)=0,OR('A créer'!D17="Oui",LEN('A créer'!D17)=0))=TRUE,"","ENT")</f>
        <v/>
      </c>
      <c r="Y17" s="2" t="str">
        <f>IF(AND(LEN('A créer'!P17)=0,OR('A créer'!D17="Oui",LEN('A créer'!D17)=0))=TRUE,"","*SAVE")</f>
        <v/>
      </c>
    </row>
    <row r="18" spans="1:25" x14ac:dyDescent="0.35">
      <c r="A18" s="2" t="str">
        <f>IF(AND(LEN('A créer'!P18)=0,OR('A créer'!D18="Oui",LEN('A créer'!D18)=0))=TRUE,"","*FN")</f>
        <v/>
      </c>
      <c r="B18" s="6" t="str">
        <f>IF(AND(LEN('A créer'!P18)=0,OR('A créer'!D18="Oui",LEN('A créer'!D18)=0))=TRUE,"",'A créer'!P18)</f>
        <v/>
      </c>
      <c r="C18" s="2" t="str">
        <f>IF(AND(LEN('A créer'!P18)=0,OR('A créer'!D18="Oui",LEN('A créer'!D18)=0))=TRUE,"","Tab")</f>
        <v/>
      </c>
      <c r="D18" s="6" t="str">
        <f>IF(AND(LEN('A créer'!P18)=0,OR('A créer'!D18="Oui",LEN('A créer'!D18)=0))=TRUE,"",CONCATENATE('A créer'!Q18," ",'A créer'!A18," ",'A créer'!C18,"/",'A créer'!B18))</f>
        <v/>
      </c>
      <c r="E18" s="2" t="str">
        <f>IF(AND(LEN('A créer'!P18)=0,OR('A créer'!D18="Oui",LEN('A créer'!D18)=0))=TRUE,"","Tab 4")</f>
        <v/>
      </c>
      <c r="F18" s="2" t="str">
        <f>IF(AND(LEN('A créer'!P18)=0,OR('A créer'!D18="Oui",LEN('A créer'!D18)=0))=TRUE,"","Tab")</f>
        <v/>
      </c>
      <c r="G18" s="2" t="str">
        <f>IF(AND(LEN('A créer'!P18)=0,OR('A créer'!D18="Oui",LEN('A créer'!D18)=0))=TRUE,"","Tab")</f>
        <v/>
      </c>
      <c r="H18" s="6" t="str">
        <f>IF(AND(LEN('A créer'!P18)=0,OR('A créer'!D18="Oui",LEN('A créer'!D18)=0))=TRUE,"","Non")</f>
        <v/>
      </c>
      <c r="I18" s="2" t="str">
        <f>IF(AND(LEN('A créer'!P18)=0,OR('A créer'!D18="Oui",LEN('A créer'!D18)=0))=TRUE,"","Tab")</f>
        <v/>
      </c>
      <c r="J18" s="6" t="str">
        <f>IF(AND(LEN('A créer'!P18)=0,OR('A créer'!D18="Oui",LEN('A créer'!D18)=0))=TRUE,"","Oui")</f>
        <v/>
      </c>
      <c r="K18" s="2" t="str">
        <f>IF(AND(LEN('A créer'!P18)=0,OR('A créer'!D18="Oui",LEN('A créer'!D18)=0))=TRUE,"","Tab")</f>
        <v/>
      </c>
      <c r="L18" s="6" t="str">
        <f>IF(AND(LEN('A créer'!P18)=0,OR('A créer'!D18="Oui",LEN('A créer'!D18)=0))=TRUE,"","Actif")</f>
        <v/>
      </c>
      <c r="M18" s="2" t="str">
        <f>IF(AND(LEN('A créer'!P18)=0,OR('A créer'!D18="Oui",LEN('A créer'!D18)=0))=TRUE,"","Tab")</f>
        <v/>
      </c>
      <c r="N18" s="6" t="str">
        <f>IF(AND(LEN('A créer'!P18)=0,OR('A créer'!D18="Oui",LEN('A créer'!D18)=0))=TRUE,"","Non")</f>
        <v/>
      </c>
      <c r="O18" s="2" t="str">
        <f>IF(AND(LEN('A créer'!P18)=0,OR('A créer'!D18="Oui",LEN('A créer'!D18)=0))=TRUE,"","Tab")</f>
        <v/>
      </c>
      <c r="P18" s="6" t="str">
        <f>IF(AND(LEN('A créer'!P18)=0,OR('A créer'!D18="Oui",LEN('A créer'!D18)=0))=TRUE,"","Non")</f>
        <v/>
      </c>
      <c r="Q18" s="2" t="str">
        <f>IF(AND(LEN('A créer'!P18)=0,OR('A créer'!D18="Oui",LEN('A créer'!D18)=0))=TRUE,"","Tab")</f>
        <v/>
      </c>
      <c r="R18" s="2" t="str">
        <f>IF(AND(LEN('A créer'!P18)=0,OR('A créer'!D18="Oui",LEN('A créer'!D18)=0))=TRUE,"","ENT")</f>
        <v/>
      </c>
      <c r="S18" s="2" t="str">
        <f>IF(AND(LEN('A créer'!P18)=0,OR('A créer'!D18="Oui",LEN('A créer'!D18)=0))=TRUE,"","Tab4")</f>
        <v/>
      </c>
      <c r="T18" s="2" t="str">
        <f>IF(AND(LEN('A créer'!P18)=0,OR('A créer'!D18="Oui",LEN('A créer'!D18)=0))=TRUE,"","Tab")</f>
        <v/>
      </c>
      <c r="U18" s="2" t="str">
        <f>IF(AND(LEN('A créer'!P18)=0,OR('A créer'!D18="Oui",LEN('A créer'!D18)=0))=TRUE,"","Tab")</f>
        <v/>
      </c>
      <c r="V18" s="2" t="str">
        <f>IF(AND(LEN('A créer'!P18)=0,OR('A créer'!D18="Oui",LEN('A créer'!D18)=0))=TRUE,"","Tab")</f>
        <v/>
      </c>
      <c r="W18" s="4" t="str">
        <f>IF(AND(LEN('A créer'!P18)=0,OR('A créer'!D18="Oui",LEN('A créer'!D18)=0))=TRUE,"","Non")</f>
        <v/>
      </c>
      <c r="X18" s="2" t="str">
        <f>IF(AND(LEN('A créer'!P18)=0,OR('A créer'!D18="Oui",LEN('A créer'!D18)=0))=TRUE,"","ENT")</f>
        <v/>
      </c>
      <c r="Y18" s="2" t="str">
        <f>IF(AND(LEN('A créer'!P18)=0,OR('A créer'!D18="Oui",LEN('A créer'!D18)=0))=TRUE,"","*SAVE")</f>
        <v/>
      </c>
    </row>
    <row r="19" spans="1:25" x14ac:dyDescent="0.35">
      <c r="A19" s="2" t="str">
        <f>IF(AND(LEN('A créer'!P19)=0,OR('A créer'!D19="Oui",LEN('A créer'!D19)=0))=TRUE,"","*FN")</f>
        <v/>
      </c>
      <c r="B19" s="6" t="str">
        <f>IF(AND(LEN('A créer'!P19)=0,OR('A créer'!D19="Oui",LEN('A créer'!D19)=0))=TRUE,"",'A créer'!P19)</f>
        <v/>
      </c>
      <c r="C19" s="2" t="str">
        <f>IF(AND(LEN('A créer'!P19)=0,OR('A créer'!D19="Oui",LEN('A créer'!D19)=0))=TRUE,"","Tab")</f>
        <v/>
      </c>
      <c r="D19" s="6" t="str">
        <f>IF(AND(LEN('A créer'!P19)=0,OR('A créer'!D19="Oui",LEN('A créer'!D19)=0))=TRUE,"",CONCATENATE('A créer'!Q19," ",'A créer'!A19," ",'A créer'!C19,"/",'A créer'!B19))</f>
        <v/>
      </c>
      <c r="E19" s="2" t="str">
        <f>IF(AND(LEN('A créer'!P19)=0,OR('A créer'!D19="Oui",LEN('A créer'!D19)=0))=TRUE,"","Tab 4")</f>
        <v/>
      </c>
      <c r="F19" s="2" t="str">
        <f>IF(AND(LEN('A créer'!P19)=0,OR('A créer'!D19="Oui",LEN('A créer'!D19)=0))=TRUE,"","Tab")</f>
        <v/>
      </c>
      <c r="G19" s="2" t="str">
        <f>IF(AND(LEN('A créer'!P19)=0,OR('A créer'!D19="Oui",LEN('A créer'!D19)=0))=TRUE,"","Tab")</f>
        <v/>
      </c>
      <c r="H19" s="6" t="str">
        <f>IF(AND(LEN('A créer'!P19)=0,OR('A créer'!D19="Oui",LEN('A créer'!D19)=0))=TRUE,"","Non")</f>
        <v/>
      </c>
      <c r="I19" s="2" t="str">
        <f>IF(AND(LEN('A créer'!P19)=0,OR('A créer'!D19="Oui",LEN('A créer'!D19)=0))=TRUE,"","Tab")</f>
        <v/>
      </c>
      <c r="J19" s="6" t="str">
        <f>IF(AND(LEN('A créer'!P19)=0,OR('A créer'!D19="Oui",LEN('A créer'!D19)=0))=TRUE,"","Oui")</f>
        <v/>
      </c>
      <c r="K19" s="2" t="str">
        <f>IF(AND(LEN('A créer'!P19)=0,OR('A créer'!D19="Oui",LEN('A créer'!D19)=0))=TRUE,"","Tab")</f>
        <v/>
      </c>
      <c r="L19" s="6" t="str">
        <f>IF(AND(LEN('A créer'!P19)=0,OR('A créer'!D19="Oui",LEN('A créer'!D19)=0))=TRUE,"","Actif")</f>
        <v/>
      </c>
      <c r="M19" s="2" t="str">
        <f>IF(AND(LEN('A créer'!P19)=0,OR('A créer'!D19="Oui",LEN('A créer'!D19)=0))=TRUE,"","Tab")</f>
        <v/>
      </c>
      <c r="N19" s="6" t="str">
        <f>IF(AND(LEN('A créer'!P19)=0,OR('A créer'!D19="Oui",LEN('A créer'!D19)=0))=TRUE,"","Non")</f>
        <v/>
      </c>
      <c r="O19" s="2" t="str">
        <f>IF(AND(LEN('A créer'!P19)=0,OR('A créer'!D19="Oui",LEN('A créer'!D19)=0))=TRUE,"","Tab")</f>
        <v/>
      </c>
      <c r="P19" s="6" t="str">
        <f>IF(AND(LEN('A créer'!P19)=0,OR('A créer'!D19="Oui",LEN('A créer'!D19)=0))=TRUE,"","Non")</f>
        <v/>
      </c>
      <c r="Q19" s="2" t="str">
        <f>IF(AND(LEN('A créer'!P19)=0,OR('A créer'!D19="Oui",LEN('A créer'!D19)=0))=TRUE,"","Tab")</f>
        <v/>
      </c>
      <c r="R19" s="2" t="str">
        <f>IF(AND(LEN('A créer'!P19)=0,OR('A créer'!D19="Oui",LEN('A créer'!D19)=0))=TRUE,"","ENT")</f>
        <v/>
      </c>
      <c r="S19" s="2" t="str">
        <f>IF(AND(LEN('A créer'!P19)=0,OR('A créer'!D19="Oui",LEN('A créer'!D19)=0))=TRUE,"","Tab4")</f>
        <v/>
      </c>
      <c r="T19" s="2" t="str">
        <f>IF(AND(LEN('A créer'!P19)=0,OR('A créer'!D19="Oui",LEN('A créer'!D19)=0))=TRUE,"","Tab")</f>
        <v/>
      </c>
      <c r="U19" s="2" t="str">
        <f>IF(AND(LEN('A créer'!P19)=0,OR('A créer'!D19="Oui",LEN('A créer'!D19)=0))=TRUE,"","Tab")</f>
        <v/>
      </c>
      <c r="V19" s="2" t="str">
        <f>IF(AND(LEN('A créer'!P19)=0,OR('A créer'!D19="Oui",LEN('A créer'!D19)=0))=TRUE,"","Tab")</f>
        <v/>
      </c>
      <c r="W19" s="4" t="str">
        <f>IF(AND(LEN('A créer'!P19)=0,OR('A créer'!D19="Oui",LEN('A créer'!D19)=0))=TRUE,"","Non")</f>
        <v/>
      </c>
      <c r="X19" s="2" t="str">
        <f>IF(AND(LEN('A créer'!P19)=0,OR('A créer'!D19="Oui",LEN('A créer'!D19)=0))=TRUE,"","ENT")</f>
        <v/>
      </c>
      <c r="Y19" s="2" t="str">
        <f>IF(AND(LEN('A créer'!P19)=0,OR('A créer'!D19="Oui",LEN('A créer'!D19)=0))=TRUE,"","*SAVE")</f>
        <v/>
      </c>
    </row>
    <row r="20" spans="1:25" x14ac:dyDescent="0.35">
      <c r="A20" s="2" t="str">
        <f>IF(AND(LEN('A créer'!P20)=0,OR('A créer'!D20="Oui",LEN('A créer'!D20)=0))=TRUE,"","*FN")</f>
        <v/>
      </c>
      <c r="B20" s="6" t="str">
        <f>IF(AND(LEN('A créer'!P20)=0,OR('A créer'!D20="Oui",LEN('A créer'!D20)=0))=TRUE,"",'A créer'!P20)</f>
        <v/>
      </c>
      <c r="C20" s="2" t="str">
        <f>IF(AND(LEN('A créer'!P20)=0,OR('A créer'!D20="Oui",LEN('A créer'!D20)=0))=TRUE,"","Tab")</f>
        <v/>
      </c>
      <c r="D20" s="6" t="str">
        <f>IF(AND(LEN('A créer'!P20)=0,OR('A créer'!D20="Oui",LEN('A créer'!D20)=0))=TRUE,"",CONCATENATE('A créer'!Q20," ",'A créer'!A20," ",'A créer'!C20,"/",'A créer'!B20))</f>
        <v/>
      </c>
      <c r="E20" s="2" t="str">
        <f>IF(AND(LEN('A créer'!P20)=0,OR('A créer'!D20="Oui",LEN('A créer'!D20)=0))=TRUE,"","Tab 4")</f>
        <v/>
      </c>
      <c r="F20" s="2" t="str">
        <f>IF(AND(LEN('A créer'!P20)=0,OR('A créer'!D20="Oui",LEN('A créer'!D20)=0))=TRUE,"","Tab")</f>
        <v/>
      </c>
      <c r="G20" s="2" t="str">
        <f>IF(AND(LEN('A créer'!P20)=0,OR('A créer'!D20="Oui",LEN('A créer'!D20)=0))=TRUE,"","Tab")</f>
        <v/>
      </c>
      <c r="H20" s="6" t="str">
        <f>IF(AND(LEN('A créer'!P20)=0,OR('A créer'!D20="Oui",LEN('A créer'!D20)=0))=TRUE,"","Non")</f>
        <v/>
      </c>
      <c r="I20" s="2" t="str">
        <f>IF(AND(LEN('A créer'!P20)=0,OR('A créer'!D20="Oui",LEN('A créer'!D20)=0))=TRUE,"","Tab")</f>
        <v/>
      </c>
      <c r="J20" s="6" t="str">
        <f>IF(AND(LEN('A créer'!P20)=0,OR('A créer'!D20="Oui",LEN('A créer'!D20)=0))=TRUE,"","Oui")</f>
        <v/>
      </c>
      <c r="K20" s="2" t="str">
        <f>IF(AND(LEN('A créer'!P20)=0,OR('A créer'!D20="Oui",LEN('A créer'!D20)=0))=TRUE,"","Tab")</f>
        <v/>
      </c>
      <c r="L20" s="6" t="str">
        <f>IF(AND(LEN('A créer'!P20)=0,OR('A créer'!D20="Oui",LEN('A créer'!D20)=0))=TRUE,"","Actif")</f>
        <v/>
      </c>
      <c r="M20" s="2" t="str">
        <f>IF(AND(LEN('A créer'!P20)=0,OR('A créer'!D20="Oui",LEN('A créer'!D20)=0))=TRUE,"","Tab")</f>
        <v/>
      </c>
      <c r="N20" s="6" t="str">
        <f>IF(AND(LEN('A créer'!P20)=0,OR('A créer'!D20="Oui",LEN('A créer'!D20)=0))=TRUE,"","Non")</f>
        <v/>
      </c>
      <c r="O20" s="2" t="str">
        <f>IF(AND(LEN('A créer'!P20)=0,OR('A créer'!D20="Oui",LEN('A créer'!D20)=0))=TRUE,"","Tab")</f>
        <v/>
      </c>
      <c r="P20" s="6" t="str">
        <f>IF(AND(LEN('A créer'!P20)=0,OR('A créer'!D20="Oui",LEN('A créer'!D20)=0))=TRUE,"","Non")</f>
        <v/>
      </c>
      <c r="Q20" s="2" t="str">
        <f>IF(AND(LEN('A créer'!P20)=0,OR('A créer'!D20="Oui",LEN('A créer'!D20)=0))=TRUE,"","Tab")</f>
        <v/>
      </c>
      <c r="R20" s="2" t="str">
        <f>IF(AND(LEN('A créer'!P20)=0,OR('A créer'!D20="Oui",LEN('A créer'!D20)=0))=TRUE,"","ENT")</f>
        <v/>
      </c>
      <c r="S20" s="2" t="str">
        <f>IF(AND(LEN('A créer'!P20)=0,OR('A créer'!D20="Oui",LEN('A créer'!D20)=0))=TRUE,"","Tab4")</f>
        <v/>
      </c>
      <c r="T20" s="2" t="str">
        <f>IF(AND(LEN('A créer'!P20)=0,OR('A créer'!D20="Oui",LEN('A créer'!D20)=0))=TRUE,"","Tab")</f>
        <v/>
      </c>
      <c r="U20" s="2" t="str">
        <f>IF(AND(LEN('A créer'!P20)=0,OR('A créer'!D20="Oui",LEN('A créer'!D20)=0))=TRUE,"","Tab")</f>
        <v/>
      </c>
      <c r="V20" s="2" t="str">
        <f>IF(AND(LEN('A créer'!P20)=0,OR('A créer'!D20="Oui",LEN('A créer'!D20)=0))=TRUE,"","Tab")</f>
        <v/>
      </c>
      <c r="W20" s="4" t="str">
        <f>IF(AND(LEN('A créer'!P20)=0,OR('A créer'!D20="Oui",LEN('A créer'!D20)=0))=TRUE,"","Non")</f>
        <v/>
      </c>
      <c r="X20" s="2" t="str">
        <f>IF(AND(LEN('A créer'!P20)=0,OR('A créer'!D20="Oui",LEN('A créer'!D20)=0))=TRUE,"","ENT")</f>
        <v/>
      </c>
      <c r="Y20" s="2" t="str">
        <f>IF(AND(LEN('A créer'!P20)=0,OR('A créer'!D20="Oui",LEN('A créer'!D20)=0))=TRUE,"","*SAVE")</f>
        <v/>
      </c>
    </row>
    <row r="21" spans="1:25" x14ac:dyDescent="0.35">
      <c r="A21" s="2" t="str">
        <f>IF(AND(LEN('A créer'!P21)=0,OR('A créer'!D21="Oui",LEN('A créer'!D21)=0))=TRUE,"","*FN")</f>
        <v/>
      </c>
      <c r="B21" s="6" t="str">
        <f>IF(AND(LEN('A créer'!P21)=0,OR('A créer'!D21="Oui",LEN('A créer'!D21)=0))=TRUE,"",'A créer'!P21)</f>
        <v/>
      </c>
      <c r="C21" s="2" t="str">
        <f>IF(AND(LEN('A créer'!P21)=0,OR('A créer'!D21="Oui",LEN('A créer'!D21)=0))=TRUE,"","Tab")</f>
        <v/>
      </c>
      <c r="D21" s="6" t="str">
        <f>IF(AND(LEN('A créer'!P21)=0,OR('A créer'!D21="Oui",LEN('A créer'!D21)=0))=TRUE,"",CONCATENATE('A créer'!Q21," ",'A créer'!A21," ",'A créer'!C21,"/",'A créer'!B21))</f>
        <v/>
      </c>
      <c r="E21" s="2" t="str">
        <f>IF(AND(LEN('A créer'!P21)=0,OR('A créer'!D21="Oui",LEN('A créer'!D21)=0))=TRUE,"","Tab 4")</f>
        <v/>
      </c>
      <c r="F21" s="2" t="str">
        <f>IF(AND(LEN('A créer'!P21)=0,OR('A créer'!D21="Oui",LEN('A créer'!D21)=0))=TRUE,"","Tab")</f>
        <v/>
      </c>
      <c r="G21" s="2" t="str">
        <f>IF(AND(LEN('A créer'!P21)=0,OR('A créer'!D21="Oui",LEN('A créer'!D21)=0))=TRUE,"","Tab")</f>
        <v/>
      </c>
      <c r="H21" s="6" t="str">
        <f>IF(AND(LEN('A créer'!P21)=0,OR('A créer'!D21="Oui",LEN('A créer'!D21)=0))=TRUE,"","Non")</f>
        <v/>
      </c>
      <c r="I21" s="2" t="str">
        <f>IF(AND(LEN('A créer'!P21)=0,OR('A créer'!D21="Oui",LEN('A créer'!D21)=0))=TRUE,"","Tab")</f>
        <v/>
      </c>
      <c r="J21" s="6" t="str">
        <f>IF(AND(LEN('A créer'!P21)=0,OR('A créer'!D21="Oui",LEN('A créer'!D21)=0))=TRUE,"","Oui")</f>
        <v/>
      </c>
      <c r="K21" s="2" t="str">
        <f>IF(AND(LEN('A créer'!P21)=0,OR('A créer'!D21="Oui",LEN('A créer'!D21)=0))=TRUE,"","Tab")</f>
        <v/>
      </c>
      <c r="L21" s="6" t="str">
        <f>IF(AND(LEN('A créer'!P21)=0,OR('A créer'!D21="Oui",LEN('A créer'!D21)=0))=TRUE,"","Actif")</f>
        <v/>
      </c>
      <c r="M21" s="2" t="str">
        <f>IF(AND(LEN('A créer'!P21)=0,OR('A créer'!D21="Oui",LEN('A créer'!D21)=0))=TRUE,"","Tab")</f>
        <v/>
      </c>
      <c r="N21" s="6" t="str">
        <f>IF(AND(LEN('A créer'!P21)=0,OR('A créer'!D21="Oui",LEN('A créer'!D21)=0))=TRUE,"","Non")</f>
        <v/>
      </c>
      <c r="O21" s="2" t="str">
        <f>IF(AND(LEN('A créer'!P21)=0,OR('A créer'!D21="Oui",LEN('A créer'!D21)=0))=TRUE,"","Tab")</f>
        <v/>
      </c>
      <c r="P21" s="6" t="str">
        <f>IF(AND(LEN('A créer'!P21)=0,OR('A créer'!D21="Oui",LEN('A créer'!D21)=0))=TRUE,"","Non")</f>
        <v/>
      </c>
      <c r="Q21" s="2" t="str">
        <f>IF(AND(LEN('A créer'!P21)=0,OR('A créer'!D21="Oui",LEN('A créer'!D21)=0))=TRUE,"","Tab")</f>
        <v/>
      </c>
      <c r="R21" s="2" t="str">
        <f>IF(AND(LEN('A créer'!P21)=0,OR('A créer'!D21="Oui",LEN('A créer'!D21)=0))=TRUE,"","ENT")</f>
        <v/>
      </c>
      <c r="S21" s="2" t="str">
        <f>IF(AND(LEN('A créer'!P21)=0,OR('A créer'!D21="Oui",LEN('A créer'!D21)=0))=TRUE,"","Tab4")</f>
        <v/>
      </c>
      <c r="T21" s="2" t="str">
        <f>IF(AND(LEN('A créer'!P21)=0,OR('A créer'!D21="Oui",LEN('A créer'!D21)=0))=TRUE,"","Tab")</f>
        <v/>
      </c>
      <c r="U21" s="2" t="str">
        <f>IF(AND(LEN('A créer'!P21)=0,OR('A créer'!D21="Oui",LEN('A créer'!D21)=0))=TRUE,"","Tab")</f>
        <v/>
      </c>
      <c r="V21" s="2" t="str">
        <f>IF(AND(LEN('A créer'!P21)=0,OR('A créer'!D21="Oui",LEN('A créer'!D21)=0))=TRUE,"","Tab")</f>
        <v/>
      </c>
      <c r="W21" s="4" t="str">
        <f>IF(AND(LEN('A créer'!P21)=0,OR('A créer'!D21="Oui",LEN('A créer'!D21)=0))=TRUE,"","Non")</f>
        <v/>
      </c>
      <c r="X21" s="2" t="str">
        <f>IF(AND(LEN('A créer'!P21)=0,OR('A créer'!D21="Oui",LEN('A créer'!D21)=0))=TRUE,"","ENT")</f>
        <v/>
      </c>
      <c r="Y21" s="2" t="str">
        <f>IF(AND(LEN('A créer'!P21)=0,OR('A créer'!D21="Oui",LEN('A créer'!D21)=0))=TRUE,"","*SAVE")</f>
        <v/>
      </c>
    </row>
    <row r="22" spans="1:25" x14ac:dyDescent="0.35">
      <c r="A22" s="2" t="str">
        <f>IF(AND(LEN('A créer'!P22)=0,OR('A créer'!D22="Oui",LEN('A créer'!D22)=0))=TRUE,"","*FN")</f>
        <v/>
      </c>
      <c r="B22" s="6" t="str">
        <f>IF(AND(LEN('A créer'!P22)=0,OR('A créer'!D22="Oui",LEN('A créer'!D22)=0))=TRUE,"",'A créer'!P22)</f>
        <v/>
      </c>
      <c r="C22" s="2" t="str">
        <f>IF(AND(LEN('A créer'!P22)=0,OR('A créer'!D22="Oui",LEN('A créer'!D22)=0))=TRUE,"","Tab")</f>
        <v/>
      </c>
      <c r="D22" s="6" t="str">
        <f>IF(AND(LEN('A créer'!P22)=0,OR('A créer'!D22="Oui",LEN('A créer'!D22)=0))=TRUE,"",CONCATENATE('A créer'!Q22," ",'A créer'!A22," ",'A créer'!C22,"/",'A créer'!B22))</f>
        <v/>
      </c>
      <c r="E22" s="2" t="str">
        <f>IF(AND(LEN('A créer'!P22)=0,OR('A créer'!D22="Oui",LEN('A créer'!D22)=0))=TRUE,"","Tab 4")</f>
        <v/>
      </c>
      <c r="F22" s="2" t="str">
        <f>IF(AND(LEN('A créer'!P22)=0,OR('A créer'!D22="Oui",LEN('A créer'!D22)=0))=TRUE,"","Tab")</f>
        <v/>
      </c>
      <c r="G22" s="2" t="str">
        <f>IF(AND(LEN('A créer'!P22)=0,OR('A créer'!D22="Oui",LEN('A créer'!D22)=0))=TRUE,"","Tab")</f>
        <v/>
      </c>
      <c r="H22" s="6" t="str">
        <f>IF(AND(LEN('A créer'!P22)=0,OR('A créer'!D22="Oui",LEN('A créer'!D22)=0))=TRUE,"","Non")</f>
        <v/>
      </c>
      <c r="I22" s="2" t="str">
        <f>IF(AND(LEN('A créer'!P22)=0,OR('A créer'!D22="Oui",LEN('A créer'!D22)=0))=TRUE,"","Tab")</f>
        <v/>
      </c>
      <c r="J22" s="6" t="str">
        <f>IF(AND(LEN('A créer'!P22)=0,OR('A créer'!D22="Oui",LEN('A créer'!D22)=0))=TRUE,"","Oui")</f>
        <v/>
      </c>
      <c r="K22" s="2" t="str">
        <f>IF(AND(LEN('A créer'!P22)=0,OR('A créer'!D22="Oui",LEN('A créer'!D22)=0))=TRUE,"","Tab")</f>
        <v/>
      </c>
      <c r="L22" s="6" t="str">
        <f>IF(AND(LEN('A créer'!P22)=0,OR('A créer'!D22="Oui",LEN('A créer'!D22)=0))=TRUE,"","Actif")</f>
        <v/>
      </c>
      <c r="M22" s="2" t="str">
        <f>IF(AND(LEN('A créer'!P22)=0,OR('A créer'!D22="Oui",LEN('A créer'!D22)=0))=TRUE,"","Tab")</f>
        <v/>
      </c>
      <c r="N22" s="6" t="str">
        <f>IF(AND(LEN('A créer'!P22)=0,OR('A créer'!D22="Oui",LEN('A créer'!D22)=0))=TRUE,"","Non")</f>
        <v/>
      </c>
      <c r="O22" s="2" t="str">
        <f>IF(AND(LEN('A créer'!P22)=0,OR('A créer'!D22="Oui",LEN('A créer'!D22)=0))=TRUE,"","Tab")</f>
        <v/>
      </c>
      <c r="P22" s="6" t="str">
        <f>IF(AND(LEN('A créer'!P22)=0,OR('A créer'!D22="Oui",LEN('A créer'!D22)=0))=TRUE,"","Non")</f>
        <v/>
      </c>
      <c r="Q22" s="2" t="str">
        <f>IF(AND(LEN('A créer'!P22)=0,OR('A créer'!D22="Oui",LEN('A créer'!D22)=0))=TRUE,"","Tab")</f>
        <v/>
      </c>
      <c r="R22" s="2" t="str">
        <f>IF(AND(LEN('A créer'!P22)=0,OR('A créer'!D22="Oui",LEN('A créer'!D22)=0))=TRUE,"","ENT")</f>
        <v/>
      </c>
      <c r="S22" s="2" t="str">
        <f>IF(AND(LEN('A créer'!P22)=0,OR('A créer'!D22="Oui",LEN('A créer'!D22)=0))=TRUE,"","Tab4")</f>
        <v/>
      </c>
      <c r="T22" s="2" t="str">
        <f>IF(AND(LEN('A créer'!P22)=0,OR('A créer'!D22="Oui",LEN('A créer'!D22)=0))=TRUE,"","Tab")</f>
        <v/>
      </c>
      <c r="U22" s="2" t="str">
        <f>IF(AND(LEN('A créer'!P22)=0,OR('A créer'!D22="Oui",LEN('A créer'!D22)=0))=TRUE,"","Tab")</f>
        <v/>
      </c>
      <c r="V22" s="2" t="str">
        <f>IF(AND(LEN('A créer'!P22)=0,OR('A créer'!D22="Oui",LEN('A créer'!D22)=0))=TRUE,"","Tab")</f>
        <v/>
      </c>
      <c r="W22" s="4" t="str">
        <f>IF(AND(LEN('A créer'!P22)=0,OR('A créer'!D22="Oui",LEN('A créer'!D22)=0))=TRUE,"","Non")</f>
        <v/>
      </c>
      <c r="X22" s="2" t="str">
        <f>IF(AND(LEN('A créer'!P22)=0,OR('A créer'!D22="Oui",LEN('A créer'!D22)=0))=TRUE,"","ENT")</f>
        <v/>
      </c>
      <c r="Y22" s="2" t="str">
        <f>IF(AND(LEN('A créer'!P22)=0,OR('A créer'!D22="Oui",LEN('A créer'!D22)=0))=TRUE,"","*SAVE")</f>
        <v/>
      </c>
    </row>
    <row r="23" spans="1:25" x14ac:dyDescent="0.35">
      <c r="A23" s="2" t="str">
        <f>IF(AND(LEN('A créer'!P23)=0,OR('A créer'!D23="Oui",LEN('A créer'!D23)=0))=TRUE,"","*FN")</f>
        <v/>
      </c>
      <c r="B23" s="6" t="str">
        <f>IF(AND(LEN('A créer'!P23)=0,OR('A créer'!D23="Oui",LEN('A créer'!D23)=0))=TRUE,"",'A créer'!P23)</f>
        <v/>
      </c>
      <c r="C23" s="2" t="str">
        <f>IF(AND(LEN('A créer'!P23)=0,OR('A créer'!D23="Oui",LEN('A créer'!D23)=0))=TRUE,"","Tab")</f>
        <v/>
      </c>
      <c r="D23" s="6" t="str">
        <f>IF(AND(LEN('A créer'!P23)=0,OR('A créer'!D23="Oui",LEN('A créer'!D23)=0))=TRUE,"",CONCATENATE('A créer'!Q23," ",'A créer'!A23," ",'A créer'!C23,"/",'A créer'!B23))</f>
        <v/>
      </c>
      <c r="E23" s="2" t="str">
        <f>IF(AND(LEN('A créer'!P23)=0,OR('A créer'!D23="Oui",LEN('A créer'!D23)=0))=TRUE,"","Tab 4")</f>
        <v/>
      </c>
      <c r="F23" s="2" t="str">
        <f>IF(AND(LEN('A créer'!P23)=0,OR('A créer'!D23="Oui",LEN('A créer'!D23)=0))=TRUE,"","Tab")</f>
        <v/>
      </c>
      <c r="G23" s="2" t="str">
        <f>IF(AND(LEN('A créer'!P23)=0,OR('A créer'!D23="Oui",LEN('A créer'!D23)=0))=TRUE,"","Tab")</f>
        <v/>
      </c>
      <c r="H23" s="6" t="str">
        <f>IF(AND(LEN('A créer'!P23)=0,OR('A créer'!D23="Oui",LEN('A créer'!D23)=0))=TRUE,"","Non")</f>
        <v/>
      </c>
      <c r="I23" s="2" t="str">
        <f>IF(AND(LEN('A créer'!P23)=0,OR('A créer'!D23="Oui",LEN('A créer'!D23)=0))=TRUE,"","Tab")</f>
        <v/>
      </c>
      <c r="J23" s="6" t="str">
        <f>IF(AND(LEN('A créer'!P23)=0,OR('A créer'!D23="Oui",LEN('A créer'!D23)=0))=TRUE,"","Oui")</f>
        <v/>
      </c>
      <c r="K23" s="2" t="str">
        <f>IF(AND(LEN('A créer'!P23)=0,OR('A créer'!D23="Oui",LEN('A créer'!D23)=0))=TRUE,"","Tab")</f>
        <v/>
      </c>
      <c r="L23" s="6" t="str">
        <f>IF(AND(LEN('A créer'!P23)=0,OR('A créer'!D23="Oui",LEN('A créer'!D23)=0))=TRUE,"","Actif")</f>
        <v/>
      </c>
      <c r="M23" s="2" t="str">
        <f>IF(AND(LEN('A créer'!P23)=0,OR('A créer'!D23="Oui",LEN('A créer'!D23)=0))=TRUE,"","Tab")</f>
        <v/>
      </c>
      <c r="N23" s="6" t="str">
        <f>IF(AND(LEN('A créer'!P23)=0,OR('A créer'!D23="Oui",LEN('A créer'!D23)=0))=TRUE,"","Non")</f>
        <v/>
      </c>
      <c r="O23" s="2" t="str">
        <f>IF(AND(LEN('A créer'!P23)=0,OR('A créer'!D23="Oui",LEN('A créer'!D23)=0))=TRUE,"","Tab")</f>
        <v/>
      </c>
      <c r="P23" s="6" t="str">
        <f>IF(AND(LEN('A créer'!P23)=0,OR('A créer'!D23="Oui",LEN('A créer'!D23)=0))=TRUE,"","Non")</f>
        <v/>
      </c>
      <c r="Q23" s="2" t="str">
        <f>IF(AND(LEN('A créer'!P23)=0,OR('A créer'!D23="Oui",LEN('A créer'!D23)=0))=TRUE,"","Tab")</f>
        <v/>
      </c>
      <c r="R23" s="2" t="str">
        <f>IF(AND(LEN('A créer'!P23)=0,OR('A créer'!D23="Oui",LEN('A créer'!D23)=0))=TRUE,"","ENT")</f>
        <v/>
      </c>
      <c r="S23" s="2" t="str">
        <f>IF(AND(LEN('A créer'!P23)=0,OR('A créer'!D23="Oui",LEN('A créer'!D23)=0))=TRUE,"","Tab4")</f>
        <v/>
      </c>
      <c r="T23" s="2" t="str">
        <f>IF(AND(LEN('A créer'!P23)=0,OR('A créer'!D23="Oui",LEN('A créer'!D23)=0))=TRUE,"","Tab")</f>
        <v/>
      </c>
      <c r="U23" s="2" t="str">
        <f>IF(AND(LEN('A créer'!P23)=0,OR('A créer'!D23="Oui",LEN('A créer'!D23)=0))=TRUE,"","Tab")</f>
        <v/>
      </c>
      <c r="V23" s="2" t="str">
        <f>IF(AND(LEN('A créer'!P23)=0,OR('A créer'!D23="Oui",LEN('A créer'!D23)=0))=TRUE,"","Tab")</f>
        <v/>
      </c>
      <c r="W23" s="4" t="str">
        <f>IF(AND(LEN('A créer'!P23)=0,OR('A créer'!D23="Oui",LEN('A créer'!D23)=0))=TRUE,"","Non")</f>
        <v/>
      </c>
      <c r="X23" s="2" t="str">
        <f>IF(AND(LEN('A créer'!P23)=0,OR('A créer'!D23="Oui",LEN('A créer'!D23)=0))=TRUE,"","ENT")</f>
        <v/>
      </c>
      <c r="Y23" s="2" t="str">
        <f>IF(AND(LEN('A créer'!P23)=0,OR('A créer'!D23="Oui",LEN('A créer'!D23)=0))=TRUE,"","*SAVE")</f>
        <v/>
      </c>
    </row>
    <row r="24" spans="1:25" x14ac:dyDescent="0.35">
      <c r="A24" s="2" t="str">
        <f>IF(AND(LEN('A créer'!P24)=0,OR('A créer'!D24="Oui",LEN('A créer'!D24)=0))=TRUE,"","*FN")</f>
        <v/>
      </c>
      <c r="B24" s="6" t="str">
        <f>IF(AND(LEN('A créer'!P24)=0,OR('A créer'!D24="Oui",LEN('A créer'!D24)=0))=TRUE,"",'A créer'!P24)</f>
        <v/>
      </c>
      <c r="C24" s="2" t="str">
        <f>IF(AND(LEN('A créer'!P24)=0,OR('A créer'!D24="Oui",LEN('A créer'!D24)=0))=TRUE,"","Tab")</f>
        <v/>
      </c>
      <c r="D24" s="6" t="str">
        <f>IF(AND(LEN('A créer'!P24)=0,OR('A créer'!D24="Oui",LEN('A créer'!D24)=0))=TRUE,"",CONCATENATE('A créer'!Q24," ",'A créer'!A24," ",'A créer'!C24,"/",'A créer'!B24))</f>
        <v/>
      </c>
      <c r="E24" s="2" t="str">
        <f>IF(AND(LEN('A créer'!P24)=0,OR('A créer'!D24="Oui",LEN('A créer'!D24)=0))=TRUE,"","Tab 4")</f>
        <v/>
      </c>
      <c r="F24" s="2" t="str">
        <f>IF(AND(LEN('A créer'!P24)=0,OR('A créer'!D24="Oui",LEN('A créer'!D24)=0))=TRUE,"","Tab")</f>
        <v/>
      </c>
      <c r="G24" s="2" t="str">
        <f>IF(AND(LEN('A créer'!P24)=0,OR('A créer'!D24="Oui",LEN('A créer'!D24)=0))=TRUE,"","Tab")</f>
        <v/>
      </c>
      <c r="H24" s="6" t="str">
        <f>IF(AND(LEN('A créer'!P24)=0,OR('A créer'!D24="Oui",LEN('A créer'!D24)=0))=TRUE,"","Non")</f>
        <v/>
      </c>
      <c r="I24" s="2" t="str">
        <f>IF(AND(LEN('A créer'!P24)=0,OR('A créer'!D24="Oui",LEN('A créer'!D24)=0))=TRUE,"","Tab")</f>
        <v/>
      </c>
      <c r="J24" s="6" t="str">
        <f>IF(AND(LEN('A créer'!P24)=0,OR('A créer'!D24="Oui",LEN('A créer'!D24)=0))=TRUE,"","Oui")</f>
        <v/>
      </c>
      <c r="K24" s="2" t="str">
        <f>IF(AND(LEN('A créer'!P24)=0,OR('A créer'!D24="Oui",LEN('A créer'!D24)=0))=TRUE,"","Tab")</f>
        <v/>
      </c>
      <c r="L24" s="6" t="str">
        <f>IF(AND(LEN('A créer'!P24)=0,OR('A créer'!D24="Oui",LEN('A créer'!D24)=0))=TRUE,"","Actif")</f>
        <v/>
      </c>
      <c r="M24" s="2" t="str">
        <f>IF(AND(LEN('A créer'!P24)=0,OR('A créer'!D24="Oui",LEN('A créer'!D24)=0))=TRUE,"","Tab")</f>
        <v/>
      </c>
      <c r="N24" s="6" t="str">
        <f>IF(AND(LEN('A créer'!P24)=0,OR('A créer'!D24="Oui",LEN('A créer'!D24)=0))=TRUE,"","Non")</f>
        <v/>
      </c>
      <c r="O24" s="2" t="str">
        <f>IF(AND(LEN('A créer'!P24)=0,OR('A créer'!D24="Oui",LEN('A créer'!D24)=0))=TRUE,"","Tab")</f>
        <v/>
      </c>
      <c r="P24" s="6" t="str">
        <f>IF(AND(LEN('A créer'!P24)=0,OR('A créer'!D24="Oui",LEN('A créer'!D24)=0))=TRUE,"","Non")</f>
        <v/>
      </c>
      <c r="Q24" s="2" t="str">
        <f>IF(AND(LEN('A créer'!P24)=0,OR('A créer'!D24="Oui",LEN('A créer'!D24)=0))=TRUE,"","Tab")</f>
        <v/>
      </c>
      <c r="R24" s="2" t="str">
        <f>IF(AND(LEN('A créer'!P24)=0,OR('A créer'!D24="Oui",LEN('A créer'!D24)=0))=TRUE,"","ENT")</f>
        <v/>
      </c>
      <c r="S24" s="2" t="str">
        <f>IF(AND(LEN('A créer'!P24)=0,OR('A créer'!D24="Oui",LEN('A créer'!D24)=0))=TRUE,"","Tab4")</f>
        <v/>
      </c>
      <c r="T24" s="2" t="str">
        <f>IF(AND(LEN('A créer'!P24)=0,OR('A créer'!D24="Oui",LEN('A créer'!D24)=0))=TRUE,"","Tab")</f>
        <v/>
      </c>
      <c r="U24" s="2" t="str">
        <f>IF(AND(LEN('A créer'!P24)=0,OR('A créer'!D24="Oui",LEN('A créer'!D24)=0))=TRUE,"","Tab")</f>
        <v/>
      </c>
      <c r="V24" s="2" t="str">
        <f>IF(AND(LEN('A créer'!P24)=0,OR('A créer'!D24="Oui",LEN('A créer'!D24)=0))=TRUE,"","Tab")</f>
        <v/>
      </c>
      <c r="W24" s="4" t="str">
        <f>IF(AND(LEN('A créer'!P24)=0,OR('A créer'!D24="Oui",LEN('A créer'!D24)=0))=TRUE,"","Non")</f>
        <v/>
      </c>
      <c r="X24" s="2" t="str">
        <f>IF(AND(LEN('A créer'!P24)=0,OR('A créer'!D24="Oui",LEN('A créer'!D24)=0))=TRUE,"","ENT")</f>
        <v/>
      </c>
      <c r="Y24" s="2" t="str">
        <f>IF(AND(LEN('A créer'!P24)=0,OR('A créer'!D24="Oui",LEN('A créer'!D24)=0))=TRUE,"","*SAVE")</f>
        <v/>
      </c>
    </row>
    <row r="25" spans="1:25" x14ac:dyDescent="0.35">
      <c r="A25" s="2" t="str">
        <f>IF(AND(LEN('A créer'!P25)=0,OR('A créer'!D25="Oui",LEN('A créer'!D25)=0))=TRUE,"","*FN")</f>
        <v/>
      </c>
      <c r="B25" s="6" t="str">
        <f>IF(AND(LEN('A créer'!P25)=0,OR('A créer'!D25="Oui",LEN('A créer'!D25)=0))=TRUE,"",'A créer'!P25)</f>
        <v/>
      </c>
      <c r="C25" s="2" t="str">
        <f>IF(AND(LEN('A créer'!P25)=0,OR('A créer'!D25="Oui",LEN('A créer'!D25)=0))=TRUE,"","Tab")</f>
        <v/>
      </c>
      <c r="D25" s="6" t="str">
        <f>IF(AND(LEN('A créer'!P25)=0,OR('A créer'!D25="Oui",LEN('A créer'!D25)=0))=TRUE,"",CONCATENATE('A créer'!Q25," ",'A créer'!A25," ",'A créer'!C25,"/",'A créer'!B25))</f>
        <v/>
      </c>
      <c r="E25" s="2" t="str">
        <f>IF(AND(LEN('A créer'!P25)=0,OR('A créer'!D25="Oui",LEN('A créer'!D25)=0))=TRUE,"","Tab 4")</f>
        <v/>
      </c>
      <c r="F25" s="2" t="str">
        <f>IF(AND(LEN('A créer'!P25)=0,OR('A créer'!D25="Oui",LEN('A créer'!D25)=0))=TRUE,"","Tab")</f>
        <v/>
      </c>
      <c r="G25" s="2" t="str">
        <f>IF(AND(LEN('A créer'!P25)=0,OR('A créer'!D25="Oui",LEN('A créer'!D25)=0))=TRUE,"","Tab")</f>
        <v/>
      </c>
      <c r="H25" s="6" t="str">
        <f>IF(AND(LEN('A créer'!P25)=0,OR('A créer'!D25="Oui",LEN('A créer'!D25)=0))=TRUE,"","Non")</f>
        <v/>
      </c>
      <c r="I25" s="2" t="str">
        <f>IF(AND(LEN('A créer'!P25)=0,OR('A créer'!D25="Oui",LEN('A créer'!D25)=0))=TRUE,"","Tab")</f>
        <v/>
      </c>
      <c r="J25" s="6" t="str">
        <f>IF(AND(LEN('A créer'!P25)=0,OR('A créer'!D25="Oui",LEN('A créer'!D25)=0))=TRUE,"","Oui")</f>
        <v/>
      </c>
      <c r="K25" s="2" t="str">
        <f>IF(AND(LEN('A créer'!P25)=0,OR('A créer'!D25="Oui",LEN('A créer'!D25)=0))=TRUE,"","Tab")</f>
        <v/>
      </c>
      <c r="L25" s="6" t="str">
        <f>IF(AND(LEN('A créer'!P25)=0,OR('A créer'!D25="Oui",LEN('A créer'!D25)=0))=TRUE,"","Actif")</f>
        <v/>
      </c>
      <c r="M25" s="2" t="str">
        <f>IF(AND(LEN('A créer'!P25)=0,OR('A créer'!D25="Oui",LEN('A créer'!D25)=0))=TRUE,"","Tab")</f>
        <v/>
      </c>
      <c r="N25" s="6" t="str">
        <f>IF(AND(LEN('A créer'!P25)=0,OR('A créer'!D25="Oui",LEN('A créer'!D25)=0))=TRUE,"","Non")</f>
        <v/>
      </c>
      <c r="O25" s="2" t="str">
        <f>IF(AND(LEN('A créer'!P25)=0,OR('A créer'!D25="Oui",LEN('A créer'!D25)=0))=TRUE,"","Tab")</f>
        <v/>
      </c>
      <c r="P25" s="6" t="str">
        <f>IF(AND(LEN('A créer'!P25)=0,OR('A créer'!D25="Oui",LEN('A créer'!D25)=0))=TRUE,"","Non")</f>
        <v/>
      </c>
      <c r="Q25" s="2" t="str">
        <f>IF(AND(LEN('A créer'!P25)=0,OR('A créer'!D25="Oui",LEN('A créer'!D25)=0))=TRUE,"","Tab")</f>
        <v/>
      </c>
      <c r="R25" s="2" t="str">
        <f>IF(AND(LEN('A créer'!P25)=0,OR('A créer'!D25="Oui",LEN('A créer'!D25)=0))=TRUE,"","ENT")</f>
        <v/>
      </c>
      <c r="S25" s="2" t="str">
        <f>IF(AND(LEN('A créer'!P25)=0,OR('A créer'!D25="Oui",LEN('A créer'!D25)=0))=TRUE,"","Tab4")</f>
        <v/>
      </c>
      <c r="T25" s="2" t="str">
        <f>IF(AND(LEN('A créer'!P25)=0,OR('A créer'!D25="Oui",LEN('A créer'!D25)=0))=TRUE,"","Tab")</f>
        <v/>
      </c>
      <c r="U25" s="2" t="str">
        <f>IF(AND(LEN('A créer'!P25)=0,OR('A créer'!D25="Oui",LEN('A créer'!D25)=0))=TRUE,"","Tab")</f>
        <v/>
      </c>
      <c r="V25" s="2" t="str">
        <f>IF(AND(LEN('A créer'!P25)=0,OR('A créer'!D25="Oui",LEN('A créer'!D25)=0))=TRUE,"","Tab")</f>
        <v/>
      </c>
      <c r="W25" s="4" t="str">
        <f>IF(AND(LEN('A créer'!P25)=0,OR('A créer'!D25="Oui",LEN('A créer'!D25)=0))=TRUE,"","Non")</f>
        <v/>
      </c>
      <c r="X25" s="2" t="str">
        <f>IF(AND(LEN('A créer'!P25)=0,OR('A créer'!D25="Oui",LEN('A créer'!D25)=0))=TRUE,"","ENT")</f>
        <v/>
      </c>
      <c r="Y25" s="2" t="str">
        <f>IF(AND(LEN('A créer'!P25)=0,OR('A créer'!D25="Oui",LEN('A créer'!D25)=0))=TRUE,"","*SAVE")</f>
        <v/>
      </c>
    </row>
    <row r="26" spans="1:25" x14ac:dyDescent="0.35">
      <c r="A26" s="2" t="str">
        <f>IF(AND(LEN('A créer'!P26)=0,OR('A créer'!D26="Oui",LEN('A créer'!D26)=0))=TRUE,"","*FN")</f>
        <v/>
      </c>
      <c r="B26" s="6" t="str">
        <f>IF(AND(LEN('A créer'!P26)=0,OR('A créer'!D26="Oui",LEN('A créer'!D26)=0))=TRUE,"",'A créer'!P26)</f>
        <v/>
      </c>
      <c r="C26" s="2" t="str">
        <f>IF(AND(LEN('A créer'!P26)=0,OR('A créer'!D26="Oui",LEN('A créer'!D26)=0))=TRUE,"","Tab")</f>
        <v/>
      </c>
      <c r="D26" s="6" t="str">
        <f>IF(AND(LEN('A créer'!P26)=0,OR('A créer'!D26="Oui",LEN('A créer'!D26)=0))=TRUE,"",CONCATENATE('A créer'!Q26," ",'A créer'!A26," ",'A créer'!C26,"/",'A créer'!B26))</f>
        <v/>
      </c>
      <c r="E26" s="2" t="str">
        <f>IF(AND(LEN('A créer'!P26)=0,OR('A créer'!D26="Oui",LEN('A créer'!D26)=0))=TRUE,"","Tab 4")</f>
        <v/>
      </c>
      <c r="F26" s="2" t="str">
        <f>IF(AND(LEN('A créer'!P26)=0,OR('A créer'!D26="Oui",LEN('A créer'!D26)=0))=TRUE,"","Tab")</f>
        <v/>
      </c>
      <c r="G26" s="2" t="str">
        <f>IF(AND(LEN('A créer'!P26)=0,OR('A créer'!D26="Oui",LEN('A créer'!D26)=0))=TRUE,"","Tab")</f>
        <v/>
      </c>
      <c r="H26" s="6" t="str">
        <f>IF(AND(LEN('A créer'!P26)=0,OR('A créer'!D26="Oui",LEN('A créer'!D26)=0))=TRUE,"","Non")</f>
        <v/>
      </c>
      <c r="I26" s="2" t="str">
        <f>IF(AND(LEN('A créer'!P26)=0,OR('A créer'!D26="Oui",LEN('A créer'!D26)=0))=TRUE,"","Tab")</f>
        <v/>
      </c>
      <c r="J26" s="6" t="str">
        <f>IF(AND(LEN('A créer'!P26)=0,OR('A créer'!D26="Oui",LEN('A créer'!D26)=0))=TRUE,"","Oui")</f>
        <v/>
      </c>
      <c r="K26" s="2" t="str">
        <f>IF(AND(LEN('A créer'!P26)=0,OR('A créer'!D26="Oui",LEN('A créer'!D26)=0))=TRUE,"","Tab")</f>
        <v/>
      </c>
      <c r="L26" s="6" t="str">
        <f>IF(AND(LEN('A créer'!P26)=0,OR('A créer'!D26="Oui",LEN('A créer'!D26)=0))=TRUE,"","Actif")</f>
        <v/>
      </c>
      <c r="M26" s="2" t="str">
        <f>IF(AND(LEN('A créer'!P26)=0,OR('A créer'!D26="Oui",LEN('A créer'!D26)=0))=TRUE,"","Tab")</f>
        <v/>
      </c>
      <c r="N26" s="6" t="str">
        <f>IF(AND(LEN('A créer'!P26)=0,OR('A créer'!D26="Oui",LEN('A créer'!D26)=0))=TRUE,"","Non")</f>
        <v/>
      </c>
      <c r="O26" s="2" t="str">
        <f>IF(AND(LEN('A créer'!P26)=0,OR('A créer'!D26="Oui",LEN('A créer'!D26)=0))=TRUE,"","Tab")</f>
        <v/>
      </c>
      <c r="P26" s="6" t="str">
        <f>IF(AND(LEN('A créer'!P26)=0,OR('A créer'!D26="Oui",LEN('A créer'!D26)=0))=TRUE,"","Non")</f>
        <v/>
      </c>
      <c r="Q26" s="2" t="str">
        <f>IF(AND(LEN('A créer'!P26)=0,OR('A créer'!D26="Oui",LEN('A créer'!D26)=0))=TRUE,"","Tab")</f>
        <v/>
      </c>
      <c r="R26" s="2" t="str">
        <f>IF(AND(LEN('A créer'!P26)=0,OR('A créer'!D26="Oui",LEN('A créer'!D26)=0))=TRUE,"","ENT")</f>
        <v/>
      </c>
      <c r="S26" s="2" t="str">
        <f>IF(AND(LEN('A créer'!P26)=0,OR('A créer'!D26="Oui",LEN('A créer'!D26)=0))=TRUE,"","Tab4")</f>
        <v/>
      </c>
      <c r="T26" s="2" t="str">
        <f>IF(AND(LEN('A créer'!P26)=0,OR('A créer'!D26="Oui",LEN('A créer'!D26)=0))=TRUE,"","Tab")</f>
        <v/>
      </c>
      <c r="U26" s="2" t="str">
        <f>IF(AND(LEN('A créer'!P26)=0,OR('A créer'!D26="Oui",LEN('A créer'!D26)=0))=TRUE,"","Tab")</f>
        <v/>
      </c>
      <c r="V26" s="2" t="str">
        <f>IF(AND(LEN('A créer'!P26)=0,OR('A créer'!D26="Oui",LEN('A créer'!D26)=0))=TRUE,"","Tab")</f>
        <v/>
      </c>
      <c r="W26" s="4" t="str">
        <f>IF(AND(LEN('A créer'!P26)=0,OR('A créer'!D26="Oui",LEN('A créer'!D26)=0))=TRUE,"","Non")</f>
        <v/>
      </c>
      <c r="X26" s="2" t="str">
        <f>IF(AND(LEN('A créer'!P26)=0,OR('A créer'!D26="Oui",LEN('A créer'!D26)=0))=TRUE,"","ENT")</f>
        <v/>
      </c>
      <c r="Y26" s="2" t="str">
        <f>IF(AND(LEN('A créer'!P26)=0,OR('A créer'!D26="Oui",LEN('A créer'!D26)=0))=TRUE,"","*SAVE")</f>
        <v/>
      </c>
    </row>
    <row r="27" spans="1:25" x14ac:dyDescent="0.35">
      <c r="A27" s="2" t="str">
        <f>IF(AND(LEN('A créer'!P27)=0,OR('A créer'!D27="Oui",LEN('A créer'!D27)=0))=TRUE,"","*FN")</f>
        <v/>
      </c>
      <c r="B27" s="6" t="str">
        <f>IF(AND(LEN('A créer'!P27)=0,OR('A créer'!D27="Oui",LEN('A créer'!D27)=0))=TRUE,"",'A créer'!P27)</f>
        <v/>
      </c>
      <c r="C27" s="2" t="str">
        <f>IF(AND(LEN('A créer'!P27)=0,OR('A créer'!D27="Oui",LEN('A créer'!D27)=0))=TRUE,"","Tab")</f>
        <v/>
      </c>
      <c r="D27" s="6" t="str">
        <f>IF(AND(LEN('A créer'!P27)=0,OR('A créer'!D27="Oui",LEN('A créer'!D27)=0))=TRUE,"",CONCATENATE('A créer'!Q27," ",'A créer'!A27," ",'A créer'!C27,"/",'A créer'!B27))</f>
        <v/>
      </c>
      <c r="E27" s="2" t="str">
        <f>IF(AND(LEN('A créer'!P27)=0,OR('A créer'!D27="Oui",LEN('A créer'!D27)=0))=TRUE,"","Tab 4")</f>
        <v/>
      </c>
      <c r="F27" s="2" t="str">
        <f>IF(AND(LEN('A créer'!P27)=0,OR('A créer'!D27="Oui",LEN('A créer'!D27)=0))=TRUE,"","Tab")</f>
        <v/>
      </c>
      <c r="G27" s="2" t="str">
        <f>IF(AND(LEN('A créer'!P27)=0,OR('A créer'!D27="Oui",LEN('A créer'!D27)=0))=TRUE,"","Tab")</f>
        <v/>
      </c>
      <c r="H27" s="6" t="str">
        <f>IF(AND(LEN('A créer'!P27)=0,OR('A créer'!D27="Oui",LEN('A créer'!D27)=0))=TRUE,"","Non")</f>
        <v/>
      </c>
      <c r="I27" s="2" t="str">
        <f>IF(AND(LEN('A créer'!P27)=0,OR('A créer'!D27="Oui",LEN('A créer'!D27)=0))=TRUE,"","Tab")</f>
        <v/>
      </c>
      <c r="J27" s="6" t="str">
        <f>IF(AND(LEN('A créer'!P27)=0,OR('A créer'!D27="Oui",LEN('A créer'!D27)=0))=TRUE,"","Oui")</f>
        <v/>
      </c>
      <c r="K27" s="2" t="str">
        <f>IF(AND(LEN('A créer'!P27)=0,OR('A créer'!D27="Oui",LEN('A créer'!D27)=0))=TRUE,"","Tab")</f>
        <v/>
      </c>
      <c r="L27" s="6" t="str">
        <f>IF(AND(LEN('A créer'!P27)=0,OR('A créer'!D27="Oui",LEN('A créer'!D27)=0))=TRUE,"","Actif")</f>
        <v/>
      </c>
      <c r="M27" s="2" t="str">
        <f>IF(AND(LEN('A créer'!P27)=0,OR('A créer'!D27="Oui",LEN('A créer'!D27)=0))=TRUE,"","Tab")</f>
        <v/>
      </c>
      <c r="N27" s="6" t="str">
        <f>IF(AND(LEN('A créer'!P27)=0,OR('A créer'!D27="Oui",LEN('A créer'!D27)=0))=TRUE,"","Non")</f>
        <v/>
      </c>
      <c r="O27" s="2" t="str">
        <f>IF(AND(LEN('A créer'!P27)=0,OR('A créer'!D27="Oui",LEN('A créer'!D27)=0))=TRUE,"","Tab")</f>
        <v/>
      </c>
      <c r="P27" s="6" t="str">
        <f>IF(AND(LEN('A créer'!P27)=0,OR('A créer'!D27="Oui",LEN('A créer'!D27)=0))=TRUE,"","Non")</f>
        <v/>
      </c>
      <c r="Q27" s="2" t="str">
        <f>IF(AND(LEN('A créer'!P27)=0,OR('A créer'!D27="Oui",LEN('A créer'!D27)=0))=TRUE,"","Tab")</f>
        <v/>
      </c>
      <c r="R27" s="2" t="str">
        <f>IF(AND(LEN('A créer'!P27)=0,OR('A créer'!D27="Oui",LEN('A créer'!D27)=0))=TRUE,"","ENT")</f>
        <v/>
      </c>
      <c r="S27" s="2" t="str">
        <f>IF(AND(LEN('A créer'!P27)=0,OR('A créer'!D27="Oui",LEN('A créer'!D27)=0))=TRUE,"","Tab4")</f>
        <v/>
      </c>
      <c r="T27" s="2" t="str">
        <f>IF(AND(LEN('A créer'!P27)=0,OR('A créer'!D27="Oui",LEN('A créer'!D27)=0))=TRUE,"","Tab")</f>
        <v/>
      </c>
      <c r="U27" s="2" t="str">
        <f>IF(AND(LEN('A créer'!P27)=0,OR('A créer'!D27="Oui",LEN('A créer'!D27)=0))=TRUE,"","Tab")</f>
        <v/>
      </c>
      <c r="V27" s="2" t="str">
        <f>IF(AND(LEN('A créer'!P27)=0,OR('A créer'!D27="Oui",LEN('A créer'!D27)=0))=TRUE,"","Tab")</f>
        <v/>
      </c>
      <c r="W27" s="4" t="str">
        <f>IF(AND(LEN('A créer'!P27)=0,OR('A créer'!D27="Oui",LEN('A créer'!D27)=0))=TRUE,"","Non")</f>
        <v/>
      </c>
      <c r="X27" s="2" t="str">
        <f>IF(AND(LEN('A créer'!P27)=0,OR('A créer'!D27="Oui",LEN('A créer'!D27)=0))=TRUE,"","ENT")</f>
        <v/>
      </c>
      <c r="Y27" s="2" t="str">
        <f>IF(AND(LEN('A créer'!P27)=0,OR('A créer'!D27="Oui",LEN('A créer'!D27)=0))=TRUE,"","*SAVE")</f>
        <v/>
      </c>
    </row>
    <row r="28" spans="1:25" x14ac:dyDescent="0.35">
      <c r="A28" s="2" t="str">
        <f>IF(AND(LEN('A créer'!P28)=0,OR('A créer'!D28="Oui",LEN('A créer'!D28)=0))=TRUE,"","*FN")</f>
        <v/>
      </c>
      <c r="B28" s="6" t="str">
        <f>IF(AND(LEN('A créer'!P28)=0,OR('A créer'!D28="Oui",LEN('A créer'!D28)=0))=TRUE,"",'A créer'!P28)</f>
        <v/>
      </c>
      <c r="C28" s="2" t="str">
        <f>IF(AND(LEN('A créer'!P28)=0,OR('A créer'!D28="Oui",LEN('A créer'!D28)=0))=TRUE,"","Tab")</f>
        <v/>
      </c>
      <c r="D28" s="6" t="str">
        <f>IF(AND(LEN('A créer'!P28)=0,OR('A créer'!D28="Oui",LEN('A créer'!D28)=0))=TRUE,"",CONCATENATE('A créer'!Q28," ",'A créer'!A28," ",'A créer'!C28,"/",'A créer'!B28))</f>
        <v/>
      </c>
      <c r="E28" s="2" t="str">
        <f>IF(AND(LEN('A créer'!P28)=0,OR('A créer'!D28="Oui",LEN('A créer'!D28)=0))=TRUE,"","Tab 4")</f>
        <v/>
      </c>
      <c r="F28" s="2" t="str">
        <f>IF(AND(LEN('A créer'!P28)=0,OR('A créer'!D28="Oui",LEN('A créer'!D28)=0))=TRUE,"","Tab")</f>
        <v/>
      </c>
      <c r="G28" s="2" t="str">
        <f>IF(AND(LEN('A créer'!P28)=0,OR('A créer'!D28="Oui",LEN('A créer'!D28)=0))=TRUE,"","Tab")</f>
        <v/>
      </c>
      <c r="H28" s="6" t="str">
        <f>IF(AND(LEN('A créer'!P28)=0,OR('A créer'!D28="Oui",LEN('A créer'!D28)=0))=TRUE,"","Non")</f>
        <v/>
      </c>
      <c r="I28" s="2" t="str">
        <f>IF(AND(LEN('A créer'!P28)=0,OR('A créer'!D28="Oui",LEN('A créer'!D28)=0))=TRUE,"","Tab")</f>
        <v/>
      </c>
      <c r="J28" s="6" t="str">
        <f>IF(AND(LEN('A créer'!P28)=0,OR('A créer'!D28="Oui",LEN('A créer'!D28)=0))=TRUE,"","Oui")</f>
        <v/>
      </c>
      <c r="K28" s="2" t="str">
        <f>IF(AND(LEN('A créer'!P28)=0,OR('A créer'!D28="Oui",LEN('A créer'!D28)=0))=TRUE,"","Tab")</f>
        <v/>
      </c>
      <c r="L28" s="6" t="str">
        <f>IF(AND(LEN('A créer'!P28)=0,OR('A créer'!D28="Oui",LEN('A créer'!D28)=0))=TRUE,"","Actif")</f>
        <v/>
      </c>
      <c r="M28" s="2" t="str">
        <f>IF(AND(LEN('A créer'!P28)=0,OR('A créer'!D28="Oui",LEN('A créer'!D28)=0))=TRUE,"","Tab")</f>
        <v/>
      </c>
      <c r="N28" s="6" t="str">
        <f>IF(AND(LEN('A créer'!P28)=0,OR('A créer'!D28="Oui",LEN('A créer'!D28)=0))=TRUE,"","Non")</f>
        <v/>
      </c>
      <c r="O28" s="2" t="str">
        <f>IF(AND(LEN('A créer'!P28)=0,OR('A créer'!D28="Oui",LEN('A créer'!D28)=0))=TRUE,"","Tab")</f>
        <v/>
      </c>
      <c r="P28" s="6" t="str">
        <f>IF(AND(LEN('A créer'!P28)=0,OR('A créer'!D28="Oui",LEN('A créer'!D28)=0))=TRUE,"","Non")</f>
        <v/>
      </c>
      <c r="Q28" s="2" t="str">
        <f>IF(AND(LEN('A créer'!P28)=0,OR('A créer'!D28="Oui",LEN('A créer'!D28)=0))=TRUE,"","Tab")</f>
        <v/>
      </c>
      <c r="R28" s="2" t="str">
        <f>IF(AND(LEN('A créer'!P28)=0,OR('A créer'!D28="Oui",LEN('A créer'!D28)=0))=TRUE,"","ENT")</f>
        <v/>
      </c>
      <c r="S28" s="2" t="str">
        <f>IF(AND(LEN('A créer'!P28)=0,OR('A créer'!D28="Oui",LEN('A créer'!D28)=0))=TRUE,"","Tab4")</f>
        <v/>
      </c>
      <c r="T28" s="2" t="str">
        <f>IF(AND(LEN('A créer'!P28)=0,OR('A créer'!D28="Oui",LEN('A créer'!D28)=0))=TRUE,"","Tab")</f>
        <v/>
      </c>
      <c r="U28" s="2" t="str">
        <f>IF(AND(LEN('A créer'!P28)=0,OR('A créer'!D28="Oui",LEN('A créer'!D28)=0))=TRUE,"","Tab")</f>
        <v/>
      </c>
      <c r="V28" s="2" t="str">
        <f>IF(AND(LEN('A créer'!P28)=0,OR('A créer'!D28="Oui",LEN('A créer'!D28)=0))=TRUE,"","Tab")</f>
        <v/>
      </c>
      <c r="W28" s="4" t="str">
        <f>IF(AND(LEN('A créer'!P28)=0,OR('A créer'!D28="Oui",LEN('A créer'!D28)=0))=TRUE,"","Non")</f>
        <v/>
      </c>
      <c r="X28" s="2" t="str">
        <f>IF(AND(LEN('A créer'!P28)=0,OR('A créer'!D28="Oui",LEN('A créer'!D28)=0))=TRUE,"","ENT")</f>
        <v/>
      </c>
      <c r="Y28" s="2" t="str">
        <f>IF(AND(LEN('A créer'!P28)=0,OR('A créer'!D28="Oui",LEN('A créer'!D28)=0))=TRUE,"","*SAVE")</f>
        <v/>
      </c>
    </row>
    <row r="29" spans="1:25" x14ac:dyDescent="0.35">
      <c r="A29" s="2" t="str">
        <f>IF(AND(LEN('A créer'!P29)=0,OR('A créer'!D29="Oui",LEN('A créer'!D29)=0))=TRUE,"","*FN")</f>
        <v/>
      </c>
      <c r="B29" s="6" t="str">
        <f>IF(AND(LEN('A créer'!P29)=0,OR('A créer'!D29="Oui",LEN('A créer'!D29)=0))=TRUE,"",'A créer'!P29)</f>
        <v/>
      </c>
      <c r="C29" s="2" t="str">
        <f>IF(AND(LEN('A créer'!P29)=0,OR('A créer'!D29="Oui",LEN('A créer'!D29)=0))=TRUE,"","Tab")</f>
        <v/>
      </c>
      <c r="D29" s="6" t="str">
        <f>IF(AND(LEN('A créer'!P29)=0,OR('A créer'!D29="Oui",LEN('A créer'!D29)=0))=TRUE,"",CONCATENATE('A créer'!Q29," ",'A créer'!A29," ",'A créer'!C29,"/",'A créer'!B29))</f>
        <v/>
      </c>
      <c r="E29" s="2" t="str">
        <f>IF(AND(LEN('A créer'!P29)=0,OR('A créer'!D29="Oui",LEN('A créer'!D29)=0))=TRUE,"","Tab 4")</f>
        <v/>
      </c>
      <c r="F29" s="2" t="str">
        <f>IF(AND(LEN('A créer'!P29)=0,OR('A créer'!D29="Oui",LEN('A créer'!D29)=0))=TRUE,"","Tab")</f>
        <v/>
      </c>
      <c r="G29" s="2" t="str">
        <f>IF(AND(LEN('A créer'!P29)=0,OR('A créer'!D29="Oui",LEN('A créer'!D29)=0))=TRUE,"","Tab")</f>
        <v/>
      </c>
      <c r="H29" s="6" t="str">
        <f>IF(AND(LEN('A créer'!P29)=0,OR('A créer'!D29="Oui",LEN('A créer'!D29)=0))=TRUE,"","Non")</f>
        <v/>
      </c>
      <c r="I29" s="2" t="str">
        <f>IF(AND(LEN('A créer'!P29)=0,OR('A créer'!D29="Oui",LEN('A créer'!D29)=0))=TRUE,"","Tab")</f>
        <v/>
      </c>
      <c r="J29" s="6" t="str">
        <f>IF(AND(LEN('A créer'!P29)=0,OR('A créer'!D29="Oui",LEN('A créer'!D29)=0))=TRUE,"","Oui")</f>
        <v/>
      </c>
      <c r="K29" s="2" t="str">
        <f>IF(AND(LEN('A créer'!P29)=0,OR('A créer'!D29="Oui",LEN('A créer'!D29)=0))=TRUE,"","Tab")</f>
        <v/>
      </c>
      <c r="L29" s="6" t="str">
        <f>IF(AND(LEN('A créer'!P29)=0,OR('A créer'!D29="Oui",LEN('A créer'!D29)=0))=TRUE,"","Actif")</f>
        <v/>
      </c>
      <c r="M29" s="2" t="str">
        <f>IF(AND(LEN('A créer'!P29)=0,OR('A créer'!D29="Oui",LEN('A créer'!D29)=0))=TRUE,"","Tab")</f>
        <v/>
      </c>
      <c r="N29" s="6" t="str">
        <f>IF(AND(LEN('A créer'!P29)=0,OR('A créer'!D29="Oui",LEN('A créer'!D29)=0))=TRUE,"","Non")</f>
        <v/>
      </c>
      <c r="O29" s="2" t="str">
        <f>IF(AND(LEN('A créer'!P29)=0,OR('A créer'!D29="Oui",LEN('A créer'!D29)=0))=TRUE,"","Tab")</f>
        <v/>
      </c>
      <c r="P29" s="6" t="str">
        <f>IF(AND(LEN('A créer'!P29)=0,OR('A créer'!D29="Oui",LEN('A créer'!D29)=0))=TRUE,"","Non")</f>
        <v/>
      </c>
      <c r="Q29" s="2" t="str">
        <f>IF(AND(LEN('A créer'!P29)=0,OR('A créer'!D29="Oui",LEN('A créer'!D29)=0))=TRUE,"","Tab")</f>
        <v/>
      </c>
      <c r="R29" s="2" t="str">
        <f>IF(AND(LEN('A créer'!P29)=0,OR('A créer'!D29="Oui",LEN('A créer'!D29)=0))=TRUE,"","ENT")</f>
        <v/>
      </c>
      <c r="S29" s="2" t="str">
        <f>IF(AND(LEN('A créer'!P29)=0,OR('A créer'!D29="Oui",LEN('A créer'!D29)=0))=TRUE,"","Tab4")</f>
        <v/>
      </c>
      <c r="T29" s="2" t="str">
        <f>IF(AND(LEN('A créer'!P29)=0,OR('A créer'!D29="Oui",LEN('A créer'!D29)=0))=TRUE,"","Tab")</f>
        <v/>
      </c>
      <c r="U29" s="2" t="str">
        <f>IF(AND(LEN('A créer'!P29)=0,OR('A créer'!D29="Oui",LEN('A créer'!D29)=0))=TRUE,"","Tab")</f>
        <v/>
      </c>
      <c r="V29" s="2" t="str">
        <f>IF(AND(LEN('A créer'!P29)=0,OR('A créer'!D29="Oui",LEN('A créer'!D29)=0))=TRUE,"","Tab")</f>
        <v/>
      </c>
      <c r="W29" s="4" t="str">
        <f>IF(AND(LEN('A créer'!P29)=0,OR('A créer'!D29="Oui",LEN('A créer'!D29)=0))=TRUE,"","Non")</f>
        <v/>
      </c>
      <c r="X29" s="2" t="str">
        <f>IF(AND(LEN('A créer'!P29)=0,OR('A créer'!D29="Oui",LEN('A créer'!D29)=0))=TRUE,"","ENT")</f>
        <v/>
      </c>
      <c r="Y29" s="2" t="str">
        <f>IF(AND(LEN('A créer'!P29)=0,OR('A créer'!D29="Oui",LEN('A créer'!D29)=0))=TRUE,"","*SAVE")</f>
        <v/>
      </c>
    </row>
    <row r="30" spans="1:25" x14ac:dyDescent="0.35">
      <c r="A30" s="2" t="str">
        <f>IF(AND(LEN('A créer'!P30)=0,OR('A créer'!D30="Oui",LEN('A créer'!D30)=0))=TRUE,"","*FN")</f>
        <v/>
      </c>
      <c r="B30" s="6" t="str">
        <f>IF(AND(LEN('A créer'!P30)=0,OR('A créer'!D30="Oui",LEN('A créer'!D30)=0))=TRUE,"",'A créer'!P30)</f>
        <v/>
      </c>
      <c r="C30" s="2" t="str">
        <f>IF(AND(LEN('A créer'!P30)=0,OR('A créer'!D30="Oui",LEN('A créer'!D30)=0))=TRUE,"","Tab")</f>
        <v/>
      </c>
      <c r="D30" s="6" t="str">
        <f>IF(AND(LEN('A créer'!P30)=0,OR('A créer'!D30="Oui",LEN('A créer'!D30)=0))=TRUE,"",CONCATENATE('A créer'!Q30," ",'A créer'!A30," ",'A créer'!C30,"/",'A créer'!B30))</f>
        <v/>
      </c>
      <c r="E30" s="2" t="str">
        <f>IF(AND(LEN('A créer'!P30)=0,OR('A créer'!D30="Oui",LEN('A créer'!D30)=0))=TRUE,"","Tab 4")</f>
        <v/>
      </c>
      <c r="F30" s="2" t="str">
        <f>IF(AND(LEN('A créer'!P30)=0,OR('A créer'!D30="Oui",LEN('A créer'!D30)=0))=TRUE,"","Tab")</f>
        <v/>
      </c>
      <c r="G30" s="2" t="str">
        <f>IF(AND(LEN('A créer'!P30)=0,OR('A créer'!D30="Oui",LEN('A créer'!D30)=0))=TRUE,"","Tab")</f>
        <v/>
      </c>
      <c r="H30" s="6" t="str">
        <f>IF(AND(LEN('A créer'!P30)=0,OR('A créer'!D30="Oui",LEN('A créer'!D30)=0))=TRUE,"","Non")</f>
        <v/>
      </c>
      <c r="I30" s="2" t="str">
        <f>IF(AND(LEN('A créer'!P30)=0,OR('A créer'!D30="Oui",LEN('A créer'!D30)=0))=TRUE,"","Tab")</f>
        <v/>
      </c>
      <c r="J30" s="6" t="str">
        <f>IF(AND(LEN('A créer'!P30)=0,OR('A créer'!D30="Oui",LEN('A créer'!D30)=0))=TRUE,"","Oui")</f>
        <v/>
      </c>
      <c r="K30" s="2" t="str">
        <f>IF(AND(LEN('A créer'!P30)=0,OR('A créer'!D30="Oui",LEN('A créer'!D30)=0))=TRUE,"","Tab")</f>
        <v/>
      </c>
      <c r="L30" s="6" t="str">
        <f>IF(AND(LEN('A créer'!P30)=0,OR('A créer'!D30="Oui",LEN('A créer'!D30)=0))=TRUE,"","Actif")</f>
        <v/>
      </c>
      <c r="M30" s="2" t="str">
        <f>IF(AND(LEN('A créer'!P30)=0,OR('A créer'!D30="Oui",LEN('A créer'!D30)=0))=TRUE,"","Tab")</f>
        <v/>
      </c>
      <c r="N30" s="6" t="str">
        <f>IF(AND(LEN('A créer'!P30)=0,OR('A créer'!D30="Oui",LEN('A créer'!D30)=0))=TRUE,"","Non")</f>
        <v/>
      </c>
      <c r="O30" s="2" t="str">
        <f>IF(AND(LEN('A créer'!P30)=0,OR('A créer'!D30="Oui",LEN('A créer'!D30)=0))=TRUE,"","Tab")</f>
        <v/>
      </c>
      <c r="P30" s="6" t="str">
        <f>IF(AND(LEN('A créer'!P30)=0,OR('A créer'!D30="Oui",LEN('A créer'!D30)=0))=TRUE,"","Non")</f>
        <v/>
      </c>
      <c r="Q30" s="2" t="str">
        <f>IF(AND(LEN('A créer'!P30)=0,OR('A créer'!D30="Oui",LEN('A créer'!D30)=0))=TRUE,"","Tab")</f>
        <v/>
      </c>
      <c r="R30" s="2" t="str">
        <f>IF(AND(LEN('A créer'!P30)=0,OR('A créer'!D30="Oui",LEN('A créer'!D30)=0))=TRUE,"","ENT")</f>
        <v/>
      </c>
      <c r="S30" s="2" t="str">
        <f>IF(AND(LEN('A créer'!P30)=0,OR('A créer'!D30="Oui",LEN('A créer'!D30)=0))=TRUE,"","Tab4")</f>
        <v/>
      </c>
      <c r="T30" s="2" t="str">
        <f>IF(AND(LEN('A créer'!P30)=0,OR('A créer'!D30="Oui",LEN('A créer'!D30)=0))=TRUE,"","Tab")</f>
        <v/>
      </c>
      <c r="U30" s="2" t="str">
        <f>IF(AND(LEN('A créer'!P30)=0,OR('A créer'!D30="Oui",LEN('A créer'!D30)=0))=TRUE,"","Tab")</f>
        <v/>
      </c>
      <c r="V30" s="2" t="str">
        <f>IF(AND(LEN('A créer'!P30)=0,OR('A créer'!D30="Oui",LEN('A créer'!D30)=0))=TRUE,"","Tab")</f>
        <v/>
      </c>
      <c r="W30" s="4" t="str">
        <f>IF(AND(LEN('A créer'!P30)=0,OR('A créer'!D30="Oui",LEN('A créer'!D30)=0))=TRUE,"","Non")</f>
        <v/>
      </c>
      <c r="X30" s="2" t="str">
        <f>IF(AND(LEN('A créer'!P30)=0,OR('A créer'!D30="Oui",LEN('A créer'!D30)=0))=TRUE,"","ENT")</f>
        <v/>
      </c>
      <c r="Y30" s="2" t="str">
        <f>IF(AND(LEN('A créer'!P30)=0,OR('A créer'!D30="Oui",LEN('A créer'!D30)=0))=TRUE,"","*SAVE")</f>
        <v/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R30"/>
  <sheetViews>
    <sheetView zoomScale="80" zoomScaleNormal="80" workbookViewId="0">
      <pane ySplit="1" topLeftCell="A2" activePane="bottomLeft" state="frozenSplit"/>
      <selection activeCell="G30" sqref="G30"/>
      <selection pane="bottomLeft" activeCell="M32" sqref="M32"/>
    </sheetView>
  </sheetViews>
  <sheetFormatPr baseColWidth="10" defaultRowHeight="14.5" x14ac:dyDescent="0.35"/>
  <cols>
    <col min="1" max="1" width="4.81640625" bestFit="1" customWidth="1"/>
    <col min="2" max="2" width="10.1796875" bestFit="1" customWidth="1"/>
    <col min="3" max="3" width="4.81640625" bestFit="1" customWidth="1"/>
    <col min="4" max="4" width="37.453125" bestFit="1" customWidth="1"/>
    <col min="5" max="5" width="6.453125" bestFit="1" customWidth="1"/>
    <col min="6" max="8" width="4.81640625" bestFit="1" customWidth="1"/>
    <col min="9" max="9" width="7" bestFit="1" customWidth="1"/>
    <col min="10" max="10" width="4.81640625" bestFit="1" customWidth="1"/>
    <col min="11" max="11" width="13" bestFit="1" customWidth="1"/>
    <col min="12" max="12" width="4.81640625" bestFit="1" customWidth="1"/>
    <col min="13" max="13" width="49.453125" bestFit="1" customWidth="1"/>
    <col min="14" max="14" width="6.453125" bestFit="1" customWidth="1"/>
    <col min="15" max="17" width="4.81640625" bestFit="1" customWidth="1"/>
    <col min="18" max="18" width="7" bestFit="1" customWidth="1"/>
  </cols>
  <sheetData>
    <row r="1" spans="1:18" x14ac:dyDescent="0.35">
      <c r="A1" s="2" t="s">
        <v>18</v>
      </c>
      <c r="B1" t="s">
        <v>35</v>
      </c>
      <c r="C1" s="2" t="s">
        <v>4</v>
      </c>
      <c r="D1" t="s">
        <v>21</v>
      </c>
      <c r="E1" s="2" t="s">
        <v>93</v>
      </c>
      <c r="F1" s="2" t="s">
        <v>4</v>
      </c>
      <c r="G1" s="2" t="s">
        <v>4</v>
      </c>
      <c r="H1" s="2" t="s">
        <v>15</v>
      </c>
      <c r="I1" s="2" t="s">
        <v>16</v>
      </c>
      <c r="J1" s="2" t="s">
        <v>18</v>
      </c>
      <c r="K1" t="s">
        <v>35</v>
      </c>
      <c r="L1" s="2" t="s">
        <v>4</v>
      </c>
      <c r="M1" t="s">
        <v>21</v>
      </c>
      <c r="N1" s="2" t="s">
        <v>93</v>
      </c>
      <c r="O1" s="2" t="s">
        <v>4</v>
      </c>
      <c r="P1" s="2" t="s">
        <v>4</v>
      </c>
      <c r="Q1" s="2" t="s">
        <v>15</v>
      </c>
      <c r="R1" s="2" t="s">
        <v>16</v>
      </c>
    </row>
    <row r="2" spans="1:18" x14ac:dyDescent="0.35">
      <c r="A2" s="2" t="str">
        <f>IF(LEN('A créer'!C2)=0,"","*FN")</f>
        <v>*FN</v>
      </c>
      <c r="B2" t="str">
        <f>IF(LEN('A créer'!C2)=0,"",CONCATENATE(,'A créer'!B2,'A créer'!A2))</f>
        <v>DCW0535</v>
      </c>
      <c r="C2" s="2" t="str">
        <f>IF(LEN('A créer'!C2)=0,"","Tab")</f>
        <v>Tab</v>
      </c>
      <c r="D2" t="str">
        <f>IF(LEN('A créer'!C2)=0,"",CONCATENATE(,'A créer'!B2,'A créer'!A2,"-",'A créer'!C2))</f>
        <v>DCW0535-CHARLEVILLE RENOUVELABLE</v>
      </c>
      <c r="E2" s="2" t="str">
        <f>IF(LEN('A créer'!C2)=0,"","Tab 4")</f>
        <v>Tab 4</v>
      </c>
      <c r="F2" s="2" t="str">
        <f>IF(LEN('A créer'!C2)=0,"","Tab")</f>
        <v>Tab</v>
      </c>
      <c r="G2" s="2" t="str">
        <f>IF(LEN('A créer'!C2)=0,"","Tab")</f>
        <v>Tab</v>
      </c>
      <c r="H2" s="2" t="str">
        <f>IF(LEN('A créer'!C2)=0,"","ENT")</f>
        <v>ENT</v>
      </c>
      <c r="I2" s="2" t="str">
        <f>IF(LEN('A créer'!C2)=0,"","*SAVE")</f>
        <v>*SAVE</v>
      </c>
      <c r="J2" s="2" t="str">
        <f>IF(LEN('A créer'!R2)=0,"","*FN")</f>
        <v>*FN</v>
      </c>
      <c r="K2" t="str">
        <f>IF(LEN('A créer'!R2)=0,"",'A créer'!R2)</f>
        <v>FB0084973K</v>
      </c>
      <c r="L2" s="2" t="str">
        <f>IF(LEN('A créer'!R2)=0,"","Tab")</f>
        <v>Tab</v>
      </c>
      <c r="M2" t="str">
        <f>IF(LEN('A créer'!R2)=0,"",CONCATENATE(,'A créer'!B2,"_",'A créer'!A2,"PF FPS ",'A créer'!A2," ",'A créer'!C2))</f>
        <v>DCW_0535PF FPS 0535 CHARLEVILLE RENOUVELABLE</v>
      </c>
      <c r="N2" s="2" t="str">
        <f>IF(LEN('A créer'!R2)=0,"","Tab 4")</f>
        <v>Tab 4</v>
      </c>
      <c r="O2" s="2" t="str">
        <f>IF(LEN('A créer'!R2)=0,"","Tab")</f>
        <v>Tab</v>
      </c>
      <c r="P2" s="2" t="str">
        <f>IF(LEN('A créer'!R2)=0,"","Tab")</f>
        <v>Tab</v>
      </c>
      <c r="Q2" s="2" t="str">
        <f>IF(LEN('A créer'!R2)=0,"","ENT")</f>
        <v>ENT</v>
      </c>
      <c r="R2" s="2" t="str">
        <f>IF(LEN('A créer'!R2)=0,"","*SAVE")</f>
        <v>*SAVE</v>
      </c>
    </row>
    <row r="3" spans="1:18" x14ac:dyDescent="0.35">
      <c r="A3" s="2" t="str">
        <f>IF(LEN('A créer'!C3)=0,"","*FN")</f>
        <v/>
      </c>
      <c r="B3" t="str">
        <f>IF(LEN('A créer'!C3)=0,"",CONCATENATE(,'A créer'!B3,'A créer'!A3))</f>
        <v/>
      </c>
      <c r="C3" s="2" t="str">
        <f>IF(LEN('A créer'!C3)=0,"","Tab")</f>
        <v/>
      </c>
      <c r="D3" t="str">
        <f>IF(LEN('A créer'!C3)=0,"",CONCATENATE(,'A créer'!B3,'A créer'!A3,"-",'A créer'!C3))</f>
        <v/>
      </c>
      <c r="E3" s="2" t="str">
        <f>IF(LEN('A créer'!C3)=0,"","Tab 4")</f>
        <v/>
      </c>
      <c r="F3" s="2" t="str">
        <f>IF(LEN('A créer'!C3)=0,"","Tab")</f>
        <v/>
      </c>
      <c r="G3" s="2" t="str">
        <f>IF(LEN('A créer'!C3)=0,"","Tab")</f>
        <v/>
      </c>
      <c r="H3" s="2" t="str">
        <f>IF(LEN('A créer'!C3)=0,"","ENT")</f>
        <v/>
      </c>
      <c r="I3" s="2" t="str">
        <f>IF(LEN('A créer'!C3)=0,"","*SAVE")</f>
        <v/>
      </c>
      <c r="J3" s="2" t="str">
        <f>IF(LEN('A créer'!R3)=0,"","*FN")</f>
        <v/>
      </c>
      <c r="K3" t="str">
        <f>IF(LEN('A créer'!R3)=0,"",'A créer'!R3)</f>
        <v/>
      </c>
      <c r="L3" s="2" t="str">
        <f>IF(LEN('A créer'!R3)=0,"","Tab")</f>
        <v/>
      </c>
      <c r="M3" t="str">
        <f>IF(LEN('A créer'!R3)=0,"",CONCATENATE(,'A créer'!B3,"_",'A créer'!A3,"PF FPS ",'A créer'!A3," ",'A créer'!C3))</f>
        <v/>
      </c>
      <c r="N3" s="2" t="str">
        <f>IF(LEN('A créer'!R3)=0,"","Tab 4")</f>
        <v/>
      </c>
      <c r="O3" s="2" t="str">
        <f>IF(LEN('A créer'!R3)=0,"","Tab")</f>
        <v/>
      </c>
      <c r="P3" s="2" t="str">
        <f>IF(LEN('A créer'!R3)=0,"","Tab")</f>
        <v/>
      </c>
      <c r="Q3" s="2" t="str">
        <f>IF(LEN('A créer'!R3)=0,"","ENT")</f>
        <v/>
      </c>
      <c r="R3" s="2" t="str">
        <f>IF(LEN('A créer'!R3)=0,"","*SAVE")</f>
        <v/>
      </c>
    </row>
    <row r="4" spans="1:18" x14ac:dyDescent="0.35">
      <c r="A4" s="2" t="str">
        <f>IF(LEN('A créer'!C4)=0,"","*FN")</f>
        <v>*FN</v>
      </c>
      <c r="B4" t="str">
        <f>IF(LEN('A créer'!C4)=0,"",CONCATENATE(,'A créer'!B4,'A créer'!A4))</f>
        <v>DCW0595</v>
      </c>
      <c r="C4" s="2" t="str">
        <f>IF(LEN('A créer'!C4)=0,"","Tab")</f>
        <v>Tab</v>
      </c>
      <c r="D4" t="str">
        <f>IF(LEN('A créer'!C4)=0,"",CONCATENATE(,'A créer'!B4,'A créer'!A4,"-",'A créer'!C4))</f>
        <v>DCW0595-MIRECOURT ENERGIES</v>
      </c>
      <c r="E4" s="2" t="str">
        <f>IF(LEN('A créer'!C4)=0,"","Tab 4")</f>
        <v>Tab 4</v>
      </c>
      <c r="F4" s="2" t="str">
        <f>IF(LEN('A créer'!C4)=0,"","Tab")</f>
        <v>Tab</v>
      </c>
      <c r="G4" s="2" t="str">
        <f>IF(LEN('A créer'!C4)=0,"","Tab")</f>
        <v>Tab</v>
      </c>
      <c r="H4" s="2" t="str">
        <f>IF(LEN('A créer'!C4)=0,"","ENT")</f>
        <v>ENT</v>
      </c>
      <c r="I4" s="2" t="str">
        <f>IF(LEN('A créer'!C4)=0,"","*SAVE")</f>
        <v>*SAVE</v>
      </c>
      <c r="J4" s="2" t="str">
        <f>IF(LEN('A créer'!R4)=0,"","*FN")</f>
        <v>*FN</v>
      </c>
      <c r="K4" t="str">
        <f>IF(LEN('A créer'!R4)=0,"",'A créer'!R4)</f>
        <v>FB0090324R</v>
      </c>
      <c r="L4" s="2" t="str">
        <f>IF(LEN('A créer'!R4)=0,"","Tab")</f>
        <v>Tab</v>
      </c>
      <c r="M4" t="str">
        <f>IF(LEN('A créer'!R4)=0,"",CONCATENATE(,'A créer'!B4,"_",'A créer'!A4,"PF FPS ",'A créer'!A4," ",'A créer'!C4))</f>
        <v>DCW_0595PF FPS 0595 MIRECOURT ENERGIES</v>
      </c>
      <c r="N4" s="2" t="str">
        <f>IF(LEN('A créer'!R4)=0,"","Tab 4")</f>
        <v>Tab 4</v>
      </c>
      <c r="O4" s="2" t="str">
        <f>IF(LEN('A créer'!R4)=0,"","Tab")</f>
        <v>Tab</v>
      </c>
      <c r="P4" s="2" t="str">
        <f>IF(LEN('A créer'!R4)=0,"","Tab")</f>
        <v>Tab</v>
      </c>
      <c r="Q4" s="2" t="str">
        <f>IF(LEN('A créer'!R4)=0,"","ENT")</f>
        <v>ENT</v>
      </c>
      <c r="R4" s="2" t="str">
        <f>IF(LEN('A créer'!R4)=0,"","*SAVE")</f>
        <v>*SAVE</v>
      </c>
    </row>
    <row r="5" spans="1:18" x14ac:dyDescent="0.35">
      <c r="A5" s="2" t="str">
        <f>IF(LEN('A créer'!C5)=0,"","*FN")</f>
        <v/>
      </c>
      <c r="B5" t="str">
        <f>IF(LEN('A créer'!C5)=0,"",CONCATENATE(,'A créer'!B5,'A créer'!A5))</f>
        <v/>
      </c>
      <c r="C5" s="2" t="str">
        <f>IF(LEN('A créer'!C5)=0,"","Tab")</f>
        <v/>
      </c>
      <c r="D5" t="str">
        <f>IF(LEN('A créer'!C5)=0,"",CONCATENATE(,'A créer'!B5,'A créer'!A5,"-",'A créer'!C5))</f>
        <v/>
      </c>
      <c r="E5" s="2" t="str">
        <f>IF(LEN('A créer'!C5)=0,"","Tab 4")</f>
        <v/>
      </c>
      <c r="F5" s="2" t="str">
        <f>IF(LEN('A créer'!C5)=0,"","Tab")</f>
        <v/>
      </c>
      <c r="G5" s="2" t="str">
        <f>IF(LEN('A créer'!C5)=0,"","Tab")</f>
        <v/>
      </c>
      <c r="H5" s="2" t="str">
        <f>IF(LEN('A créer'!C5)=0,"","ENT")</f>
        <v/>
      </c>
      <c r="I5" s="2" t="str">
        <f>IF(LEN('A créer'!C5)=0,"","*SAVE")</f>
        <v/>
      </c>
      <c r="J5" s="2" t="str">
        <f>IF(LEN('A créer'!R5)=0,"","*FN")</f>
        <v/>
      </c>
      <c r="K5" t="str">
        <f>IF(LEN('A créer'!R5)=0,"",'A créer'!R5)</f>
        <v/>
      </c>
      <c r="L5" s="2" t="str">
        <f>IF(LEN('A créer'!R5)=0,"","Tab")</f>
        <v/>
      </c>
      <c r="M5" t="str">
        <f>IF(LEN('A créer'!R5)=0,"",CONCATENATE(,'A créer'!B5,"_",'A créer'!A5,"PF FPS ",'A créer'!A5," ",'A créer'!C5))</f>
        <v/>
      </c>
      <c r="N5" s="2" t="str">
        <f>IF(LEN('A créer'!R5)=0,"","Tab 4")</f>
        <v/>
      </c>
      <c r="O5" s="2" t="str">
        <f>IF(LEN('A créer'!R5)=0,"","Tab")</f>
        <v/>
      </c>
      <c r="P5" s="2" t="str">
        <f>IF(LEN('A créer'!R5)=0,"","Tab")</f>
        <v/>
      </c>
      <c r="Q5" s="2" t="str">
        <f>IF(LEN('A créer'!R5)=0,"","ENT")</f>
        <v/>
      </c>
      <c r="R5" s="2" t="str">
        <f>IF(LEN('A créer'!R5)=0,"","*SAVE")</f>
        <v/>
      </c>
    </row>
    <row r="6" spans="1:18" x14ac:dyDescent="0.35">
      <c r="A6" s="2" t="str">
        <f>IF(LEN('A créer'!C6)=0,"","*FN")</f>
        <v/>
      </c>
      <c r="B6" t="str">
        <f>IF(LEN('A créer'!C6)=0,"",CONCATENATE(,'A créer'!B6,'A créer'!A6))</f>
        <v/>
      </c>
      <c r="C6" s="2" t="str">
        <f>IF(LEN('A créer'!C6)=0,"","Tab")</f>
        <v/>
      </c>
      <c r="D6" t="str">
        <f>IF(LEN('A créer'!C6)=0,"",CONCATENATE(,'A créer'!B6,'A créer'!A6,"-",'A créer'!C6))</f>
        <v/>
      </c>
      <c r="E6" s="2" t="str">
        <f>IF(LEN('A créer'!C6)=0,"","Tab 4")</f>
        <v/>
      </c>
      <c r="F6" s="2" t="str">
        <f>IF(LEN('A créer'!C6)=0,"","Tab")</f>
        <v/>
      </c>
      <c r="G6" s="2" t="str">
        <f>IF(LEN('A créer'!C6)=0,"","Tab")</f>
        <v/>
      </c>
      <c r="H6" s="2" t="str">
        <f>IF(LEN('A créer'!C6)=0,"","ENT")</f>
        <v/>
      </c>
      <c r="I6" s="2" t="str">
        <f>IF(LEN('A créer'!C6)=0,"","*SAVE")</f>
        <v/>
      </c>
      <c r="J6" s="2" t="str">
        <f>IF(LEN('A créer'!R6)=0,"","*FN")</f>
        <v/>
      </c>
      <c r="K6" t="str">
        <f>IF(LEN('A créer'!R6)=0,"",'A créer'!R6)</f>
        <v/>
      </c>
      <c r="L6" s="2" t="str">
        <f>IF(LEN('A créer'!R6)=0,"","Tab")</f>
        <v/>
      </c>
      <c r="M6" t="str">
        <f>IF(LEN('A créer'!R6)=0,"",CONCATENATE(,'A créer'!B6,"_",'A créer'!A6,"PF FPS ",'A créer'!A6," ",'A créer'!C6))</f>
        <v/>
      </c>
      <c r="N6" s="2" t="str">
        <f>IF(LEN('A créer'!R6)=0,"","Tab 4")</f>
        <v/>
      </c>
      <c r="O6" s="2" t="str">
        <f>IF(LEN('A créer'!R6)=0,"","Tab")</f>
        <v/>
      </c>
      <c r="P6" s="2" t="str">
        <f>IF(LEN('A créer'!R6)=0,"","Tab")</f>
        <v/>
      </c>
      <c r="Q6" s="2" t="str">
        <f>IF(LEN('A créer'!R6)=0,"","ENT")</f>
        <v/>
      </c>
      <c r="R6" s="2" t="str">
        <f>IF(LEN('A créer'!R6)=0,"","*SAVE")</f>
        <v/>
      </c>
    </row>
    <row r="7" spans="1:18" x14ac:dyDescent="0.35">
      <c r="A7" s="2" t="str">
        <f>IF(LEN('A créer'!C7)=0,"","*FN")</f>
        <v/>
      </c>
      <c r="B7" t="str">
        <f>IF(LEN('A créer'!C7)=0,"",CONCATENATE(,'A créer'!B7,'A créer'!A7))</f>
        <v/>
      </c>
      <c r="C7" s="2" t="str">
        <f>IF(LEN('A créer'!C7)=0,"","Tab")</f>
        <v/>
      </c>
      <c r="D7" t="str">
        <f>IF(LEN('A créer'!C7)=0,"",CONCATENATE(,'A créer'!B7,'A créer'!A7,"-",'A créer'!C7))</f>
        <v/>
      </c>
      <c r="E7" s="2" t="str">
        <f>IF(LEN('A créer'!C7)=0,"","Tab 4")</f>
        <v/>
      </c>
      <c r="F7" s="2" t="str">
        <f>IF(LEN('A créer'!C7)=0,"","Tab")</f>
        <v/>
      </c>
      <c r="G7" s="2" t="str">
        <f>IF(LEN('A créer'!C7)=0,"","Tab")</f>
        <v/>
      </c>
      <c r="H7" s="2" t="str">
        <f>IF(LEN('A créer'!C7)=0,"","ENT")</f>
        <v/>
      </c>
      <c r="I7" s="2" t="str">
        <f>IF(LEN('A créer'!C7)=0,"","*SAVE")</f>
        <v/>
      </c>
      <c r="J7" s="2" t="str">
        <f>IF(LEN('A créer'!R7)=0,"","*FN")</f>
        <v/>
      </c>
      <c r="K7" t="str">
        <f>IF(LEN('A créer'!R7)=0,"",'A créer'!R7)</f>
        <v/>
      </c>
      <c r="L7" s="2" t="str">
        <f>IF(LEN('A créer'!R7)=0,"","Tab")</f>
        <v/>
      </c>
      <c r="M7" t="str">
        <f>IF(LEN('A créer'!R7)=0,"",CONCATENATE(,'A créer'!B7,"_",'A créer'!A7,"PF FPS ",'A créer'!A7," ",'A créer'!C7))</f>
        <v/>
      </c>
      <c r="N7" s="2" t="str">
        <f>IF(LEN('A créer'!R7)=0,"","Tab 4")</f>
        <v/>
      </c>
      <c r="O7" s="2" t="str">
        <f>IF(LEN('A créer'!R7)=0,"","Tab")</f>
        <v/>
      </c>
      <c r="P7" s="2" t="str">
        <f>IF(LEN('A créer'!R7)=0,"","Tab")</f>
        <v/>
      </c>
      <c r="Q7" s="2" t="str">
        <f>IF(LEN('A créer'!R7)=0,"","ENT")</f>
        <v/>
      </c>
      <c r="R7" s="2" t="str">
        <f>IF(LEN('A créer'!R7)=0,"","*SAVE")</f>
        <v/>
      </c>
    </row>
    <row r="8" spans="1:18" x14ac:dyDescent="0.35">
      <c r="A8" s="2" t="str">
        <f>IF(LEN('A créer'!C8)=0,"","*FN")</f>
        <v/>
      </c>
      <c r="B8" t="str">
        <f>IF(LEN('A créer'!C8)=0,"",CONCATENATE(,'A créer'!B8,'A créer'!A8))</f>
        <v/>
      </c>
      <c r="C8" s="2" t="str">
        <f>IF(LEN('A créer'!C8)=0,"","Tab")</f>
        <v/>
      </c>
      <c r="D8" t="str">
        <f>IF(LEN('A créer'!C8)=0,"",CONCATENATE(,'A créer'!B8,'A créer'!A8,"-",'A créer'!C8))</f>
        <v/>
      </c>
      <c r="E8" s="2" t="str">
        <f>IF(LEN('A créer'!C8)=0,"","Tab 4")</f>
        <v/>
      </c>
      <c r="F8" s="2" t="str">
        <f>IF(LEN('A créer'!C8)=0,"","Tab")</f>
        <v/>
      </c>
      <c r="G8" s="2" t="str">
        <f>IF(LEN('A créer'!C8)=0,"","Tab")</f>
        <v/>
      </c>
      <c r="H8" s="2" t="str">
        <f>IF(LEN('A créer'!C8)=0,"","ENT")</f>
        <v/>
      </c>
      <c r="I8" s="2" t="str">
        <f>IF(LEN('A créer'!C8)=0,"","*SAVE")</f>
        <v/>
      </c>
      <c r="J8" s="2" t="str">
        <f>IF(LEN('A créer'!R8)=0,"","*FN")</f>
        <v/>
      </c>
      <c r="K8" t="str">
        <f>IF(LEN('A créer'!R8)=0,"",'A créer'!R8)</f>
        <v/>
      </c>
      <c r="L8" s="2" t="str">
        <f>IF(LEN('A créer'!R8)=0,"","Tab")</f>
        <v/>
      </c>
      <c r="M8" t="str">
        <f>IF(LEN('A créer'!R8)=0,"",CONCATENATE(,'A créer'!B8,"_",'A créer'!A8,"PF FPS ",'A créer'!A8," ",'A créer'!C8))</f>
        <v/>
      </c>
      <c r="N8" s="2" t="str">
        <f>IF(LEN('A créer'!R8)=0,"","Tab 4")</f>
        <v/>
      </c>
      <c r="O8" s="2" t="str">
        <f>IF(LEN('A créer'!R8)=0,"","Tab")</f>
        <v/>
      </c>
      <c r="P8" s="2" t="str">
        <f>IF(LEN('A créer'!R8)=0,"","Tab")</f>
        <v/>
      </c>
      <c r="Q8" s="2" t="str">
        <f>IF(LEN('A créer'!R8)=0,"","ENT")</f>
        <v/>
      </c>
      <c r="R8" s="2" t="str">
        <f>IF(LEN('A créer'!R8)=0,"","*SAVE")</f>
        <v/>
      </c>
    </row>
    <row r="9" spans="1:18" x14ac:dyDescent="0.35">
      <c r="A9" s="2" t="str">
        <f>IF(LEN('A créer'!C9)=0,"","*FN")</f>
        <v/>
      </c>
      <c r="B9" t="str">
        <f>IF(LEN('A créer'!C9)=0,"",CONCATENATE(,'A créer'!B9,'A créer'!A9))</f>
        <v/>
      </c>
      <c r="C9" s="2" t="str">
        <f>IF(LEN('A créer'!C9)=0,"","Tab")</f>
        <v/>
      </c>
      <c r="D9" t="str">
        <f>IF(LEN('A créer'!C9)=0,"",CONCATENATE(,'A créer'!B9,'A créer'!A9,"-",'A créer'!C9))</f>
        <v/>
      </c>
      <c r="E9" s="2" t="str">
        <f>IF(LEN('A créer'!C9)=0,"","Tab 4")</f>
        <v/>
      </c>
      <c r="F9" s="2" t="str">
        <f>IF(LEN('A créer'!C9)=0,"","Tab")</f>
        <v/>
      </c>
      <c r="G9" s="2" t="str">
        <f>IF(LEN('A créer'!C9)=0,"","Tab")</f>
        <v/>
      </c>
      <c r="H9" s="2" t="str">
        <f>IF(LEN('A créer'!C9)=0,"","ENT")</f>
        <v/>
      </c>
      <c r="I9" s="2" t="str">
        <f>IF(LEN('A créer'!C9)=0,"","*SAVE")</f>
        <v/>
      </c>
      <c r="J9" s="2" t="str">
        <f>IF(LEN('A créer'!R9)=0,"","*FN")</f>
        <v/>
      </c>
      <c r="K9" t="str">
        <f>IF(LEN('A créer'!R9)=0,"",'A créer'!R9)</f>
        <v/>
      </c>
      <c r="L9" s="2" t="str">
        <f>IF(LEN('A créer'!R9)=0,"","Tab")</f>
        <v/>
      </c>
      <c r="M9" t="str">
        <f>IF(LEN('A créer'!R9)=0,"",CONCATENATE(,'A créer'!B9,"_",'A créer'!A9,"PF FPS ",'A créer'!A9," ",'A créer'!C9))</f>
        <v/>
      </c>
      <c r="N9" s="2" t="str">
        <f>IF(LEN('A créer'!R9)=0,"","Tab 4")</f>
        <v/>
      </c>
      <c r="O9" s="2" t="str">
        <f>IF(LEN('A créer'!R9)=0,"","Tab")</f>
        <v/>
      </c>
      <c r="P9" s="2" t="str">
        <f>IF(LEN('A créer'!R9)=0,"","Tab")</f>
        <v/>
      </c>
      <c r="Q9" s="2" t="str">
        <f>IF(LEN('A créer'!R9)=0,"","ENT")</f>
        <v/>
      </c>
      <c r="R9" s="2" t="str">
        <f>IF(LEN('A créer'!R9)=0,"","*SAVE")</f>
        <v/>
      </c>
    </row>
    <row r="10" spans="1:18" x14ac:dyDescent="0.35">
      <c r="A10" s="2" t="str">
        <f>IF(LEN('A créer'!C10)=0,"","*FN")</f>
        <v/>
      </c>
      <c r="B10" t="str">
        <f>IF(LEN('A créer'!C10)=0,"",CONCATENATE(,'A créer'!B10,'A créer'!A10))</f>
        <v/>
      </c>
      <c r="C10" s="2" t="str">
        <f>IF(LEN('A créer'!C10)=0,"","Tab")</f>
        <v/>
      </c>
      <c r="D10" t="str">
        <f>IF(LEN('A créer'!C10)=0,"",CONCATENATE(,'A créer'!B10,'A créer'!A10,"-",'A créer'!C10))</f>
        <v/>
      </c>
      <c r="E10" s="2" t="str">
        <f>IF(LEN('A créer'!C10)=0,"","Tab 4")</f>
        <v/>
      </c>
      <c r="F10" s="2" t="str">
        <f>IF(LEN('A créer'!C10)=0,"","Tab")</f>
        <v/>
      </c>
      <c r="G10" s="2" t="str">
        <f>IF(LEN('A créer'!C10)=0,"","Tab")</f>
        <v/>
      </c>
      <c r="H10" s="2" t="str">
        <f>IF(LEN('A créer'!C10)=0,"","ENT")</f>
        <v/>
      </c>
      <c r="I10" s="2" t="str">
        <f>IF(LEN('A créer'!C10)=0,"","*SAVE")</f>
        <v/>
      </c>
      <c r="J10" s="2" t="str">
        <f>IF(LEN('A créer'!R10)=0,"","*FN")</f>
        <v/>
      </c>
      <c r="K10" t="str">
        <f>IF(LEN('A créer'!R10)=0,"",'A créer'!R10)</f>
        <v/>
      </c>
      <c r="L10" s="2" t="str">
        <f>IF(LEN('A créer'!R10)=0,"","Tab")</f>
        <v/>
      </c>
      <c r="M10" t="str">
        <f>IF(LEN('A créer'!R10)=0,"",CONCATENATE(,'A créer'!B10,"_",'A créer'!A10,"PF FPS ",'A créer'!A10," ",'A créer'!C10))</f>
        <v/>
      </c>
      <c r="N10" s="2" t="str">
        <f>IF(LEN('A créer'!R10)=0,"","Tab 4")</f>
        <v/>
      </c>
      <c r="O10" s="2" t="str">
        <f>IF(LEN('A créer'!R10)=0,"","Tab")</f>
        <v/>
      </c>
      <c r="P10" s="2" t="str">
        <f>IF(LEN('A créer'!R10)=0,"","Tab")</f>
        <v/>
      </c>
      <c r="Q10" s="2" t="str">
        <f>IF(LEN('A créer'!R10)=0,"","ENT")</f>
        <v/>
      </c>
      <c r="R10" s="2" t="str">
        <f>IF(LEN('A créer'!R10)=0,"","*SAVE")</f>
        <v/>
      </c>
    </row>
    <row r="11" spans="1:18" x14ac:dyDescent="0.35">
      <c r="A11" s="2" t="str">
        <f>IF(LEN('A créer'!C11)=0,"","*FN")</f>
        <v/>
      </c>
      <c r="B11" t="str">
        <f>IF(LEN('A créer'!C11)=0,"",CONCATENATE(,'A créer'!B11,'A créer'!A11))</f>
        <v/>
      </c>
      <c r="C11" s="2" t="str">
        <f>IF(LEN('A créer'!C11)=0,"","Tab")</f>
        <v/>
      </c>
      <c r="D11" t="str">
        <f>IF(LEN('A créer'!C11)=0,"",CONCATENATE(,'A créer'!B11,'A créer'!A11,"-",'A créer'!C11))</f>
        <v/>
      </c>
      <c r="E11" s="2" t="str">
        <f>IF(LEN('A créer'!C11)=0,"","Tab 4")</f>
        <v/>
      </c>
      <c r="F11" s="2" t="str">
        <f>IF(LEN('A créer'!C11)=0,"","Tab")</f>
        <v/>
      </c>
      <c r="G11" s="2" t="str">
        <f>IF(LEN('A créer'!C11)=0,"","Tab")</f>
        <v/>
      </c>
      <c r="H11" s="2" t="str">
        <f>IF(LEN('A créer'!C11)=0,"","ENT")</f>
        <v/>
      </c>
      <c r="I11" s="2" t="str">
        <f>IF(LEN('A créer'!C11)=0,"","*SAVE")</f>
        <v/>
      </c>
      <c r="J11" s="2" t="str">
        <f>IF(LEN('A créer'!R11)=0,"","*FN")</f>
        <v/>
      </c>
      <c r="K11" t="str">
        <f>IF(LEN('A créer'!R11)=0,"",'A créer'!R11)</f>
        <v/>
      </c>
      <c r="L11" s="2" t="str">
        <f>IF(LEN('A créer'!R11)=0,"","Tab")</f>
        <v/>
      </c>
      <c r="M11" t="str">
        <f>IF(LEN('A créer'!R11)=0,"",CONCATENATE(,'A créer'!B11,"_",'A créer'!A11,"PF FPS ",'A créer'!A11," ",'A créer'!C11))</f>
        <v/>
      </c>
      <c r="N11" s="2" t="str">
        <f>IF(LEN('A créer'!R11)=0,"","Tab 4")</f>
        <v/>
      </c>
      <c r="O11" s="2" t="str">
        <f>IF(LEN('A créer'!R11)=0,"","Tab")</f>
        <v/>
      </c>
      <c r="P11" s="2" t="str">
        <f>IF(LEN('A créer'!R11)=0,"","Tab")</f>
        <v/>
      </c>
      <c r="Q11" s="2" t="str">
        <f>IF(LEN('A créer'!R11)=0,"","ENT")</f>
        <v/>
      </c>
      <c r="R11" s="2" t="str">
        <f>IF(LEN('A créer'!R11)=0,"","*SAVE")</f>
        <v/>
      </c>
    </row>
    <row r="12" spans="1:18" x14ac:dyDescent="0.35">
      <c r="A12" s="2" t="str">
        <f>IF(LEN('A créer'!C12)=0,"","*FN")</f>
        <v/>
      </c>
      <c r="B12" t="str">
        <f>IF(LEN('A créer'!C12)=0,"",CONCATENATE(,'A créer'!B12,'A créer'!A12))</f>
        <v/>
      </c>
      <c r="C12" s="2" t="str">
        <f>IF(LEN('A créer'!C12)=0,"","Tab")</f>
        <v/>
      </c>
      <c r="D12" t="str">
        <f>IF(LEN('A créer'!C12)=0,"",CONCATENATE(,'A créer'!B12,'A créer'!A12,"-",'A créer'!C12))</f>
        <v/>
      </c>
      <c r="E12" s="2" t="str">
        <f>IF(LEN('A créer'!C12)=0,"","Tab 4")</f>
        <v/>
      </c>
      <c r="F12" s="2" t="str">
        <f>IF(LEN('A créer'!C12)=0,"","Tab")</f>
        <v/>
      </c>
      <c r="G12" s="2" t="str">
        <f>IF(LEN('A créer'!C12)=0,"","Tab")</f>
        <v/>
      </c>
      <c r="H12" s="2" t="str">
        <f>IF(LEN('A créer'!C12)=0,"","ENT")</f>
        <v/>
      </c>
      <c r="I12" s="2" t="str">
        <f>IF(LEN('A créer'!C12)=0,"","*SAVE")</f>
        <v/>
      </c>
      <c r="J12" s="2" t="str">
        <f>IF(LEN('A créer'!R12)=0,"","*FN")</f>
        <v/>
      </c>
      <c r="K12" t="str">
        <f>IF(LEN('A créer'!R12)=0,"",'A créer'!R12)</f>
        <v/>
      </c>
      <c r="L12" s="2" t="str">
        <f>IF(LEN('A créer'!R12)=0,"","Tab")</f>
        <v/>
      </c>
      <c r="M12" t="str">
        <f>IF(LEN('A créer'!R12)=0,"",CONCATENATE(,'A créer'!B12,"_",'A créer'!A12,"PF FPS ",'A créer'!A12," ",'A créer'!C12))</f>
        <v/>
      </c>
      <c r="N12" s="2" t="str">
        <f>IF(LEN('A créer'!R12)=0,"","Tab 4")</f>
        <v/>
      </c>
      <c r="O12" s="2" t="str">
        <f>IF(LEN('A créer'!R12)=0,"","Tab")</f>
        <v/>
      </c>
      <c r="P12" s="2" t="str">
        <f>IF(LEN('A créer'!R12)=0,"","Tab")</f>
        <v/>
      </c>
      <c r="Q12" s="2" t="str">
        <f>IF(LEN('A créer'!R12)=0,"","ENT")</f>
        <v/>
      </c>
      <c r="R12" s="2" t="str">
        <f>IF(LEN('A créer'!R12)=0,"","*SAVE")</f>
        <v/>
      </c>
    </row>
    <row r="13" spans="1:18" x14ac:dyDescent="0.35">
      <c r="A13" s="2" t="str">
        <f>IF(LEN('A créer'!C13)=0,"","*FN")</f>
        <v/>
      </c>
      <c r="B13" t="str">
        <f>IF(LEN('A créer'!C13)=0,"",CONCATENATE(,'A créer'!B13,'A créer'!A13))</f>
        <v/>
      </c>
      <c r="C13" s="2" t="str">
        <f>IF(LEN('A créer'!C13)=0,"","Tab")</f>
        <v/>
      </c>
      <c r="D13" t="str">
        <f>IF(LEN('A créer'!C13)=0,"",CONCATENATE(,'A créer'!B13,'A créer'!A13,"-",'A créer'!C13))</f>
        <v/>
      </c>
      <c r="E13" s="2" t="str">
        <f>IF(LEN('A créer'!C13)=0,"","Tab 4")</f>
        <v/>
      </c>
      <c r="F13" s="2" t="str">
        <f>IF(LEN('A créer'!C13)=0,"","Tab")</f>
        <v/>
      </c>
      <c r="G13" s="2" t="str">
        <f>IF(LEN('A créer'!C13)=0,"","Tab")</f>
        <v/>
      </c>
      <c r="H13" s="2" t="str">
        <f>IF(LEN('A créer'!C13)=0,"","ENT")</f>
        <v/>
      </c>
      <c r="I13" s="2" t="str">
        <f>IF(LEN('A créer'!C13)=0,"","*SAVE")</f>
        <v/>
      </c>
      <c r="J13" s="2" t="str">
        <f>IF(LEN('A créer'!R13)=0,"","*FN")</f>
        <v/>
      </c>
      <c r="K13" t="str">
        <f>IF(LEN('A créer'!R13)=0,"",'A créer'!R13)</f>
        <v/>
      </c>
      <c r="L13" s="2" t="str">
        <f>IF(LEN('A créer'!R13)=0,"","Tab")</f>
        <v/>
      </c>
      <c r="M13" t="str">
        <f>IF(LEN('A créer'!R13)=0,"",CONCATENATE(,'A créer'!B13,"_",'A créer'!A13,"PF FPS ",'A créer'!A13," ",'A créer'!C13))</f>
        <v/>
      </c>
      <c r="N13" s="2" t="str">
        <f>IF(LEN('A créer'!R13)=0,"","Tab 4")</f>
        <v/>
      </c>
      <c r="O13" s="2" t="str">
        <f>IF(LEN('A créer'!R13)=0,"","Tab")</f>
        <v/>
      </c>
      <c r="P13" s="2" t="str">
        <f>IF(LEN('A créer'!R13)=0,"","Tab")</f>
        <v/>
      </c>
      <c r="Q13" s="2" t="str">
        <f>IF(LEN('A créer'!R13)=0,"","ENT")</f>
        <v/>
      </c>
      <c r="R13" s="2" t="str">
        <f>IF(LEN('A créer'!R13)=0,"","*SAVE")</f>
        <v/>
      </c>
    </row>
    <row r="14" spans="1:18" x14ac:dyDescent="0.35">
      <c r="A14" s="2" t="str">
        <f>IF(LEN('A créer'!C14)=0,"","*FN")</f>
        <v/>
      </c>
      <c r="B14" t="str">
        <f>IF(LEN('A créer'!C14)=0,"",CONCATENATE(,'A créer'!B14,'A créer'!A14))</f>
        <v/>
      </c>
      <c r="C14" s="2" t="str">
        <f>IF(LEN('A créer'!C14)=0,"","Tab")</f>
        <v/>
      </c>
      <c r="D14" t="str">
        <f>IF(LEN('A créer'!C14)=0,"",CONCATENATE(,'A créer'!B14,'A créer'!A14,"-",'A créer'!C14))</f>
        <v/>
      </c>
      <c r="E14" s="2" t="str">
        <f>IF(LEN('A créer'!C14)=0,"","Tab 4")</f>
        <v/>
      </c>
      <c r="F14" s="2" t="str">
        <f>IF(LEN('A créer'!C14)=0,"","Tab")</f>
        <v/>
      </c>
      <c r="G14" s="2" t="str">
        <f>IF(LEN('A créer'!C14)=0,"","Tab")</f>
        <v/>
      </c>
      <c r="H14" s="2" t="str">
        <f>IF(LEN('A créer'!C14)=0,"","ENT")</f>
        <v/>
      </c>
      <c r="I14" s="2" t="str">
        <f>IF(LEN('A créer'!C14)=0,"","*SAVE")</f>
        <v/>
      </c>
      <c r="J14" s="2" t="str">
        <f>IF(LEN('A créer'!R14)=0,"","*FN")</f>
        <v/>
      </c>
      <c r="K14" t="str">
        <f>IF(LEN('A créer'!R14)=0,"",'A créer'!R14)</f>
        <v/>
      </c>
      <c r="L14" s="2" t="str">
        <f>IF(LEN('A créer'!R14)=0,"","Tab")</f>
        <v/>
      </c>
      <c r="M14" t="str">
        <f>IF(LEN('A créer'!R14)=0,"",CONCATENATE(,'A créer'!B14,"_",'A créer'!A14,"PF FPS ",'A créer'!A14," ",'A créer'!C14))</f>
        <v/>
      </c>
      <c r="N14" s="2" t="str">
        <f>IF(LEN('A créer'!R14)=0,"","Tab 4")</f>
        <v/>
      </c>
      <c r="O14" s="2" t="str">
        <f>IF(LEN('A créer'!R14)=0,"","Tab")</f>
        <v/>
      </c>
      <c r="P14" s="2" t="str">
        <f>IF(LEN('A créer'!R14)=0,"","Tab")</f>
        <v/>
      </c>
      <c r="Q14" s="2" t="str">
        <f>IF(LEN('A créer'!R14)=0,"","ENT")</f>
        <v/>
      </c>
      <c r="R14" s="2" t="str">
        <f>IF(LEN('A créer'!R14)=0,"","*SAVE")</f>
        <v/>
      </c>
    </row>
    <row r="15" spans="1:18" x14ac:dyDescent="0.35">
      <c r="A15" s="2" t="str">
        <f>IF(LEN('A créer'!C15)=0,"","*FN")</f>
        <v/>
      </c>
      <c r="B15" t="str">
        <f>IF(LEN('A créer'!C15)=0,"",CONCATENATE(,'A créer'!B15,'A créer'!A15))</f>
        <v/>
      </c>
      <c r="C15" s="2" t="str">
        <f>IF(LEN('A créer'!C15)=0,"","Tab")</f>
        <v/>
      </c>
      <c r="D15" t="str">
        <f>IF(LEN('A créer'!C15)=0,"",CONCATENATE(,'A créer'!B15,'A créer'!A15,"-",'A créer'!C15))</f>
        <v/>
      </c>
      <c r="E15" s="2" t="str">
        <f>IF(LEN('A créer'!C15)=0,"","Tab 4")</f>
        <v/>
      </c>
      <c r="F15" s="2" t="str">
        <f>IF(LEN('A créer'!C15)=0,"","Tab")</f>
        <v/>
      </c>
      <c r="G15" s="2" t="str">
        <f>IF(LEN('A créer'!C15)=0,"","Tab")</f>
        <v/>
      </c>
      <c r="H15" s="2" t="str">
        <f>IF(LEN('A créer'!C15)=0,"","ENT")</f>
        <v/>
      </c>
      <c r="I15" s="2" t="str">
        <f>IF(LEN('A créer'!C15)=0,"","*SAVE")</f>
        <v/>
      </c>
      <c r="J15" s="2" t="str">
        <f>IF(LEN('A créer'!R15)=0,"","*FN")</f>
        <v/>
      </c>
      <c r="K15" t="str">
        <f>IF(LEN('A créer'!R15)=0,"",'A créer'!R15)</f>
        <v/>
      </c>
      <c r="L15" s="2" t="str">
        <f>IF(LEN('A créer'!R15)=0,"","Tab")</f>
        <v/>
      </c>
      <c r="M15" t="str">
        <f>IF(LEN('A créer'!R15)=0,"",CONCATENATE(,'A créer'!B15,"_",'A créer'!A15,"PF FPS ",'A créer'!A15," ",'A créer'!C15))</f>
        <v/>
      </c>
      <c r="N15" s="2" t="str">
        <f>IF(LEN('A créer'!R15)=0,"","Tab 4")</f>
        <v/>
      </c>
      <c r="O15" s="2" t="str">
        <f>IF(LEN('A créer'!R15)=0,"","Tab")</f>
        <v/>
      </c>
      <c r="P15" s="2" t="str">
        <f>IF(LEN('A créer'!R15)=0,"","Tab")</f>
        <v/>
      </c>
      <c r="Q15" s="2" t="str">
        <f>IF(LEN('A créer'!R15)=0,"","ENT")</f>
        <v/>
      </c>
      <c r="R15" s="2" t="str">
        <f>IF(LEN('A créer'!R15)=0,"","*SAVE")</f>
        <v/>
      </c>
    </row>
    <row r="16" spans="1:18" x14ac:dyDescent="0.35">
      <c r="A16" s="2" t="str">
        <f>IF(LEN('A créer'!C16)=0,"","*FN")</f>
        <v/>
      </c>
      <c r="B16" t="str">
        <f>IF(LEN('A créer'!C16)=0,"",CONCATENATE(,'A créer'!B16,'A créer'!A16))</f>
        <v/>
      </c>
      <c r="C16" s="2" t="str">
        <f>IF(LEN('A créer'!C16)=0,"","Tab")</f>
        <v/>
      </c>
      <c r="D16" t="str">
        <f>IF(LEN('A créer'!C16)=0,"",CONCATENATE(,'A créer'!B16,'A créer'!A16,"-",'A créer'!C16))</f>
        <v/>
      </c>
      <c r="E16" s="2" t="str">
        <f>IF(LEN('A créer'!C16)=0,"","Tab 4")</f>
        <v/>
      </c>
      <c r="F16" s="2" t="str">
        <f>IF(LEN('A créer'!C16)=0,"","Tab")</f>
        <v/>
      </c>
      <c r="G16" s="2" t="str">
        <f>IF(LEN('A créer'!C16)=0,"","Tab")</f>
        <v/>
      </c>
      <c r="H16" s="2" t="str">
        <f>IF(LEN('A créer'!C16)=0,"","ENT")</f>
        <v/>
      </c>
      <c r="I16" s="2" t="str">
        <f>IF(LEN('A créer'!C16)=0,"","*SAVE")</f>
        <v/>
      </c>
      <c r="J16" s="2" t="str">
        <f>IF(LEN('A créer'!R16)=0,"","*FN")</f>
        <v/>
      </c>
      <c r="K16" t="str">
        <f>IF(LEN('A créer'!R16)=0,"",'A créer'!R16)</f>
        <v/>
      </c>
      <c r="L16" s="2" t="str">
        <f>IF(LEN('A créer'!R16)=0,"","Tab")</f>
        <v/>
      </c>
      <c r="M16" t="str">
        <f>IF(LEN('A créer'!R16)=0,"",CONCATENATE(,'A créer'!B16,"_",'A créer'!A16,"PF FPS ",'A créer'!A16," ",'A créer'!C16))</f>
        <v/>
      </c>
      <c r="N16" s="2" t="str">
        <f>IF(LEN('A créer'!R16)=0,"","Tab 4")</f>
        <v/>
      </c>
      <c r="O16" s="2" t="str">
        <f>IF(LEN('A créer'!R16)=0,"","Tab")</f>
        <v/>
      </c>
      <c r="P16" s="2" t="str">
        <f>IF(LEN('A créer'!R16)=0,"","Tab")</f>
        <v/>
      </c>
      <c r="Q16" s="2" t="str">
        <f>IF(LEN('A créer'!R16)=0,"","ENT")</f>
        <v/>
      </c>
      <c r="R16" s="2" t="str">
        <f>IF(LEN('A créer'!R16)=0,"","*SAVE")</f>
        <v/>
      </c>
    </row>
    <row r="17" spans="1:18" x14ac:dyDescent="0.35">
      <c r="A17" s="2" t="str">
        <f>IF(LEN('A créer'!C17)=0,"","*FN")</f>
        <v/>
      </c>
      <c r="B17" t="str">
        <f>IF(LEN('A créer'!C17)=0,"",CONCATENATE(,'A créer'!B17,'A créer'!A17))</f>
        <v/>
      </c>
      <c r="C17" s="2" t="str">
        <f>IF(LEN('A créer'!C17)=0,"","Tab")</f>
        <v/>
      </c>
      <c r="D17" t="str">
        <f>IF(LEN('A créer'!C17)=0,"",CONCATENATE(,'A créer'!B17,'A créer'!A17,"-",'A créer'!C17))</f>
        <v/>
      </c>
      <c r="E17" s="2" t="str">
        <f>IF(LEN('A créer'!C17)=0,"","Tab 4")</f>
        <v/>
      </c>
      <c r="F17" s="2" t="str">
        <f>IF(LEN('A créer'!C17)=0,"","Tab")</f>
        <v/>
      </c>
      <c r="G17" s="2" t="str">
        <f>IF(LEN('A créer'!C17)=0,"","Tab")</f>
        <v/>
      </c>
      <c r="H17" s="2" t="str">
        <f>IF(LEN('A créer'!C17)=0,"","ENT")</f>
        <v/>
      </c>
      <c r="I17" s="2" t="str">
        <f>IF(LEN('A créer'!C17)=0,"","*SAVE")</f>
        <v/>
      </c>
      <c r="J17" s="2" t="str">
        <f>IF(LEN('A créer'!R17)=0,"","*FN")</f>
        <v/>
      </c>
      <c r="K17" t="str">
        <f>IF(LEN('A créer'!R17)=0,"",'A créer'!R17)</f>
        <v/>
      </c>
      <c r="L17" s="2" t="str">
        <f>IF(LEN('A créer'!R17)=0,"","Tab")</f>
        <v/>
      </c>
      <c r="M17" t="str">
        <f>IF(LEN('A créer'!R17)=0,"",CONCATENATE(,'A créer'!B17,"_",'A créer'!A17,"PF FPS ",'A créer'!A17," ",'A créer'!C17))</f>
        <v/>
      </c>
      <c r="N17" s="2" t="str">
        <f>IF(LEN('A créer'!R17)=0,"","Tab 4")</f>
        <v/>
      </c>
      <c r="O17" s="2" t="str">
        <f>IF(LEN('A créer'!R17)=0,"","Tab")</f>
        <v/>
      </c>
      <c r="P17" s="2" t="str">
        <f>IF(LEN('A créer'!R17)=0,"","Tab")</f>
        <v/>
      </c>
      <c r="Q17" s="2" t="str">
        <f>IF(LEN('A créer'!R17)=0,"","ENT")</f>
        <v/>
      </c>
      <c r="R17" s="2" t="str">
        <f>IF(LEN('A créer'!R17)=0,"","*SAVE")</f>
        <v/>
      </c>
    </row>
    <row r="18" spans="1:18" x14ac:dyDescent="0.35">
      <c r="A18" s="2" t="str">
        <f>IF(LEN('A créer'!C18)=0,"","*FN")</f>
        <v/>
      </c>
      <c r="B18" t="str">
        <f>IF(LEN('A créer'!C18)=0,"",CONCATENATE(,'A créer'!B18,'A créer'!A18))</f>
        <v/>
      </c>
      <c r="C18" s="2" t="str">
        <f>IF(LEN('A créer'!C18)=0,"","Tab")</f>
        <v/>
      </c>
      <c r="D18" t="str">
        <f>IF(LEN('A créer'!C18)=0,"",CONCATENATE(,'A créer'!B18,'A créer'!A18,"-",'A créer'!C18))</f>
        <v/>
      </c>
      <c r="E18" s="2" t="str">
        <f>IF(LEN('A créer'!C18)=0,"","Tab 4")</f>
        <v/>
      </c>
      <c r="F18" s="2" t="str">
        <f>IF(LEN('A créer'!C18)=0,"","Tab")</f>
        <v/>
      </c>
      <c r="G18" s="2" t="str">
        <f>IF(LEN('A créer'!C18)=0,"","Tab")</f>
        <v/>
      </c>
      <c r="H18" s="2" t="str">
        <f>IF(LEN('A créer'!C18)=0,"","ENT")</f>
        <v/>
      </c>
      <c r="I18" s="2" t="str">
        <f>IF(LEN('A créer'!C18)=0,"","*SAVE")</f>
        <v/>
      </c>
      <c r="J18" s="2" t="str">
        <f>IF(LEN('A créer'!R18)=0,"","*FN")</f>
        <v/>
      </c>
      <c r="K18" t="str">
        <f>IF(LEN('A créer'!R18)=0,"",'A créer'!R18)</f>
        <v/>
      </c>
      <c r="L18" s="2" t="str">
        <f>IF(LEN('A créer'!R18)=0,"","Tab")</f>
        <v/>
      </c>
      <c r="M18" t="str">
        <f>IF(LEN('A créer'!R18)=0,"",CONCATENATE(,'A créer'!B18,"_",'A créer'!A18,"PF FPS ",'A créer'!A18," ",'A créer'!C18))</f>
        <v/>
      </c>
      <c r="N18" s="2" t="str">
        <f>IF(LEN('A créer'!R18)=0,"","Tab 4")</f>
        <v/>
      </c>
      <c r="O18" s="2" t="str">
        <f>IF(LEN('A créer'!R18)=0,"","Tab")</f>
        <v/>
      </c>
      <c r="P18" s="2" t="str">
        <f>IF(LEN('A créer'!R18)=0,"","Tab")</f>
        <v/>
      </c>
      <c r="Q18" s="2" t="str">
        <f>IF(LEN('A créer'!R18)=0,"","ENT")</f>
        <v/>
      </c>
      <c r="R18" s="2" t="str">
        <f>IF(LEN('A créer'!R18)=0,"","*SAVE")</f>
        <v/>
      </c>
    </row>
    <row r="19" spans="1:18" x14ac:dyDescent="0.35">
      <c r="A19" s="2" t="str">
        <f>IF(LEN('A créer'!C19)=0,"","*FN")</f>
        <v/>
      </c>
      <c r="B19" t="str">
        <f>IF(LEN('A créer'!C19)=0,"",CONCATENATE(,'A créer'!B19,'A créer'!A19))</f>
        <v/>
      </c>
      <c r="C19" s="2" t="str">
        <f>IF(LEN('A créer'!C19)=0,"","Tab")</f>
        <v/>
      </c>
      <c r="D19" t="str">
        <f>IF(LEN('A créer'!C19)=0,"",CONCATENATE(,'A créer'!B19,'A créer'!A19,"-",'A créer'!C19))</f>
        <v/>
      </c>
      <c r="E19" s="2" t="str">
        <f>IF(LEN('A créer'!C19)=0,"","Tab 4")</f>
        <v/>
      </c>
      <c r="F19" s="2" t="str">
        <f>IF(LEN('A créer'!C19)=0,"","Tab")</f>
        <v/>
      </c>
      <c r="G19" s="2" t="str">
        <f>IF(LEN('A créer'!C19)=0,"","Tab")</f>
        <v/>
      </c>
      <c r="H19" s="2" t="str">
        <f>IF(LEN('A créer'!C19)=0,"","ENT")</f>
        <v/>
      </c>
      <c r="I19" s="2" t="str">
        <f>IF(LEN('A créer'!C19)=0,"","*SAVE")</f>
        <v/>
      </c>
      <c r="J19" s="2" t="str">
        <f>IF(LEN('A créer'!R19)=0,"","*FN")</f>
        <v/>
      </c>
      <c r="K19" t="str">
        <f>IF(LEN('A créer'!R19)=0,"",'A créer'!R19)</f>
        <v/>
      </c>
      <c r="L19" s="2" t="str">
        <f>IF(LEN('A créer'!R19)=0,"","Tab")</f>
        <v/>
      </c>
      <c r="M19" t="str">
        <f>IF(LEN('A créer'!R19)=0,"",CONCATENATE(,'A créer'!B19,"_",'A créer'!A19,"PF FPS ",'A créer'!A19," ",'A créer'!C19))</f>
        <v/>
      </c>
      <c r="N19" s="2" t="str">
        <f>IF(LEN('A créer'!R19)=0,"","Tab 4")</f>
        <v/>
      </c>
      <c r="O19" s="2" t="str">
        <f>IF(LEN('A créer'!R19)=0,"","Tab")</f>
        <v/>
      </c>
      <c r="P19" s="2" t="str">
        <f>IF(LEN('A créer'!R19)=0,"","Tab")</f>
        <v/>
      </c>
      <c r="Q19" s="2" t="str">
        <f>IF(LEN('A créer'!R19)=0,"","ENT")</f>
        <v/>
      </c>
      <c r="R19" s="2" t="str">
        <f>IF(LEN('A créer'!R19)=0,"","*SAVE")</f>
        <v/>
      </c>
    </row>
    <row r="20" spans="1:18" x14ac:dyDescent="0.35">
      <c r="A20" s="2" t="str">
        <f>IF(LEN('A créer'!C20)=0,"","*FN")</f>
        <v/>
      </c>
      <c r="B20" t="str">
        <f>IF(LEN('A créer'!C20)=0,"",CONCATENATE(,'A créer'!B20,'A créer'!A20))</f>
        <v/>
      </c>
      <c r="C20" s="2" t="str">
        <f>IF(LEN('A créer'!C20)=0,"","Tab")</f>
        <v/>
      </c>
      <c r="D20" t="str">
        <f>IF(LEN('A créer'!C20)=0,"",CONCATENATE(,'A créer'!B20,'A créer'!A20,"-",'A créer'!C20))</f>
        <v/>
      </c>
      <c r="E20" s="2" t="str">
        <f>IF(LEN('A créer'!C20)=0,"","Tab 4")</f>
        <v/>
      </c>
      <c r="F20" s="2" t="str">
        <f>IF(LEN('A créer'!C20)=0,"","Tab")</f>
        <v/>
      </c>
      <c r="G20" s="2" t="str">
        <f>IF(LEN('A créer'!C20)=0,"","Tab")</f>
        <v/>
      </c>
      <c r="H20" s="2" t="str">
        <f>IF(LEN('A créer'!C20)=0,"","ENT")</f>
        <v/>
      </c>
      <c r="I20" s="2" t="str">
        <f>IF(LEN('A créer'!C20)=0,"","*SAVE")</f>
        <v/>
      </c>
      <c r="J20" s="2" t="str">
        <f>IF(LEN('A créer'!R20)=0,"","*FN")</f>
        <v/>
      </c>
      <c r="K20" t="str">
        <f>IF(LEN('A créer'!R20)=0,"",'A créer'!R20)</f>
        <v/>
      </c>
      <c r="L20" s="2" t="str">
        <f>IF(LEN('A créer'!R20)=0,"","Tab")</f>
        <v/>
      </c>
      <c r="M20" t="str">
        <f>IF(LEN('A créer'!R20)=0,"",CONCATENATE(,'A créer'!B20,"_",'A créer'!A20,"PF FPS ",'A créer'!A20," ",'A créer'!C20))</f>
        <v/>
      </c>
      <c r="N20" s="2" t="str">
        <f>IF(LEN('A créer'!R20)=0,"","Tab 4")</f>
        <v/>
      </c>
      <c r="O20" s="2" t="str">
        <f>IF(LEN('A créer'!R20)=0,"","Tab")</f>
        <v/>
      </c>
      <c r="P20" s="2" t="str">
        <f>IF(LEN('A créer'!R20)=0,"","Tab")</f>
        <v/>
      </c>
      <c r="Q20" s="2" t="str">
        <f>IF(LEN('A créer'!R20)=0,"","ENT")</f>
        <v/>
      </c>
      <c r="R20" s="2" t="str">
        <f>IF(LEN('A créer'!R20)=0,"","*SAVE")</f>
        <v/>
      </c>
    </row>
    <row r="21" spans="1:18" x14ac:dyDescent="0.35">
      <c r="A21" s="2" t="str">
        <f>IF(LEN('A créer'!C21)=0,"","*FN")</f>
        <v/>
      </c>
      <c r="B21" t="str">
        <f>IF(LEN('A créer'!C21)=0,"",CONCATENATE(,'A créer'!B21,'A créer'!A21))</f>
        <v/>
      </c>
      <c r="C21" s="2" t="str">
        <f>IF(LEN('A créer'!C21)=0,"","Tab")</f>
        <v/>
      </c>
      <c r="D21" t="str">
        <f>IF(LEN('A créer'!C21)=0,"",CONCATENATE(,'A créer'!B21,'A créer'!A21,"-",'A créer'!C21))</f>
        <v/>
      </c>
      <c r="E21" s="2" t="str">
        <f>IF(LEN('A créer'!C21)=0,"","Tab 4")</f>
        <v/>
      </c>
      <c r="F21" s="2" t="str">
        <f>IF(LEN('A créer'!C21)=0,"","Tab")</f>
        <v/>
      </c>
      <c r="G21" s="2" t="str">
        <f>IF(LEN('A créer'!C21)=0,"","Tab")</f>
        <v/>
      </c>
      <c r="H21" s="2" t="str">
        <f>IF(LEN('A créer'!C21)=0,"","ENT")</f>
        <v/>
      </c>
      <c r="I21" s="2" t="str">
        <f>IF(LEN('A créer'!C21)=0,"","*SAVE")</f>
        <v/>
      </c>
      <c r="J21" s="2" t="str">
        <f>IF(LEN('A créer'!R21)=0,"","*FN")</f>
        <v/>
      </c>
      <c r="K21" t="str">
        <f>IF(LEN('A créer'!R21)=0,"",'A créer'!R21)</f>
        <v/>
      </c>
      <c r="L21" s="2" t="str">
        <f>IF(LEN('A créer'!R21)=0,"","Tab")</f>
        <v/>
      </c>
      <c r="M21" t="str">
        <f>IF(LEN('A créer'!R21)=0,"",CONCATENATE(,'A créer'!B21,"_",'A créer'!A21,"PF FPS ",'A créer'!A21," ",'A créer'!C21))</f>
        <v/>
      </c>
      <c r="N21" s="2" t="str">
        <f>IF(LEN('A créer'!R21)=0,"","Tab 4")</f>
        <v/>
      </c>
      <c r="O21" s="2" t="str">
        <f>IF(LEN('A créer'!R21)=0,"","Tab")</f>
        <v/>
      </c>
      <c r="P21" s="2" t="str">
        <f>IF(LEN('A créer'!R21)=0,"","Tab")</f>
        <v/>
      </c>
      <c r="Q21" s="2" t="str">
        <f>IF(LEN('A créer'!R21)=0,"","ENT")</f>
        <v/>
      </c>
      <c r="R21" s="2" t="str">
        <f>IF(LEN('A créer'!R21)=0,"","*SAVE")</f>
        <v/>
      </c>
    </row>
    <row r="22" spans="1:18" x14ac:dyDescent="0.35">
      <c r="A22" s="2" t="str">
        <f>IF(LEN('A créer'!C22)=0,"","*FN")</f>
        <v/>
      </c>
      <c r="B22" t="str">
        <f>IF(LEN('A créer'!C22)=0,"",CONCATENATE(,'A créer'!B22,'A créer'!A22))</f>
        <v/>
      </c>
      <c r="C22" s="2" t="str">
        <f>IF(LEN('A créer'!C22)=0,"","Tab")</f>
        <v/>
      </c>
      <c r="D22" t="str">
        <f>IF(LEN('A créer'!C22)=0,"",CONCATENATE(,'A créer'!B22,'A créer'!A22,"-",'A créer'!C22))</f>
        <v/>
      </c>
      <c r="E22" s="2" t="str">
        <f>IF(LEN('A créer'!C22)=0,"","Tab 4")</f>
        <v/>
      </c>
      <c r="F22" s="2" t="str">
        <f>IF(LEN('A créer'!C22)=0,"","Tab")</f>
        <v/>
      </c>
      <c r="G22" s="2" t="str">
        <f>IF(LEN('A créer'!C22)=0,"","Tab")</f>
        <v/>
      </c>
      <c r="H22" s="2" t="str">
        <f>IF(LEN('A créer'!C22)=0,"","ENT")</f>
        <v/>
      </c>
      <c r="I22" s="2" t="str">
        <f>IF(LEN('A créer'!C22)=0,"","*SAVE")</f>
        <v/>
      </c>
      <c r="J22" s="2" t="str">
        <f>IF(LEN('A créer'!R22)=0,"","*FN")</f>
        <v/>
      </c>
      <c r="K22" t="str">
        <f>IF(LEN('A créer'!R22)=0,"",'A créer'!R22)</f>
        <v/>
      </c>
      <c r="L22" s="2" t="str">
        <f>IF(LEN('A créer'!R22)=0,"","Tab")</f>
        <v/>
      </c>
      <c r="M22" t="str">
        <f>IF(LEN('A créer'!R22)=0,"",CONCATENATE(,'A créer'!B22,"_",'A créer'!A22,"PF FPS ",'A créer'!A22," ",'A créer'!C22))</f>
        <v/>
      </c>
      <c r="N22" s="2" t="str">
        <f>IF(LEN('A créer'!R22)=0,"","Tab 4")</f>
        <v/>
      </c>
      <c r="O22" s="2" t="str">
        <f>IF(LEN('A créer'!R22)=0,"","Tab")</f>
        <v/>
      </c>
      <c r="P22" s="2" t="str">
        <f>IF(LEN('A créer'!R22)=0,"","Tab")</f>
        <v/>
      </c>
      <c r="Q22" s="2" t="str">
        <f>IF(LEN('A créer'!R22)=0,"","ENT")</f>
        <v/>
      </c>
      <c r="R22" s="2" t="str">
        <f>IF(LEN('A créer'!R22)=0,"","*SAVE")</f>
        <v/>
      </c>
    </row>
    <row r="23" spans="1:18" x14ac:dyDescent="0.35">
      <c r="A23" s="2" t="str">
        <f>IF(LEN('A créer'!C23)=0,"","*FN")</f>
        <v/>
      </c>
      <c r="B23" t="str">
        <f>IF(LEN('A créer'!C23)=0,"",CONCATENATE(,'A créer'!B23,'A créer'!A23))</f>
        <v/>
      </c>
      <c r="C23" s="2" t="str">
        <f>IF(LEN('A créer'!C23)=0,"","Tab")</f>
        <v/>
      </c>
      <c r="D23" t="str">
        <f>IF(LEN('A créer'!C23)=0,"",CONCATENATE(,'A créer'!B23,'A créer'!A23,"-",'A créer'!C23))</f>
        <v/>
      </c>
      <c r="E23" s="2" t="str">
        <f>IF(LEN('A créer'!C23)=0,"","Tab 4")</f>
        <v/>
      </c>
      <c r="F23" s="2" t="str">
        <f>IF(LEN('A créer'!C23)=0,"","Tab")</f>
        <v/>
      </c>
      <c r="G23" s="2" t="str">
        <f>IF(LEN('A créer'!C23)=0,"","Tab")</f>
        <v/>
      </c>
      <c r="H23" s="2" t="str">
        <f>IF(LEN('A créer'!C23)=0,"","ENT")</f>
        <v/>
      </c>
      <c r="I23" s="2" t="str">
        <f>IF(LEN('A créer'!C23)=0,"","*SAVE")</f>
        <v/>
      </c>
      <c r="J23" s="2" t="str">
        <f>IF(LEN('A créer'!R23)=0,"","*FN")</f>
        <v/>
      </c>
      <c r="K23" t="str">
        <f>IF(LEN('A créer'!R23)=0,"",'A créer'!R23)</f>
        <v/>
      </c>
      <c r="L23" s="2" t="str">
        <f>IF(LEN('A créer'!R23)=0,"","Tab")</f>
        <v/>
      </c>
      <c r="M23" t="str">
        <f>IF(LEN('A créer'!R23)=0,"",CONCATENATE(,'A créer'!B23,"_",'A créer'!A23,"PF FPS ",'A créer'!A23," ",'A créer'!C23))</f>
        <v/>
      </c>
      <c r="N23" s="2" t="str">
        <f>IF(LEN('A créer'!R23)=0,"","Tab 4")</f>
        <v/>
      </c>
      <c r="O23" s="2" t="str">
        <f>IF(LEN('A créer'!R23)=0,"","Tab")</f>
        <v/>
      </c>
      <c r="P23" s="2" t="str">
        <f>IF(LEN('A créer'!R23)=0,"","Tab")</f>
        <v/>
      </c>
      <c r="Q23" s="2" t="str">
        <f>IF(LEN('A créer'!R23)=0,"","ENT")</f>
        <v/>
      </c>
      <c r="R23" s="2" t="str">
        <f>IF(LEN('A créer'!R23)=0,"","*SAVE")</f>
        <v/>
      </c>
    </row>
    <row r="24" spans="1:18" x14ac:dyDescent="0.35">
      <c r="A24" s="2" t="str">
        <f>IF(LEN('A créer'!C24)=0,"","*FN")</f>
        <v/>
      </c>
      <c r="B24" t="str">
        <f>IF(LEN('A créer'!C24)=0,"",CONCATENATE(,'A créer'!B24,'A créer'!A24))</f>
        <v/>
      </c>
      <c r="C24" s="2" t="str">
        <f>IF(LEN('A créer'!C24)=0,"","Tab")</f>
        <v/>
      </c>
      <c r="D24" t="str">
        <f>IF(LEN('A créer'!C24)=0,"",CONCATENATE(,'A créer'!B24,'A créer'!A24,"-",'A créer'!C24))</f>
        <v/>
      </c>
      <c r="E24" s="2" t="str">
        <f>IF(LEN('A créer'!C24)=0,"","Tab 4")</f>
        <v/>
      </c>
      <c r="F24" s="2" t="str">
        <f>IF(LEN('A créer'!C24)=0,"","Tab")</f>
        <v/>
      </c>
      <c r="G24" s="2" t="str">
        <f>IF(LEN('A créer'!C24)=0,"","Tab")</f>
        <v/>
      </c>
      <c r="H24" s="2" t="str">
        <f>IF(LEN('A créer'!C24)=0,"","ENT")</f>
        <v/>
      </c>
      <c r="I24" s="2" t="str">
        <f>IF(LEN('A créer'!C24)=0,"","*SAVE")</f>
        <v/>
      </c>
      <c r="J24" s="2" t="str">
        <f>IF(LEN('A créer'!R24)=0,"","*FN")</f>
        <v/>
      </c>
      <c r="K24" t="str">
        <f>IF(LEN('A créer'!R24)=0,"",'A créer'!R24)</f>
        <v/>
      </c>
      <c r="L24" s="2" t="str">
        <f>IF(LEN('A créer'!R24)=0,"","Tab")</f>
        <v/>
      </c>
      <c r="M24" t="str">
        <f>IF(LEN('A créer'!R24)=0,"",CONCATENATE(,'A créer'!B24,"_",'A créer'!A24,"PF FPS ",'A créer'!A24," ",'A créer'!C24))</f>
        <v/>
      </c>
      <c r="N24" s="2" t="str">
        <f>IF(LEN('A créer'!R24)=0,"","Tab 4")</f>
        <v/>
      </c>
      <c r="O24" s="2" t="str">
        <f>IF(LEN('A créer'!R24)=0,"","Tab")</f>
        <v/>
      </c>
      <c r="P24" s="2" t="str">
        <f>IF(LEN('A créer'!R24)=0,"","Tab")</f>
        <v/>
      </c>
      <c r="Q24" s="2" t="str">
        <f>IF(LEN('A créer'!R24)=0,"","ENT")</f>
        <v/>
      </c>
      <c r="R24" s="2" t="str">
        <f>IF(LEN('A créer'!R24)=0,"","*SAVE")</f>
        <v/>
      </c>
    </row>
    <row r="25" spans="1:18" x14ac:dyDescent="0.35">
      <c r="A25" s="2" t="str">
        <f>IF(LEN('A créer'!C25)=0,"","*FN")</f>
        <v/>
      </c>
      <c r="B25" t="str">
        <f>IF(LEN('A créer'!C25)=0,"",CONCATENATE(,'A créer'!B25,'A créer'!A25))</f>
        <v/>
      </c>
      <c r="C25" s="2" t="str">
        <f>IF(LEN('A créer'!C25)=0,"","Tab")</f>
        <v/>
      </c>
      <c r="D25" t="str">
        <f>IF(LEN('A créer'!C25)=0,"",CONCATENATE(,'A créer'!B25,'A créer'!A25,"-",'A créer'!C25))</f>
        <v/>
      </c>
      <c r="E25" s="2" t="str">
        <f>IF(LEN('A créer'!C25)=0,"","Tab 4")</f>
        <v/>
      </c>
      <c r="F25" s="2" t="str">
        <f>IF(LEN('A créer'!C25)=0,"","Tab")</f>
        <v/>
      </c>
      <c r="G25" s="2" t="str">
        <f>IF(LEN('A créer'!C25)=0,"","Tab")</f>
        <v/>
      </c>
      <c r="H25" s="2" t="str">
        <f>IF(LEN('A créer'!C25)=0,"","ENT")</f>
        <v/>
      </c>
      <c r="I25" s="2" t="str">
        <f>IF(LEN('A créer'!C25)=0,"","*SAVE")</f>
        <v/>
      </c>
      <c r="J25" s="2" t="str">
        <f>IF(LEN('A créer'!R25)=0,"","*FN")</f>
        <v/>
      </c>
      <c r="K25" t="str">
        <f>IF(LEN('A créer'!R25)=0,"",'A créer'!R25)</f>
        <v/>
      </c>
      <c r="L25" s="2" t="str">
        <f>IF(LEN('A créer'!R25)=0,"","Tab")</f>
        <v/>
      </c>
      <c r="M25" t="str">
        <f>IF(LEN('A créer'!R25)=0,"",CONCATENATE(,'A créer'!B25,"_",'A créer'!A25,"PF FPS ",'A créer'!A25," ",'A créer'!C25))</f>
        <v/>
      </c>
      <c r="N25" s="2" t="str">
        <f>IF(LEN('A créer'!R25)=0,"","Tab 4")</f>
        <v/>
      </c>
      <c r="O25" s="2" t="str">
        <f>IF(LEN('A créer'!R25)=0,"","Tab")</f>
        <v/>
      </c>
      <c r="P25" s="2" t="str">
        <f>IF(LEN('A créer'!R25)=0,"","Tab")</f>
        <v/>
      </c>
      <c r="Q25" s="2" t="str">
        <f>IF(LEN('A créer'!R25)=0,"","ENT")</f>
        <v/>
      </c>
      <c r="R25" s="2" t="str">
        <f>IF(LEN('A créer'!R25)=0,"","*SAVE")</f>
        <v/>
      </c>
    </row>
    <row r="26" spans="1:18" x14ac:dyDescent="0.35">
      <c r="A26" s="2" t="str">
        <f>IF(LEN('A créer'!C26)=0,"","*FN")</f>
        <v/>
      </c>
      <c r="B26" t="str">
        <f>IF(LEN('A créer'!C26)=0,"",CONCATENATE(,'A créer'!B26,'A créer'!A26))</f>
        <v/>
      </c>
      <c r="C26" s="2" t="str">
        <f>IF(LEN('A créer'!C26)=0,"","Tab")</f>
        <v/>
      </c>
      <c r="D26" t="str">
        <f>IF(LEN('A créer'!C26)=0,"",CONCATENATE(,'A créer'!B26,'A créer'!A26,"-",'A créer'!C26))</f>
        <v/>
      </c>
      <c r="E26" s="2" t="str">
        <f>IF(LEN('A créer'!C26)=0,"","Tab 4")</f>
        <v/>
      </c>
      <c r="F26" s="2" t="str">
        <f>IF(LEN('A créer'!C26)=0,"","Tab")</f>
        <v/>
      </c>
      <c r="G26" s="2" t="str">
        <f>IF(LEN('A créer'!C26)=0,"","Tab")</f>
        <v/>
      </c>
      <c r="H26" s="2" t="str">
        <f>IF(LEN('A créer'!C26)=0,"","ENT")</f>
        <v/>
      </c>
      <c r="I26" s="2" t="str">
        <f>IF(LEN('A créer'!C26)=0,"","*SAVE")</f>
        <v/>
      </c>
      <c r="J26" s="2" t="str">
        <f>IF(LEN('A créer'!R26)=0,"","*FN")</f>
        <v/>
      </c>
      <c r="K26" t="str">
        <f>IF(LEN('A créer'!R26)=0,"",'A créer'!R26)</f>
        <v/>
      </c>
      <c r="L26" s="2" t="str">
        <f>IF(LEN('A créer'!R26)=0,"","Tab")</f>
        <v/>
      </c>
      <c r="M26" t="str">
        <f>IF(LEN('A créer'!R26)=0,"",CONCATENATE(,'A créer'!B26,"_",'A créer'!A26,"PF FPS ",'A créer'!A26," ",'A créer'!C26))</f>
        <v/>
      </c>
      <c r="N26" s="2" t="str">
        <f>IF(LEN('A créer'!R26)=0,"","Tab 4")</f>
        <v/>
      </c>
      <c r="O26" s="2" t="str">
        <f>IF(LEN('A créer'!R26)=0,"","Tab")</f>
        <v/>
      </c>
      <c r="P26" s="2" t="str">
        <f>IF(LEN('A créer'!R26)=0,"","Tab")</f>
        <v/>
      </c>
      <c r="Q26" s="2" t="str">
        <f>IF(LEN('A créer'!R26)=0,"","ENT")</f>
        <v/>
      </c>
      <c r="R26" s="2" t="str">
        <f>IF(LEN('A créer'!R26)=0,"","*SAVE")</f>
        <v/>
      </c>
    </row>
    <row r="27" spans="1:18" x14ac:dyDescent="0.35">
      <c r="A27" s="2" t="str">
        <f>IF(LEN('A créer'!C27)=0,"","*FN")</f>
        <v/>
      </c>
      <c r="B27" t="str">
        <f>IF(LEN('A créer'!C27)=0,"",CONCATENATE(,'A créer'!B27,'A créer'!A27))</f>
        <v/>
      </c>
      <c r="C27" s="2" t="str">
        <f>IF(LEN('A créer'!C27)=0,"","Tab")</f>
        <v/>
      </c>
      <c r="D27" t="str">
        <f>IF(LEN('A créer'!C27)=0,"",CONCATENATE(,'A créer'!B27,'A créer'!A27,"-",'A créer'!C27))</f>
        <v/>
      </c>
      <c r="E27" s="2" t="str">
        <f>IF(LEN('A créer'!C27)=0,"","Tab 4")</f>
        <v/>
      </c>
      <c r="F27" s="2" t="str">
        <f>IF(LEN('A créer'!C27)=0,"","Tab")</f>
        <v/>
      </c>
      <c r="G27" s="2" t="str">
        <f>IF(LEN('A créer'!C27)=0,"","Tab")</f>
        <v/>
      </c>
      <c r="H27" s="2" t="str">
        <f>IF(LEN('A créer'!C27)=0,"","ENT")</f>
        <v/>
      </c>
      <c r="I27" s="2" t="str">
        <f>IF(LEN('A créer'!C27)=0,"","*SAVE")</f>
        <v/>
      </c>
      <c r="J27" s="2" t="str">
        <f>IF(LEN('A créer'!R27)=0,"","*FN")</f>
        <v/>
      </c>
      <c r="K27" t="str">
        <f>IF(LEN('A créer'!R27)=0,"",'A créer'!R27)</f>
        <v/>
      </c>
      <c r="L27" s="2" t="str">
        <f>IF(LEN('A créer'!R27)=0,"","Tab")</f>
        <v/>
      </c>
      <c r="M27" t="str">
        <f>IF(LEN('A créer'!R27)=0,"",CONCATENATE(,'A créer'!B27,"_",'A créer'!A27,"PF FPS ",'A créer'!A27," ",'A créer'!C27))</f>
        <v/>
      </c>
      <c r="N27" s="2" t="str">
        <f>IF(LEN('A créer'!R27)=0,"","Tab 4")</f>
        <v/>
      </c>
      <c r="O27" s="2" t="str">
        <f>IF(LEN('A créer'!R27)=0,"","Tab")</f>
        <v/>
      </c>
      <c r="P27" s="2" t="str">
        <f>IF(LEN('A créer'!R27)=0,"","Tab")</f>
        <v/>
      </c>
      <c r="Q27" s="2" t="str">
        <f>IF(LEN('A créer'!R27)=0,"","ENT")</f>
        <v/>
      </c>
      <c r="R27" s="2" t="str">
        <f>IF(LEN('A créer'!R27)=0,"","*SAVE")</f>
        <v/>
      </c>
    </row>
    <row r="28" spans="1:18" x14ac:dyDescent="0.35">
      <c r="A28" s="2" t="str">
        <f>IF(LEN('A créer'!C28)=0,"","*FN")</f>
        <v/>
      </c>
      <c r="B28" t="str">
        <f>IF(LEN('A créer'!C28)=0,"",CONCATENATE(,'A créer'!B28,'A créer'!A28))</f>
        <v/>
      </c>
      <c r="C28" s="2" t="str">
        <f>IF(LEN('A créer'!C28)=0,"","Tab")</f>
        <v/>
      </c>
      <c r="D28" t="str">
        <f>IF(LEN('A créer'!C28)=0,"",CONCATENATE(,'A créer'!B28,'A créer'!A28,"-",'A créer'!C28))</f>
        <v/>
      </c>
      <c r="E28" s="2" t="str">
        <f>IF(LEN('A créer'!C28)=0,"","Tab 4")</f>
        <v/>
      </c>
      <c r="F28" s="2" t="str">
        <f>IF(LEN('A créer'!C28)=0,"","Tab")</f>
        <v/>
      </c>
      <c r="G28" s="2" t="str">
        <f>IF(LEN('A créer'!C28)=0,"","Tab")</f>
        <v/>
      </c>
      <c r="H28" s="2" t="str">
        <f>IF(LEN('A créer'!C28)=0,"","ENT")</f>
        <v/>
      </c>
      <c r="I28" s="2" t="str">
        <f>IF(LEN('A créer'!C28)=0,"","*SAVE")</f>
        <v/>
      </c>
      <c r="J28" s="2" t="str">
        <f>IF(LEN('A créer'!R28)=0,"","*FN")</f>
        <v/>
      </c>
      <c r="K28" t="str">
        <f>IF(LEN('A créer'!R28)=0,"",'A créer'!R28)</f>
        <v/>
      </c>
      <c r="L28" s="2" t="str">
        <f>IF(LEN('A créer'!R28)=0,"","Tab")</f>
        <v/>
      </c>
      <c r="M28" t="str">
        <f>IF(LEN('A créer'!R28)=0,"",CONCATENATE(,'A créer'!B28,"_",'A créer'!A28,"PF FPS ",'A créer'!A28," ",'A créer'!C28))</f>
        <v/>
      </c>
      <c r="N28" s="2" t="str">
        <f>IF(LEN('A créer'!R28)=0,"","Tab 4")</f>
        <v/>
      </c>
      <c r="O28" s="2" t="str">
        <f>IF(LEN('A créer'!R28)=0,"","Tab")</f>
        <v/>
      </c>
      <c r="P28" s="2" t="str">
        <f>IF(LEN('A créer'!R28)=0,"","Tab")</f>
        <v/>
      </c>
      <c r="Q28" s="2" t="str">
        <f>IF(LEN('A créer'!R28)=0,"","ENT")</f>
        <v/>
      </c>
      <c r="R28" s="2" t="str">
        <f>IF(LEN('A créer'!R28)=0,"","*SAVE")</f>
        <v/>
      </c>
    </row>
    <row r="29" spans="1:18" x14ac:dyDescent="0.35">
      <c r="A29" s="2" t="str">
        <f>IF(LEN('A créer'!C29)=0,"","*FN")</f>
        <v/>
      </c>
      <c r="B29" t="str">
        <f>IF(LEN('A créer'!C29)=0,"",CONCATENATE(,'A créer'!B29,'A créer'!A29))</f>
        <v/>
      </c>
      <c r="C29" s="2" t="str">
        <f>IF(LEN('A créer'!C29)=0,"","Tab")</f>
        <v/>
      </c>
      <c r="D29" t="str">
        <f>IF(LEN('A créer'!C29)=0,"",CONCATENATE(,'A créer'!B29,'A créer'!A29,"-",'A créer'!C29))</f>
        <v/>
      </c>
      <c r="E29" s="2" t="str">
        <f>IF(LEN('A créer'!C29)=0,"","Tab 4")</f>
        <v/>
      </c>
      <c r="F29" s="2" t="str">
        <f>IF(LEN('A créer'!C29)=0,"","Tab")</f>
        <v/>
      </c>
      <c r="G29" s="2" t="str">
        <f>IF(LEN('A créer'!C29)=0,"","Tab")</f>
        <v/>
      </c>
      <c r="H29" s="2" t="str">
        <f>IF(LEN('A créer'!C29)=0,"","ENT")</f>
        <v/>
      </c>
      <c r="I29" s="2" t="str">
        <f>IF(LEN('A créer'!C29)=0,"","*SAVE")</f>
        <v/>
      </c>
      <c r="J29" s="2" t="str">
        <f>IF(LEN('A créer'!R29)=0,"","*FN")</f>
        <v/>
      </c>
      <c r="K29" t="str">
        <f>IF(LEN('A créer'!R29)=0,"",'A créer'!R29)</f>
        <v/>
      </c>
      <c r="L29" s="2" t="str">
        <f>IF(LEN('A créer'!R29)=0,"","Tab")</f>
        <v/>
      </c>
      <c r="M29" t="str">
        <f>IF(LEN('A créer'!R29)=0,"",CONCATENATE(,'A créer'!B29,"_",'A créer'!A29,"PF FPS ",'A créer'!A29," ",'A créer'!C29))</f>
        <v/>
      </c>
      <c r="N29" s="2" t="str">
        <f>IF(LEN('A créer'!R29)=0,"","Tab 4")</f>
        <v/>
      </c>
      <c r="O29" s="2" t="str">
        <f>IF(LEN('A créer'!R29)=0,"","Tab")</f>
        <v/>
      </c>
      <c r="P29" s="2" t="str">
        <f>IF(LEN('A créer'!R29)=0,"","Tab")</f>
        <v/>
      </c>
      <c r="Q29" s="2" t="str">
        <f>IF(LEN('A créer'!R29)=0,"","ENT")</f>
        <v/>
      </c>
      <c r="R29" s="2" t="str">
        <f>IF(LEN('A créer'!R29)=0,"","*SAVE")</f>
        <v/>
      </c>
    </row>
    <row r="30" spans="1:18" x14ac:dyDescent="0.35">
      <c r="A30" s="2" t="str">
        <f>IF(LEN('A créer'!C30)=0,"","*FN")</f>
        <v/>
      </c>
      <c r="B30" t="str">
        <f>IF(LEN('A créer'!C30)=0,"",CONCATENATE(,'A créer'!B30,'A créer'!A30))</f>
        <v/>
      </c>
      <c r="C30" s="2" t="str">
        <f>IF(LEN('A créer'!C30)=0,"","Tab")</f>
        <v/>
      </c>
      <c r="D30" t="str">
        <f>IF(LEN('A créer'!C30)=0,"",CONCATENATE(,'A créer'!B30,'A créer'!A30,"-",'A créer'!C30))</f>
        <v/>
      </c>
      <c r="E30" s="2" t="str">
        <f>IF(LEN('A créer'!C30)=0,"","Tab 4")</f>
        <v/>
      </c>
      <c r="F30" s="2" t="str">
        <f>IF(LEN('A créer'!C30)=0,"","Tab")</f>
        <v/>
      </c>
      <c r="G30" s="2" t="str">
        <f>IF(LEN('A créer'!C30)=0,"","Tab")</f>
        <v/>
      </c>
      <c r="H30" s="2" t="str">
        <f>IF(LEN('A créer'!C30)=0,"","ENT")</f>
        <v/>
      </c>
      <c r="I30" s="2" t="str">
        <f>IF(LEN('A créer'!C30)=0,"","*SAVE")</f>
        <v/>
      </c>
      <c r="J30" s="2" t="str">
        <f>IF(LEN('A créer'!R30)=0,"","*FN")</f>
        <v/>
      </c>
      <c r="K30" t="str">
        <f>IF(LEN('A créer'!R30)=0,"",'A créer'!R30)</f>
        <v/>
      </c>
      <c r="L30" s="2" t="str">
        <f>IF(LEN('A créer'!R30)=0,"","Tab")</f>
        <v/>
      </c>
      <c r="M30" t="str">
        <f>IF(LEN('A créer'!R30)=0,"",CONCATENATE(,'A créer'!B30,"_",'A créer'!A30,"PF FPS ",'A créer'!A30," ",'A créer'!C30))</f>
        <v/>
      </c>
      <c r="N30" s="2" t="str">
        <f>IF(LEN('A créer'!R30)=0,"","Tab 4")</f>
        <v/>
      </c>
      <c r="O30" s="2" t="str">
        <f>IF(LEN('A créer'!R30)=0,"","Tab")</f>
        <v/>
      </c>
      <c r="P30" s="2" t="str">
        <f>IF(LEN('A créer'!R30)=0,"","Tab")</f>
        <v/>
      </c>
      <c r="Q30" s="2" t="str">
        <f>IF(LEN('A créer'!R30)=0,"","ENT")</f>
        <v/>
      </c>
      <c r="R30" s="2" t="str">
        <f>IF(LEN('A créer'!R30)=0,"","*SAVE")</f>
        <v/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BZ31"/>
  <sheetViews>
    <sheetView zoomScale="80" zoomScaleNormal="80" workbookViewId="0">
      <pane xSplit="1" ySplit="1" topLeftCell="AY2" activePane="bottomRight" state="frozenSplit"/>
      <selection activeCell="G30" sqref="G30"/>
      <selection pane="topRight" activeCell="G30" sqref="G30"/>
      <selection pane="bottomLeft" activeCell="G30" sqref="G30"/>
      <selection pane="bottomRight" activeCell="A4" sqref="A4:BZ4"/>
    </sheetView>
  </sheetViews>
  <sheetFormatPr baseColWidth="10" defaultRowHeight="14.5" x14ac:dyDescent="0.35"/>
  <cols>
    <col min="1" max="1" width="4.81640625" bestFit="1" customWidth="1"/>
    <col min="2" max="2" width="3.1796875" bestFit="1" customWidth="1"/>
    <col min="3" max="3" width="4.81640625" bestFit="1" customWidth="1"/>
    <col min="4" max="4" width="8.453125" bestFit="1" customWidth="1"/>
    <col min="5" max="5" width="4.81640625" bestFit="1" customWidth="1"/>
    <col min="6" max="6" width="2.26953125" bestFit="1" customWidth="1"/>
    <col min="7" max="7" width="4.81640625" bestFit="1" customWidth="1"/>
    <col min="8" max="8" width="8" bestFit="1" customWidth="1"/>
    <col min="9" max="9" width="2.26953125" bestFit="1" customWidth="1"/>
    <col min="10" max="10" width="4.81640625" bestFit="1" customWidth="1"/>
    <col min="11" max="11" width="7.7265625" bestFit="1" customWidth="1"/>
    <col min="12" max="12" width="2.26953125" bestFit="1" customWidth="1"/>
    <col min="13" max="13" width="4.81640625" bestFit="1" customWidth="1"/>
    <col min="14" max="14" width="11.7265625" bestFit="1" customWidth="1"/>
    <col min="15" max="15" width="10.1796875" bestFit="1" customWidth="1"/>
    <col min="16" max="16" width="4.81640625" bestFit="1" customWidth="1"/>
    <col min="17" max="17" width="2.26953125" bestFit="1" customWidth="1"/>
    <col min="18" max="18" width="4.81640625" bestFit="1" customWidth="1"/>
    <col min="19" max="19" width="12" bestFit="1" customWidth="1"/>
    <col min="20" max="20" width="2.26953125" bestFit="1" customWidth="1"/>
    <col min="21" max="21" width="4.81640625" bestFit="1" customWidth="1"/>
    <col min="22" max="22" width="12" bestFit="1" customWidth="1"/>
    <col min="23" max="23" width="2.26953125" bestFit="1" customWidth="1"/>
    <col min="24" max="24" width="4.81640625" bestFit="1" customWidth="1"/>
    <col min="25" max="25" width="17.453125" bestFit="1" customWidth="1"/>
    <col min="26" max="26" width="2.26953125" bestFit="1" customWidth="1"/>
    <col min="27" max="27" width="4.81640625" bestFit="1" customWidth="1"/>
    <col min="28" max="28" width="5.1796875" bestFit="1" customWidth="1"/>
    <col min="29" max="29" width="2.26953125" bestFit="1" customWidth="1"/>
    <col min="30" max="30" width="4.81640625" bestFit="1" customWidth="1"/>
    <col min="31" max="31" width="12" bestFit="1" customWidth="1"/>
    <col min="32" max="32" width="2.26953125" bestFit="1" customWidth="1"/>
    <col min="33" max="33" width="4.81640625" bestFit="1" customWidth="1"/>
    <col min="34" max="34" width="12" bestFit="1" customWidth="1"/>
    <col min="35" max="35" width="2.26953125" bestFit="1" customWidth="1"/>
    <col min="36" max="36" width="4.81640625" bestFit="1" customWidth="1"/>
    <col min="37" max="37" width="12" bestFit="1" customWidth="1"/>
    <col min="38" max="38" width="4.81640625" bestFit="1" customWidth="1"/>
    <col min="39" max="39" width="7" bestFit="1" customWidth="1"/>
    <col min="40" max="40" width="4.81640625" bestFit="1" customWidth="1"/>
    <col min="41" max="41" width="3.1796875" bestFit="1" customWidth="1"/>
    <col min="42" max="42" width="4.81640625" bestFit="1" customWidth="1"/>
    <col min="43" max="43" width="8.453125" bestFit="1" customWidth="1"/>
    <col min="44" max="44" width="4.81640625" bestFit="1" customWidth="1"/>
    <col min="45" max="45" width="2.26953125" bestFit="1" customWidth="1"/>
    <col min="46" max="46" width="4.81640625" bestFit="1" customWidth="1"/>
    <col min="47" max="47" width="8" bestFit="1" customWidth="1"/>
    <col min="48" max="48" width="2.26953125" bestFit="1" customWidth="1"/>
    <col min="49" max="49" width="4.81640625" bestFit="1" customWidth="1"/>
    <col min="50" max="50" width="7.7265625" bestFit="1" customWidth="1"/>
    <col min="51" max="51" width="2.26953125" bestFit="1" customWidth="1"/>
    <col min="52" max="52" width="4.81640625" bestFit="1" customWidth="1"/>
    <col min="53" max="53" width="11.7265625" bestFit="1" customWidth="1"/>
    <col min="54" max="54" width="8.7265625" bestFit="1" customWidth="1"/>
    <col min="55" max="55" width="4.81640625" bestFit="1" customWidth="1"/>
    <col min="56" max="56" width="2.26953125" bestFit="1" customWidth="1"/>
    <col min="57" max="57" width="4.81640625" bestFit="1" customWidth="1"/>
    <col min="58" max="58" width="12" bestFit="1" customWidth="1"/>
    <col min="59" max="59" width="2.26953125" bestFit="1" customWidth="1"/>
    <col min="60" max="60" width="4.81640625" bestFit="1" customWidth="1"/>
    <col min="61" max="61" width="12" bestFit="1" customWidth="1"/>
    <col min="62" max="62" width="2.26953125" bestFit="1" customWidth="1"/>
    <col min="63" max="63" width="4.81640625" bestFit="1" customWidth="1"/>
    <col min="64" max="64" width="17.453125" bestFit="1" customWidth="1"/>
    <col min="65" max="65" width="2.26953125" bestFit="1" customWidth="1"/>
    <col min="66" max="66" width="4.81640625" bestFit="1" customWidth="1"/>
    <col min="67" max="67" width="5.1796875" bestFit="1" customWidth="1"/>
    <col min="68" max="68" width="2.26953125" bestFit="1" customWidth="1"/>
    <col min="69" max="69" width="4.81640625" bestFit="1" customWidth="1"/>
    <col min="70" max="70" width="12" bestFit="1" customWidth="1"/>
    <col min="71" max="71" width="2.26953125" bestFit="1" customWidth="1"/>
    <col min="72" max="72" width="4.81640625" bestFit="1" customWidth="1"/>
    <col min="73" max="73" width="12" bestFit="1" customWidth="1"/>
    <col min="74" max="74" width="2.26953125" bestFit="1" customWidth="1"/>
    <col min="75" max="75" width="4.81640625" bestFit="1" customWidth="1"/>
    <col min="76" max="76" width="12" bestFit="1" customWidth="1"/>
    <col min="77" max="77" width="4.81640625" bestFit="1" customWidth="1"/>
    <col min="78" max="78" width="7" bestFit="1" customWidth="1"/>
  </cols>
  <sheetData>
    <row r="1" spans="1:78" x14ac:dyDescent="0.35">
      <c r="A1" s="2" t="s">
        <v>18</v>
      </c>
      <c r="B1" s="3" t="s">
        <v>19</v>
      </c>
      <c r="C1" s="2" t="s">
        <v>4</v>
      </c>
      <c r="D1" t="s">
        <v>1</v>
      </c>
      <c r="E1" s="2" t="s">
        <v>4</v>
      </c>
      <c r="F1">
        <v>0</v>
      </c>
      <c r="G1" s="2" t="s">
        <v>4</v>
      </c>
      <c r="H1" t="s">
        <v>2</v>
      </c>
      <c r="I1">
        <v>0</v>
      </c>
      <c r="J1" s="2" t="s">
        <v>4</v>
      </c>
      <c r="K1" t="s">
        <v>5</v>
      </c>
      <c r="L1">
        <v>0</v>
      </c>
      <c r="M1" s="2" t="s">
        <v>4</v>
      </c>
      <c r="N1" t="s">
        <v>6</v>
      </c>
      <c r="O1" t="s">
        <v>7</v>
      </c>
      <c r="P1" s="2" t="s">
        <v>4</v>
      </c>
      <c r="Q1">
        <v>0</v>
      </c>
      <c r="R1" s="2" t="s">
        <v>4</v>
      </c>
      <c r="S1" t="s">
        <v>8</v>
      </c>
      <c r="T1">
        <v>0</v>
      </c>
      <c r="U1" s="2" t="s">
        <v>4</v>
      </c>
      <c r="V1" t="s">
        <v>9</v>
      </c>
      <c r="W1">
        <v>0</v>
      </c>
      <c r="X1" s="2" t="s">
        <v>4</v>
      </c>
      <c r="Y1" t="s">
        <v>10</v>
      </c>
      <c r="Z1">
        <v>0</v>
      </c>
      <c r="AA1" s="2" t="s">
        <v>4</v>
      </c>
      <c r="AB1" t="s">
        <v>11</v>
      </c>
      <c r="AC1">
        <v>0</v>
      </c>
      <c r="AD1" s="2" t="s">
        <v>4</v>
      </c>
      <c r="AE1" t="s">
        <v>12</v>
      </c>
      <c r="AF1">
        <v>0</v>
      </c>
      <c r="AG1" s="2" t="s">
        <v>4</v>
      </c>
      <c r="AH1" t="s">
        <v>13</v>
      </c>
      <c r="AI1">
        <v>0</v>
      </c>
      <c r="AJ1" s="2" t="s">
        <v>4</v>
      </c>
      <c r="AK1" t="s">
        <v>14</v>
      </c>
      <c r="AL1" s="2" t="s">
        <v>15</v>
      </c>
      <c r="AM1" s="2" t="s">
        <v>16</v>
      </c>
      <c r="AN1" s="2" t="s">
        <v>18</v>
      </c>
      <c r="AO1" s="3" t="s">
        <v>19</v>
      </c>
      <c r="AP1" s="2" t="s">
        <v>4</v>
      </c>
      <c r="AQ1" t="s">
        <v>1</v>
      </c>
      <c r="AR1" s="2" t="s">
        <v>4</v>
      </c>
      <c r="AS1">
        <v>0</v>
      </c>
      <c r="AT1" s="2" t="s">
        <v>4</v>
      </c>
      <c r="AU1" t="s">
        <v>2</v>
      </c>
      <c r="AV1">
        <v>0</v>
      </c>
      <c r="AW1" s="2" t="s">
        <v>4</v>
      </c>
      <c r="AX1" t="s">
        <v>5</v>
      </c>
      <c r="AY1">
        <v>0</v>
      </c>
      <c r="AZ1" s="2" t="s">
        <v>4</v>
      </c>
      <c r="BA1" t="s">
        <v>6</v>
      </c>
      <c r="BB1" t="s">
        <v>7</v>
      </c>
      <c r="BC1" s="2" t="s">
        <v>4</v>
      </c>
      <c r="BD1">
        <v>0</v>
      </c>
      <c r="BE1" s="2" t="s">
        <v>4</v>
      </c>
      <c r="BF1" t="s">
        <v>8</v>
      </c>
      <c r="BG1">
        <v>0</v>
      </c>
      <c r="BH1" s="2" t="s">
        <v>4</v>
      </c>
      <c r="BI1" t="s">
        <v>9</v>
      </c>
      <c r="BJ1">
        <v>0</v>
      </c>
      <c r="BK1" s="2" t="s">
        <v>4</v>
      </c>
      <c r="BL1" t="s">
        <v>10</v>
      </c>
      <c r="BM1">
        <v>0</v>
      </c>
      <c r="BN1" s="2" t="s">
        <v>4</v>
      </c>
      <c r="BO1" t="s">
        <v>11</v>
      </c>
      <c r="BP1">
        <v>0</v>
      </c>
      <c r="BQ1" s="2" t="s">
        <v>4</v>
      </c>
      <c r="BR1" t="s">
        <v>12</v>
      </c>
      <c r="BS1">
        <v>0</v>
      </c>
      <c r="BT1" s="2" t="s">
        <v>4</v>
      </c>
      <c r="BU1" t="s">
        <v>13</v>
      </c>
      <c r="BV1">
        <v>0</v>
      </c>
      <c r="BW1" s="2" t="s">
        <v>4</v>
      </c>
      <c r="BX1" t="s">
        <v>14</v>
      </c>
      <c r="BY1" s="2" t="s">
        <v>15</v>
      </c>
      <c r="BZ1" s="2" t="s">
        <v>16</v>
      </c>
    </row>
    <row r="2" spans="1:78" x14ac:dyDescent="0.35">
      <c r="A2" s="2" t="str">
        <f>IF(LEN('A créer'!C2)=0,"","*FN")</f>
        <v>*FN</v>
      </c>
      <c r="B2" s="3" t="str">
        <f>IF(LEN('A créer'!C2)=0,"","\E")</f>
        <v>\E</v>
      </c>
      <c r="C2" s="2" t="str">
        <f>IF(LEN('A créer'!C2)=0,"","Tab")</f>
        <v>Tab</v>
      </c>
      <c r="D2" t="str">
        <f>IF(LEN('A créer'!C2)=0,"",'A créer'!A2)</f>
        <v>0535</v>
      </c>
      <c r="E2" s="2" t="str">
        <f>IF(LEN('A créer'!C2)=0,"","Tab")</f>
        <v>Tab</v>
      </c>
      <c r="F2">
        <f>IF(LEN('A créer'!C2)=0,"",0)</f>
        <v>0</v>
      </c>
      <c r="G2" s="2" t="str">
        <f>IF(LEN('A créer'!C2)=0,"","Tab")</f>
        <v>Tab</v>
      </c>
      <c r="H2" t="str">
        <f>IF(LEN('A créer'!C2)=0,"","ZZZ")</f>
        <v>ZZZ</v>
      </c>
      <c r="I2" t="str">
        <f>IF(LEN('A créer'!C2)=0,"","0")</f>
        <v>0</v>
      </c>
      <c r="J2" s="2" t="str">
        <f>IF(LEN('A créer'!C2)=0,"","Tab")</f>
        <v>Tab</v>
      </c>
      <c r="K2" t="str">
        <f>IF(LEN('A créer'!C2)=0,"","ZZZZZZ")</f>
        <v>ZZZZZZ</v>
      </c>
      <c r="L2" t="str">
        <f>IF(LEN('A créer'!C2)=0,"","0")</f>
        <v>0</v>
      </c>
      <c r="M2" s="2" t="str">
        <f>IF(LEN('A créer'!C2)=0,"","Tab")</f>
        <v>Tab</v>
      </c>
      <c r="N2" t="str">
        <f>IF(LEN('A créer'!C2)=0,"","ZZZZZ")</f>
        <v>ZZZZZ</v>
      </c>
      <c r="O2" t="str">
        <f>IF(LEN('A créer'!C2)=0,"",CONCATENATE('A créer'!B2,'A créer'!A2))</f>
        <v>DCW0535</v>
      </c>
      <c r="P2" s="2" t="str">
        <f>IF(LEN('A créer'!C2)=0,"","Tab")</f>
        <v>Tab</v>
      </c>
      <c r="Q2" t="str">
        <f>IF(LEN('A créer'!C2)=0,"","0")</f>
        <v>0</v>
      </c>
      <c r="R2" s="2" t="str">
        <f>IF(LEN('A créer'!C2)=0,"","Tab")</f>
        <v>Tab</v>
      </c>
      <c r="S2" t="str">
        <f>IF(LEN('A créer'!C2)=0,"","ZZZZZZZZZZ")</f>
        <v>ZZZZZZZZZZ</v>
      </c>
      <c r="T2" t="str">
        <f>IF(LEN('A créer'!C2)=0,"","0")</f>
        <v>0</v>
      </c>
      <c r="U2" s="2" t="str">
        <f>IF(LEN('A créer'!C2)=0,"","Tab")</f>
        <v>Tab</v>
      </c>
      <c r="V2" t="str">
        <f>IF(LEN('A créer'!C2)=0,"","ZZZZZZZZZZ")</f>
        <v>ZZZZZZZZZZ</v>
      </c>
      <c r="W2" t="str">
        <f>IF(LEN('A créer'!C2)=0,"","0")</f>
        <v>0</v>
      </c>
      <c r="X2" s="2" t="str">
        <f>IF(LEN('A créer'!C2)=0,"","Tab")</f>
        <v>Tab</v>
      </c>
      <c r="Y2" t="str">
        <f>IF(LEN('A créer'!C2)=0,"","ZZZZZZZZZZZZZZZ")</f>
        <v>ZZZZZZZZZZZZZZZ</v>
      </c>
      <c r="Z2" t="str">
        <f>IF(LEN('A créer'!C2)=0,"","0")</f>
        <v>0</v>
      </c>
      <c r="AA2" s="2" t="str">
        <f>IF(LEN('A créer'!C2)=0,"","Tab")</f>
        <v>Tab</v>
      </c>
      <c r="AB2" t="str">
        <f>IF(LEN('A créer'!C2)=0,"","ZZZ")</f>
        <v>ZZZ</v>
      </c>
      <c r="AC2" t="str">
        <f>IF(LEN('A créer'!C2)=0,"","0")</f>
        <v>0</v>
      </c>
      <c r="AD2" s="2" t="str">
        <f>IF(LEN('A créer'!C2)=0,"","Tab")</f>
        <v>Tab</v>
      </c>
      <c r="AE2" t="str">
        <f>IF(LEN('A créer'!C2)=0,"","ZZZZZZZZZZ")</f>
        <v>ZZZZZZZZZZ</v>
      </c>
      <c r="AF2" t="str">
        <f>IF(LEN('A créer'!C2)=0,"","0")</f>
        <v>0</v>
      </c>
      <c r="AG2" s="2" t="str">
        <f>IF(LEN('A créer'!C2)=0,"","Tab")</f>
        <v>Tab</v>
      </c>
      <c r="AH2" t="str">
        <f>IF(LEN('A créer'!C2)=0,"","ZZZZZZZZZZ")</f>
        <v>ZZZZZZZZZZ</v>
      </c>
      <c r="AI2" t="str">
        <f>IF(LEN('A créer'!C2)=0,"","0")</f>
        <v>0</v>
      </c>
      <c r="AJ2" s="2" t="str">
        <f>IF(LEN('A créer'!C2)=0,"","Tab")</f>
        <v>Tab</v>
      </c>
      <c r="AK2" t="str">
        <f>IF(LEN('A créer'!C2)=0,"","ZZZZZZZZZZ")</f>
        <v>ZZZZZZZZZZ</v>
      </c>
      <c r="AL2" s="2" t="str">
        <f>IF(LEN('A créer'!C2)=0,"","ENT")</f>
        <v>ENT</v>
      </c>
      <c r="AM2" s="2" t="str">
        <f>IF(LEN('A créer'!C2)=0,"","*SAVE")</f>
        <v>*SAVE</v>
      </c>
      <c r="AN2" s="2" t="str">
        <f>IF(OR('A créer'!D2="Oui",LEN('A créer'!D2)=0,LEN('A créer'!C2)=0),"","*FN")</f>
        <v>*FN</v>
      </c>
      <c r="AO2" s="3" t="str">
        <f>IF(OR('A créer'!D2="Oui",LEN('A créer'!D2)=0,LEN('A créer'!C2)=0),"","\E")</f>
        <v>\E</v>
      </c>
      <c r="AP2" s="2" t="str">
        <f>IF(OR('A créer'!D2="Oui",LEN('A créer'!D2)=0,LEN('A créer'!C2)=0),"","TAB")</f>
        <v>TAB</v>
      </c>
      <c r="AQ2" t="str">
        <f>IF(OR('A créer'!D2="Oui",LEN('A créer'!D2)=0,LEN('A créer'!C2)=0),"",'A créer'!A2)</f>
        <v>0535</v>
      </c>
      <c r="AR2" s="2" t="str">
        <f>IF(OR('A créer'!D2="Oui",LEN('A créer'!D2)=0,LEN('A créer'!C2)=0),"","TAB")</f>
        <v>TAB</v>
      </c>
      <c r="AS2" t="str">
        <f>IF(OR('A créer'!D2="Oui",LEN('A créer'!D2)=0,LEN('A créer'!C2)=0),"","0")</f>
        <v>0</v>
      </c>
      <c r="AT2" s="2" t="str">
        <f>IF(OR('A créer'!D2="Oui",LEN('A créer'!D2)=0,LEN('A créer'!C2)=0),"","TAB")</f>
        <v>TAB</v>
      </c>
      <c r="AU2" t="str">
        <f>IF(OR('A créer'!D2="Oui",LEN('A créer'!D2)=0,LEN('A créer'!C2)=0),"","ZZZ")</f>
        <v>ZZZ</v>
      </c>
      <c r="AV2" t="str">
        <f>IF(OR('A créer'!D2="Oui",LEN('A créer'!D2)=0,LEN('A créer'!C2)=0),"","0")</f>
        <v>0</v>
      </c>
      <c r="AW2" s="2" t="str">
        <f>IF(OR('A créer'!D2="Oui",LEN('A créer'!D2)=0,LEN('A créer'!C2)=0),"","TAB")</f>
        <v>TAB</v>
      </c>
      <c r="AX2" t="str">
        <f>IF(OR('A créer'!D2="Oui",LEN('A créer'!D2)=0,LEN('A créer'!C2)=0),"","ZZZZZZ")</f>
        <v>ZZZZZZ</v>
      </c>
      <c r="AY2" t="str">
        <f>IF(OR('A créer'!D2="Oui",LEN('A créer'!D2)=0,LEN('A créer'!C2)=0),"","0")</f>
        <v>0</v>
      </c>
      <c r="AZ2" s="2" t="str">
        <f>IF(OR('A créer'!D2="Oui",LEN('A créer'!D2)=0,LEN('A créer'!C2)=0),"","TAB")</f>
        <v>TAB</v>
      </c>
      <c r="BA2" t="str">
        <f>IF(OR('A créer'!D2="Oui",LEN('A créer'!D2)=0,LEN('A créer'!C2)=0),"","ZZZZZ")</f>
        <v>ZZZZZ</v>
      </c>
      <c r="BB2" t="str">
        <f>IF(OR('A créer'!D2="Oui",LEN('A créer'!D2)=0,LEN('A créer'!C2)=0),"",CONCATENATE("XXX",'A créer'!A2))</f>
        <v>XXX0535</v>
      </c>
      <c r="BC2" s="2" t="str">
        <f>IF(OR('A créer'!D2="Oui",LEN('A créer'!D2)=0,LEN('A créer'!C2)=0),"","TAB")</f>
        <v>TAB</v>
      </c>
      <c r="BD2" t="str">
        <f>IF(OR('A créer'!D2="Oui",LEN('A créer'!D2)=0,LEN('A créer'!C2)=0),"","0")</f>
        <v>0</v>
      </c>
      <c r="BE2" s="2" t="str">
        <f>IF(OR('A créer'!D2="Oui",LEN('A créer'!D2)=0,LEN('A créer'!C2)=0),"","TAB")</f>
        <v>TAB</v>
      </c>
      <c r="BF2" t="str">
        <f>IF(OR('A créer'!D2="Oui",LEN('A créer'!D2)=0,LEN('A créer'!C2)=0),"","ZZZZZZZZZZ")</f>
        <v>ZZZZZZZZZZ</v>
      </c>
      <c r="BG2" t="str">
        <f>IF(OR('A créer'!D2="Oui",LEN('A créer'!D2)=0,LEN('A créer'!C2)=0),"","0")</f>
        <v>0</v>
      </c>
      <c r="BH2" s="2" t="str">
        <f>IF(OR('A créer'!D2="Oui",LEN('A créer'!D2)=0,LEN('A créer'!C2)=0),"","TAB")</f>
        <v>TAB</v>
      </c>
      <c r="BI2" t="str">
        <f>IF(OR('A créer'!D2="Oui",LEN('A créer'!D2)=0,LEN('A créer'!C2)=0),"","ZZZZZZZZZZ")</f>
        <v>ZZZZZZZZZZ</v>
      </c>
      <c r="BJ2" t="str">
        <f>IF(OR('A créer'!D2="Oui",LEN('A créer'!D2)=0,LEN('A créer'!C2)=0),"","0")</f>
        <v>0</v>
      </c>
      <c r="BK2" s="2" t="str">
        <f>IF(OR('A créer'!D2="Oui",LEN('A créer'!D2)=0,LEN('A créer'!C2)=0),"","TAB")</f>
        <v>TAB</v>
      </c>
      <c r="BL2" t="str">
        <f>IF(OR('A créer'!D2="Oui",LEN('A créer'!D2)=0,LEN('A créer'!C2)=0),"","ZZZZZZZZZZZZZZZ")</f>
        <v>ZZZZZZZZZZZZZZZ</v>
      </c>
      <c r="BM2" t="str">
        <f>IF(OR('A créer'!D2="Oui",LEN('A créer'!D2)=0,LEN('A créer'!C2)=0),"","0")</f>
        <v>0</v>
      </c>
      <c r="BN2" s="2" t="str">
        <f>IF(OR('A créer'!D2="Oui",LEN('A créer'!D2)=0,LEN('A créer'!C2)=0),"","TAB")</f>
        <v>TAB</v>
      </c>
      <c r="BO2" t="str">
        <f>IF(OR('A créer'!D2="Oui",LEN('A créer'!D2)=0,LEN('A créer'!C2)=0),"","ZZZ")</f>
        <v>ZZZ</v>
      </c>
      <c r="BP2" t="str">
        <f>IF(OR('A créer'!D2="Oui",LEN('A créer'!D2)=0,LEN('A créer'!C2)=0),"","0")</f>
        <v>0</v>
      </c>
      <c r="BQ2" s="2" t="str">
        <f>IF(OR('A créer'!D2="Oui",LEN('A créer'!D2)=0,LEN('A créer'!C2)=0),"","TAB")</f>
        <v>TAB</v>
      </c>
      <c r="BR2" t="str">
        <f>IF(OR('A créer'!D2="Oui",LEN('A créer'!D2)=0,LEN('A créer'!C2)=0),"","ZZZZZZZZZZ")</f>
        <v>ZZZZZZZZZZ</v>
      </c>
      <c r="BS2" t="str">
        <f>IF(OR('A créer'!D2="Oui",LEN('A créer'!D2)=0,LEN('A créer'!C2)=0),"","0")</f>
        <v>0</v>
      </c>
      <c r="BT2" s="2" t="str">
        <f>IF(OR('A créer'!D2="Oui",LEN('A créer'!D2)=0,LEN('A créer'!C2)=0),"","TAB")</f>
        <v>TAB</v>
      </c>
      <c r="BU2" t="str">
        <f>IF(OR('A créer'!D2="Oui",LEN('A créer'!D2)=0,LEN('A créer'!C2)=0),"","ZZZZZZZZZZ")</f>
        <v>ZZZZZZZZZZ</v>
      </c>
      <c r="BV2" t="str">
        <f>IF(OR('A créer'!D2="Oui",LEN('A créer'!D2)=0,LEN('A créer'!C2)=0),"","0")</f>
        <v>0</v>
      </c>
      <c r="BW2" s="2" t="str">
        <f>IF(OR('A créer'!D2="Oui",LEN('A créer'!D2)=0,LEN('A créer'!C2)=0),"","TAB")</f>
        <v>TAB</v>
      </c>
      <c r="BX2" t="str">
        <f>IF(OR('A créer'!D2="Oui",LEN('A créer'!D2)=0,LEN('A créer'!C2)=0),"","ZZZZZZZZZZ")</f>
        <v>ZZZZZZZZZZ</v>
      </c>
      <c r="BY2" s="2" t="str">
        <f>IF(OR('A créer'!D2="Oui",LEN('A créer'!D2)=0,LEN('A créer'!C2)=0),"","ENT")</f>
        <v>ENT</v>
      </c>
      <c r="BZ2" s="2" t="str">
        <f>IF(OR('A créer'!D2="Oui",LEN('A créer'!D2)=0,LEN('A créer'!C2)=0),"","*SAVE")</f>
        <v>*SAVE</v>
      </c>
    </row>
    <row r="3" spans="1:78" x14ac:dyDescent="0.35">
      <c r="A3" s="2" t="str">
        <f>IF(LEN('A créer'!C3)=0,"","*FN")</f>
        <v/>
      </c>
      <c r="B3" s="3" t="str">
        <f>IF(LEN('A créer'!C3)=0,"","\E")</f>
        <v/>
      </c>
      <c r="C3" s="2" t="str">
        <f>IF(LEN('A créer'!C3)=0,"","Tab")</f>
        <v/>
      </c>
      <c r="D3" s="6" t="str">
        <f>IF(LEN('A créer'!C3)=0,"",'A créer'!A3)</f>
        <v/>
      </c>
      <c r="E3" s="2" t="str">
        <f>IF(LEN('A créer'!C3)=0,"","Tab")</f>
        <v/>
      </c>
      <c r="F3" s="6" t="str">
        <f>IF(LEN('A créer'!C3)=0,"",0)</f>
        <v/>
      </c>
      <c r="G3" s="2" t="str">
        <f>IF(LEN('A créer'!C3)=0,"","Tab")</f>
        <v/>
      </c>
      <c r="H3" s="6" t="str">
        <f>IF(LEN('A créer'!C3)=0,"","ZZZ")</f>
        <v/>
      </c>
      <c r="I3" s="6" t="str">
        <f>IF(LEN('A créer'!C3)=0,"","0")</f>
        <v/>
      </c>
      <c r="J3" s="2" t="str">
        <f>IF(LEN('A créer'!C3)=0,"","Tab")</f>
        <v/>
      </c>
      <c r="K3" s="6" t="str">
        <f>IF(LEN('A créer'!C3)=0,"","ZZZZZZ")</f>
        <v/>
      </c>
      <c r="L3" s="6" t="str">
        <f>IF(LEN('A créer'!C3)=0,"","0")</f>
        <v/>
      </c>
      <c r="M3" s="2" t="str">
        <f>IF(LEN('A créer'!C3)=0,"","Tab")</f>
        <v/>
      </c>
      <c r="N3" s="6" t="str">
        <f>IF(LEN('A créer'!C3)=0,"","ZZZZZ")</f>
        <v/>
      </c>
      <c r="O3" s="6" t="str">
        <f>IF(LEN('A créer'!C3)=0,"",CONCATENATE('A créer'!B3,'A créer'!A3))</f>
        <v/>
      </c>
      <c r="P3" s="2" t="str">
        <f>IF(LEN('A créer'!C3)=0,"","Tab")</f>
        <v/>
      </c>
      <c r="Q3" s="6" t="str">
        <f>IF(LEN('A créer'!C3)=0,"","0")</f>
        <v/>
      </c>
      <c r="R3" s="2" t="str">
        <f>IF(LEN('A créer'!C3)=0,"","Tab")</f>
        <v/>
      </c>
      <c r="S3" s="6" t="str">
        <f>IF(LEN('A créer'!C3)=0,"","ZZZZZZZZZZ")</f>
        <v/>
      </c>
      <c r="T3" s="6" t="str">
        <f>IF(LEN('A créer'!C3)=0,"","0")</f>
        <v/>
      </c>
      <c r="U3" s="2" t="str">
        <f>IF(LEN('A créer'!C3)=0,"","Tab")</f>
        <v/>
      </c>
      <c r="V3" s="6" t="str">
        <f>IF(LEN('A créer'!C3)=0,"","ZZZZZZZZZZ")</f>
        <v/>
      </c>
      <c r="W3" s="6" t="str">
        <f>IF(LEN('A créer'!C3)=0,"","0")</f>
        <v/>
      </c>
      <c r="X3" s="2" t="str">
        <f>IF(LEN('A créer'!C3)=0,"","Tab")</f>
        <v/>
      </c>
      <c r="Y3" s="6" t="str">
        <f>IF(LEN('A créer'!C3)=0,"","ZZZZZZZZZZZZZZZ")</f>
        <v/>
      </c>
      <c r="Z3" s="6" t="str">
        <f>IF(LEN('A créer'!C3)=0,"","0")</f>
        <v/>
      </c>
      <c r="AA3" s="2" t="str">
        <f>IF(LEN('A créer'!C3)=0,"","Tab")</f>
        <v/>
      </c>
      <c r="AB3" s="6" t="str">
        <f>IF(LEN('A créer'!C3)=0,"","ZZZ")</f>
        <v/>
      </c>
      <c r="AC3" s="6" t="str">
        <f>IF(LEN('A créer'!C3)=0,"","0")</f>
        <v/>
      </c>
      <c r="AD3" s="2" t="str">
        <f>IF(LEN('A créer'!C3)=0,"","Tab")</f>
        <v/>
      </c>
      <c r="AE3" s="6" t="str">
        <f>IF(LEN('A créer'!C3)=0,"","ZZZZZZZZZZ")</f>
        <v/>
      </c>
      <c r="AF3" s="6" t="str">
        <f>IF(LEN('A créer'!C3)=0,"","0")</f>
        <v/>
      </c>
      <c r="AG3" s="2" t="str">
        <f>IF(LEN('A créer'!C3)=0,"","Tab")</f>
        <v/>
      </c>
      <c r="AH3" s="6" t="str">
        <f>IF(LEN('A créer'!C3)=0,"","ZZZZZZZZZZ")</f>
        <v/>
      </c>
      <c r="AI3" s="6" t="str">
        <f>IF(LEN('A créer'!C3)=0,"","0")</f>
        <v/>
      </c>
      <c r="AJ3" s="2" t="str">
        <f>IF(LEN('A créer'!C3)=0,"","Tab")</f>
        <v/>
      </c>
      <c r="AK3" s="6" t="str">
        <f>IF(LEN('A créer'!C3)=0,"","ZZZZZZZZZZ")</f>
        <v/>
      </c>
      <c r="AL3" s="2" t="str">
        <f>IF(LEN('A créer'!C3)=0,"","ENT")</f>
        <v/>
      </c>
      <c r="AM3" s="2" t="str">
        <f>IF(LEN('A créer'!C3)=0,"","*SAVE")</f>
        <v/>
      </c>
      <c r="AN3" s="2" t="str">
        <f>IF(OR('A créer'!D3="Oui",LEN('A créer'!D3)=0,LEN('A créer'!C3)=0),"","*FN")</f>
        <v/>
      </c>
      <c r="AO3" s="3" t="str">
        <f>IF(OR('A créer'!D3="Oui",LEN('A créer'!D3)=0,LEN('A créer'!C3)=0),"","\E")</f>
        <v/>
      </c>
      <c r="AP3" s="2" t="str">
        <f>IF(OR('A créer'!D3="Oui",LEN('A créer'!D3)=0,LEN('A créer'!C3)=0),"","TAB")</f>
        <v/>
      </c>
      <c r="AQ3" s="6" t="str">
        <f>IF(OR('A créer'!D3="Oui",LEN('A créer'!D3)=0,LEN('A créer'!C3)=0),"",'A créer'!A3)</f>
        <v/>
      </c>
      <c r="AR3" s="2" t="str">
        <f>IF(OR('A créer'!D3="Oui",LEN('A créer'!D3)=0,LEN('A créer'!C3)=0),"","TAB")</f>
        <v/>
      </c>
      <c r="AS3" s="6" t="str">
        <f>IF(OR('A créer'!D3="Oui",LEN('A créer'!D3)=0,LEN('A créer'!C3)=0),"","0")</f>
        <v/>
      </c>
      <c r="AT3" s="2" t="str">
        <f>IF(OR('A créer'!D3="Oui",LEN('A créer'!D3)=0,LEN('A créer'!C3)=0),"","TAB")</f>
        <v/>
      </c>
      <c r="AU3" s="6" t="str">
        <f>IF(OR('A créer'!D3="Oui",LEN('A créer'!D3)=0,LEN('A créer'!C3)=0),"","ZZZ")</f>
        <v/>
      </c>
      <c r="AV3" s="6" t="str">
        <f>IF(OR('A créer'!D3="Oui",LEN('A créer'!D3)=0,LEN('A créer'!C3)=0),"","0")</f>
        <v/>
      </c>
      <c r="AW3" s="2" t="str">
        <f>IF(OR('A créer'!D3="Oui",LEN('A créer'!D3)=0,LEN('A créer'!C3)=0),"","TAB")</f>
        <v/>
      </c>
      <c r="AX3" s="6" t="str">
        <f>IF(OR('A créer'!D3="Oui",LEN('A créer'!D3)=0,LEN('A créer'!C3)=0),"","ZZZZZZ")</f>
        <v/>
      </c>
      <c r="AY3" s="6" t="str">
        <f>IF(OR('A créer'!D3="Oui",LEN('A créer'!D3)=0,LEN('A créer'!C3)=0),"","0")</f>
        <v/>
      </c>
      <c r="AZ3" s="2" t="str">
        <f>IF(OR('A créer'!D3="Oui",LEN('A créer'!D3)=0,LEN('A créer'!C3)=0),"","TAB")</f>
        <v/>
      </c>
      <c r="BA3" s="6" t="str">
        <f>IF(OR('A créer'!D3="Oui",LEN('A créer'!D3)=0,LEN('A créer'!C3)=0),"","ZZZZZ")</f>
        <v/>
      </c>
      <c r="BB3" s="6" t="str">
        <f>IF(OR('A créer'!D3="Oui",LEN('A créer'!D3)=0,LEN('A créer'!C3)=0),"",CONCATENATE("XXX",'A créer'!A3))</f>
        <v/>
      </c>
      <c r="BC3" s="2" t="str">
        <f>IF(OR('A créer'!D3="Oui",LEN('A créer'!D3)=0,LEN('A créer'!C3)=0),"","TAB")</f>
        <v/>
      </c>
      <c r="BD3" s="6" t="str">
        <f>IF(OR('A créer'!D3="Oui",LEN('A créer'!D3)=0,LEN('A créer'!C3)=0),"","0")</f>
        <v/>
      </c>
      <c r="BE3" s="2" t="str">
        <f>IF(OR('A créer'!D3="Oui",LEN('A créer'!D3)=0,LEN('A créer'!C3)=0),"","TAB")</f>
        <v/>
      </c>
      <c r="BF3" s="6" t="str">
        <f>IF(OR('A créer'!D3="Oui",LEN('A créer'!D3)=0,LEN('A créer'!C3)=0),"","ZZZZZZZZZZ")</f>
        <v/>
      </c>
      <c r="BG3" s="6" t="str">
        <f>IF(OR('A créer'!D3="Oui",LEN('A créer'!D3)=0,LEN('A créer'!C3)=0),"","0")</f>
        <v/>
      </c>
      <c r="BH3" s="2" t="str">
        <f>IF(OR('A créer'!D3="Oui",LEN('A créer'!D3)=0,LEN('A créer'!C3)=0),"","TAB")</f>
        <v/>
      </c>
      <c r="BI3" s="6" t="str">
        <f>IF(OR('A créer'!D3="Oui",LEN('A créer'!D3)=0,LEN('A créer'!C3)=0),"","ZZZZZZZZZZ")</f>
        <v/>
      </c>
      <c r="BJ3" s="6" t="str">
        <f>IF(OR('A créer'!D3="Oui",LEN('A créer'!D3)=0,LEN('A créer'!C3)=0),"","0")</f>
        <v/>
      </c>
      <c r="BK3" s="2" t="str">
        <f>IF(OR('A créer'!D3="Oui",LEN('A créer'!D3)=0,LEN('A créer'!C3)=0),"","TAB")</f>
        <v/>
      </c>
      <c r="BL3" s="6" t="str">
        <f>IF(OR('A créer'!D3="Oui",LEN('A créer'!D3)=0,LEN('A créer'!C3)=0),"","ZZZZZZZZZZZZZZZ")</f>
        <v/>
      </c>
      <c r="BM3" s="6" t="str">
        <f>IF(OR('A créer'!D3="Oui",LEN('A créer'!D3)=0,LEN('A créer'!C3)=0),"","0")</f>
        <v/>
      </c>
      <c r="BN3" s="2" t="str">
        <f>IF(OR('A créer'!D3="Oui",LEN('A créer'!D3)=0,LEN('A créer'!C3)=0),"","TAB")</f>
        <v/>
      </c>
      <c r="BO3" s="6" t="str">
        <f>IF(OR('A créer'!D3="Oui",LEN('A créer'!D3)=0,LEN('A créer'!C3)=0),"","ZZZ")</f>
        <v/>
      </c>
      <c r="BP3" s="6" t="str">
        <f>IF(OR('A créer'!D3="Oui",LEN('A créer'!D3)=0,LEN('A créer'!C3)=0),"","0")</f>
        <v/>
      </c>
      <c r="BQ3" s="2" t="str">
        <f>IF(OR('A créer'!D3="Oui",LEN('A créer'!D3)=0,LEN('A créer'!C3)=0),"","TAB")</f>
        <v/>
      </c>
      <c r="BR3" s="6" t="str">
        <f>IF(OR('A créer'!D3="Oui",LEN('A créer'!D3)=0,LEN('A créer'!C3)=0),"","ZZZZZZZZZZ")</f>
        <v/>
      </c>
      <c r="BS3" s="6" t="str">
        <f>IF(OR('A créer'!D3="Oui",LEN('A créer'!D3)=0,LEN('A créer'!C3)=0),"","0")</f>
        <v/>
      </c>
      <c r="BT3" s="2" t="str">
        <f>IF(OR('A créer'!D3="Oui",LEN('A créer'!D3)=0,LEN('A créer'!C3)=0),"","TAB")</f>
        <v/>
      </c>
      <c r="BU3" s="6" t="str">
        <f>IF(OR('A créer'!D3="Oui",LEN('A créer'!D3)=0,LEN('A créer'!C3)=0),"","ZZZZZZZZZZ")</f>
        <v/>
      </c>
      <c r="BV3" s="6" t="str">
        <f>IF(OR('A créer'!D3="Oui",LEN('A créer'!D3)=0,LEN('A créer'!C3)=0),"","0")</f>
        <v/>
      </c>
      <c r="BW3" s="2" t="str">
        <f>IF(OR('A créer'!D3="Oui",LEN('A créer'!D3)=0,LEN('A créer'!C3)=0),"","TAB")</f>
        <v/>
      </c>
      <c r="BX3" s="6" t="str">
        <f>IF(OR('A créer'!D3="Oui",LEN('A créer'!D3)=0,LEN('A créer'!C3)=0),"","ZZZZZZZZZZ")</f>
        <v/>
      </c>
      <c r="BY3" s="2" t="str">
        <f>IF(OR('A créer'!D3="Oui",LEN('A créer'!D3)=0,LEN('A créer'!C3)=0),"","ENT")</f>
        <v/>
      </c>
      <c r="BZ3" s="2" t="str">
        <f>IF(OR('A créer'!D3="Oui",LEN('A créer'!D3)=0,LEN('A créer'!C3)=0),"","*SAVE")</f>
        <v/>
      </c>
    </row>
    <row r="4" spans="1:78" x14ac:dyDescent="0.35">
      <c r="A4" s="2" t="str">
        <f>IF(LEN('A créer'!C4)=0,"","*FN")</f>
        <v>*FN</v>
      </c>
      <c r="B4" s="3" t="str">
        <f>IF(LEN('A créer'!C4)=0,"","\E")</f>
        <v>\E</v>
      </c>
      <c r="C4" s="2" t="str">
        <f>IF(LEN('A créer'!C4)=0,"","Tab")</f>
        <v>Tab</v>
      </c>
      <c r="D4" s="6" t="str">
        <f>IF(LEN('A créer'!C4)=0,"",'A créer'!A4)</f>
        <v>0595</v>
      </c>
      <c r="E4" s="2" t="str">
        <f>IF(LEN('A créer'!C4)=0,"","Tab")</f>
        <v>Tab</v>
      </c>
      <c r="F4" s="6">
        <f>IF(LEN('A créer'!C4)=0,"",0)</f>
        <v>0</v>
      </c>
      <c r="G4" s="2" t="str">
        <f>IF(LEN('A créer'!C4)=0,"","Tab")</f>
        <v>Tab</v>
      </c>
      <c r="H4" s="6" t="str">
        <f>IF(LEN('A créer'!C4)=0,"","ZZZ")</f>
        <v>ZZZ</v>
      </c>
      <c r="I4" s="6" t="str">
        <f>IF(LEN('A créer'!C4)=0,"","0")</f>
        <v>0</v>
      </c>
      <c r="J4" s="2" t="str">
        <f>IF(LEN('A créer'!C4)=0,"","Tab")</f>
        <v>Tab</v>
      </c>
      <c r="K4" s="6" t="str">
        <f>IF(LEN('A créer'!C4)=0,"","ZZZZZZ")</f>
        <v>ZZZZZZ</v>
      </c>
      <c r="L4" s="6" t="str">
        <f>IF(LEN('A créer'!C4)=0,"","0")</f>
        <v>0</v>
      </c>
      <c r="M4" s="2" t="str">
        <f>IF(LEN('A créer'!C4)=0,"","Tab")</f>
        <v>Tab</v>
      </c>
      <c r="N4" s="6" t="str">
        <f>IF(LEN('A créer'!C4)=0,"","ZZZZZ")</f>
        <v>ZZZZZ</v>
      </c>
      <c r="O4" s="6" t="str">
        <f>IF(LEN('A créer'!C4)=0,"",CONCATENATE('A créer'!B4,'A créer'!A4))</f>
        <v>DCW0595</v>
      </c>
      <c r="P4" s="2" t="str">
        <f>IF(LEN('A créer'!C4)=0,"","Tab")</f>
        <v>Tab</v>
      </c>
      <c r="Q4" s="6" t="str">
        <f>IF(LEN('A créer'!C4)=0,"","0")</f>
        <v>0</v>
      </c>
      <c r="R4" s="2" t="str">
        <f>IF(LEN('A créer'!C4)=0,"","Tab")</f>
        <v>Tab</v>
      </c>
      <c r="S4" s="6" t="str">
        <f>IF(LEN('A créer'!C4)=0,"","ZZZZZZZZZZ")</f>
        <v>ZZZZZZZZZZ</v>
      </c>
      <c r="T4" s="6" t="str">
        <f>IF(LEN('A créer'!C4)=0,"","0")</f>
        <v>0</v>
      </c>
      <c r="U4" s="2" t="str">
        <f>IF(LEN('A créer'!C4)=0,"","Tab")</f>
        <v>Tab</v>
      </c>
      <c r="V4" s="6" t="str">
        <f>IF(LEN('A créer'!C4)=0,"","ZZZZZZZZZZ")</f>
        <v>ZZZZZZZZZZ</v>
      </c>
      <c r="W4" s="6" t="str">
        <f>IF(LEN('A créer'!C4)=0,"","0")</f>
        <v>0</v>
      </c>
      <c r="X4" s="2" t="str">
        <f>IF(LEN('A créer'!C4)=0,"","Tab")</f>
        <v>Tab</v>
      </c>
      <c r="Y4" s="6" t="str">
        <f>IF(LEN('A créer'!C4)=0,"","ZZZZZZZZZZZZZZZ")</f>
        <v>ZZZZZZZZZZZZZZZ</v>
      </c>
      <c r="Z4" s="6" t="str">
        <f>IF(LEN('A créer'!C4)=0,"","0")</f>
        <v>0</v>
      </c>
      <c r="AA4" s="2" t="str">
        <f>IF(LEN('A créer'!C4)=0,"","Tab")</f>
        <v>Tab</v>
      </c>
      <c r="AB4" s="6" t="str">
        <f>IF(LEN('A créer'!C4)=0,"","ZZZ")</f>
        <v>ZZZ</v>
      </c>
      <c r="AC4" s="6" t="str">
        <f>IF(LEN('A créer'!C4)=0,"","0")</f>
        <v>0</v>
      </c>
      <c r="AD4" s="2" t="str">
        <f>IF(LEN('A créer'!C4)=0,"","Tab")</f>
        <v>Tab</v>
      </c>
      <c r="AE4" s="6" t="str">
        <f>IF(LEN('A créer'!C4)=0,"","ZZZZZZZZZZ")</f>
        <v>ZZZZZZZZZZ</v>
      </c>
      <c r="AF4" s="6" t="str">
        <f>IF(LEN('A créer'!C4)=0,"","0")</f>
        <v>0</v>
      </c>
      <c r="AG4" s="2" t="str">
        <f>IF(LEN('A créer'!C4)=0,"","Tab")</f>
        <v>Tab</v>
      </c>
      <c r="AH4" s="6" t="str">
        <f>IF(LEN('A créer'!C4)=0,"","ZZZZZZZZZZ")</f>
        <v>ZZZZZZZZZZ</v>
      </c>
      <c r="AI4" s="6" t="str">
        <f>IF(LEN('A créer'!C4)=0,"","0")</f>
        <v>0</v>
      </c>
      <c r="AJ4" s="2" t="str">
        <f>IF(LEN('A créer'!C4)=0,"","Tab")</f>
        <v>Tab</v>
      </c>
      <c r="AK4" s="6" t="str">
        <f>IF(LEN('A créer'!C4)=0,"","ZZZZZZZZZZ")</f>
        <v>ZZZZZZZZZZ</v>
      </c>
      <c r="AL4" s="2" t="str">
        <f>IF(LEN('A créer'!C4)=0,"","ENT")</f>
        <v>ENT</v>
      </c>
      <c r="AM4" s="2" t="str">
        <f>IF(LEN('A créer'!C4)=0,"","*SAVE")</f>
        <v>*SAVE</v>
      </c>
      <c r="AN4" s="2" t="str">
        <f>IF(OR('A créer'!D4="Oui",LEN('A créer'!D4)=0,LEN('A créer'!C4)=0),"","*FN")</f>
        <v>*FN</v>
      </c>
      <c r="AO4" s="3" t="str">
        <f>IF(OR('A créer'!D4="Oui",LEN('A créer'!D4)=0,LEN('A créer'!C4)=0),"","\E")</f>
        <v>\E</v>
      </c>
      <c r="AP4" s="2" t="str">
        <f>IF(OR('A créer'!D4="Oui",LEN('A créer'!D4)=0,LEN('A créer'!C4)=0),"","TAB")</f>
        <v>TAB</v>
      </c>
      <c r="AQ4" s="6" t="str">
        <f>IF(OR('A créer'!D4="Oui",LEN('A créer'!D4)=0,LEN('A créer'!C4)=0),"",'A créer'!A4)</f>
        <v>0595</v>
      </c>
      <c r="AR4" s="2" t="str">
        <f>IF(OR('A créer'!D4="Oui",LEN('A créer'!D4)=0,LEN('A créer'!C4)=0),"","TAB")</f>
        <v>TAB</v>
      </c>
      <c r="AS4" s="6" t="str">
        <f>IF(OR('A créer'!D4="Oui",LEN('A créer'!D4)=0,LEN('A créer'!C4)=0),"","0")</f>
        <v>0</v>
      </c>
      <c r="AT4" s="2" t="str">
        <f>IF(OR('A créer'!D4="Oui",LEN('A créer'!D4)=0,LEN('A créer'!C4)=0),"","TAB")</f>
        <v>TAB</v>
      </c>
      <c r="AU4" s="6" t="str">
        <f>IF(OR('A créer'!D4="Oui",LEN('A créer'!D4)=0,LEN('A créer'!C4)=0),"","ZZZ")</f>
        <v>ZZZ</v>
      </c>
      <c r="AV4" s="6" t="str">
        <f>IF(OR('A créer'!D4="Oui",LEN('A créer'!D4)=0,LEN('A créer'!C4)=0),"","0")</f>
        <v>0</v>
      </c>
      <c r="AW4" s="2" t="str">
        <f>IF(OR('A créer'!D4="Oui",LEN('A créer'!D4)=0,LEN('A créer'!C4)=0),"","TAB")</f>
        <v>TAB</v>
      </c>
      <c r="AX4" s="6" t="str">
        <f>IF(OR('A créer'!D4="Oui",LEN('A créer'!D4)=0,LEN('A créer'!C4)=0),"","ZZZZZZ")</f>
        <v>ZZZZZZ</v>
      </c>
      <c r="AY4" s="6" t="str">
        <f>IF(OR('A créer'!D4="Oui",LEN('A créer'!D4)=0,LEN('A créer'!C4)=0),"","0")</f>
        <v>0</v>
      </c>
      <c r="AZ4" s="2" t="str">
        <f>IF(OR('A créer'!D4="Oui",LEN('A créer'!D4)=0,LEN('A créer'!C4)=0),"","TAB")</f>
        <v>TAB</v>
      </c>
      <c r="BA4" s="6" t="str">
        <f>IF(OR('A créer'!D4="Oui",LEN('A créer'!D4)=0,LEN('A créer'!C4)=0),"","ZZZZZ")</f>
        <v>ZZZZZ</v>
      </c>
      <c r="BB4" s="6" t="str">
        <f>IF(OR('A créer'!D4="Oui",LEN('A créer'!D4)=0,LEN('A créer'!C4)=0),"",CONCATENATE("XXX",'A créer'!A4))</f>
        <v>XXX0595</v>
      </c>
      <c r="BC4" s="2" t="str">
        <f>IF(OR('A créer'!D4="Oui",LEN('A créer'!D4)=0,LEN('A créer'!C4)=0),"","TAB")</f>
        <v>TAB</v>
      </c>
      <c r="BD4" s="6" t="str">
        <f>IF(OR('A créer'!D4="Oui",LEN('A créer'!D4)=0,LEN('A créer'!C4)=0),"","0")</f>
        <v>0</v>
      </c>
      <c r="BE4" s="2" t="str">
        <f>IF(OR('A créer'!D4="Oui",LEN('A créer'!D4)=0,LEN('A créer'!C4)=0),"","TAB")</f>
        <v>TAB</v>
      </c>
      <c r="BF4" s="6" t="str">
        <f>IF(OR('A créer'!D4="Oui",LEN('A créer'!D4)=0,LEN('A créer'!C4)=0),"","ZZZZZZZZZZ")</f>
        <v>ZZZZZZZZZZ</v>
      </c>
      <c r="BG4" s="6" t="str">
        <f>IF(OR('A créer'!D4="Oui",LEN('A créer'!D4)=0,LEN('A créer'!C4)=0),"","0")</f>
        <v>0</v>
      </c>
      <c r="BH4" s="2" t="str">
        <f>IF(OR('A créer'!D4="Oui",LEN('A créer'!D4)=0,LEN('A créer'!C4)=0),"","TAB")</f>
        <v>TAB</v>
      </c>
      <c r="BI4" s="6" t="str">
        <f>IF(OR('A créer'!D4="Oui",LEN('A créer'!D4)=0,LEN('A créer'!C4)=0),"","ZZZZZZZZZZ")</f>
        <v>ZZZZZZZZZZ</v>
      </c>
      <c r="BJ4" s="6" t="str">
        <f>IF(OR('A créer'!D4="Oui",LEN('A créer'!D4)=0,LEN('A créer'!C4)=0),"","0")</f>
        <v>0</v>
      </c>
      <c r="BK4" s="2" t="str">
        <f>IF(OR('A créer'!D4="Oui",LEN('A créer'!D4)=0,LEN('A créer'!C4)=0),"","TAB")</f>
        <v>TAB</v>
      </c>
      <c r="BL4" s="6" t="str">
        <f>IF(OR('A créer'!D4="Oui",LEN('A créer'!D4)=0,LEN('A créer'!C4)=0),"","ZZZZZZZZZZZZZZZ")</f>
        <v>ZZZZZZZZZZZZZZZ</v>
      </c>
      <c r="BM4" s="6" t="str">
        <f>IF(OR('A créer'!D4="Oui",LEN('A créer'!D4)=0,LEN('A créer'!C4)=0),"","0")</f>
        <v>0</v>
      </c>
      <c r="BN4" s="2" t="str">
        <f>IF(OR('A créer'!D4="Oui",LEN('A créer'!D4)=0,LEN('A créer'!C4)=0),"","TAB")</f>
        <v>TAB</v>
      </c>
      <c r="BO4" s="6" t="str">
        <f>IF(OR('A créer'!D4="Oui",LEN('A créer'!D4)=0,LEN('A créer'!C4)=0),"","ZZZ")</f>
        <v>ZZZ</v>
      </c>
      <c r="BP4" s="6" t="str">
        <f>IF(OR('A créer'!D4="Oui",LEN('A créer'!D4)=0,LEN('A créer'!C4)=0),"","0")</f>
        <v>0</v>
      </c>
      <c r="BQ4" s="2" t="str">
        <f>IF(OR('A créer'!D4="Oui",LEN('A créer'!D4)=0,LEN('A créer'!C4)=0),"","TAB")</f>
        <v>TAB</v>
      </c>
      <c r="BR4" s="6" t="str">
        <f>IF(OR('A créer'!D4="Oui",LEN('A créer'!D4)=0,LEN('A créer'!C4)=0),"","ZZZZZZZZZZ")</f>
        <v>ZZZZZZZZZZ</v>
      </c>
      <c r="BS4" s="6" t="str">
        <f>IF(OR('A créer'!D4="Oui",LEN('A créer'!D4)=0,LEN('A créer'!C4)=0),"","0")</f>
        <v>0</v>
      </c>
      <c r="BT4" s="2" t="str">
        <f>IF(OR('A créer'!D4="Oui",LEN('A créer'!D4)=0,LEN('A créer'!C4)=0),"","TAB")</f>
        <v>TAB</v>
      </c>
      <c r="BU4" s="6" t="str">
        <f>IF(OR('A créer'!D4="Oui",LEN('A créer'!D4)=0,LEN('A créer'!C4)=0),"","ZZZZZZZZZZ")</f>
        <v>ZZZZZZZZZZ</v>
      </c>
      <c r="BV4" s="6" t="str">
        <f>IF(OR('A créer'!D4="Oui",LEN('A créer'!D4)=0,LEN('A créer'!C4)=0),"","0")</f>
        <v>0</v>
      </c>
      <c r="BW4" s="2" t="str">
        <f>IF(OR('A créer'!D4="Oui",LEN('A créer'!D4)=0,LEN('A créer'!C4)=0),"","TAB")</f>
        <v>TAB</v>
      </c>
      <c r="BX4" s="6" t="str">
        <f>IF(OR('A créer'!D4="Oui",LEN('A créer'!D4)=0,LEN('A créer'!C4)=0),"","ZZZZZZZZZZ")</f>
        <v>ZZZZZZZZZZ</v>
      </c>
      <c r="BY4" s="2" t="str">
        <f>IF(OR('A créer'!D4="Oui",LEN('A créer'!D4)=0,LEN('A créer'!C4)=0),"","ENT")</f>
        <v>ENT</v>
      </c>
      <c r="BZ4" s="2" t="str">
        <f>IF(OR('A créer'!D4="Oui",LEN('A créer'!D4)=0,LEN('A créer'!C4)=0),"","*SAVE")</f>
        <v>*SAVE</v>
      </c>
    </row>
    <row r="5" spans="1:78" x14ac:dyDescent="0.35">
      <c r="A5" s="2" t="str">
        <f>IF(LEN('A créer'!C5)=0,"","*FN")</f>
        <v/>
      </c>
      <c r="B5" s="3" t="str">
        <f>IF(LEN('A créer'!C5)=0,"","\E")</f>
        <v/>
      </c>
      <c r="C5" s="2" t="str">
        <f>IF(LEN('A créer'!C5)=0,"","Tab")</f>
        <v/>
      </c>
      <c r="D5" s="6" t="str">
        <f>IF(LEN('A créer'!C5)=0,"",'A créer'!A5)</f>
        <v/>
      </c>
      <c r="E5" s="2" t="str">
        <f>IF(LEN('A créer'!C5)=0,"","Tab")</f>
        <v/>
      </c>
      <c r="F5" s="6" t="str">
        <f>IF(LEN('A créer'!C5)=0,"",0)</f>
        <v/>
      </c>
      <c r="G5" s="2" t="str">
        <f>IF(LEN('A créer'!C5)=0,"","Tab")</f>
        <v/>
      </c>
      <c r="H5" s="6" t="str">
        <f>IF(LEN('A créer'!C5)=0,"","ZZZ")</f>
        <v/>
      </c>
      <c r="I5" s="6" t="str">
        <f>IF(LEN('A créer'!C5)=0,"","0")</f>
        <v/>
      </c>
      <c r="J5" s="2" t="str">
        <f>IF(LEN('A créer'!C5)=0,"","Tab")</f>
        <v/>
      </c>
      <c r="K5" s="6" t="str">
        <f>IF(LEN('A créer'!C5)=0,"","ZZZZZZ")</f>
        <v/>
      </c>
      <c r="L5" s="6" t="str">
        <f>IF(LEN('A créer'!C5)=0,"","0")</f>
        <v/>
      </c>
      <c r="M5" s="2" t="str">
        <f>IF(LEN('A créer'!C5)=0,"","Tab")</f>
        <v/>
      </c>
      <c r="N5" s="6" t="str">
        <f>IF(LEN('A créer'!C5)=0,"","ZZZZZ")</f>
        <v/>
      </c>
      <c r="O5" s="6" t="str">
        <f>IF(LEN('A créer'!C5)=0,"",CONCATENATE('A créer'!B5,'A créer'!A5))</f>
        <v/>
      </c>
      <c r="P5" s="2" t="str">
        <f>IF(LEN('A créer'!C5)=0,"","Tab")</f>
        <v/>
      </c>
      <c r="Q5" s="6" t="str">
        <f>IF(LEN('A créer'!C5)=0,"","0")</f>
        <v/>
      </c>
      <c r="R5" s="2" t="str">
        <f>IF(LEN('A créer'!C5)=0,"","Tab")</f>
        <v/>
      </c>
      <c r="S5" s="6" t="str">
        <f>IF(LEN('A créer'!C5)=0,"","ZZZZZZZZZZ")</f>
        <v/>
      </c>
      <c r="T5" s="6" t="str">
        <f>IF(LEN('A créer'!C5)=0,"","0")</f>
        <v/>
      </c>
      <c r="U5" s="2" t="str">
        <f>IF(LEN('A créer'!C5)=0,"","Tab")</f>
        <v/>
      </c>
      <c r="V5" s="6" t="str">
        <f>IF(LEN('A créer'!C5)=0,"","ZZZZZZZZZZ")</f>
        <v/>
      </c>
      <c r="W5" s="6" t="str">
        <f>IF(LEN('A créer'!C5)=0,"","0")</f>
        <v/>
      </c>
      <c r="X5" s="2" t="str">
        <f>IF(LEN('A créer'!C5)=0,"","Tab")</f>
        <v/>
      </c>
      <c r="Y5" s="6" t="str">
        <f>IF(LEN('A créer'!C5)=0,"","ZZZZZZZZZZZZZZZ")</f>
        <v/>
      </c>
      <c r="Z5" s="6" t="str">
        <f>IF(LEN('A créer'!C5)=0,"","0")</f>
        <v/>
      </c>
      <c r="AA5" s="2" t="str">
        <f>IF(LEN('A créer'!C5)=0,"","Tab")</f>
        <v/>
      </c>
      <c r="AB5" s="6" t="str">
        <f>IF(LEN('A créer'!C5)=0,"","ZZZ")</f>
        <v/>
      </c>
      <c r="AC5" s="6" t="str">
        <f>IF(LEN('A créer'!C5)=0,"","0")</f>
        <v/>
      </c>
      <c r="AD5" s="2" t="str">
        <f>IF(LEN('A créer'!C5)=0,"","Tab")</f>
        <v/>
      </c>
      <c r="AE5" s="6" t="str">
        <f>IF(LEN('A créer'!C5)=0,"","ZZZZZZZZZZ")</f>
        <v/>
      </c>
      <c r="AF5" s="6" t="str">
        <f>IF(LEN('A créer'!C5)=0,"","0")</f>
        <v/>
      </c>
      <c r="AG5" s="2" t="str">
        <f>IF(LEN('A créer'!C5)=0,"","Tab")</f>
        <v/>
      </c>
      <c r="AH5" s="6" t="str">
        <f>IF(LEN('A créer'!C5)=0,"","ZZZZZZZZZZ")</f>
        <v/>
      </c>
      <c r="AI5" s="6" t="str">
        <f>IF(LEN('A créer'!C5)=0,"","0")</f>
        <v/>
      </c>
      <c r="AJ5" s="2" t="str">
        <f>IF(LEN('A créer'!C5)=0,"","Tab")</f>
        <v/>
      </c>
      <c r="AK5" s="6" t="str">
        <f>IF(LEN('A créer'!C5)=0,"","ZZZZZZZZZZ")</f>
        <v/>
      </c>
      <c r="AL5" s="2" t="str">
        <f>IF(LEN('A créer'!C5)=0,"","ENT")</f>
        <v/>
      </c>
      <c r="AM5" s="2" t="str">
        <f>IF(LEN('A créer'!C5)=0,"","*SAVE")</f>
        <v/>
      </c>
      <c r="AN5" s="2" t="str">
        <f>IF(OR('A créer'!D5="Oui",LEN('A créer'!D5)=0,LEN('A créer'!C5)=0),"","*FN")</f>
        <v/>
      </c>
      <c r="AO5" s="3" t="str">
        <f>IF(OR('A créer'!D5="Oui",LEN('A créer'!D5)=0,LEN('A créer'!C5)=0),"","\E")</f>
        <v/>
      </c>
      <c r="AP5" s="2" t="str">
        <f>IF(OR('A créer'!D5="Oui",LEN('A créer'!D5)=0,LEN('A créer'!C5)=0),"","TAB")</f>
        <v/>
      </c>
      <c r="AQ5" s="6" t="str">
        <f>IF(OR('A créer'!D5="Oui",LEN('A créer'!D5)=0,LEN('A créer'!C5)=0),"",'A créer'!A5)</f>
        <v/>
      </c>
      <c r="AR5" s="2" t="str">
        <f>IF(OR('A créer'!D5="Oui",LEN('A créer'!D5)=0,LEN('A créer'!C5)=0),"","TAB")</f>
        <v/>
      </c>
      <c r="AS5" s="6" t="str">
        <f>IF(OR('A créer'!D5="Oui",LEN('A créer'!D5)=0,LEN('A créer'!C5)=0),"","0")</f>
        <v/>
      </c>
      <c r="AT5" s="2" t="str">
        <f>IF(OR('A créer'!D5="Oui",LEN('A créer'!D5)=0,LEN('A créer'!C5)=0),"","TAB")</f>
        <v/>
      </c>
      <c r="AU5" s="6" t="str">
        <f>IF(OR('A créer'!D5="Oui",LEN('A créer'!D5)=0,LEN('A créer'!C5)=0),"","ZZZ")</f>
        <v/>
      </c>
      <c r="AV5" s="6" t="str">
        <f>IF(OR('A créer'!D5="Oui",LEN('A créer'!D5)=0,LEN('A créer'!C5)=0),"","0")</f>
        <v/>
      </c>
      <c r="AW5" s="2" t="str">
        <f>IF(OR('A créer'!D5="Oui",LEN('A créer'!D5)=0,LEN('A créer'!C5)=0),"","TAB")</f>
        <v/>
      </c>
      <c r="AX5" s="6" t="str">
        <f>IF(OR('A créer'!D5="Oui",LEN('A créer'!D5)=0,LEN('A créer'!C5)=0),"","ZZZZZZ")</f>
        <v/>
      </c>
      <c r="AY5" s="6" t="str">
        <f>IF(OR('A créer'!D5="Oui",LEN('A créer'!D5)=0,LEN('A créer'!C5)=0),"","0")</f>
        <v/>
      </c>
      <c r="AZ5" s="2" t="str">
        <f>IF(OR('A créer'!D5="Oui",LEN('A créer'!D5)=0,LEN('A créer'!C5)=0),"","TAB")</f>
        <v/>
      </c>
      <c r="BA5" s="6" t="str">
        <f>IF(OR('A créer'!D5="Oui",LEN('A créer'!D5)=0,LEN('A créer'!C5)=0),"","ZZZZZ")</f>
        <v/>
      </c>
      <c r="BB5" s="6" t="str">
        <f>IF(OR('A créer'!D5="Oui",LEN('A créer'!D5)=0,LEN('A créer'!C5)=0),"",CONCATENATE("XXX",'A créer'!A5))</f>
        <v/>
      </c>
      <c r="BC5" s="2" t="str">
        <f>IF(OR('A créer'!D5="Oui",LEN('A créer'!D5)=0,LEN('A créer'!C5)=0),"","TAB")</f>
        <v/>
      </c>
      <c r="BD5" s="6" t="str">
        <f>IF(OR('A créer'!D5="Oui",LEN('A créer'!D5)=0,LEN('A créer'!C5)=0),"","0")</f>
        <v/>
      </c>
      <c r="BE5" s="2" t="str">
        <f>IF(OR('A créer'!D5="Oui",LEN('A créer'!D5)=0,LEN('A créer'!C5)=0),"","TAB")</f>
        <v/>
      </c>
      <c r="BF5" s="6" t="str">
        <f>IF(OR('A créer'!D5="Oui",LEN('A créer'!D5)=0,LEN('A créer'!C5)=0),"","ZZZZZZZZZZ")</f>
        <v/>
      </c>
      <c r="BG5" s="6" t="str">
        <f>IF(OR('A créer'!D5="Oui",LEN('A créer'!D5)=0,LEN('A créer'!C5)=0),"","0")</f>
        <v/>
      </c>
      <c r="BH5" s="2" t="str">
        <f>IF(OR('A créer'!D5="Oui",LEN('A créer'!D5)=0,LEN('A créer'!C5)=0),"","TAB")</f>
        <v/>
      </c>
      <c r="BI5" s="6" t="str">
        <f>IF(OR('A créer'!D5="Oui",LEN('A créer'!D5)=0,LEN('A créer'!C5)=0),"","ZZZZZZZZZZ")</f>
        <v/>
      </c>
      <c r="BJ5" s="6" t="str">
        <f>IF(OR('A créer'!D5="Oui",LEN('A créer'!D5)=0,LEN('A créer'!C5)=0),"","0")</f>
        <v/>
      </c>
      <c r="BK5" s="2" t="str">
        <f>IF(OR('A créer'!D5="Oui",LEN('A créer'!D5)=0,LEN('A créer'!C5)=0),"","TAB")</f>
        <v/>
      </c>
      <c r="BL5" s="6" t="str">
        <f>IF(OR('A créer'!D5="Oui",LEN('A créer'!D5)=0,LEN('A créer'!C5)=0),"","ZZZZZZZZZZZZZZZ")</f>
        <v/>
      </c>
      <c r="BM5" s="6" t="str">
        <f>IF(OR('A créer'!D5="Oui",LEN('A créer'!D5)=0,LEN('A créer'!C5)=0),"","0")</f>
        <v/>
      </c>
      <c r="BN5" s="2" t="str">
        <f>IF(OR('A créer'!D5="Oui",LEN('A créer'!D5)=0,LEN('A créer'!C5)=0),"","TAB")</f>
        <v/>
      </c>
      <c r="BO5" s="6" t="str">
        <f>IF(OR('A créer'!D5="Oui",LEN('A créer'!D5)=0,LEN('A créer'!C5)=0),"","ZZZ")</f>
        <v/>
      </c>
      <c r="BP5" s="6" t="str">
        <f>IF(OR('A créer'!D5="Oui",LEN('A créer'!D5)=0,LEN('A créer'!C5)=0),"","0")</f>
        <v/>
      </c>
      <c r="BQ5" s="2" t="str">
        <f>IF(OR('A créer'!D5="Oui",LEN('A créer'!D5)=0,LEN('A créer'!C5)=0),"","TAB")</f>
        <v/>
      </c>
      <c r="BR5" s="6" t="str">
        <f>IF(OR('A créer'!D5="Oui",LEN('A créer'!D5)=0,LEN('A créer'!C5)=0),"","ZZZZZZZZZZ")</f>
        <v/>
      </c>
      <c r="BS5" s="6" t="str">
        <f>IF(OR('A créer'!D5="Oui",LEN('A créer'!D5)=0,LEN('A créer'!C5)=0),"","0")</f>
        <v/>
      </c>
      <c r="BT5" s="2" t="str">
        <f>IF(OR('A créer'!D5="Oui",LEN('A créer'!D5)=0,LEN('A créer'!C5)=0),"","TAB")</f>
        <v/>
      </c>
      <c r="BU5" s="6" t="str">
        <f>IF(OR('A créer'!D5="Oui",LEN('A créer'!D5)=0,LEN('A créer'!C5)=0),"","ZZZZZZZZZZ")</f>
        <v/>
      </c>
      <c r="BV5" s="6" t="str">
        <f>IF(OR('A créer'!D5="Oui",LEN('A créer'!D5)=0,LEN('A créer'!C5)=0),"","0")</f>
        <v/>
      </c>
      <c r="BW5" s="2" t="str">
        <f>IF(OR('A créer'!D5="Oui",LEN('A créer'!D5)=0,LEN('A créer'!C5)=0),"","TAB")</f>
        <v/>
      </c>
      <c r="BX5" s="6" t="str">
        <f>IF(OR('A créer'!D5="Oui",LEN('A créer'!D5)=0,LEN('A créer'!C5)=0),"","ZZZZZZZZZZ")</f>
        <v/>
      </c>
      <c r="BY5" s="2" t="str">
        <f>IF(OR('A créer'!D5="Oui",LEN('A créer'!D5)=0,LEN('A créer'!C5)=0),"","ENT")</f>
        <v/>
      </c>
      <c r="BZ5" s="2" t="str">
        <f>IF(OR('A créer'!D5="Oui",LEN('A créer'!D5)=0,LEN('A créer'!C5)=0),"","*SAVE")</f>
        <v/>
      </c>
    </row>
    <row r="6" spans="1:78" x14ac:dyDescent="0.35">
      <c r="A6" s="2" t="str">
        <f>IF(LEN('A créer'!C6)=0,"","*FN")</f>
        <v/>
      </c>
      <c r="B6" s="3" t="str">
        <f>IF(LEN('A créer'!C6)=0,"","\E")</f>
        <v/>
      </c>
      <c r="C6" s="2" t="str">
        <f>IF(LEN('A créer'!C6)=0,"","Tab")</f>
        <v/>
      </c>
      <c r="D6" s="6" t="str">
        <f>IF(LEN('A créer'!C6)=0,"",'A créer'!A6)</f>
        <v/>
      </c>
      <c r="E6" s="2" t="str">
        <f>IF(LEN('A créer'!C6)=0,"","Tab")</f>
        <v/>
      </c>
      <c r="F6" s="6" t="str">
        <f>IF(LEN('A créer'!C6)=0,"",0)</f>
        <v/>
      </c>
      <c r="G6" s="2" t="str">
        <f>IF(LEN('A créer'!C6)=0,"","Tab")</f>
        <v/>
      </c>
      <c r="H6" s="6" t="str">
        <f>IF(LEN('A créer'!C6)=0,"","ZZZ")</f>
        <v/>
      </c>
      <c r="I6" s="6" t="str">
        <f>IF(LEN('A créer'!C6)=0,"","0")</f>
        <v/>
      </c>
      <c r="J6" s="2" t="str">
        <f>IF(LEN('A créer'!C6)=0,"","Tab")</f>
        <v/>
      </c>
      <c r="K6" s="6" t="str">
        <f>IF(LEN('A créer'!C6)=0,"","ZZZZZZ")</f>
        <v/>
      </c>
      <c r="L6" s="6" t="str">
        <f>IF(LEN('A créer'!C6)=0,"","0")</f>
        <v/>
      </c>
      <c r="M6" s="2" t="str">
        <f>IF(LEN('A créer'!C6)=0,"","Tab")</f>
        <v/>
      </c>
      <c r="N6" s="6" t="str">
        <f>IF(LEN('A créer'!C6)=0,"","ZZZZZ")</f>
        <v/>
      </c>
      <c r="O6" s="6" t="str">
        <f>IF(LEN('A créer'!C6)=0,"",CONCATENATE('A créer'!B6,'A créer'!A6))</f>
        <v/>
      </c>
      <c r="P6" s="2" t="str">
        <f>IF(LEN('A créer'!C6)=0,"","Tab")</f>
        <v/>
      </c>
      <c r="Q6" s="6" t="str">
        <f>IF(LEN('A créer'!C6)=0,"","0")</f>
        <v/>
      </c>
      <c r="R6" s="2" t="str">
        <f>IF(LEN('A créer'!C6)=0,"","Tab")</f>
        <v/>
      </c>
      <c r="S6" s="6" t="str">
        <f>IF(LEN('A créer'!C6)=0,"","ZZZZZZZZZZ")</f>
        <v/>
      </c>
      <c r="T6" s="6" t="str">
        <f>IF(LEN('A créer'!C6)=0,"","0")</f>
        <v/>
      </c>
      <c r="U6" s="2" t="str">
        <f>IF(LEN('A créer'!C6)=0,"","Tab")</f>
        <v/>
      </c>
      <c r="V6" s="6" t="str">
        <f>IF(LEN('A créer'!C6)=0,"","ZZZZZZZZZZ")</f>
        <v/>
      </c>
      <c r="W6" s="6" t="str">
        <f>IF(LEN('A créer'!C6)=0,"","0")</f>
        <v/>
      </c>
      <c r="X6" s="2" t="str">
        <f>IF(LEN('A créer'!C6)=0,"","Tab")</f>
        <v/>
      </c>
      <c r="Y6" s="6" t="str">
        <f>IF(LEN('A créer'!C6)=0,"","ZZZZZZZZZZZZZZZ")</f>
        <v/>
      </c>
      <c r="Z6" s="6" t="str">
        <f>IF(LEN('A créer'!C6)=0,"","0")</f>
        <v/>
      </c>
      <c r="AA6" s="2" t="str">
        <f>IF(LEN('A créer'!C6)=0,"","Tab")</f>
        <v/>
      </c>
      <c r="AB6" s="6" t="str">
        <f>IF(LEN('A créer'!C6)=0,"","ZZZ")</f>
        <v/>
      </c>
      <c r="AC6" s="6" t="str">
        <f>IF(LEN('A créer'!C6)=0,"","0")</f>
        <v/>
      </c>
      <c r="AD6" s="2" t="str">
        <f>IF(LEN('A créer'!C6)=0,"","Tab")</f>
        <v/>
      </c>
      <c r="AE6" s="6" t="str">
        <f>IF(LEN('A créer'!C6)=0,"","ZZZZZZZZZZ")</f>
        <v/>
      </c>
      <c r="AF6" s="6" t="str">
        <f>IF(LEN('A créer'!C6)=0,"","0")</f>
        <v/>
      </c>
      <c r="AG6" s="2" t="str">
        <f>IF(LEN('A créer'!C6)=0,"","Tab")</f>
        <v/>
      </c>
      <c r="AH6" s="6" t="str">
        <f>IF(LEN('A créer'!C6)=0,"","ZZZZZZZZZZ")</f>
        <v/>
      </c>
      <c r="AI6" s="6" t="str">
        <f>IF(LEN('A créer'!C6)=0,"","0")</f>
        <v/>
      </c>
      <c r="AJ6" s="2" t="str">
        <f>IF(LEN('A créer'!C6)=0,"","Tab")</f>
        <v/>
      </c>
      <c r="AK6" s="6" t="str">
        <f>IF(LEN('A créer'!C6)=0,"","ZZZZZZZZZZ")</f>
        <v/>
      </c>
      <c r="AL6" s="2" t="str">
        <f>IF(LEN('A créer'!C6)=0,"","ENT")</f>
        <v/>
      </c>
      <c r="AM6" s="2" t="str">
        <f>IF(LEN('A créer'!C6)=0,"","*SAVE")</f>
        <v/>
      </c>
      <c r="AN6" s="2" t="str">
        <f>IF(OR('A créer'!D6="Oui",LEN('A créer'!D6)=0,LEN('A créer'!C6)=0),"","*FN")</f>
        <v/>
      </c>
      <c r="AO6" s="3" t="str">
        <f>IF(OR('A créer'!D6="Oui",LEN('A créer'!D6)=0,LEN('A créer'!C6)=0),"","\E")</f>
        <v/>
      </c>
      <c r="AP6" s="2" t="str">
        <f>IF(OR('A créer'!D6="Oui",LEN('A créer'!D6)=0,LEN('A créer'!C6)=0),"","TAB")</f>
        <v/>
      </c>
      <c r="AQ6" s="6" t="str">
        <f>IF(OR('A créer'!D6="Oui",LEN('A créer'!D6)=0,LEN('A créer'!C6)=0),"",'A créer'!A6)</f>
        <v/>
      </c>
      <c r="AR6" s="2" t="str">
        <f>IF(OR('A créer'!D6="Oui",LEN('A créer'!D6)=0,LEN('A créer'!C6)=0),"","TAB")</f>
        <v/>
      </c>
      <c r="AS6" s="6" t="str">
        <f>IF(OR('A créer'!D6="Oui",LEN('A créer'!D6)=0,LEN('A créer'!C6)=0),"","0")</f>
        <v/>
      </c>
      <c r="AT6" s="2" t="str">
        <f>IF(OR('A créer'!D6="Oui",LEN('A créer'!D6)=0,LEN('A créer'!C6)=0),"","TAB")</f>
        <v/>
      </c>
      <c r="AU6" s="6" t="str">
        <f>IF(OR('A créer'!D6="Oui",LEN('A créer'!D6)=0,LEN('A créer'!C6)=0),"","ZZZ")</f>
        <v/>
      </c>
      <c r="AV6" s="6" t="str">
        <f>IF(OR('A créer'!D6="Oui",LEN('A créer'!D6)=0,LEN('A créer'!C6)=0),"","0")</f>
        <v/>
      </c>
      <c r="AW6" s="2" t="str">
        <f>IF(OR('A créer'!D6="Oui",LEN('A créer'!D6)=0,LEN('A créer'!C6)=0),"","TAB")</f>
        <v/>
      </c>
      <c r="AX6" s="6" t="str">
        <f>IF(OR('A créer'!D6="Oui",LEN('A créer'!D6)=0,LEN('A créer'!C6)=0),"","ZZZZZZ")</f>
        <v/>
      </c>
      <c r="AY6" s="6" t="str">
        <f>IF(OR('A créer'!D6="Oui",LEN('A créer'!D6)=0,LEN('A créer'!C6)=0),"","0")</f>
        <v/>
      </c>
      <c r="AZ6" s="2" t="str">
        <f>IF(OR('A créer'!D6="Oui",LEN('A créer'!D6)=0,LEN('A créer'!C6)=0),"","TAB")</f>
        <v/>
      </c>
      <c r="BA6" s="6" t="str">
        <f>IF(OR('A créer'!D6="Oui",LEN('A créer'!D6)=0,LEN('A créer'!C6)=0),"","ZZZZZ")</f>
        <v/>
      </c>
      <c r="BB6" s="6" t="str">
        <f>IF(OR('A créer'!D6="Oui",LEN('A créer'!D6)=0,LEN('A créer'!C6)=0),"",CONCATENATE("XXX",'A créer'!A6))</f>
        <v/>
      </c>
      <c r="BC6" s="2" t="str">
        <f>IF(OR('A créer'!D6="Oui",LEN('A créer'!D6)=0,LEN('A créer'!C6)=0),"","TAB")</f>
        <v/>
      </c>
      <c r="BD6" s="6" t="str">
        <f>IF(OR('A créer'!D6="Oui",LEN('A créer'!D6)=0,LEN('A créer'!C6)=0),"","0")</f>
        <v/>
      </c>
      <c r="BE6" s="2" t="str">
        <f>IF(OR('A créer'!D6="Oui",LEN('A créer'!D6)=0,LEN('A créer'!C6)=0),"","TAB")</f>
        <v/>
      </c>
      <c r="BF6" s="6" t="str">
        <f>IF(OR('A créer'!D6="Oui",LEN('A créer'!D6)=0,LEN('A créer'!C6)=0),"","ZZZZZZZZZZ")</f>
        <v/>
      </c>
      <c r="BG6" s="6" t="str">
        <f>IF(OR('A créer'!D6="Oui",LEN('A créer'!D6)=0,LEN('A créer'!C6)=0),"","0")</f>
        <v/>
      </c>
      <c r="BH6" s="2" t="str">
        <f>IF(OR('A créer'!D6="Oui",LEN('A créer'!D6)=0,LEN('A créer'!C6)=0),"","TAB")</f>
        <v/>
      </c>
      <c r="BI6" s="6" t="str">
        <f>IF(OR('A créer'!D6="Oui",LEN('A créer'!D6)=0,LEN('A créer'!C6)=0),"","ZZZZZZZZZZ")</f>
        <v/>
      </c>
      <c r="BJ6" s="6" t="str">
        <f>IF(OR('A créer'!D6="Oui",LEN('A créer'!D6)=0,LEN('A créer'!C6)=0),"","0")</f>
        <v/>
      </c>
      <c r="BK6" s="2" t="str">
        <f>IF(OR('A créer'!D6="Oui",LEN('A créer'!D6)=0,LEN('A créer'!C6)=0),"","TAB")</f>
        <v/>
      </c>
      <c r="BL6" s="6" t="str">
        <f>IF(OR('A créer'!D6="Oui",LEN('A créer'!D6)=0,LEN('A créer'!C6)=0),"","ZZZZZZZZZZZZZZZ")</f>
        <v/>
      </c>
      <c r="BM6" s="6" t="str">
        <f>IF(OR('A créer'!D6="Oui",LEN('A créer'!D6)=0,LEN('A créer'!C6)=0),"","0")</f>
        <v/>
      </c>
      <c r="BN6" s="2" t="str">
        <f>IF(OR('A créer'!D6="Oui",LEN('A créer'!D6)=0,LEN('A créer'!C6)=0),"","TAB")</f>
        <v/>
      </c>
      <c r="BO6" s="6" t="str">
        <f>IF(OR('A créer'!D6="Oui",LEN('A créer'!D6)=0,LEN('A créer'!C6)=0),"","ZZZ")</f>
        <v/>
      </c>
      <c r="BP6" s="6" t="str">
        <f>IF(OR('A créer'!D6="Oui",LEN('A créer'!D6)=0,LEN('A créer'!C6)=0),"","0")</f>
        <v/>
      </c>
      <c r="BQ6" s="2" t="str">
        <f>IF(OR('A créer'!D6="Oui",LEN('A créer'!D6)=0,LEN('A créer'!C6)=0),"","TAB")</f>
        <v/>
      </c>
      <c r="BR6" s="6" t="str">
        <f>IF(OR('A créer'!D6="Oui",LEN('A créer'!D6)=0,LEN('A créer'!C6)=0),"","ZZZZZZZZZZ")</f>
        <v/>
      </c>
      <c r="BS6" s="6" t="str">
        <f>IF(OR('A créer'!D6="Oui",LEN('A créer'!D6)=0,LEN('A créer'!C6)=0),"","0")</f>
        <v/>
      </c>
      <c r="BT6" s="2" t="str">
        <f>IF(OR('A créer'!D6="Oui",LEN('A créer'!D6)=0,LEN('A créer'!C6)=0),"","TAB")</f>
        <v/>
      </c>
      <c r="BU6" s="6" t="str">
        <f>IF(OR('A créer'!D6="Oui",LEN('A créer'!D6)=0,LEN('A créer'!C6)=0),"","ZZZZZZZZZZ")</f>
        <v/>
      </c>
      <c r="BV6" s="6" t="str">
        <f>IF(OR('A créer'!D6="Oui",LEN('A créer'!D6)=0,LEN('A créer'!C6)=0),"","0")</f>
        <v/>
      </c>
      <c r="BW6" s="2" t="str">
        <f>IF(OR('A créer'!D6="Oui",LEN('A créer'!D6)=0,LEN('A créer'!C6)=0),"","TAB")</f>
        <v/>
      </c>
      <c r="BX6" s="6" t="str">
        <f>IF(OR('A créer'!D6="Oui",LEN('A créer'!D6)=0,LEN('A créer'!C6)=0),"","ZZZZZZZZZZ")</f>
        <v/>
      </c>
      <c r="BY6" s="2" t="str">
        <f>IF(OR('A créer'!D6="Oui",LEN('A créer'!D6)=0,LEN('A créer'!C6)=0),"","ENT")</f>
        <v/>
      </c>
      <c r="BZ6" s="2" t="str">
        <f>IF(OR('A créer'!D6="Oui",LEN('A créer'!D6)=0,LEN('A créer'!C6)=0),"","*SAVE")</f>
        <v/>
      </c>
    </row>
    <row r="7" spans="1:78" x14ac:dyDescent="0.35">
      <c r="A7" s="2" t="str">
        <f>IF(LEN('A créer'!C7)=0,"","*FN")</f>
        <v/>
      </c>
      <c r="B7" s="3" t="str">
        <f>IF(LEN('A créer'!C7)=0,"","\E")</f>
        <v/>
      </c>
      <c r="C7" s="2" t="str">
        <f>IF(LEN('A créer'!C7)=0,"","Tab")</f>
        <v/>
      </c>
      <c r="D7" s="6" t="str">
        <f>IF(LEN('A créer'!C7)=0,"",'A créer'!A7)</f>
        <v/>
      </c>
      <c r="E7" s="2" t="str">
        <f>IF(LEN('A créer'!C7)=0,"","Tab")</f>
        <v/>
      </c>
      <c r="F7" s="6" t="str">
        <f>IF(LEN('A créer'!C7)=0,"",0)</f>
        <v/>
      </c>
      <c r="G7" s="2" t="str">
        <f>IF(LEN('A créer'!C7)=0,"","Tab")</f>
        <v/>
      </c>
      <c r="H7" s="6" t="str">
        <f>IF(LEN('A créer'!C7)=0,"","ZZZ")</f>
        <v/>
      </c>
      <c r="I7" s="6" t="str">
        <f>IF(LEN('A créer'!C7)=0,"","0")</f>
        <v/>
      </c>
      <c r="J7" s="2" t="str">
        <f>IF(LEN('A créer'!C7)=0,"","Tab")</f>
        <v/>
      </c>
      <c r="K7" s="6" t="str">
        <f>IF(LEN('A créer'!C7)=0,"","ZZZZZZ")</f>
        <v/>
      </c>
      <c r="L7" s="6" t="str">
        <f>IF(LEN('A créer'!C7)=0,"","0")</f>
        <v/>
      </c>
      <c r="M7" s="2" t="str">
        <f>IF(LEN('A créer'!C7)=0,"","Tab")</f>
        <v/>
      </c>
      <c r="N7" s="6" t="str">
        <f>IF(LEN('A créer'!C7)=0,"","ZZZZZ")</f>
        <v/>
      </c>
      <c r="O7" s="6" t="str">
        <f>IF(LEN('A créer'!C7)=0,"",CONCATENATE('A créer'!B7,'A créer'!A7))</f>
        <v/>
      </c>
      <c r="P7" s="2" t="str">
        <f>IF(LEN('A créer'!C7)=0,"","Tab")</f>
        <v/>
      </c>
      <c r="Q7" s="6" t="str">
        <f>IF(LEN('A créer'!C7)=0,"","0")</f>
        <v/>
      </c>
      <c r="R7" s="2" t="str">
        <f>IF(LEN('A créer'!C7)=0,"","Tab")</f>
        <v/>
      </c>
      <c r="S7" s="6" t="str">
        <f>IF(LEN('A créer'!C7)=0,"","ZZZZZZZZZZ")</f>
        <v/>
      </c>
      <c r="T7" s="6" t="str">
        <f>IF(LEN('A créer'!C7)=0,"","0")</f>
        <v/>
      </c>
      <c r="U7" s="2" t="str">
        <f>IF(LEN('A créer'!C7)=0,"","Tab")</f>
        <v/>
      </c>
      <c r="V7" s="6" t="str">
        <f>IF(LEN('A créer'!C7)=0,"","ZZZZZZZZZZ")</f>
        <v/>
      </c>
      <c r="W7" s="6" t="str">
        <f>IF(LEN('A créer'!C7)=0,"","0")</f>
        <v/>
      </c>
      <c r="X7" s="2" t="str">
        <f>IF(LEN('A créer'!C7)=0,"","Tab")</f>
        <v/>
      </c>
      <c r="Y7" s="6" t="str">
        <f>IF(LEN('A créer'!C7)=0,"","ZZZZZZZZZZZZZZZ")</f>
        <v/>
      </c>
      <c r="Z7" s="6" t="str">
        <f>IF(LEN('A créer'!C7)=0,"","0")</f>
        <v/>
      </c>
      <c r="AA7" s="2" t="str">
        <f>IF(LEN('A créer'!C7)=0,"","Tab")</f>
        <v/>
      </c>
      <c r="AB7" s="6" t="str">
        <f>IF(LEN('A créer'!C7)=0,"","ZZZ")</f>
        <v/>
      </c>
      <c r="AC7" s="6" t="str">
        <f>IF(LEN('A créer'!C7)=0,"","0")</f>
        <v/>
      </c>
      <c r="AD7" s="2" t="str">
        <f>IF(LEN('A créer'!C7)=0,"","Tab")</f>
        <v/>
      </c>
      <c r="AE7" s="6" t="str">
        <f>IF(LEN('A créer'!C7)=0,"","ZZZZZZZZZZ")</f>
        <v/>
      </c>
      <c r="AF7" s="6" t="str">
        <f>IF(LEN('A créer'!C7)=0,"","0")</f>
        <v/>
      </c>
      <c r="AG7" s="2" t="str">
        <f>IF(LEN('A créer'!C7)=0,"","Tab")</f>
        <v/>
      </c>
      <c r="AH7" s="6" t="str">
        <f>IF(LEN('A créer'!C7)=0,"","ZZZZZZZZZZ")</f>
        <v/>
      </c>
      <c r="AI7" s="6" t="str">
        <f>IF(LEN('A créer'!C7)=0,"","0")</f>
        <v/>
      </c>
      <c r="AJ7" s="2" t="str">
        <f>IF(LEN('A créer'!C7)=0,"","Tab")</f>
        <v/>
      </c>
      <c r="AK7" s="6" t="str">
        <f>IF(LEN('A créer'!C7)=0,"","ZZZZZZZZZZ")</f>
        <v/>
      </c>
      <c r="AL7" s="2" t="str">
        <f>IF(LEN('A créer'!C7)=0,"","ENT")</f>
        <v/>
      </c>
      <c r="AM7" s="2" t="str">
        <f>IF(LEN('A créer'!C7)=0,"","*SAVE")</f>
        <v/>
      </c>
      <c r="AN7" s="2" t="str">
        <f>IF(OR('A créer'!D7="Oui",LEN('A créer'!D7)=0,LEN('A créer'!C7)=0),"","*FN")</f>
        <v/>
      </c>
      <c r="AO7" s="3" t="str">
        <f>IF(OR('A créer'!D7="Oui",LEN('A créer'!D7)=0,LEN('A créer'!C7)=0),"","\E")</f>
        <v/>
      </c>
      <c r="AP7" s="2" t="str">
        <f>IF(OR('A créer'!D7="Oui",LEN('A créer'!D7)=0,LEN('A créer'!C7)=0),"","TAB")</f>
        <v/>
      </c>
      <c r="AQ7" s="6" t="str">
        <f>IF(OR('A créer'!D7="Oui",LEN('A créer'!D7)=0,LEN('A créer'!C7)=0),"",'A créer'!A7)</f>
        <v/>
      </c>
      <c r="AR7" s="2" t="str">
        <f>IF(OR('A créer'!D7="Oui",LEN('A créer'!D7)=0,LEN('A créer'!C7)=0),"","TAB")</f>
        <v/>
      </c>
      <c r="AS7" s="6" t="str">
        <f>IF(OR('A créer'!D7="Oui",LEN('A créer'!D7)=0,LEN('A créer'!C7)=0),"","0")</f>
        <v/>
      </c>
      <c r="AT7" s="2" t="str">
        <f>IF(OR('A créer'!D7="Oui",LEN('A créer'!D7)=0,LEN('A créer'!C7)=0),"","TAB")</f>
        <v/>
      </c>
      <c r="AU7" s="6" t="str">
        <f>IF(OR('A créer'!D7="Oui",LEN('A créer'!D7)=0,LEN('A créer'!C7)=0),"","ZZZ")</f>
        <v/>
      </c>
      <c r="AV7" s="6" t="str">
        <f>IF(OR('A créer'!D7="Oui",LEN('A créer'!D7)=0,LEN('A créer'!C7)=0),"","0")</f>
        <v/>
      </c>
      <c r="AW7" s="2" t="str">
        <f>IF(OR('A créer'!D7="Oui",LEN('A créer'!D7)=0,LEN('A créer'!C7)=0),"","TAB")</f>
        <v/>
      </c>
      <c r="AX7" s="6" t="str">
        <f>IF(OR('A créer'!D7="Oui",LEN('A créer'!D7)=0,LEN('A créer'!C7)=0),"","ZZZZZZ")</f>
        <v/>
      </c>
      <c r="AY7" s="6" t="str">
        <f>IF(OR('A créer'!D7="Oui",LEN('A créer'!D7)=0,LEN('A créer'!C7)=0),"","0")</f>
        <v/>
      </c>
      <c r="AZ7" s="2" t="str">
        <f>IF(OR('A créer'!D7="Oui",LEN('A créer'!D7)=0,LEN('A créer'!C7)=0),"","TAB")</f>
        <v/>
      </c>
      <c r="BA7" s="6" t="str">
        <f>IF(OR('A créer'!D7="Oui",LEN('A créer'!D7)=0,LEN('A créer'!C7)=0),"","ZZZZZ")</f>
        <v/>
      </c>
      <c r="BB7" s="6" t="str">
        <f>IF(OR('A créer'!D7="Oui",LEN('A créer'!D7)=0,LEN('A créer'!C7)=0),"",CONCATENATE("XXX",'A créer'!A7))</f>
        <v/>
      </c>
      <c r="BC7" s="2" t="str">
        <f>IF(OR('A créer'!D7="Oui",LEN('A créer'!D7)=0,LEN('A créer'!C7)=0),"","TAB")</f>
        <v/>
      </c>
      <c r="BD7" s="6" t="str">
        <f>IF(OR('A créer'!D7="Oui",LEN('A créer'!D7)=0,LEN('A créer'!C7)=0),"","0")</f>
        <v/>
      </c>
      <c r="BE7" s="2" t="str">
        <f>IF(OR('A créer'!D7="Oui",LEN('A créer'!D7)=0,LEN('A créer'!C7)=0),"","TAB")</f>
        <v/>
      </c>
      <c r="BF7" s="6" t="str">
        <f>IF(OR('A créer'!D7="Oui",LEN('A créer'!D7)=0,LEN('A créer'!C7)=0),"","ZZZZZZZZZZ")</f>
        <v/>
      </c>
      <c r="BG7" s="6" t="str">
        <f>IF(OR('A créer'!D7="Oui",LEN('A créer'!D7)=0,LEN('A créer'!C7)=0),"","0")</f>
        <v/>
      </c>
      <c r="BH7" s="2" t="str">
        <f>IF(OR('A créer'!D7="Oui",LEN('A créer'!D7)=0,LEN('A créer'!C7)=0),"","TAB")</f>
        <v/>
      </c>
      <c r="BI7" s="6" t="str">
        <f>IF(OR('A créer'!D7="Oui",LEN('A créer'!D7)=0,LEN('A créer'!C7)=0),"","ZZZZZZZZZZ")</f>
        <v/>
      </c>
      <c r="BJ7" s="6" t="str">
        <f>IF(OR('A créer'!D7="Oui",LEN('A créer'!D7)=0,LEN('A créer'!C7)=0),"","0")</f>
        <v/>
      </c>
      <c r="BK7" s="2" t="str">
        <f>IF(OR('A créer'!D7="Oui",LEN('A créer'!D7)=0,LEN('A créer'!C7)=0),"","TAB")</f>
        <v/>
      </c>
      <c r="BL7" s="6" t="str">
        <f>IF(OR('A créer'!D7="Oui",LEN('A créer'!D7)=0,LEN('A créer'!C7)=0),"","ZZZZZZZZZZZZZZZ")</f>
        <v/>
      </c>
      <c r="BM7" s="6" t="str">
        <f>IF(OR('A créer'!D7="Oui",LEN('A créer'!D7)=0,LEN('A créer'!C7)=0),"","0")</f>
        <v/>
      </c>
      <c r="BN7" s="2" t="str">
        <f>IF(OR('A créer'!D7="Oui",LEN('A créer'!D7)=0,LEN('A créer'!C7)=0),"","TAB")</f>
        <v/>
      </c>
      <c r="BO7" s="6" t="str">
        <f>IF(OR('A créer'!D7="Oui",LEN('A créer'!D7)=0,LEN('A créer'!C7)=0),"","ZZZ")</f>
        <v/>
      </c>
      <c r="BP7" s="6" t="str">
        <f>IF(OR('A créer'!D7="Oui",LEN('A créer'!D7)=0,LEN('A créer'!C7)=0),"","0")</f>
        <v/>
      </c>
      <c r="BQ7" s="2" t="str">
        <f>IF(OR('A créer'!D7="Oui",LEN('A créer'!D7)=0,LEN('A créer'!C7)=0),"","TAB")</f>
        <v/>
      </c>
      <c r="BR7" s="6" t="str">
        <f>IF(OR('A créer'!D7="Oui",LEN('A créer'!D7)=0,LEN('A créer'!C7)=0),"","ZZZZZZZZZZ")</f>
        <v/>
      </c>
      <c r="BS7" s="6" t="str">
        <f>IF(OR('A créer'!D7="Oui",LEN('A créer'!D7)=0,LEN('A créer'!C7)=0),"","0")</f>
        <v/>
      </c>
      <c r="BT7" s="2" t="str">
        <f>IF(OR('A créer'!D7="Oui",LEN('A créer'!D7)=0,LEN('A créer'!C7)=0),"","TAB")</f>
        <v/>
      </c>
      <c r="BU7" s="6" t="str">
        <f>IF(OR('A créer'!D7="Oui",LEN('A créer'!D7)=0,LEN('A créer'!C7)=0),"","ZZZZZZZZZZ")</f>
        <v/>
      </c>
      <c r="BV7" s="6" t="str">
        <f>IF(OR('A créer'!D7="Oui",LEN('A créer'!D7)=0,LEN('A créer'!C7)=0),"","0")</f>
        <v/>
      </c>
      <c r="BW7" s="2" t="str">
        <f>IF(OR('A créer'!D7="Oui",LEN('A créer'!D7)=0,LEN('A créer'!C7)=0),"","TAB")</f>
        <v/>
      </c>
      <c r="BX7" s="6" t="str">
        <f>IF(OR('A créer'!D7="Oui",LEN('A créer'!D7)=0,LEN('A créer'!C7)=0),"","ZZZZZZZZZZ")</f>
        <v/>
      </c>
      <c r="BY7" s="2" t="str">
        <f>IF(OR('A créer'!D7="Oui",LEN('A créer'!D7)=0,LEN('A créer'!C7)=0),"","ENT")</f>
        <v/>
      </c>
      <c r="BZ7" s="2" t="str">
        <f>IF(OR('A créer'!D7="Oui",LEN('A créer'!D7)=0,LEN('A créer'!C7)=0),"","*SAVE")</f>
        <v/>
      </c>
    </row>
    <row r="8" spans="1:78" x14ac:dyDescent="0.35">
      <c r="A8" s="2" t="str">
        <f>IF(LEN('A créer'!C8)=0,"","*FN")</f>
        <v/>
      </c>
      <c r="B8" s="3" t="str">
        <f>IF(LEN('A créer'!C8)=0,"","\E")</f>
        <v/>
      </c>
      <c r="C8" s="2" t="str">
        <f>IF(LEN('A créer'!C8)=0,"","Tab")</f>
        <v/>
      </c>
      <c r="D8" s="6" t="str">
        <f>IF(LEN('A créer'!C8)=0,"",'A créer'!A8)</f>
        <v/>
      </c>
      <c r="E8" s="2" t="str">
        <f>IF(LEN('A créer'!C8)=0,"","Tab")</f>
        <v/>
      </c>
      <c r="F8" s="6" t="str">
        <f>IF(LEN('A créer'!C8)=0,"",0)</f>
        <v/>
      </c>
      <c r="G8" s="2" t="str">
        <f>IF(LEN('A créer'!C8)=0,"","Tab")</f>
        <v/>
      </c>
      <c r="H8" s="6" t="str">
        <f>IF(LEN('A créer'!C8)=0,"","ZZZ")</f>
        <v/>
      </c>
      <c r="I8" s="6" t="str">
        <f>IF(LEN('A créer'!C8)=0,"","0")</f>
        <v/>
      </c>
      <c r="J8" s="2" t="str">
        <f>IF(LEN('A créer'!C8)=0,"","Tab")</f>
        <v/>
      </c>
      <c r="K8" s="6" t="str">
        <f>IF(LEN('A créer'!C8)=0,"","ZZZZZZ")</f>
        <v/>
      </c>
      <c r="L8" s="6" t="str">
        <f>IF(LEN('A créer'!C8)=0,"","0")</f>
        <v/>
      </c>
      <c r="M8" s="2" t="str">
        <f>IF(LEN('A créer'!C8)=0,"","Tab")</f>
        <v/>
      </c>
      <c r="N8" s="6" t="str">
        <f>IF(LEN('A créer'!C8)=0,"","ZZZZZ")</f>
        <v/>
      </c>
      <c r="O8" s="6" t="str">
        <f>IF(LEN('A créer'!C8)=0,"",CONCATENATE('A créer'!B8,'A créer'!A8))</f>
        <v/>
      </c>
      <c r="P8" s="2" t="str">
        <f>IF(LEN('A créer'!C8)=0,"","Tab")</f>
        <v/>
      </c>
      <c r="Q8" s="6" t="str">
        <f>IF(LEN('A créer'!C8)=0,"","0")</f>
        <v/>
      </c>
      <c r="R8" s="2" t="str">
        <f>IF(LEN('A créer'!C8)=0,"","Tab")</f>
        <v/>
      </c>
      <c r="S8" s="6" t="str">
        <f>IF(LEN('A créer'!C8)=0,"","ZZZZZZZZZZ")</f>
        <v/>
      </c>
      <c r="T8" s="6" t="str">
        <f>IF(LEN('A créer'!C8)=0,"","0")</f>
        <v/>
      </c>
      <c r="U8" s="2" t="str">
        <f>IF(LEN('A créer'!C8)=0,"","Tab")</f>
        <v/>
      </c>
      <c r="V8" s="6" t="str">
        <f>IF(LEN('A créer'!C8)=0,"","ZZZZZZZZZZ")</f>
        <v/>
      </c>
      <c r="W8" s="6" t="str">
        <f>IF(LEN('A créer'!C8)=0,"","0")</f>
        <v/>
      </c>
      <c r="X8" s="2" t="str">
        <f>IF(LEN('A créer'!C8)=0,"","Tab")</f>
        <v/>
      </c>
      <c r="Y8" s="6" t="str">
        <f>IF(LEN('A créer'!C8)=0,"","ZZZZZZZZZZZZZZZ")</f>
        <v/>
      </c>
      <c r="Z8" s="6" t="str">
        <f>IF(LEN('A créer'!C8)=0,"","0")</f>
        <v/>
      </c>
      <c r="AA8" s="2" t="str">
        <f>IF(LEN('A créer'!C8)=0,"","Tab")</f>
        <v/>
      </c>
      <c r="AB8" s="6" t="str">
        <f>IF(LEN('A créer'!C8)=0,"","ZZZ")</f>
        <v/>
      </c>
      <c r="AC8" s="6" t="str">
        <f>IF(LEN('A créer'!C8)=0,"","0")</f>
        <v/>
      </c>
      <c r="AD8" s="2" t="str">
        <f>IF(LEN('A créer'!C8)=0,"","Tab")</f>
        <v/>
      </c>
      <c r="AE8" s="6" t="str">
        <f>IF(LEN('A créer'!C8)=0,"","ZZZZZZZZZZ")</f>
        <v/>
      </c>
      <c r="AF8" s="6" t="str">
        <f>IF(LEN('A créer'!C8)=0,"","0")</f>
        <v/>
      </c>
      <c r="AG8" s="2" t="str">
        <f>IF(LEN('A créer'!C8)=0,"","Tab")</f>
        <v/>
      </c>
      <c r="AH8" s="6" t="str">
        <f>IF(LEN('A créer'!C8)=0,"","ZZZZZZZZZZ")</f>
        <v/>
      </c>
      <c r="AI8" s="6" t="str">
        <f>IF(LEN('A créer'!C8)=0,"","0")</f>
        <v/>
      </c>
      <c r="AJ8" s="2" t="str">
        <f>IF(LEN('A créer'!C8)=0,"","Tab")</f>
        <v/>
      </c>
      <c r="AK8" s="6" t="str">
        <f>IF(LEN('A créer'!C8)=0,"","ZZZZZZZZZZ")</f>
        <v/>
      </c>
      <c r="AL8" s="2" t="str">
        <f>IF(LEN('A créer'!C8)=0,"","ENT")</f>
        <v/>
      </c>
      <c r="AM8" s="2" t="str">
        <f>IF(LEN('A créer'!C8)=0,"","*SAVE")</f>
        <v/>
      </c>
      <c r="AN8" s="2" t="str">
        <f>IF(OR('A créer'!D8="Oui",LEN('A créer'!D8)=0,LEN('A créer'!C8)=0),"","*FN")</f>
        <v/>
      </c>
      <c r="AO8" s="3" t="str">
        <f>IF(OR('A créer'!D8="Oui",LEN('A créer'!D8)=0,LEN('A créer'!C8)=0),"","\E")</f>
        <v/>
      </c>
      <c r="AP8" s="2" t="str">
        <f>IF(OR('A créer'!D8="Oui",LEN('A créer'!D8)=0,LEN('A créer'!C8)=0),"","TAB")</f>
        <v/>
      </c>
      <c r="AQ8" s="6" t="str">
        <f>IF(OR('A créer'!D8="Oui",LEN('A créer'!D8)=0,LEN('A créer'!C8)=0),"",'A créer'!A8)</f>
        <v/>
      </c>
      <c r="AR8" s="2" t="str">
        <f>IF(OR('A créer'!D8="Oui",LEN('A créer'!D8)=0,LEN('A créer'!C8)=0),"","TAB")</f>
        <v/>
      </c>
      <c r="AS8" s="6" t="str">
        <f>IF(OR('A créer'!D8="Oui",LEN('A créer'!D8)=0,LEN('A créer'!C8)=0),"","0")</f>
        <v/>
      </c>
      <c r="AT8" s="2" t="str">
        <f>IF(OR('A créer'!D8="Oui",LEN('A créer'!D8)=0,LEN('A créer'!C8)=0),"","TAB")</f>
        <v/>
      </c>
      <c r="AU8" s="6" t="str">
        <f>IF(OR('A créer'!D8="Oui",LEN('A créer'!D8)=0,LEN('A créer'!C8)=0),"","ZZZ")</f>
        <v/>
      </c>
      <c r="AV8" s="6" t="str">
        <f>IF(OR('A créer'!D8="Oui",LEN('A créer'!D8)=0,LEN('A créer'!C8)=0),"","0")</f>
        <v/>
      </c>
      <c r="AW8" s="2" t="str">
        <f>IF(OR('A créer'!D8="Oui",LEN('A créer'!D8)=0,LEN('A créer'!C8)=0),"","TAB")</f>
        <v/>
      </c>
      <c r="AX8" s="6" t="str">
        <f>IF(OR('A créer'!D8="Oui",LEN('A créer'!D8)=0,LEN('A créer'!C8)=0),"","ZZZZZZ")</f>
        <v/>
      </c>
      <c r="AY8" s="6" t="str">
        <f>IF(OR('A créer'!D8="Oui",LEN('A créer'!D8)=0,LEN('A créer'!C8)=0),"","0")</f>
        <v/>
      </c>
      <c r="AZ8" s="2" t="str">
        <f>IF(OR('A créer'!D8="Oui",LEN('A créer'!D8)=0,LEN('A créer'!C8)=0),"","TAB")</f>
        <v/>
      </c>
      <c r="BA8" s="6" t="str">
        <f>IF(OR('A créer'!D8="Oui",LEN('A créer'!D8)=0,LEN('A créer'!C8)=0),"","ZZZZZ")</f>
        <v/>
      </c>
      <c r="BB8" s="6" t="str">
        <f>IF(OR('A créer'!D8="Oui",LEN('A créer'!D8)=0,LEN('A créer'!C8)=0),"",CONCATENATE("XXX",'A créer'!A8))</f>
        <v/>
      </c>
      <c r="BC8" s="2" t="str">
        <f>IF(OR('A créer'!D8="Oui",LEN('A créer'!D8)=0,LEN('A créer'!C8)=0),"","TAB")</f>
        <v/>
      </c>
      <c r="BD8" s="6" t="str">
        <f>IF(OR('A créer'!D8="Oui",LEN('A créer'!D8)=0,LEN('A créer'!C8)=0),"","0")</f>
        <v/>
      </c>
      <c r="BE8" s="2" t="str">
        <f>IF(OR('A créer'!D8="Oui",LEN('A créer'!D8)=0,LEN('A créer'!C8)=0),"","TAB")</f>
        <v/>
      </c>
      <c r="BF8" s="6" t="str">
        <f>IF(OR('A créer'!D8="Oui",LEN('A créer'!D8)=0,LEN('A créer'!C8)=0),"","ZZZZZZZZZZ")</f>
        <v/>
      </c>
      <c r="BG8" s="6" t="str">
        <f>IF(OR('A créer'!D8="Oui",LEN('A créer'!D8)=0,LEN('A créer'!C8)=0),"","0")</f>
        <v/>
      </c>
      <c r="BH8" s="2" t="str">
        <f>IF(OR('A créer'!D8="Oui",LEN('A créer'!D8)=0,LEN('A créer'!C8)=0),"","TAB")</f>
        <v/>
      </c>
      <c r="BI8" s="6" t="str">
        <f>IF(OR('A créer'!D8="Oui",LEN('A créer'!D8)=0,LEN('A créer'!C8)=0),"","ZZZZZZZZZZ")</f>
        <v/>
      </c>
      <c r="BJ8" s="6" t="str">
        <f>IF(OR('A créer'!D8="Oui",LEN('A créer'!D8)=0,LEN('A créer'!C8)=0),"","0")</f>
        <v/>
      </c>
      <c r="BK8" s="2" t="str">
        <f>IF(OR('A créer'!D8="Oui",LEN('A créer'!D8)=0,LEN('A créer'!C8)=0),"","TAB")</f>
        <v/>
      </c>
      <c r="BL8" s="6" t="str">
        <f>IF(OR('A créer'!D8="Oui",LEN('A créer'!D8)=0,LEN('A créer'!C8)=0),"","ZZZZZZZZZZZZZZZ")</f>
        <v/>
      </c>
      <c r="BM8" s="6" t="str">
        <f>IF(OR('A créer'!D8="Oui",LEN('A créer'!D8)=0,LEN('A créer'!C8)=0),"","0")</f>
        <v/>
      </c>
      <c r="BN8" s="2" t="str">
        <f>IF(OR('A créer'!D8="Oui",LEN('A créer'!D8)=0,LEN('A créer'!C8)=0),"","TAB")</f>
        <v/>
      </c>
      <c r="BO8" s="6" t="str">
        <f>IF(OR('A créer'!D8="Oui",LEN('A créer'!D8)=0,LEN('A créer'!C8)=0),"","ZZZ")</f>
        <v/>
      </c>
      <c r="BP8" s="6" t="str">
        <f>IF(OR('A créer'!D8="Oui",LEN('A créer'!D8)=0,LEN('A créer'!C8)=0),"","0")</f>
        <v/>
      </c>
      <c r="BQ8" s="2" t="str">
        <f>IF(OR('A créer'!D8="Oui",LEN('A créer'!D8)=0,LEN('A créer'!C8)=0),"","TAB")</f>
        <v/>
      </c>
      <c r="BR8" s="6" t="str">
        <f>IF(OR('A créer'!D8="Oui",LEN('A créer'!D8)=0,LEN('A créer'!C8)=0),"","ZZZZZZZZZZ")</f>
        <v/>
      </c>
      <c r="BS8" s="6" t="str">
        <f>IF(OR('A créer'!D8="Oui",LEN('A créer'!D8)=0,LEN('A créer'!C8)=0),"","0")</f>
        <v/>
      </c>
      <c r="BT8" s="2" t="str">
        <f>IF(OR('A créer'!D8="Oui",LEN('A créer'!D8)=0,LEN('A créer'!C8)=0),"","TAB")</f>
        <v/>
      </c>
      <c r="BU8" s="6" t="str">
        <f>IF(OR('A créer'!D8="Oui",LEN('A créer'!D8)=0,LEN('A créer'!C8)=0),"","ZZZZZZZZZZ")</f>
        <v/>
      </c>
      <c r="BV8" s="6" t="str">
        <f>IF(OR('A créer'!D8="Oui",LEN('A créer'!D8)=0,LEN('A créer'!C8)=0),"","0")</f>
        <v/>
      </c>
      <c r="BW8" s="2" t="str">
        <f>IF(OR('A créer'!D8="Oui",LEN('A créer'!D8)=0,LEN('A créer'!C8)=0),"","TAB")</f>
        <v/>
      </c>
      <c r="BX8" s="6" t="str">
        <f>IF(OR('A créer'!D8="Oui",LEN('A créer'!D8)=0,LEN('A créer'!C8)=0),"","ZZZZZZZZZZ")</f>
        <v/>
      </c>
      <c r="BY8" s="2" t="str">
        <f>IF(OR('A créer'!D8="Oui",LEN('A créer'!D8)=0,LEN('A créer'!C8)=0),"","ENT")</f>
        <v/>
      </c>
      <c r="BZ8" s="2" t="str">
        <f>IF(OR('A créer'!D8="Oui",LEN('A créer'!D8)=0,LEN('A créer'!C8)=0),"","*SAVE")</f>
        <v/>
      </c>
    </row>
    <row r="9" spans="1:78" x14ac:dyDescent="0.35">
      <c r="A9" s="2" t="str">
        <f>IF(LEN('A créer'!C9)=0,"","*FN")</f>
        <v/>
      </c>
      <c r="B9" s="3" t="str">
        <f>IF(LEN('A créer'!C9)=0,"","\E")</f>
        <v/>
      </c>
      <c r="C9" s="2" t="str">
        <f>IF(LEN('A créer'!C9)=0,"","Tab")</f>
        <v/>
      </c>
      <c r="D9" s="6" t="str">
        <f>IF(LEN('A créer'!C9)=0,"",'A créer'!A9)</f>
        <v/>
      </c>
      <c r="E9" s="2" t="str">
        <f>IF(LEN('A créer'!C9)=0,"","Tab")</f>
        <v/>
      </c>
      <c r="F9" s="6" t="str">
        <f>IF(LEN('A créer'!C9)=0,"",0)</f>
        <v/>
      </c>
      <c r="G9" s="2" t="str">
        <f>IF(LEN('A créer'!C9)=0,"","Tab")</f>
        <v/>
      </c>
      <c r="H9" s="6" t="str">
        <f>IF(LEN('A créer'!C9)=0,"","ZZZ")</f>
        <v/>
      </c>
      <c r="I9" s="6" t="str">
        <f>IF(LEN('A créer'!C9)=0,"","0")</f>
        <v/>
      </c>
      <c r="J9" s="2" t="str">
        <f>IF(LEN('A créer'!C9)=0,"","Tab")</f>
        <v/>
      </c>
      <c r="K9" s="6" t="str">
        <f>IF(LEN('A créer'!C9)=0,"","ZZZZZZ")</f>
        <v/>
      </c>
      <c r="L9" s="6" t="str">
        <f>IF(LEN('A créer'!C9)=0,"","0")</f>
        <v/>
      </c>
      <c r="M9" s="2" t="str">
        <f>IF(LEN('A créer'!C9)=0,"","Tab")</f>
        <v/>
      </c>
      <c r="N9" s="6" t="str">
        <f>IF(LEN('A créer'!C9)=0,"","ZZZZZ")</f>
        <v/>
      </c>
      <c r="O9" s="6" t="str">
        <f>IF(LEN('A créer'!C9)=0,"",CONCATENATE('A créer'!B9,'A créer'!A9))</f>
        <v/>
      </c>
      <c r="P9" s="2" t="str">
        <f>IF(LEN('A créer'!C9)=0,"","Tab")</f>
        <v/>
      </c>
      <c r="Q9" s="6" t="str">
        <f>IF(LEN('A créer'!C9)=0,"","0")</f>
        <v/>
      </c>
      <c r="R9" s="2" t="str">
        <f>IF(LEN('A créer'!C9)=0,"","Tab")</f>
        <v/>
      </c>
      <c r="S9" s="6" t="str">
        <f>IF(LEN('A créer'!C9)=0,"","ZZZZZZZZZZ")</f>
        <v/>
      </c>
      <c r="T9" s="6" t="str">
        <f>IF(LEN('A créer'!C9)=0,"","0")</f>
        <v/>
      </c>
      <c r="U9" s="2" t="str">
        <f>IF(LEN('A créer'!C9)=0,"","Tab")</f>
        <v/>
      </c>
      <c r="V9" s="6" t="str">
        <f>IF(LEN('A créer'!C9)=0,"","ZZZZZZZZZZ")</f>
        <v/>
      </c>
      <c r="W9" s="6" t="str">
        <f>IF(LEN('A créer'!C9)=0,"","0")</f>
        <v/>
      </c>
      <c r="X9" s="2" t="str">
        <f>IF(LEN('A créer'!C9)=0,"","Tab")</f>
        <v/>
      </c>
      <c r="Y9" s="6" t="str">
        <f>IF(LEN('A créer'!C9)=0,"","ZZZZZZZZZZZZZZZ")</f>
        <v/>
      </c>
      <c r="Z9" s="6" t="str">
        <f>IF(LEN('A créer'!C9)=0,"","0")</f>
        <v/>
      </c>
      <c r="AA9" s="2" t="str">
        <f>IF(LEN('A créer'!C9)=0,"","Tab")</f>
        <v/>
      </c>
      <c r="AB9" s="6" t="str">
        <f>IF(LEN('A créer'!C9)=0,"","ZZZ")</f>
        <v/>
      </c>
      <c r="AC9" s="6" t="str">
        <f>IF(LEN('A créer'!C9)=0,"","0")</f>
        <v/>
      </c>
      <c r="AD9" s="2" t="str">
        <f>IF(LEN('A créer'!C9)=0,"","Tab")</f>
        <v/>
      </c>
      <c r="AE9" s="6" t="str">
        <f>IF(LEN('A créer'!C9)=0,"","ZZZZZZZZZZ")</f>
        <v/>
      </c>
      <c r="AF9" s="6" t="str">
        <f>IF(LEN('A créer'!C9)=0,"","0")</f>
        <v/>
      </c>
      <c r="AG9" s="2" t="str">
        <f>IF(LEN('A créer'!C9)=0,"","Tab")</f>
        <v/>
      </c>
      <c r="AH9" s="6" t="str">
        <f>IF(LEN('A créer'!C9)=0,"","ZZZZZZZZZZ")</f>
        <v/>
      </c>
      <c r="AI9" s="6" t="str">
        <f>IF(LEN('A créer'!C9)=0,"","0")</f>
        <v/>
      </c>
      <c r="AJ9" s="2" t="str">
        <f>IF(LEN('A créer'!C9)=0,"","Tab")</f>
        <v/>
      </c>
      <c r="AK9" s="6" t="str">
        <f>IF(LEN('A créer'!C9)=0,"","ZZZZZZZZZZ")</f>
        <v/>
      </c>
      <c r="AL9" s="2" t="str">
        <f>IF(LEN('A créer'!C9)=0,"","ENT")</f>
        <v/>
      </c>
      <c r="AM9" s="2" t="str">
        <f>IF(LEN('A créer'!C9)=0,"","*SAVE")</f>
        <v/>
      </c>
      <c r="AN9" s="2" t="str">
        <f>IF(OR('A créer'!D9="Oui",LEN('A créer'!D9)=0,LEN('A créer'!C9)=0),"","*FN")</f>
        <v/>
      </c>
      <c r="AO9" s="3" t="str">
        <f>IF(OR('A créer'!D9="Oui",LEN('A créer'!D9)=0,LEN('A créer'!C9)=0),"","\E")</f>
        <v/>
      </c>
      <c r="AP9" s="2" t="str">
        <f>IF(OR('A créer'!D9="Oui",LEN('A créer'!D9)=0,LEN('A créer'!C9)=0),"","TAB")</f>
        <v/>
      </c>
      <c r="AQ9" s="6" t="str">
        <f>IF(OR('A créer'!D9="Oui",LEN('A créer'!D9)=0,LEN('A créer'!C9)=0),"",'A créer'!A9)</f>
        <v/>
      </c>
      <c r="AR9" s="2" t="str">
        <f>IF(OR('A créer'!D9="Oui",LEN('A créer'!D9)=0,LEN('A créer'!C9)=0),"","TAB")</f>
        <v/>
      </c>
      <c r="AS9" s="6" t="str">
        <f>IF(OR('A créer'!D9="Oui",LEN('A créer'!D9)=0,LEN('A créer'!C9)=0),"","0")</f>
        <v/>
      </c>
      <c r="AT9" s="2" t="str">
        <f>IF(OR('A créer'!D9="Oui",LEN('A créer'!D9)=0,LEN('A créer'!C9)=0),"","TAB")</f>
        <v/>
      </c>
      <c r="AU9" s="6" t="str">
        <f>IF(OR('A créer'!D9="Oui",LEN('A créer'!D9)=0,LEN('A créer'!C9)=0),"","ZZZ")</f>
        <v/>
      </c>
      <c r="AV9" s="6" t="str">
        <f>IF(OR('A créer'!D9="Oui",LEN('A créer'!D9)=0,LEN('A créer'!C9)=0),"","0")</f>
        <v/>
      </c>
      <c r="AW9" s="2" t="str">
        <f>IF(OR('A créer'!D9="Oui",LEN('A créer'!D9)=0,LEN('A créer'!C9)=0),"","TAB")</f>
        <v/>
      </c>
      <c r="AX9" s="6" t="str">
        <f>IF(OR('A créer'!D9="Oui",LEN('A créer'!D9)=0,LEN('A créer'!C9)=0),"","ZZZZZZ")</f>
        <v/>
      </c>
      <c r="AY9" s="6" t="str">
        <f>IF(OR('A créer'!D9="Oui",LEN('A créer'!D9)=0,LEN('A créer'!C9)=0),"","0")</f>
        <v/>
      </c>
      <c r="AZ9" s="2" t="str">
        <f>IF(OR('A créer'!D9="Oui",LEN('A créer'!D9)=0,LEN('A créer'!C9)=0),"","TAB")</f>
        <v/>
      </c>
      <c r="BA9" s="6" t="str">
        <f>IF(OR('A créer'!D9="Oui",LEN('A créer'!D9)=0,LEN('A créer'!C9)=0),"","ZZZZZ")</f>
        <v/>
      </c>
      <c r="BB9" s="6" t="str">
        <f>IF(OR('A créer'!D9="Oui",LEN('A créer'!D9)=0,LEN('A créer'!C9)=0),"",CONCATENATE("XXX",'A créer'!A9))</f>
        <v/>
      </c>
      <c r="BC9" s="2" t="str">
        <f>IF(OR('A créer'!D9="Oui",LEN('A créer'!D9)=0,LEN('A créer'!C9)=0),"","TAB")</f>
        <v/>
      </c>
      <c r="BD9" s="6" t="str">
        <f>IF(OR('A créer'!D9="Oui",LEN('A créer'!D9)=0,LEN('A créer'!C9)=0),"","0")</f>
        <v/>
      </c>
      <c r="BE9" s="2" t="str">
        <f>IF(OR('A créer'!D9="Oui",LEN('A créer'!D9)=0,LEN('A créer'!C9)=0),"","TAB")</f>
        <v/>
      </c>
      <c r="BF9" s="6" t="str">
        <f>IF(OR('A créer'!D9="Oui",LEN('A créer'!D9)=0,LEN('A créer'!C9)=0),"","ZZZZZZZZZZ")</f>
        <v/>
      </c>
      <c r="BG9" s="6" t="str">
        <f>IF(OR('A créer'!D9="Oui",LEN('A créer'!D9)=0,LEN('A créer'!C9)=0),"","0")</f>
        <v/>
      </c>
      <c r="BH9" s="2" t="str">
        <f>IF(OR('A créer'!D9="Oui",LEN('A créer'!D9)=0,LEN('A créer'!C9)=0),"","TAB")</f>
        <v/>
      </c>
      <c r="BI9" s="6" t="str">
        <f>IF(OR('A créer'!D9="Oui",LEN('A créer'!D9)=0,LEN('A créer'!C9)=0),"","ZZZZZZZZZZ")</f>
        <v/>
      </c>
      <c r="BJ9" s="6" t="str">
        <f>IF(OR('A créer'!D9="Oui",LEN('A créer'!D9)=0,LEN('A créer'!C9)=0),"","0")</f>
        <v/>
      </c>
      <c r="BK9" s="2" t="str">
        <f>IF(OR('A créer'!D9="Oui",LEN('A créer'!D9)=0,LEN('A créer'!C9)=0),"","TAB")</f>
        <v/>
      </c>
      <c r="BL9" s="6" t="str">
        <f>IF(OR('A créer'!D9="Oui",LEN('A créer'!D9)=0,LEN('A créer'!C9)=0),"","ZZZZZZZZZZZZZZZ")</f>
        <v/>
      </c>
      <c r="BM9" s="6" t="str">
        <f>IF(OR('A créer'!D9="Oui",LEN('A créer'!D9)=0,LEN('A créer'!C9)=0),"","0")</f>
        <v/>
      </c>
      <c r="BN9" s="2" t="str">
        <f>IF(OR('A créer'!D9="Oui",LEN('A créer'!D9)=0,LEN('A créer'!C9)=0),"","TAB")</f>
        <v/>
      </c>
      <c r="BO9" s="6" t="str">
        <f>IF(OR('A créer'!D9="Oui",LEN('A créer'!D9)=0,LEN('A créer'!C9)=0),"","ZZZ")</f>
        <v/>
      </c>
      <c r="BP9" s="6" t="str">
        <f>IF(OR('A créer'!D9="Oui",LEN('A créer'!D9)=0,LEN('A créer'!C9)=0),"","0")</f>
        <v/>
      </c>
      <c r="BQ9" s="2" t="str">
        <f>IF(OR('A créer'!D9="Oui",LEN('A créer'!D9)=0,LEN('A créer'!C9)=0),"","TAB")</f>
        <v/>
      </c>
      <c r="BR9" s="6" t="str">
        <f>IF(OR('A créer'!D9="Oui",LEN('A créer'!D9)=0,LEN('A créer'!C9)=0),"","ZZZZZZZZZZ")</f>
        <v/>
      </c>
      <c r="BS9" s="6" t="str">
        <f>IF(OR('A créer'!D9="Oui",LEN('A créer'!D9)=0,LEN('A créer'!C9)=0),"","0")</f>
        <v/>
      </c>
      <c r="BT9" s="2" t="str">
        <f>IF(OR('A créer'!D9="Oui",LEN('A créer'!D9)=0,LEN('A créer'!C9)=0),"","TAB")</f>
        <v/>
      </c>
      <c r="BU9" s="6" t="str">
        <f>IF(OR('A créer'!D9="Oui",LEN('A créer'!D9)=0,LEN('A créer'!C9)=0),"","ZZZZZZZZZZ")</f>
        <v/>
      </c>
      <c r="BV9" s="6" t="str">
        <f>IF(OR('A créer'!D9="Oui",LEN('A créer'!D9)=0,LEN('A créer'!C9)=0),"","0")</f>
        <v/>
      </c>
      <c r="BW9" s="2" t="str">
        <f>IF(OR('A créer'!D9="Oui",LEN('A créer'!D9)=0,LEN('A créer'!C9)=0),"","TAB")</f>
        <v/>
      </c>
      <c r="BX9" s="6" t="str">
        <f>IF(OR('A créer'!D9="Oui",LEN('A créer'!D9)=0,LEN('A créer'!C9)=0),"","ZZZZZZZZZZ")</f>
        <v/>
      </c>
      <c r="BY9" s="2" t="str">
        <f>IF(OR('A créer'!D9="Oui",LEN('A créer'!D9)=0,LEN('A créer'!C9)=0),"","ENT")</f>
        <v/>
      </c>
      <c r="BZ9" s="2" t="str">
        <f>IF(OR('A créer'!D9="Oui",LEN('A créer'!D9)=0,LEN('A créer'!C9)=0),"","*SAVE")</f>
        <v/>
      </c>
    </row>
    <row r="10" spans="1:78" x14ac:dyDescent="0.35">
      <c r="A10" s="2" t="str">
        <f>IF(LEN('A créer'!C10)=0,"","*FN")</f>
        <v/>
      </c>
      <c r="B10" s="3" t="str">
        <f>IF(LEN('A créer'!C10)=0,"","\E")</f>
        <v/>
      </c>
      <c r="C10" s="2" t="str">
        <f>IF(LEN('A créer'!C10)=0,"","Tab")</f>
        <v/>
      </c>
      <c r="D10" s="6" t="str">
        <f>IF(LEN('A créer'!C10)=0,"",'A créer'!A10)</f>
        <v/>
      </c>
      <c r="E10" s="2" t="str">
        <f>IF(LEN('A créer'!C10)=0,"","Tab")</f>
        <v/>
      </c>
      <c r="F10" s="6" t="str">
        <f>IF(LEN('A créer'!C10)=0,"",0)</f>
        <v/>
      </c>
      <c r="G10" s="2" t="str">
        <f>IF(LEN('A créer'!C10)=0,"","Tab")</f>
        <v/>
      </c>
      <c r="H10" s="6" t="str">
        <f>IF(LEN('A créer'!C10)=0,"","ZZZ")</f>
        <v/>
      </c>
      <c r="I10" s="6" t="str">
        <f>IF(LEN('A créer'!C10)=0,"","0")</f>
        <v/>
      </c>
      <c r="J10" s="2" t="str">
        <f>IF(LEN('A créer'!C10)=0,"","Tab")</f>
        <v/>
      </c>
      <c r="K10" s="6" t="str">
        <f>IF(LEN('A créer'!C10)=0,"","ZZZZZZ")</f>
        <v/>
      </c>
      <c r="L10" s="6" t="str">
        <f>IF(LEN('A créer'!C10)=0,"","0")</f>
        <v/>
      </c>
      <c r="M10" s="2" t="str">
        <f>IF(LEN('A créer'!C10)=0,"","Tab")</f>
        <v/>
      </c>
      <c r="N10" s="6" t="str">
        <f>IF(LEN('A créer'!C10)=0,"","ZZZZZ")</f>
        <v/>
      </c>
      <c r="O10" s="6" t="str">
        <f>IF(LEN('A créer'!C10)=0,"",CONCATENATE('A créer'!B10,'A créer'!A10))</f>
        <v/>
      </c>
      <c r="P10" s="2" t="str">
        <f>IF(LEN('A créer'!C10)=0,"","Tab")</f>
        <v/>
      </c>
      <c r="Q10" s="6" t="str">
        <f>IF(LEN('A créer'!C10)=0,"","0")</f>
        <v/>
      </c>
      <c r="R10" s="2" t="str">
        <f>IF(LEN('A créer'!C10)=0,"","Tab")</f>
        <v/>
      </c>
      <c r="S10" s="6" t="str">
        <f>IF(LEN('A créer'!C10)=0,"","ZZZZZZZZZZ")</f>
        <v/>
      </c>
      <c r="T10" s="6" t="str">
        <f>IF(LEN('A créer'!C10)=0,"","0")</f>
        <v/>
      </c>
      <c r="U10" s="2" t="str">
        <f>IF(LEN('A créer'!C10)=0,"","Tab")</f>
        <v/>
      </c>
      <c r="V10" s="6" t="str">
        <f>IF(LEN('A créer'!C10)=0,"","ZZZZZZZZZZ")</f>
        <v/>
      </c>
      <c r="W10" s="6" t="str">
        <f>IF(LEN('A créer'!C10)=0,"","0")</f>
        <v/>
      </c>
      <c r="X10" s="2" t="str">
        <f>IF(LEN('A créer'!C10)=0,"","Tab")</f>
        <v/>
      </c>
      <c r="Y10" s="6" t="str">
        <f>IF(LEN('A créer'!C10)=0,"","ZZZZZZZZZZZZZZZ")</f>
        <v/>
      </c>
      <c r="Z10" s="6" t="str">
        <f>IF(LEN('A créer'!C10)=0,"","0")</f>
        <v/>
      </c>
      <c r="AA10" s="2" t="str">
        <f>IF(LEN('A créer'!C10)=0,"","Tab")</f>
        <v/>
      </c>
      <c r="AB10" s="6" t="str">
        <f>IF(LEN('A créer'!C10)=0,"","ZZZ")</f>
        <v/>
      </c>
      <c r="AC10" s="6" t="str">
        <f>IF(LEN('A créer'!C10)=0,"","0")</f>
        <v/>
      </c>
      <c r="AD10" s="2" t="str">
        <f>IF(LEN('A créer'!C10)=0,"","Tab")</f>
        <v/>
      </c>
      <c r="AE10" s="6" t="str">
        <f>IF(LEN('A créer'!C10)=0,"","ZZZZZZZZZZ")</f>
        <v/>
      </c>
      <c r="AF10" s="6" t="str">
        <f>IF(LEN('A créer'!C10)=0,"","0")</f>
        <v/>
      </c>
      <c r="AG10" s="2" t="str">
        <f>IF(LEN('A créer'!C10)=0,"","Tab")</f>
        <v/>
      </c>
      <c r="AH10" s="6" t="str">
        <f>IF(LEN('A créer'!C10)=0,"","ZZZZZZZZZZ")</f>
        <v/>
      </c>
      <c r="AI10" s="6" t="str">
        <f>IF(LEN('A créer'!C10)=0,"","0")</f>
        <v/>
      </c>
      <c r="AJ10" s="2" t="str">
        <f>IF(LEN('A créer'!C10)=0,"","Tab")</f>
        <v/>
      </c>
      <c r="AK10" s="6" t="str">
        <f>IF(LEN('A créer'!C10)=0,"","ZZZZZZZZZZ")</f>
        <v/>
      </c>
      <c r="AL10" s="2" t="str">
        <f>IF(LEN('A créer'!C10)=0,"","ENT")</f>
        <v/>
      </c>
      <c r="AM10" s="2" t="str">
        <f>IF(LEN('A créer'!C10)=0,"","*SAVE")</f>
        <v/>
      </c>
      <c r="AN10" s="2" t="str">
        <f>IF(OR('A créer'!D10="Oui",LEN('A créer'!D10)=0,LEN('A créer'!C10)=0),"","*FN")</f>
        <v/>
      </c>
      <c r="AO10" s="3" t="str">
        <f>IF(OR('A créer'!D10="Oui",LEN('A créer'!D10)=0,LEN('A créer'!C10)=0),"","\E")</f>
        <v/>
      </c>
      <c r="AP10" s="2" t="str">
        <f>IF(OR('A créer'!D10="Oui",LEN('A créer'!D10)=0,LEN('A créer'!C10)=0),"","TAB")</f>
        <v/>
      </c>
      <c r="AQ10" s="6" t="str">
        <f>IF(OR('A créer'!D10="Oui",LEN('A créer'!D10)=0,LEN('A créer'!C10)=0),"",'A créer'!A10)</f>
        <v/>
      </c>
      <c r="AR10" s="2" t="str">
        <f>IF(OR('A créer'!D10="Oui",LEN('A créer'!D10)=0,LEN('A créer'!C10)=0),"","TAB")</f>
        <v/>
      </c>
      <c r="AS10" s="6" t="str">
        <f>IF(OR('A créer'!D10="Oui",LEN('A créer'!D10)=0,LEN('A créer'!C10)=0),"","0")</f>
        <v/>
      </c>
      <c r="AT10" s="2" t="str">
        <f>IF(OR('A créer'!D10="Oui",LEN('A créer'!D10)=0,LEN('A créer'!C10)=0),"","TAB")</f>
        <v/>
      </c>
      <c r="AU10" s="6" t="str">
        <f>IF(OR('A créer'!D10="Oui",LEN('A créer'!D10)=0,LEN('A créer'!C10)=0),"","ZZZ")</f>
        <v/>
      </c>
      <c r="AV10" s="6" t="str">
        <f>IF(OR('A créer'!D10="Oui",LEN('A créer'!D10)=0,LEN('A créer'!C10)=0),"","0")</f>
        <v/>
      </c>
      <c r="AW10" s="2" t="str">
        <f>IF(OR('A créer'!D10="Oui",LEN('A créer'!D10)=0,LEN('A créer'!C10)=0),"","TAB")</f>
        <v/>
      </c>
      <c r="AX10" s="6" t="str">
        <f>IF(OR('A créer'!D10="Oui",LEN('A créer'!D10)=0,LEN('A créer'!C10)=0),"","ZZZZZZ")</f>
        <v/>
      </c>
      <c r="AY10" s="6" t="str">
        <f>IF(OR('A créer'!D10="Oui",LEN('A créer'!D10)=0,LEN('A créer'!C10)=0),"","0")</f>
        <v/>
      </c>
      <c r="AZ10" s="2" t="str">
        <f>IF(OR('A créer'!D10="Oui",LEN('A créer'!D10)=0,LEN('A créer'!C10)=0),"","TAB")</f>
        <v/>
      </c>
      <c r="BA10" s="6" t="str">
        <f>IF(OR('A créer'!D10="Oui",LEN('A créer'!D10)=0,LEN('A créer'!C10)=0),"","ZZZZZ")</f>
        <v/>
      </c>
      <c r="BB10" s="6" t="str">
        <f>IF(OR('A créer'!D10="Oui",LEN('A créer'!D10)=0,LEN('A créer'!C10)=0),"",CONCATENATE("XXX",'A créer'!A10))</f>
        <v/>
      </c>
      <c r="BC10" s="2" t="str">
        <f>IF(OR('A créer'!D10="Oui",LEN('A créer'!D10)=0,LEN('A créer'!C10)=0),"","TAB")</f>
        <v/>
      </c>
      <c r="BD10" s="6" t="str">
        <f>IF(OR('A créer'!D10="Oui",LEN('A créer'!D10)=0,LEN('A créer'!C10)=0),"","0")</f>
        <v/>
      </c>
      <c r="BE10" s="2" t="str">
        <f>IF(OR('A créer'!D10="Oui",LEN('A créer'!D10)=0,LEN('A créer'!C10)=0),"","TAB")</f>
        <v/>
      </c>
      <c r="BF10" s="6" t="str">
        <f>IF(OR('A créer'!D10="Oui",LEN('A créer'!D10)=0,LEN('A créer'!C10)=0),"","ZZZZZZZZZZ")</f>
        <v/>
      </c>
      <c r="BG10" s="6" t="str">
        <f>IF(OR('A créer'!D10="Oui",LEN('A créer'!D10)=0,LEN('A créer'!C10)=0),"","0")</f>
        <v/>
      </c>
      <c r="BH10" s="2" t="str">
        <f>IF(OR('A créer'!D10="Oui",LEN('A créer'!D10)=0,LEN('A créer'!C10)=0),"","TAB")</f>
        <v/>
      </c>
      <c r="BI10" s="6" t="str">
        <f>IF(OR('A créer'!D10="Oui",LEN('A créer'!D10)=0,LEN('A créer'!C10)=0),"","ZZZZZZZZZZ")</f>
        <v/>
      </c>
      <c r="BJ10" s="6" t="str">
        <f>IF(OR('A créer'!D10="Oui",LEN('A créer'!D10)=0,LEN('A créer'!C10)=0),"","0")</f>
        <v/>
      </c>
      <c r="BK10" s="2" t="str">
        <f>IF(OR('A créer'!D10="Oui",LEN('A créer'!D10)=0,LEN('A créer'!C10)=0),"","TAB")</f>
        <v/>
      </c>
      <c r="BL10" s="6" t="str">
        <f>IF(OR('A créer'!D10="Oui",LEN('A créer'!D10)=0,LEN('A créer'!C10)=0),"","ZZZZZZZZZZZZZZZ")</f>
        <v/>
      </c>
      <c r="BM10" s="6" t="str">
        <f>IF(OR('A créer'!D10="Oui",LEN('A créer'!D10)=0,LEN('A créer'!C10)=0),"","0")</f>
        <v/>
      </c>
      <c r="BN10" s="2" t="str">
        <f>IF(OR('A créer'!D10="Oui",LEN('A créer'!D10)=0,LEN('A créer'!C10)=0),"","TAB")</f>
        <v/>
      </c>
      <c r="BO10" s="6" t="str">
        <f>IF(OR('A créer'!D10="Oui",LEN('A créer'!D10)=0,LEN('A créer'!C10)=0),"","ZZZ")</f>
        <v/>
      </c>
      <c r="BP10" s="6" t="str">
        <f>IF(OR('A créer'!D10="Oui",LEN('A créer'!D10)=0,LEN('A créer'!C10)=0),"","0")</f>
        <v/>
      </c>
      <c r="BQ10" s="2" t="str">
        <f>IF(OR('A créer'!D10="Oui",LEN('A créer'!D10)=0,LEN('A créer'!C10)=0),"","TAB")</f>
        <v/>
      </c>
      <c r="BR10" s="6" t="str">
        <f>IF(OR('A créer'!D10="Oui",LEN('A créer'!D10)=0,LEN('A créer'!C10)=0),"","ZZZZZZZZZZ")</f>
        <v/>
      </c>
      <c r="BS10" s="6" t="str">
        <f>IF(OR('A créer'!D10="Oui",LEN('A créer'!D10)=0,LEN('A créer'!C10)=0),"","0")</f>
        <v/>
      </c>
      <c r="BT10" s="2" t="str">
        <f>IF(OR('A créer'!D10="Oui",LEN('A créer'!D10)=0,LEN('A créer'!C10)=0),"","TAB")</f>
        <v/>
      </c>
      <c r="BU10" s="6" t="str">
        <f>IF(OR('A créer'!D10="Oui",LEN('A créer'!D10)=0,LEN('A créer'!C10)=0),"","ZZZZZZZZZZ")</f>
        <v/>
      </c>
      <c r="BV10" s="6" t="str">
        <f>IF(OR('A créer'!D10="Oui",LEN('A créer'!D10)=0,LEN('A créer'!C10)=0),"","0")</f>
        <v/>
      </c>
      <c r="BW10" s="2" t="str">
        <f>IF(OR('A créer'!D10="Oui",LEN('A créer'!D10)=0,LEN('A créer'!C10)=0),"","TAB")</f>
        <v/>
      </c>
      <c r="BX10" s="6" t="str">
        <f>IF(OR('A créer'!D10="Oui",LEN('A créer'!D10)=0,LEN('A créer'!C10)=0),"","ZZZZZZZZZZ")</f>
        <v/>
      </c>
      <c r="BY10" s="2" t="str">
        <f>IF(OR('A créer'!D10="Oui",LEN('A créer'!D10)=0,LEN('A créer'!C10)=0),"","ENT")</f>
        <v/>
      </c>
      <c r="BZ10" s="2" t="str">
        <f>IF(OR('A créer'!D10="Oui",LEN('A créer'!D10)=0,LEN('A créer'!C10)=0),"","*SAVE")</f>
        <v/>
      </c>
    </row>
    <row r="11" spans="1:78" x14ac:dyDescent="0.35">
      <c r="A11" s="2" t="str">
        <f>IF(LEN('A créer'!C11)=0,"","*FN")</f>
        <v/>
      </c>
      <c r="B11" s="3" t="str">
        <f>IF(LEN('A créer'!C11)=0,"","\E")</f>
        <v/>
      </c>
      <c r="C11" s="2" t="str">
        <f>IF(LEN('A créer'!C11)=0,"","Tab")</f>
        <v/>
      </c>
      <c r="D11" s="6" t="str">
        <f>IF(LEN('A créer'!C11)=0,"",'A créer'!A11)</f>
        <v/>
      </c>
      <c r="E11" s="2" t="str">
        <f>IF(LEN('A créer'!C11)=0,"","Tab")</f>
        <v/>
      </c>
      <c r="F11" s="6" t="str">
        <f>IF(LEN('A créer'!C11)=0,"",0)</f>
        <v/>
      </c>
      <c r="G11" s="2" t="str">
        <f>IF(LEN('A créer'!C11)=0,"","Tab")</f>
        <v/>
      </c>
      <c r="H11" s="6" t="str">
        <f>IF(LEN('A créer'!C11)=0,"","ZZZ")</f>
        <v/>
      </c>
      <c r="I11" s="6" t="str">
        <f>IF(LEN('A créer'!C11)=0,"","0")</f>
        <v/>
      </c>
      <c r="J11" s="2" t="str">
        <f>IF(LEN('A créer'!C11)=0,"","Tab")</f>
        <v/>
      </c>
      <c r="K11" s="6" t="str">
        <f>IF(LEN('A créer'!C11)=0,"","ZZZZZZ")</f>
        <v/>
      </c>
      <c r="L11" s="6" t="str">
        <f>IF(LEN('A créer'!C11)=0,"","0")</f>
        <v/>
      </c>
      <c r="M11" s="2" t="str">
        <f>IF(LEN('A créer'!C11)=0,"","Tab")</f>
        <v/>
      </c>
      <c r="N11" s="6" t="str">
        <f>IF(LEN('A créer'!C11)=0,"","ZZZZZ")</f>
        <v/>
      </c>
      <c r="O11" s="6" t="str">
        <f>IF(LEN('A créer'!C11)=0,"",CONCATENATE('A créer'!B11,'A créer'!A11))</f>
        <v/>
      </c>
      <c r="P11" s="2" t="str">
        <f>IF(LEN('A créer'!C11)=0,"","Tab")</f>
        <v/>
      </c>
      <c r="Q11" s="6" t="str">
        <f>IF(LEN('A créer'!C11)=0,"","0")</f>
        <v/>
      </c>
      <c r="R11" s="2" t="str">
        <f>IF(LEN('A créer'!C11)=0,"","Tab")</f>
        <v/>
      </c>
      <c r="S11" s="6" t="str">
        <f>IF(LEN('A créer'!C11)=0,"","ZZZZZZZZZZ")</f>
        <v/>
      </c>
      <c r="T11" s="6" t="str">
        <f>IF(LEN('A créer'!C11)=0,"","0")</f>
        <v/>
      </c>
      <c r="U11" s="2" t="str">
        <f>IF(LEN('A créer'!C11)=0,"","Tab")</f>
        <v/>
      </c>
      <c r="V11" s="6" t="str">
        <f>IF(LEN('A créer'!C11)=0,"","ZZZZZZZZZZ")</f>
        <v/>
      </c>
      <c r="W11" s="6" t="str">
        <f>IF(LEN('A créer'!C11)=0,"","0")</f>
        <v/>
      </c>
      <c r="X11" s="2" t="str">
        <f>IF(LEN('A créer'!C11)=0,"","Tab")</f>
        <v/>
      </c>
      <c r="Y11" s="6" t="str">
        <f>IF(LEN('A créer'!C11)=0,"","ZZZZZZZZZZZZZZZ")</f>
        <v/>
      </c>
      <c r="Z11" s="6" t="str">
        <f>IF(LEN('A créer'!C11)=0,"","0")</f>
        <v/>
      </c>
      <c r="AA11" s="2" t="str">
        <f>IF(LEN('A créer'!C11)=0,"","Tab")</f>
        <v/>
      </c>
      <c r="AB11" s="6" t="str">
        <f>IF(LEN('A créer'!C11)=0,"","ZZZ")</f>
        <v/>
      </c>
      <c r="AC11" s="6" t="str">
        <f>IF(LEN('A créer'!C11)=0,"","0")</f>
        <v/>
      </c>
      <c r="AD11" s="2" t="str">
        <f>IF(LEN('A créer'!C11)=0,"","Tab")</f>
        <v/>
      </c>
      <c r="AE11" s="6" t="str">
        <f>IF(LEN('A créer'!C11)=0,"","ZZZZZZZZZZ")</f>
        <v/>
      </c>
      <c r="AF11" s="6" t="str">
        <f>IF(LEN('A créer'!C11)=0,"","0")</f>
        <v/>
      </c>
      <c r="AG11" s="2" t="str">
        <f>IF(LEN('A créer'!C11)=0,"","Tab")</f>
        <v/>
      </c>
      <c r="AH11" s="6" t="str">
        <f>IF(LEN('A créer'!C11)=0,"","ZZZZZZZZZZ")</f>
        <v/>
      </c>
      <c r="AI11" s="6" t="str">
        <f>IF(LEN('A créer'!C11)=0,"","0")</f>
        <v/>
      </c>
      <c r="AJ11" s="2" t="str">
        <f>IF(LEN('A créer'!C11)=0,"","Tab")</f>
        <v/>
      </c>
      <c r="AK11" s="6" t="str">
        <f>IF(LEN('A créer'!C11)=0,"","ZZZZZZZZZZ")</f>
        <v/>
      </c>
      <c r="AL11" s="2" t="str">
        <f>IF(LEN('A créer'!C11)=0,"","ENT")</f>
        <v/>
      </c>
      <c r="AM11" s="2" t="str">
        <f>IF(LEN('A créer'!C11)=0,"","*SAVE")</f>
        <v/>
      </c>
      <c r="AN11" s="2" t="str">
        <f>IF(OR('A créer'!D11="Oui",LEN('A créer'!D11)=0,LEN('A créer'!C11)=0),"","*FN")</f>
        <v/>
      </c>
      <c r="AO11" s="3" t="str">
        <f>IF(OR('A créer'!D11="Oui",LEN('A créer'!D11)=0,LEN('A créer'!C11)=0),"","\E")</f>
        <v/>
      </c>
      <c r="AP11" s="2" t="str">
        <f>IF(OR('A créer'!D11="Oui",LEN('A créer'!D11)=0,LEN('A créer'!C11)=0),"","TAB")</f>
        <v/>
      </c>
      <c r="AQ11" s="6" t="str">
        <f>IF(OR('A créer'!D11="Oui",LEN('A créer'!D11)=0,LEN('A créer'!C11)=0),"",'A créer'!A11)</f>
        <v/>
      </c>
      <c r="AR11" s="2" t="str">
        <f>IF(OR('A créer'!D11="Oui",LEN('A créer'!D11)=0,LEN('A créer'!C11)=0),"","TAB")</f>
        <v/>
      </c>
      <c r="AS11" s="6" t="str">
        <f>IF(OR('A créer'!D11="Oui",LEN('A créer'!D11)=0,LEN('A créer'!C11)=0),"","0")</f>
        <v/>
      </c>
      <c r="AT11" s="2" t="str">
        <f>IF(OR('A créer'!D11="Oui",LEN('A créer'!D11)=0,LEN('A créer'!C11)=0),"","TAB")</f>
        <v/>
      </c>
      <c r="AU11" s="6" t="str">
        <f>IF(OR('A créer'!D11="Oui",LEN('A créer'!D11)=0,LEN('A créer'!C11)=0),"","ZZZ")</f>
        <v/>
      </c>
      <c r="AV11" s="6" t="str">
        <f>IF(OR('A créer'!D11="Oui",LEN('A créer'!D11)=0,LEN('A créer'!C11)=0),"","0")</f>
        <v/>
      </c>
      <c r="AW11" s="2" t="str">
        <f>IF(OR('A créer'!D11="Oui",LEN('A créer'!D11)=0,LEN('A créer'!C11)=0),"","TAB")</f>
        <v/>
      </c>
      <c r="AX11" s="6" t="str">
        <f>IF(OR('A créer'!D11="Oui",LEN('A créer'!D11)=0,LEN('A créer'!C11)=0),"","ZZZZZZ")</f>
        <v/>
      </c>
      <c r="AY11" s="6" t="str">
        <f>IF(OR('A créer'!D11="Oui",LEN('A créer'!D11)=0,LEN('A créer'!C11)=0),"","0")</f>
        <v/>
      </c>
      <c r="AZ11" s="2" t="str">
        <f>IF(OR('A créer'!D11="Oui",LEN('A créer'!D11)=0,LEN('A créer'!C11)=0),"","TAB")</f>
        <v/>
      </c>
      <c r="BA11" s="6" t="str">
        <f>IF(OR('A créer'!D11="Oui",LEN('A créer'!D11)=0,LEN('A créer'!C11)=0),"","ZZZZZ")</f>
        <v/>
      </c>
      <c r="BB11" s="6" t="str">
        <f>IF(OR('A créer'!D11="Oui",LEN('A créer'!D11)=0,LEN('A créer'!C11)=0),"",CONCATENATE("XXX",'A créer'!A11))</f>
        <v/>
      </c>
      <c r="BC11" s="2" t="str">
        <f>IF(OR('A créer'!D11="Oui",LEN('A créer'!D11)=0,LEN('A créer'!C11)=0),"","TAB")</f>
        <v/>
      </c>
      <c r="BD11" s="6" t="str">
        <f>IF(OR('A créer'!D11="Oui",LEN('A créer'!D11)=0,LEN('A créer'!C11)=0),"","0")</f>
        <v/>
      </c>
      <c r="BE11" s="2" t="str">
        <f>IF(OR('A créer'!D11="Oui",LEN('A créer'!D11)=0,LEN('A créer'!C11)=0),"","TAB")</f>
        <v/>
      </c>
      <c r="BF11" s="6" t="str">
        <f>IF(OR('A créer'!D11="Oui",LEN('A créer'!D11)=0,LEN('A créer'!C11)=0),"","ZZZZZZZZZZ")</f>
        <v/>
      </c>
      <c r="BG11" s="6" t="str">
        <f>IF(OR('A créer'!D11="Oui",LEN('A créer'!D11)=0,LEN('A créer'!C11)=0),"","0")</f>
        <v/>
      </c>
      <c r="BH11" s="2" t="str">
        <f>IF(OR('A créer'!D11="Oui",LEN('A créer'!D11)=0,LEN('A créer'!C11)=0),"","TAB")</f>
        <v/>
      </c>
      <c r="BI11" s="6" t="str">
        <f>IF(OR('A créer'!D11="Oui",LEN('A créer'!D11)=0,LEN('A créer'!C11)=0),"","ZZZZZZZZZZ")</f>
        <v/>
      </c>
      <c r="BJ11" s="6" t="str">
        <f>IF(OR('A créer'!D11="Oui",LEN('A créer'!D11)=0,LEN('A créer'!C11)=0),"","0")</f>
        <v/>
      </c>
      <c r="BK11" s="2" t="str">
        <f>IF(OR('A créer'!D11="Oui",LEN('A créer'!D11)=0,LEN('A créer'!C11)=0),"","TAB")</f>
        <v/>
      </c>
      <c r="BL11" s="6" t="str">
        <f>IF(OR('A créer'!D11="Oui",LEN('A créer'!D11)=0,LEN('A créer'!C11)=0),"","ZZZZZZZZZZZZZZZ")</f>
        <v/>
      </c>
      <c r="BM11" s="6" t="str">
        <f>IF(OR('A créer'!D11="Oui",LEN('A créer'!D11)=0,LEN('A créer'!C11)=0),"","0")</f>
        <v/>
      </c>
      <c r="BN11" s="2" t="str">
        <f>IF(OR('A créer'!D11="Oui",LEN('A créer'!D11)=0,LEN('A créer'!C11)=0),"","TAB")</f>
        <v/>
      </c>
      <c r="BO11" s="6" t="str">
        <f>IF(OR('A créer'!D11="Oui",LEN('A créer'!D11)=0,LEN('A créer'!C11)=0),"","ZZZ")</f>
        <v/>
      </c>
      <c r="BP11" s="6" t="str">
        <f>IF(OR('A créer'!D11="Oui",LEN('A créer'!D11)=0,LEN('A créer'!C11)=0),"","0")</f>
        <v/>
      </c>
      <c r="BQ11" s="2" t="str">
        <f>IF(OR('A créer'!D11="Oui",LEN('A créer'!D11)=0,LEN('A créer'!C11)=0),"","TAB")</f>
        <v/>
      </c>
      <c r="BR11" s="6" t="str">
        <f>IF(OR('A créer'!D11="Oui",LEN('A créer'!D11)=0,LEN('A créer'!C11)=0),"","ZZZZZZZZZZ")</f>
        <v/>
      </c>
      <c r="BS11" s="6" t="str">
        <f>IF(OR('A créer'!D11="Oui",LEN('A créer'!D11)=0,LEN('A créer'!C11)=0),"","0")</f>
        <v/>
      </c>
      <c r="BT11" s="2" t="str">
        <f>IF(OR('A créer'!D11="Oui",LEN('A créer'!D11)=0,LEN('A créer'!C11)=0),"","TAB")</f>
        <v/>
      </c>
      <c r="BU11" s="6" t="str">
        <f>IF(OR('A créer'!D11="Oui",LEN('A créer'!D11)=0,LEN('A créer'!C11)=0),"","ZZZZZZZZZZ")</f>
        <v/>
      </c>
      <c r="BV11" s="6" t="str">
        <f>IF(OR('A créer'!D11="Oui",LEN('A créer'!D11)=0,LEN('A créer'!C11)=0),"","0")</f>
        <v/>
      </c>
      <c r="BW11" s="2" t="str">
        <f>IF(OR('A créer'!D11="Oui",LEN('A créer'!D11)=0,LEN('A créer'!C11)=0),"","TAB")</f>
        <v/>
      </c>
      <c r="BX11" s="6" t="str">
        <f>IF(OR('A créer'!D11="Oui",LEN('A créer'!D11)=0,LEN('A créer'!C11)=0),"","ZZZZZZZZZZ")</f>
        <v/>
      </c>
      <c r="BY11" s="2" t="str">
        <f>IF(OR('A créer'!D11="Oui",LEN('A créer'!D11)=0,LEN('A créer'!C11)=0),"","ENT")</f>
        <v/>
      </c>
      <c r="BZ11" s="2" t="str">
        <f>IF(OR('A créer'!D11="Oui",LEN('A créer'!D11)=0,LEN('A créer'!C11)=0),"","*SAVE")</f>
        <v/>
      </c>
    </row>
    <row r="12" spans="1:78" x14ac:dyDescent="0.35">
      <c r="A12" s="2" t="str">
        <f>IF(LEN('A créer'!C12)=0,"","*FN")</f>
        <v/>
      </c>
      <c r="B12" s="3" t="str">
        <f>IF(LEN('A créer'!C12)=0,"","\E")</f>
        <v/>
      </c>
      <c r="C12" s="2" t="str">
        <f>IF(LEN('A créer'!C12)=0,"","Tab")</f>
        <v/>
      </c>
      <c r="D12" s="6" t="str">
        <f>IF(LEN('A créer'!C12)=0,"",'A créer'!A12)</f>
        <v/>
      </c>
      <c r="E12" s="2" t="str">
        <f>IF(LEN('A créer'!C12)=0,"","Tab")</f>
        <v/>
      </c>
      <c r="F12" s="6" t="str">
        <f>IF(LEN('A créer'!C12)=0,"",0)</f>
        <v/>
      </c>
      <c r="G12" s="2" t="str">
        <f>IF(LEN('A créer'!C12)=0,"","Tab")</f>
        <v/>
      </c>
      <c r="H12" s="6" t="str">
        <f>IF(LEN('A créer'!C12)=0,"","ZZZ")</f>
        <v/>
      </c>
      <c r="I12" s="6" t="str">
        <f>IF(LEN('A créer'!C12)=0,"","0")</f>
        <v/>
      </c>
      <c r="J12" s="2" t="str">
        <f>IF(LEN('A créer'!C12)=0,"","Tab")</f>
        <v/>
      </c>
      <c r="K12" s="6" t="str">
        <f>IF(LEN('A créer'!C12)=0,"","ZZZZZZ")</f>
        <v/>
      </c>
      <c r="L12" s="6" t="str">
        <f>IF(LEN('A créer'!C12)=0,"","0")</f>
        <v/>
      </c>
      <c r="M12" s="2" t="str">
        <f>IF(LEN('A créer'!C12)=0,"","Tab")</f>
        <v/>
      </c>
      <c r="N12" s="6" t="str">
        <f>IF(LEN('A créer'!C12)=0,"","ZZZZZ")</f>
        <v/>
      </c>
      <c r="O12" s="6" t="str">
        <f>IF(LEN('A créer'!C12)=0,"",CONCATENATE('A créer'!B12,'A créer'!A12))</f>
        <v/>
      </c>
      <c r="P12" s="2" t="str">
        <f>IF(LEN('A créer'!C12)=0,"","Tab")</f>
        <v/>
      </c>
      <c r="Q12" s="6" t="str">
        <f>IF(LEN('A créer'!C12)=0,"","0")</f>
        <v/>
      </c>
      <c r="R12" s="2" t="str">
        <f>IF(LEN('A créer'!C12)=0,"","Tab")</f>
        <v/>
      </c>
      <c r="S12" s="6" t="str">
        <f>IF(LEN('A créer'!C12)=0,"","ZZZZZZZZZZ")</f>
        <v/>
      </c>
      <c r="T12" s="6" t="str">
        <f>IF(LEN('A créer'!C12)=0,"","0")</f>
        <v/>
      </c>
      <c r="U12" s="2" t="str">
        <f>IF(LEN('A créer'!C12)=0,"","Tab")</f>
        <v/>
      </c>
      <c r="V12" s="6" t="str">
        <f>IF(LEN('A créer'!C12)=0,"","ZZZZZZZZZZ")</f>
        <v/>
      </c>
      <c r="W12" s="6" t="str">
        <f>IF(LEN('A créer'!C12)=0,"","0")</f>
        <v/>
      </c>
      <c r="X12" s="2" t="str">
        <f>IF(LEN('A créer'!C12)=0,"","Tab")</f>
        <v/>
      </c>
      <c r="Y12" s="6" t="str">
        <f>IF(LEN('A créer'!C12)=0,"","ZZZZZZZZZZZZZZZ")</f>
        <v/>
      </c>
      <c r="Z12" s="6" t="str">
        <f>IF(LEN('A créer'!C12)=0,"","0")</f>
        <v/>
      </c>
      <c r="AA12" s="2" t="str">
        <f>IF(LEN('A créer'!C12)=0,"","Tab")</f>
        <v/>
      </c>
      <c r="AB12" s="6" t="str">
        <f>IF(LEN('A créer'!C12)=0,"","ZZZ")</f>
        <v/>
      </c>
      <c r="AC12" s="6" t="str">
        <f>IF(LEN('A créer'!C12)=0,"","0")</f>
        <v/>
      </c>
      <c r="AD12" s="2" t="str">
        <f>IF(LEN('A créer'!C12)=0,"","Tab")</f>
        <v/>
      </c>
      <c r="AE12" s="6" t="str">
        <f>IF(LEN('A créer'!C12)=0,"","ZZZZZZZZZZ")</f>
        <v/>
      </c>
      <c r="AF12" s="6" t="str">
        <f>IF(LEN('A créer'!C12)=0,"","0")</f>
        <v/>
      </c>
      <c r="AG12" s="2" t="str">
        <f>IF(LEN('A créer'!C12)=0,"","Tab")</f>
        <v/>
      </c>
      <c r="AH12" s="6" t="str">
        <f>IF(LEN('A créer'!C12)=0,"","ZZZZZZZZZZ")</f>
        <v/>
      </c>
      <c r="AI12" s="6" t="str">
        <f>IF(LEN('A créer'!C12)=0,"","0")</f>
        <v/>
      </c>
      <c r="AJ12" s="2" t="str">
        <f>IF(LEN('A créer'!C12)=0,"","Tab")</f>
        <v/>
      </c>
      <c r="AK12" s="6" t="str">
        <f>IF(LEN('A créer'!C12)=0,"","ZZZZZZZZZZ")</f>
        <v/>
      </c>
      <c r="AL12" s="2" t="str">
        <f>IF(LEN('A créer'!C12)=0,"","ENT")</f>
        <v/>
      </c>
      <c r="AM12" s="2" t="str">
        <f>IF(LEN('A créer'!C12)=0,"","*SAVE")</f>
        <v/>
      </c>
      <c r="AN12" s="2" t="str">
        <f>IF(OR('A créer'!D12="Oui",LEN('A créer'!D12)=0,LEN('A créer'!C12)=0),"","*FN")</f>
        <v/>
      </c>
      <c r="AO12" s="3" t="str">
        <f>IF(OR('A créer'!D12="Oui",LEN('A créer'!D12)=0,LEN('A créer'!C12)=0),"","\E")</f>
        <v/>
      </c>
      <c r="AP12" s="2" t="str">
        <f>IF(OR('A créer'!D12="Oui",LEN('A créer'!D12)=0,LEN('A créer'!C12)=0),"","TAB")</f>
        <v/>
      </c>
      <c r="AQ12" s="6" t="str">
        <f>IF(OR('A créer'!D12="Oui",LEN('A créer'!D12)=0,LEN('A créer'!C12)=0),"",'A créer'!A12)</f>
        <v/>
      </c>
      <c r="AR12" s="2" t="str">
        <f>IF(OR('A créer'!D12="Oui",LEN('A créer'!D12)=0,LEN('A créer'!C12)=0),"","TAB")</f>
        <v/>
      </c>
      <c r="AS12" s="6" t="str">
        <f>IF(OR('A créer'!D12="Oui",LEN('A créer'!D12)=0,LEN('A créer'!C12)=0),"","0")</f>
        <v/>
      </c>
      <c r="AT12" s="2" t="str">
        <f>IF(OR('A créer'!D12="Oui",LEN('A créer'!D12)=0,LEN('A créer'!C12)=0),"","TAB")</f>
        <v/>
      </c>
      <c r="AU12" s="6" t="str">
        <f>IF(OR('A créer'!D12="Oui",LEN('A créer'!D12)=0,LEN('A créer'!C12)=0),"","ZZZ")</f>
        <v/>
      </c>
      <c r="AV12" s="6" t="str">
        <f>IF(OR('A créer'!D12="Oui",LEN('A créer'!D12)=0,LEN('A créer'!C12)=0),"","0")</f>
        <v/>
      </c>
      <c r="AW12" s="2" t="str">
        <f>IF(OR('A créer'!D12="Oui",LEN('A créer'!D12)=0,LEN('A créer'!C12)=0),"","TAB")</f>
        <v/>
      </c>
      <c r="AX12" s="6" t="str">
        <f>IF(OR('A créer'!D12="Oui",LEN('A créer'!D12)=0,LEN('A créer'!C12)=0),"","ZZZZZZ")</f>
        <v/>
      </c>
      <c r="AY12" s="6" t="str">
        <f>IF(OR('A créer'!D12="Oui",LEN('A créer'!D12)=0,LEN('A créer'!C12)=0),"","0")</f>
        <v/>
      </c>
      <c r="AZ12" s="2" t="str">
        <f>IF(OR('A créer'!D12="Oui",LEN('A créer'!D12)=0,LEN('A créer'!C12)=0),"","TAB")</f>
        <v/>
      </c>
      <c r="BA12" s="6" t="str">
        <f>IF(OR('A créer'!D12="Oui",LEN('A créer'!D12)=0,LEN('A créer'!C12)=0),"","ZZZZZ")</f>
        <v/>
      </c>
      <c r="BB12" s="6" t="str">
        <f>IF(OR('A créer'!D12="Oui",LEN('A créer'!D12)=0,LEN('A créer'!C12)=0),"",CONCATENATE("XXX",'A créer'!A12))</f>
        <v/>
      </c>
      <c r="BC12" s="2" t="str">
        <f>IF(OR('A créer'!D12="Oui",LEN('A créer'!D12)=0,LEN('A créer'!C12)=0),"","TAB")</f>
        <v/>
      </c>
      <c r="BD12" s="6" t="str">
        <f>IF(OR('A créer'!D12="Oui",LEN('A créer'!D12)=0,LEN('A créer'!C12)=0),"","0")</f>
        <v/>
      </c>
      <c r="BE12" s="2" t="str">
        <f>IF(OR('A créer'!D12="Oui",LEN('A créer'!D12)=0,LEN('A créer'!C12)=0),"","TAB")</f>
        <v/>
      </c>
      <c r="BF12" s="6" t="str">
        <f>IF(OR('A créer'!D12="Oui",LEN('A créer'!D12)=0,LEN('A créer'!C12)=0),"","ZZZZZZZZZZ")</f>
        <v/>
      </c>
      <c r="BG12" s="6" t="str">
        <f>IF(OR('A créer'!D12="Oui",LEN('A créer'!D12)=0,LEN('A créer'!C12)=0),"","0")</f>
        <v/>
      </c>
      <c r="BH12" s="2" t="str">
        <f>IF(OR('A créer'!D12="Oui",LEN('A créer'!D12)=0,LEN('A créer'!C12)=0),"","TAB")</f>
        <v/>
      </c>
      <c r="BI12" s="6" t="str">
        <f>IF(OR('A créer'!D12="Oui",LEN('A créer'!D12)=0,LEN('A créer'!C12)=0),"","ZZZZZZZZZZ")</f>
        <v/>
      </c>
      <c r="BJ12" s="6" t="str">
        <f>IF(OR('A créer'!D12="Oui",LEN('A créer'!D12)=0,LEN('A créer'!C12)=0),"","0")</f>
        <v/>
      </c>
      <c r="BK12" s="2" t="str">
        <f>IF(OR('A créer'!D12="Oui",LEN('A créer'!D12)=0,LEN('A créer'!C12)=0),"","TAB")</f>
        <v/>
      </c>
      <c r="BL12" s="6" t="str">
        <f>IF(OR('A créer'!D12="Oui",LEN('A créer'!D12)=0,LEN('A créer'!C12)=0),"","ZZZZZZZZZZZZZZZ")</f>
        <v/>
      </c>
      <c r="BM12" s="6" t="str">
        <f>IF(OR('A créer'!D12="Oui",LEN('A créer'!D12)=0,LEN('A créer'!C12)=0),"","0")</f>
        <v/>
      </c>
      <c r="BN12" s="2" t="str">
        <f>IF(OR('A créer'!D12="Oui",LEN('A créer'!D12)=0,LEN('A créer'!C12)=0),"","TAB")</f>
        <v/>
      </c>
      <c r="BO12" s="6" t="str">
        <f>IF(OR('A créer'!D12="Oui",LEN('A créer'!D12)=0,LEN('A créer'!C12)=0),"","ZZZ")</f>
        <v/>
      </c>
      <c r="BP12" s="6" t="str">
        <f>IF(OR('A créer'!D12="Oui",LEN('A créer'!D12)=0,LEN('A créer'!C12)=0),"","0")</f>
        <v/>
      </c>
      <c r="BQ12" s="2" t="str">
        <f>IF(OR('A créer'!D12="Oui",LEN('A créer'!D12)=0,LEN('A créer'!C12)=0),"","TAB")</f>
        <v/>
      </c>
      <c r="BR12" s="6" t="str">
        <f>IF(OR('A créer'!D12="Oui",LEN('A créer'!D12)=0,LEN('A créer'!C12)=0),"","ZZZZZZZZZZ")</f>
        <v/>
      </c>
      <c r="BS12" s="6" t="str">
        <f>IF(OR('A créer'!D12="Oui",LEN('A créer'!D12)=0,LEN('A créer'!C12)=0),"","0")</f>
        <v/>
      </c>
      <c r="BT12" s="2" t="str">
        <f>IF(OR('A créer'!D12="Oui",LEN('A créer'!D12)=0,LEN('A créer'!C12)=0),"","TAB")</f>
        <v/>
      </c>
      <c r="BU12" s="6" t="str">
        <f>IF(OR('A créer'!D12="Oui",LEN('A créer'!D12)=0,LEN('A créer'!C12)=0),"","ZZZZZZZZZZ")</f>
        <v/>
      </c>
      <c r="BV12" s="6" t="str">
        <f>IF(OR('A créer'!D12="Oui",LEN('A créer'!D12)=0,LEN('A créer'!C12)=0),"","0")</f>
        <v/>
      </c>
      <c r="BW12" s="2" t="str">
        <f>IF(OR('A créer'!D12="Oui",LEN('A créer'!D12)=0,LEN('A créer'!C12)=0),"","TAB")</f>
        <v/>
      </c>
      <c r="BX12" s="6" t="str">
        <f>IF(OR('A créer'!D12="Oui",LEN('A créer'!D12)=0,LEN('A créer'!C12)=0),"","ZZZZZZZZZZ")</f>
        <v/>
      </c>
      <c r="BY12" s="2" t="str">
        <f>IF(OR('A créer'!D12="Oui",LEN('A créer'!D12)=0,LEN('A créer'!C12)=0),"","ENT")</f>
        <v/>
      </c>
      <c r="BZ12" s="2" t="str">
        <f>IF(OR('A créer'!D12="Oui",LEN('A créer'!D12)=0,LEN('A créer'!C12)=0),"","*SAVE")</f>
        <v/>
      </c>
    </row>
    <row r="13" spans="1:78" x14ac:dyDescent="0.35">
      <c r="A13" s="2" t="str">
        <f>IF(LEN('A créer'!C13)=0,"","*FN")</f>
        <v/>
      </c>
      <c r="B13" s="3" t="str">
        <f>IF(LEN('A créer'!C13)=0,"","\E")</f>
        <v/>
      </c>
      <c r="C13" s="2" t="str">
        <f>IF(LEN('A créer'!C13)=0,"","Tab")</f>
        <v/>
      </c>
      <c r="D13" s="6" t="str">
        <f>IF(LEN('A créer'!C13)=0,"",'A créer'!A13)</f>
        <v/>
      </c>
      <c r="E13" s="2" t="str">
        <f>IF(LEN('A créer'!C13)=0,"","Tab")</f>
        <v/>
      </c>
      <c r="F13" s="6" t="str">
        <f>IF(LEN('A créer'!C13)=0,"",0)</f>
        <v/>
      </c>
      <c r="G13" s="2" t="str">
        <f>IF(LEN('A créer'!C13)=0,"","Tab")</f>
        <v/>
      </c>
      <c r="H13" s="6" t="str">
        <f>IF(LEN('A créer'!C13)=0,"","ZZZ")</f>
        <v/>
      </c>
      <c r="I13" s="6" t="str">
        <f>IF(LEN('A créer'!C13)=0,"","0")</f>
        <v/>
      </c>
      <c r="J13" s="2" t="str">
        <f>IF(LEN('A créer'!C13)=0,"","Tab")</f>
        <v/>
      </c>
      <c r="K13" s="6" t="str">
        <f>IF(LEN('A créer'!C13)=0,"","ZZZZZZ")</f>
        <v/>
      </c>
      <c r="L13" s="6" t="str">
        <f>IF(LEN('A créer'!C13)=0,"","0")</f>
        <v/>
      </c>
      <c r="M13" s="2" t="str">
        <f>IF(LEN('A créer'!C13)=0,"","Tab")</f>
        <v/>
      </c>
      <c r="N13" s="6" t="str">
        <f>IF(LEN('A créer'!C13)=0,"","ZZZZZ")</f>
        <v/>
      </c>
      <c r="O13" s="6" t="str">
        <f>IF(LEN('A créer'!C13)=0,"",CONCATENATE('A créer'!B13,'A créer'!A13))</f>
        <v/>
      </c>
      <c r="P13" s="2" t="str">
        <f>IF(LEN('A créer'!C13)=0,"","Tab")</f>
        <v/>
      </c>
      <c r="Q13" s="6" t="str">
        <f>IF(LEN('A créer'!C13)=0,"","0")</f>
        <v/>
      </c>
      <c r="R13" s="2" t="str">
        <f>IF(LEN('A créer'!C13)=0,"","Tab")</f>
        <v/>
      </c>
      <c r="S13" s="6" t="str">
        <f>IF(LEN('A créer'!C13)=0,"","ZZZZZZZZZZ")</f>
        <v/>
      </c>
      <c r="T13" s="6" t="str">
        <f>IF(LEN('A créer'!C13)=0,"","0")</f>
        <v/>
      </c>
      <c r="U13" s="2" t="str">
        <f>IF(LEN('A créer'!C13)=0,"","Tab")</f>
        <v/>
      </c>
      <c r="V13" s="6" t="str">
        <f>IF(LEN('A créer'!C13)=0,"","ZZZZZZZZZZ")</f>
        <v/>
      </c>
      <c r="W13" s="6" t="str">
        <f>IF(LEN('A créer'!C13)=0,"","0")</f>
        <v/>
      </c>
      <c r="X13" s="2" t="str">
        <f>IF(LEN('A créer'!C13)=0,"","Tab")</f>
        <v/>
      </c>
      <c r="Y13" s="6" t="str">
        <f>IF(LEN('A créer'!C13)=0,"","ZZZZZZZZZZZZZZZ")</f>
        <v/>
      </c>
      <c r="Z13" s="6" t="str">
        <f>IF(LEN('A créer'!C13)=0,"","0")</f>
        <v/>
      </c>
      <c r="AA13" s="2" t="str">
        <f>IF(LEN('A créer'!C13)=0,"","Tab")</f>
        <v/>
      </c>
      <c r="AB13" s="6" t="str">
        <f>IF(LEN('A créer'!C13)=0,"","ZZZ")</f>
        <v/>
      </c>
      <c r="AC13" s="6" t="str">
        <f>IF(LEN('A créer'!C13)=0,"","0")</f>
        <v/>
      </c>
      <c r="AD13" s="2" t="str">
        <f>IF(LEN('A créer'!C13)=0,"","Tab")</f>
        <v/>
      </c>
      <c r="AE13" s="6" t="str">
        <f>IF(LEN('A créer'!C13)=0,"","ZZZZZZZZZZ")</f>
        <v/>
      </c>
      <c r="AF13" s="6" t="str">
        <f>IF(LEN('A créer'!C13)=0,"","0")</f>
        <v/>
      </c>
      <c r="AG13" s="2" t="str">
        <f>IF(LEN('A créer'!C13)=0,"","Tab")</f>
        <v/>
      </c>
      <c r="AH13" s="6" t="str">
        <f>IF(LEN('A créer'!C13)=0,"","ZZZZZZZZZZ")</f>
        <v/>
      </c>
      <c r="AI13" s="6" t="str">
        <f>IF(LEN('A créer'!C13)=0,"","0")</f>
        <v/>
      </c>
      <c r="AJ13" s="2" t="str">
        <f>IF(LEN('A créer'!C13)=0,"","Tab")</f>
        <v/>
      </c>
      <c r="AK13" s="6" t="str">
        <f>IF(LEN('A créer'!C13)=0,"","ZZZZZZZZZZ")</f>
        <v/>
      </c>
      <c r="AL13" s="2" t="str">
        <f>IF(LEN('A créer'!C13)=0,"","ENT")</f>
        <v/>
      </c>
      <c r="AM13" s="2" t="str">
        <f>IF(LEN('A créer'!C13)=0,"","*SAVE")</f>
        <v/>
      </c>
      <c r="AN13" s="2" t="str">
        <f>IF(OR('A créer'!D13="Oui",LEN('A créer'!D13)=0,LEN('A créer'!C13)=0),"","*FN")</f>
        <v/>
      </c>
      <c r="AO13" s="3" t="str">
        <f>IF(OR('A créer'!D13="Oui",LEN('A créer'!D13)=0,LEN('A créer'!C13)=0),"","\E")</f>
        <v/>
      </c>
      <c r="AP13" s="2" t="str">
        <f>IF(OR('A créer'!D13="Oui",LEN('A créer'!D13)=0,LEN('A créer'!C13)=0),"","TAB")</f>
        <v/>
      </c>
      <c r="AQ13" s="6" t="str">
        <f>IF(OR('A créer'!D13="Oui",LEN('A créer'!D13)=0,LEN('A créer'!C13)=0),"",'A créer'!A13)</f>
        <v/>
      </c>
      <c r="AR13" s="2" t="str">
        <f>IF(OR('A créer'!D13="Oui",LEN('A créer'!D13)=0,LEN('A créer'!C13)=0),"","TAB")</f>
        <v/>
      </c>
      <c r="AS13" s="6" t="str">
        <f>IF(OR('A créer'!D13="Oui",LEN('A créer'!D13)=0,LEN('A créer'!C13)=0),"","0")</f>
        <v/>
      </c>
      <c r="AT13" s="2" t="str">
        <f>IF(OR('A créer'!D13="Oui",LEN('A créer'!D13)=0,LEN('A créer'!C13)=0),"","TAB")</f>
        <v/>
      </c>
      <c r="AU13" s="6" t="str">
        <f>IF(OR('A créer'!D13="Oui",LEN('A créer'!D13)=0,LEN('A créer'!C13)=0),"","ZZZ")</f>
        <v/>
      </c>
      <c r="AV13" s="6" t="str">
        <f>IF(OR('A créer'!D13="Oui",LEN('A créer'!D13)=0,LEN('A créer'!C13)=0),"","0")</f>
        <v/>
      </c>
      <c r="AW13" s="2" t="str">
        <f>IF(OR('A créer'!D13="Oui",LEN('A créer'!D13)=0,LEN('A créer'!C13)=0),"","TAB")</f>
        <v/>
      </c>
      <c r="AX13" s="6" t="str">
        <f>IF(OR('A créer'!D13="Oui",LEN('A créer'!D13)=0,LEN('A créer'!C13)=0),"","ZZZZZZ")</f>
        <v/>
      </c>
      <c r="AY13" s="6" t="str">
        <f>IF(OR('A créer'!D13="Oui",LEN('A créer'!D13)=0,LEN('A créer'!C13)=0),"","0")</f>
        <v/>
      </c>
      <c r="AZ13" s="2" t="str">
        <f>IF(OR('A créer'!D13="Oui",LEN('A créer'!D13)=0,LEN('A créer'!C13)=0),"","TAB")</f>
        <v/>
      </c>
      <c r="BA13" s="6" t="str">
        <f>IF(OR('A créer'!D13="Oui",LEN('A créer'!D13)=0,LEN('A créer'!C13)=0),"","ZZZZZ")</f>
        <v/>
      </c>
      <c r="BB13" s="6" t="str">
        <f>IF(OR('A créer'!D13="Oui",LEN('A créer'!D13)=0,LEN('A créer'!C13)=0),"",CONCATENATE("XXX",'A créer'!A13))</f>
        <v/>
      </c>
      <c r="BC13" s="2" t="str">
        <f>IF(OR('A créer'!D13="Oui",LEN('A créer'!D13)=0,LEN('A créer'!C13)=0),"","TAB")</f>
        <v/>
      </c>
      <c r="BD13" s="6" t="str">
        <f>IF(OR('A créer'!D13="Oui",LEN('A créer'!D13)=0,LEN('A créer'!C13)=0),"","0")</f>
        <v/>
      </c>
      <c r="BE13" s="2" t="str">
        <f>IF(OR('A créer'!D13="Oui",LEN('A créer'!D13)=0,LEN('A créer'!C13)=0),"","TAB")</f>
        <v/>
      </c>
      <c r="BF13" s="6" t="str">
        <f>IF(OR('A créer'!D13="Oui",LEN('A créer'!D13)=0,LEN('A créer'!C13)=0),"","ZZZZZZZZZZ")</f>
        <v/>
      </c>
      <c r="BG13" s="6" t="str">
        <f>IF(OR('A créer'!D13="Oui",LEN('A créer'!D13)=0,LEN('A créer'!C13)=0),"","0")</f>
        <v/>
      </c>
      <c r="BH13" s="2" t="str">
        <f>IF(OR('A créer'!D13="Oui",LEN('A créer'!D13)=0,LEN('A créer'!C13)=0),"","TAB")</f>
        <v/>
      </c>
      <c r="BI13" s="6" t="str">
        <f>IF(OR('A créer'!D13="Oui",LEN('A créer'!D13)=0,LEN('A créer'!C13)=0),"","ZZZZZZZZZZ")</f>
        <v/>
      </c>
      <c r="BJ13" s="6" t="str">
        <f>IF(OR('A créer'!D13="Oui",LEN('A créer'!D13)=0,LEN('A créer'!C13)=0),"","0")</f>
        <v/>
      </c>
      <c r="BK13" s="2" t="str">
        <f>IF(OR('A créer'!D13="Oui",LEN('A créer'!D13)=0,LEN('A créer'!C13)=0),"","TAB")</f>
        <v/>
      </c>
      <c r="BL13" s="6" t="str">
        <f>IF(OR('A créer'!D13="Oui",LEN('A créer'!D13)=0,LEN('A créer'!C13)=0),"","ZZZZZZZZZZZZZZZ")</f>
        <v/>
      </c>
      <c r="BM13" s="6" t="str">
        <f>IF(OR('A créer'!D13="Oui",LEN('A créer'!D13)=0,LEN('A créer'!C13)=0),"","0")</f>
        <v/>
      </c>
      <c r="BN13" s="2" t="str">
        <f>IF(OR('A créer'!D13="Oui",LEN('A créer'!D13)=0,LEN('A créer'!C13)=0),"","TAB")</f>
        <v/>
      </c>
      <c r="BO13" s="6" t="str">
        <f>IF(OR('A créer'!D13="Oui",LEN('A créer'!D13)=0,LEN('A créer'!C13)=0),"","ZZZ")</f>
        <v/>
      </c>
      <c r="BP13" s="6" t="str">
        <f>IF(OR('A créer'!D13="Oui",LEN('A créer'!D13)=0,LEN('A créer'!C13)=0),"","0")</f>
        <v/>
      </c>
      <c r="BQ13" s="2" t="str">
        <f>IF(OR('A créer'!D13="Oui",LEN('A créer'!D13)=0,LEN('A créer'!C13)=0),"","TAB")</f>
        <v/>
      </c>
      <c r="BR13" s="6" t="str">
        <f>IF(OR('A créer'!D13="Oui",LEN('A créer'!D13)=0,LEN('A créer'!C13)=0),"","ZZZZZZZZZZ")</f>
        <v/>
      </c>
      <c r="BS13" s="6" t="str">
        <f>IF(OR('A créer'!D13="Oui",LEN('A créer'!D13)=0,LEN('A créer'!C13)=0),"","0")</f>
        <v/>
      </c>
      <c r="BT13" s="2" t="str">
        <f>IF(OR('A créer'!D13="Oui",LEN('A créer'!D13)=0,LEN('A créer'!C13)=0),"","TAB")</f>
        <v/>
      </c>
      <c r="BU13" s="6" t="str">
        <f>IF(OR('A créer'!D13="Oui",LEN('A créer'!D13)=0,LEN('A créer'!C13)=0),"","ZZZZZZZZZZ")</f>
        <v/>
      </c>
      <c r="BV13" s="6" t="str">
        <f>IF(OR('A créer'!D13="Oui",LEN('A créer'!D13)=0,LEN('A créer'!C13)=0),"","0")</f>
        <v/>
      </c>
      <c r="BW13" s="2" t="str">
        <f>IF(OR('A créer'!D13="Oui",LEN('A créer'!D13)=0,LEN('A créer'!C13)=0),"","TAB")</f>
        <v/>
      </c>
      <c r="BX13" s="6" t="str">
        <f>IF(OR('A créer'!D13="Oui",LEN('A créer'!D13)=0,LEN('A créer'!C13)=0),"","ZZZZZZZZZZ")</f>
        <v/>
      </c>
      <c r="BY13" s="2" t="str">
        <f>IF(OR('A créer'!D13="Oui",LEN('A créer'!D13)=0,LEN('A créer'!C13)=0),"","ENT")</f>
        <v/>
      </c>
      <c r="BZ13" s="2" t="str">
        <f>IF(OR('A créer'!D13="Oui",LEN('A créer'!D13)=0,LEN('A créer'!C13)=0),"","*SAVE")</f>
        <v/>
      </c>
    </row>
    <row r="14" spans="1:78" x14ac:dyDescent="0.35">
      <c r="A14" s="2" t="str">
        <f>IF(LEN('A créer'!C14)=0,"","*FN")</f>
        <v/>
      </c>
      <c r="B14" s="3" t="str">
        <f>IF(LEN('A créer'!C14)=0,"","\E")</f>
        <v/>
      </c>
      <c r="C14" s="2" t="str">
        <f>IF(LEN('A créer'!C14)=0,"","Tab")</f>
        <v/>
      </c>
      <c r="D14" s="6" t="str">
        <f>IF(LEN('A créer'!C14)=0,"",'A créer'!A14)</f>
        <v/>
      </c>
      <c r="E14" s="2" t="str">
        <f>IF(LEN('A créer'!C14)=0,"","Tab")</f>
        <v/>
      </c>
      <c r="F14" s="6" t="str">
        <f>IF(LEN('A créer'!C14)=0,"",0)</f>
        <v/>
      </c>
      <c r="G14" s="2" t="str">
        <f>IF(LEN('A créer'!C14)=0,"","Tab")</f>
        <v/>
      </c>
      <c r="H14" s="6" t="str">
        <f>IF(LEN('A créer'!C14)=0,"","ZZZ")</f>
        <v/>
      </c>
      <c r="I14" s="6" t="str">
        <f>IF(LEN('A créer'!C14)=0,"","0")</f>
        <v/>
      </c>
      <c r="J14" s="2" t="str">
        <f>IF(LEN('A créer'!C14)=0,"","Tab")</f>
        <v/>
      </c>
      <c r="K14" s="6" t="str">
        <f>IF(LEN('A créer'!C14)=0,"","ZZZZZZ")</f>
        <v/>
      </c>
      <c r="L14" s="6" t="str">
        <f>IF(LEN('A créer'!C14)=0,"","0")</f>
        <v/>
      </c>
      <c r="M14" s="2" t="str">
        <f>IF(LEN('A créer'!C14)=0,"","Tab")</f>
        <v/>
      </c>
      <c r="N14" s="6" t="str">
        <f>IF(LEN('A créer'!C14)=0,"","ZZZZZ")</f>
        <v/>
      </c>
      <c r="O14" s="6" t="str">
        <f>IF(LEN('A créer'!C14)=0,"",CONCATENATE('A créer'!B14,'A créer'!A14))</f>
        <v/>
      </c>
      <c r="P14" s="2" t="str">
        <f>IF(LEN('A créer'!C14)=0,"","Tab")</f>
        <v/>
      </c>
      <c r="Q14" s="6" t="str">
        <f>IF(LEN('A créer'!C14)=0,"","0")</f>
        <v/>
      </c>
      <c r="R14" s="2" t="str">
        <f>IF(LEN('A créer'!C14)=0,"","Tab")</f>
        <v/>
      </c>
      <c r="S14" s="6" t="str">
        <f>IF(LEN('A créer'!C14)=0,"","ZZZZZZZZZZ")</f>
        <v/>
      </c>
      <c r="T14" s="6" t="str">
        <f>IF(LEN('A créer'!C14)=0,"","0")</f>
        <v/>
      </c>
      <c r="U14" s="2" t="str">
        <f>IF(LEN('A créer'!C14)=0,"","Tab")</f>
        <v/>
      </c>
      <c r="V14" s="6" t="str">
        <f>IF(LEN('A créer'!C14)=0,"","ZZZZZZZZZZ")</f>
        <v/>
      </c>
      <c r="W14" s="6" t="str">
        <f>IF(LEN('A créer'!C14)=0,"","0")</f>
        <v/>
      </c>
      <c r="X14" s="2" t="str">
        <f>IF(LEN('A créer'!C14)=0,"","Tab")</f>
        <v/>
      </c>
      <c r="Y14" s="6" t="str">
        <f>IF(LEN('A créer'!C14)=0,"","ZZZZZZZZZZZZZZZ")</f>
        <v/>
      </c>
      <c r="Z14" s="6" t="str">
        <f>IF(LEN('A créer'!C14)=0,"","0")</f>
        <v/>
      </c>
      <c r="AA14" s="2" t="str">
        <f>IF(LEN('A créer'!C14)=0,"","Tab")</f>
        <v/>
      </c>
      <c r="AB14" s="6" t="str">
        <f>IF(LEN('A créer'!C14)=0,"","ZZZ")</f>
        <v/>
      </c>
      <c r="AC14" s="6" t="str">
        <f>IF(LEN('A créer'!C14)=0,"","0")</f>
        <v/>
      </c>
      <c r="AD14" s="2" t="str">
        <f>IF(LEN('A créer'!C14)=0,"","Tab")</f>
        <v/>
      </c>
      <c r="AE14" s="6" t="str">
        <f>IF(LEN('A créer'!C14)=0,"","ZZZZZZZZZZ")</f>
        <v/>
      </c>
      <c r="AF14" s="6" t="str">
        <f>IF(LEN('A créer'!C14)=0,"","0")</f>
        <v/>
      </c>
      <c r="AG14" s="2" t="str">
        <f>IF(LEN('A créer'!C14)=0,"","Tab")</f>
        <v/>
      </c>
      <c r="AH14" s="6" t="str">
        <f>IF(LEN('A créer'!C14)=0,"","ZZZZZZZZZZ")</f>
        <v/>
      </c>
      <c r="AI14" s="6" t="str">
        <f>IF(LEN('A créer'!C14)=0,"","0")</f>
        <v/>
      </c>
      <c r="AJ14" s="2" t="str">
        <f>IF(LEN('A créer'!C14)=0,"","Tab")</f>
        <v/>
      </c>
      <c r="AK14" s="6" t="str">
        <f>IF(LEN('A créer'!C14)=0,"","ZZZZZZZZZZ")</f>
        <v/>
      </c>
      <c r="AL14" s="2" t="str">
        <f>IF(LEN('A créer'!C14)=0,"","ENT")</f>
        <v/>
      </c>
      <c r="AM14" s="2" t="str">
        <f>IF(LEN('A créer'!C14)=0,"","*SAVE")</f>
        <v/>
      </c>
      <c r="AN14" s="2" t="str">
        <f>IF(OR('A créer'!D14="Oui",LEN('A créer'!D14)=0,LEN('A créer'!C14)=0),"","*FN")</f>
        <v/>
      </c>
      <c r="AO14" s="3" t="str">
        <f>IF(OR('A créer'!D14="Oui",LEN('A créer'!D14)=0,LEN('A créer'!C14)=0),"","\E")</f>
        <v/>
      </c>
      <c r="AP14" s="2" t="str">
        <f>IF(OR('A créer'!D14="Oui",LEN('A créer'!D14)=0,LEN('A créer'!C14)=0),"","TAB")</f>
        <v/>
      </c>
      <c r="AQ14" s="6" t="str">
        <f>IF(OR('A créer'!D14="Oui",LEN('A créer'!D14)=0,LEN('A créer'!C14)=0),"",'A créer'!A14)</f>
        <v/>
      </c>
      <c r="AR14" s="2" t="str">
        <f>IF(OR('A créer'!D14="Oui",LEN('A créer'!D14)=0,LEN('A créer'!C14)=0),"","TAB")</f>
        <v/>
      </c>
      <c r="AS14" s="6" t="str">
        <f>IF(OR('A créer'!D14="Oui",LEN('A créer'!D14)=0,LEN('A créer'!C14)=0),"","0")</f>
        <v/>
      </c>
      <c r="AT14" s="2" t="str">
        <f>IF(OR('A créer'!D14="Oui",LEN('A créer'!D14)=0,LEN('A créer'!C14)=0),"","TAB")</f>
        <v/>
      </c>
      <c r="AU14" s="6" t="str">
        <f>IF(OR('A créer'!D14="Oui",LEN('A créer'!D14)=0,LEN('A créer'!C14)=0),"","ZZZ")</f>
        <v/>
      </c>
      <c r="AV14" s="6" t="str">
        <f>IF(OR('A créer'!D14="Oui",LEN('A créer'!D14)=0,LEN('A créer'!C14)=0),"","0")</f>
        <v/>
      </c>
      <c r="AW14" s="2" t="str">
        <f>IF(OR('A créer'!D14="Oui",LEN('A créer'!D14)=0,LEN('A créer'!C14)=0),"","TAB")</f>
        <v/>
      </c>
      <c r="AX14" s="6" t="str">
        <f>IF(OR('A créer'!D14="Oui",LEN('A créer'!D14)=0,LEN('A créer'!C14)=0),"","ZZZZZZ")</f>
        <v/>
      </c>
      <c r="AY14" s="6" t="str">
        <f>IF(OR('A créer'!D14="Oui",LEN('A créer'!D14)=0,LEN('A créer'!C14)=0),"","0")</f>
        <v/>
      </c>
      <c r="AZ14" s="2" t="str">
        <f>IF(OR('A créer'!D14="Oui",LEN('A créer'!D14)=0,LEN('A créer'!C14)=0),"","TAB")</f>
        <v/>
      </c>
      <c r="BA14" s="6" t="str">
        <f>IF(OR('A créer'!D14="Oui",LEN('A créer'!D14)=0,LEN('A créer'!C14)=0),"","ZZZZZ")</f>
        <v/>
      </c>
      <c r="BB14" s="6" t="str">
        <f>IF(OR('A créer'!D14="Oui",LEN('A créer'!D14)=0,LEN('A créer'!C14)=0),"",CONCATENATE("XXX",'A créer'!A14))</f>
        <v/>
      </c>
      <c r="BC14" s="2" t="str">
        <f>IF(OR('A créer'!D14="Oui",LEN('A créer'!D14)=0,LEN('A créer'!C14)=0),"","TAB")</f>
        <v/>
      </c>
      <c r="BD14" s="6" t="str">
        <f>IF(OR('A créer'!D14="Oui",LEN('A créer'!D14)=0,LEN('A créer'!C14)=0),"","0")</f>
        <v/>
      </c>
      <c r="BE14" s="2" t="str">
        <f>IF(OR('A créer'!D14="Oui",LEN('A créer'!D14)=0,LEN('A créer'!C14)=0),"","TAB")</f>
        <v/>
      </c>
      <c r="BF14" s="6" t="str">
        <f>IF(OR('A créer'!D14="Oui",LEN('A créer'!D14)=0,LEN('A créer'!C14)=0),"","ZZZZZZZZZZ")</f>
        <v/>
      </c>
      <c r="BG14" s="6" t="str">
        <f>IF(OR('A créer'!D14="Oui",LEN('A créer'!D14)=0,LEN('A créer'!C14)=0),"","0")</f>
        <v/>
      </c>
      <c r="BH14" s="2" t="str">
        <f>IF(OR('A créer'!D14="Oui",LEN('A créer'!D14)=0,LEN('A créer'!C14)=0),"","TAB")</f>
        <v/>
      </c>
      <c r="BI14" s="6" t="str">
        <f>IF(OR('A créer'!D14="Oui",LEN('A créer'!D14)=0,LEN('A créer'!C14)=0),"","ZZZZZZZZZZ")</f>
        <v/>
      </c>
      <c r="BJ14" s="6" t="str">
        <f>IF(OR('A créer'!D14="Oui",LEN('A créer'!D14)=0,LEN('A créer'!C14)=0),"","0")</f>
        <v/>
      </c>
      <c r="BK14" s="2" t="str">
        <f>IF(OR('A créer'!D14="Oui",LEN('A créer'!D14)=0,LEN('A créer'!C14)=0),"","TAB")</f>
        <v/>
      </c>
      <c r="BL14" s="6" t="str">
        <f>IF(OR('A créer'!D14="Oui",LEN('A créer'!D14)=0,LEN('A créer'!C14)=0),"","ZZZZZZZZZZZZZZZ")</f>
        <v/>
      </c>
      <c r="BM14" s="6" t="str">
        <f>IF(OR('A créer'!D14="Oui",LEN('A créer'!D14)=0,LEN('A créer'!C14)=0),"","0")</f>
        <v/>
      </c>
      <c r="BN14" s="2" t="str">
        <f>IF(OR('A créer'!D14="Oui",LEN('A créer'!D14)=0,LEN('A créer'!C14)=0),"","TAB")</f>
        <v/>
      </c>
      <c r="BO14" s="6" t="str">
        <f>IF(OR('A créer'!D14="Oui",LEN('A créer'!D14)=0,LEN('A créer'!C14)=0),"","ZZZ")</f>
        <v/>
      </c>
      <c r="BP14" s="6" t="str">
        <f>IF(OR('A créer'!D14="Oui",LEN('A créer'!D14)=0,LEN('A créer'!C14)=0),"","0")</f>
        <v/>
      </c>
      <c r="BQ14" s="2" t="str">
        <f>IF(OR('A créer'!D14="Oui",LEN('A créer'!D14)=0,LEN('A créer'!C14)=0),"","TAB")</f>
        <v/>
      </c>
      <c r="BR14" s="6" t="str">
        <f>IF(OR('A créer'!D14="Oui",LEN('A créer'!D14)=0,LEN('A créer'!C14)=0),"","ZZZZZZZZZZ")</f>
        <v/>
      </c>
      <c r="BS14" s="6" t="str">
        <f>IF(OR('A créer'!D14="Oui",LEN('A créer'!D14)=0,LEN('A créer'!C14)=0),"","0")</f>
        <v/>
      </c>
      <c r="BT14" s="2" t="str">
        <f>IF(OR('A créer'!D14="Oui",LEN('A créer'!D14)=0,LEN('A créer'!C14)=0),"","TAB")</f>
        <v/>
      </c>
      <c r="BU14" s="6" t="str">
        <f>IF(OR('A créer'!D14="Oui",LEN('A créer'!D14)=0,LEN('A créer'!C14)=0),"","ZZZZZZZZZZ")</f>
        <v/>
      </c>
      <c r="BV14" s="6" t="str">
        <f>IF(OR('A créer'!D14="Oui",LEN('A créer'!D14)=0,LEN('A créer'!C14)=0),"","0")</f>
        <v/>
      </c>
      <c r="BW14" s="2" t="str">
        <f>IF(OR('A créer'!D14="Oui",LEN('A créer'!D14)=0,LEN('A créer'!C14)=0),"","TAB")</f>
        <v/>
      </c>
      <c r="BX14" s="6" t="str">
        <f>IF(OR('A créer'!D14="Oui",LEN('A créer'!D14)=0,LEN('A créer'!C14)=0),"","ZZZZZZZZZZ")</f>
        <v/>
      </c>
      <c r="BY14" s="2" t="str">
        <f>IF(OR('A créer'!D14="Oui",LEN('A créer'!D14)=0,LEN('A créer'!C14)=0),"","ENT")</f>
        <v/>
      </c>
      <c r="BZ14" s="2" t="str">
        <f>IF(OR('A créer'!D14="Oui",LEN('A créer'!D14)=0,LEN('A créer'!C14)=0),"","*SAVE")</f>
        <v/>
      </c>
    </row>
    <row r="15" spans="1:78" x14ac:dyDescent="0.35">
      <c r="A15" s="2" t="str">
        <f>IF(LEN('A créer'!C15)=0,"","*FN")</f>
        <v/>
      </c>
      <c r="B15" s="3" t="str">
        <f>IF(LEN('A créer'!C15)=0,"","\E")</f>
        <v/>
      </c>
      <c r="C15" s="2" t="str">
        <f>IF(LEN('A créer'!C15)=0,"","Tab")</f>
        <v/>
      </c>
      <c r="D15" s="6" t="str">
        <f>IF(LEN('A créer'!C15)=0,"",'A créer'!A15)</f>
        <v/>
      </c>
      <c r="E15" s="2" t="str">
        <f>IF(LEN('A créer'!C15)=0,"","Tab")</f>
        <v/>
      </c>
      <c r="F15" s="6" t="str">
        <f>IF(LEN('A créer'!C15)=0,"",0)</f>
        <v/>
      </c>
      <c r="G15" s="2" t="str">
        <f>IF(LEN('A créer'!C15)=0,"","Tab")</f>
        <v/>
      </c>
      <c r="H15" s="6" t="str">
        <f>IF(LEN('A créer'!C15)=0,"","ZZZ")</f>
        <v/>
      </c>
      <c r="I15" s="6" t="str">
        <f>IF(LEN('A créer'!C15)=0,"","0")</f>
        <v/>
      </c>
      <c r="J15" s="2" t="str">
        <f>IF(LEN('A créer'!C15)=0,"","Tab")</f>
        <v/>
      </c>
      <c r="K15" s="6" t="str">
        <f>IF(LEN('A créer'!C15)=0,"","ZZZZZZ")</f>
        <v/>
      </c>
      <c r="L15" s="6" t="str">
        <f>IF(LEN('A créer'!C15)=0,"","0")</f>
        <v/>
      </c>
      <c r="M15" s="2" t="str">
        <f>IF(LEN('A créer'!C15)=0,"","Tab")</f>
        <v/>
      </c>
      <c r="N15" s="6" t="str">
        <f>IF(LEN('A créer'!C15)=0,"","ZZZZZ")</f>
        <v/>
      </c>
      <c r="O15" s="6" t="str">
        <f>IF(LEN('A créer'!C15)=0,"",CONCATENATE('A créer'!B15,'A créer'!A15))</f>
        <v/>
      </c>
      <c r="P15" s="2" t="str">
        <f>IF(LEN('A créer'!C15)=0,"","Tab")</f>
        <v/>
      </c>
      <c r="Q15" s="6" t="str">
        <f>IF(LEN('A créer'!C15)=0,"","0")</f>
        <v/>
      </c>
      <c r="R15" s="2" t="str">
        <f>IF(LEN('A créer'!C15)=0,"","Tab")</f>
        <v/>
      </c>
      <c r="S15" s="6" t="str">
        <f>IF(LEN('A créer'!C15)=0,"","ZZZZZZZZZZ")</f>
        <v/>
      </c>
      <c r="T15" s="6" t="str">
        <f>IF(LEN('A créer'!C15)=0,"","0")</f>
        <v/>
      </c>
      <c r="U15" s="2" t="str">
        <f>IF(LEN('A créer'!C15)=0,"","Tab")</f>
        <v/>
      </c>
      <c r="V15" s="6" t="str">
        <f>IF(LEN('A créer'!C15)=0,"","ZZZZZZZZZZ")</f>
        <v/>
      </c>
      <c r="W15" s="6" t="str">
        <f>IF(LEN('A créer'!C15)=0,"","0")</f>
        <v/>
      </c>
      <c r="X15" s="2" t="str">
        <f>IF(LEN('A créer'!C15)=0,"","Tab")</f>
        <v/>
      </c>
      <c r="Y15" s="6" t="str">
        <f>IF(LEN('A créer'!C15)=0,"","ZZZZZZZZZZZZZZZ")</f>
        <v/>
      </c>
      <c r="Z15" s="6" t="str">
        <f>IF(LEN('A créer'!C15)=0,"","0")</f>
        <v/>
      </c>
      <c r="AA15" s="2" t="str">
        <f>IF(LEN('A créer'!C15)=0,"","Tab")</f>
        <v/>
      </c>
      <c r="AB15" s="6" t="str">
        <f>IF(LEN('A créer'!C15)=0,"","ZZZ")</f>
        <v/>
      </c>
      <c r="AC15" s="6" t="str">
        <f>IF(LEN('A créer'!C15)=0,"","0")</f>
        <v/>
      </c>
      <c r="AD15" s="2" t="str">
        <f>IF(LEN('A créer'!C15)=0,"","Tab")</f>
        <v/>
      </c>
      <c r="AE15" s="6" t="str">
        <f>IF(LEN('A créer'!C15)=0,"","ZZZZZZZZZZ")</f>
        <v/>
      </c>
      <c r="AF15" s="6" t="str">
        <f>IF(LEN('A créer'!C15)=0,"","0")</f>
        <v/>
      </c>
      <c r="AG15" s="2" t="str">
        <f>IF(LEN('A créer'!C15)=0,"","Tab")</f>
        <v/>
      </c>
      <c r="AH15" s="6" t="str">
        <f>IF(LEN('A créer'!C15)=0,"","ZZZZZZZZZZ")</f>
        <v/>
      </c>
      <c r="AI15" s="6" t="str">
        <f>IF(LEN('A créer'!C15)=0,"","0")</f>
        <v/>
      </c>
      <c r="AJ15" s="2" t="str">
        <f>IF(LEN('A créer'!C15)=0,"","Tab")</f>
        <v/>
      </c>
      <c r="AK15" s="6" t="str">
        <f>IF(LEN('A créer'!C15)=0,"","ZZZZZZZZZZ")</f>
        <v/>
      </c>
      <c r="AL15" s="2" t="str">
        <f>IF(LEN('A créer'!C15)=0,"","ENT")</f>
        <v/>
      </c>
      <c r="AM15" s="2" t="str">
        <f>IF(LEN('A créer'!C15)=0,"","*SAVE")</f>
        <v/>
      </c>
      <c r="AN15" s="2" t="str">
        <f>IF(OR('A créer'!D15="Oui",LEN('A créer'!D15)=0,LEN('A créer'!C15)=0),"","*FN")</f>
        <v/>
      </c>
      <c r="AO15" s="3" t="str">
        <f>IF(OR('A créer'!D15="Oui",LEN('A créer'!D15)=0,LEN('A créer'!C15)=0),"","\E")</f>
        <v/>
      </c>
      <c r="AP15" s="2" t="str">
        <f>IF(OR('A créer'!D15="Oui",LEN('A créer'!D15)=0,LEN('A créer'!C15)=0),"","TAB")</f>
        <v/>
      </c>
      <c r="AQ15" s="6" t="str">
        <f>IF(OR('A créer'!D15="Oui",LEN('A créer'!D15)=0,LEN('A créer'!C15)=0),"",'A créer'!A15)</f>
        <v/>
      </c>
      <c r="AR15" s="2" t="str">
        <f>IF(OR('A créer'!D15="Oui",LEN('A créer'!D15)=0,LEN('A créer'!C15)=0),"","TAB")</f>
        <v/>
      </c>
      <c r="AS15" s="6" t="str">
        <f>IF(OR('A créer'!D15="Oui",LEN('A créer'!D15)=0,LEN('A créer'!C15)=0),"","0")</f>
        <v/>
      </c>
      <c r="AT15" s="2" t="str">
        <f>IF(OR('A créer'!D15="Oui",LEN('A créer'!D15)=0,LEN('A créer'!C15)=0),"","TAB")</f>
        <v/>
      </c>
      <c r="AU15" s="6" t="str">
        <f>IF(OR('A créer'!D15="Oui",LEN('A créer'!D15)=0,LEN('A créer'!C15)=0),"","ZZZ")</f>
        <v/>
      </c>
      <c r="AV15" s="6" t="str">
        <f>IF(OR('A créer'!D15="Oui",LEN('A créer'!D15)=0,LEN('A créer'!C15)=0),"","0")</f>
        <v/>
      </c>
      <c r="AW15" s="2" t="str">
        <f>IF(OR('A créer'!D15="Oui",LEN('A créer'!D15)=0,LEN('A créer'!C15)=0),"","TAB")</f>
        <v/>
      </c>
      <c r="AX15" s="6" t="str">
        <f>IF(OR('A créer'!D15="Oui",LEN('A créer'!D15)=0,LEN('A créer'!C15)=0),"","ZZZZZZ")</f>
        <v/>
      </c>
      <c r="AY15" s="6" t="str">
        <f>IF(OR('A créer'!D15="Oui",LEN('A créer'!D15)=0,LEN('A créer'!C15)=0),"","0")</f>
        <v/>
      </c>
      <c r="AZ15" s="2" t="str">
        <f>IF(OR('A créer'!D15="Oui",LEN('A créer'!D15)=0,LEN('A créer'!C15)=0),"","TAB")</f>
        <v/>
      </c>
      <c r="BA15" s="6" t="str">
        <f>IF(OR('A créer'!D15="Oui",LEN('A créer'!D15)=0,LEN('A créer'!C15)=0),"","ZZZZZ")</f>
        <v/>
      </c>
      <c r="BB15" s="6" t="str">
        <f>IF(OR('A créer'!D15="Oui",LEN('A créer'!D15)=0,LEN('A créer'!C15)=0),"",CONCATENATE("XXX",'A créer'!A15))</f>
        <v/>
      </c>
      <c r="BC15" s="2" t="str">
        <f>IF(OR('A créer'!D15="Oui",LEN('A créer'!D15)=0,LEN('A créer'!C15)=0),"","TAB")</f>
        <v/>
      </c>
      <c r="BD15" s="6" t="str">
        <f>IF(OR('A créer'!D15="Oui",LEN('A créer'!D15)=0,LEN('A créer'!C15)=0),"","0")</f>
        <v/>
      </c>
      <c r="BE15" s="2" t="str">
        <f>IF(OR('A créer'!D15="Oui",LEN('A créer'!D15)=0,LEN('A créer'!C15)=0),"","TAB")</f>
        <v/>
      </c>
      <c r="BF15" s="6" t="str">
        <f>IF(OR('A créer'!D15="Oui",LEN('A créer'!D15)=0,LEN('A créer'!C15)=0),"","ZZZZZZZZZZ")</f>
        <v/>
      </c>
      <c r="BG15" s="6" t="str">
        <f>IF(OR('A créer'!D15="Oui",LEN('A créer'!D15)=0,LEN('A créer'!C15)=0),"","0")</f>
        <v/>
      </c>
      <c r="BH15" s="2" t="str">
        <f>IF(OR('A créer'!D15="Oui",LEN('A créer'!D15)=0,LEN('A créer'!C15)=0),"","TAB")</f>
        <v/>
      </c>
      <c r="BI15" s="6" t="str">
        <f>IF(OR('A créer'!D15="Oui",LEN('A créer'!D15)=0,LEN('A créer'!C15)=0),"","ZZZZZZZZZZ")</f>
        <v/>
      </c>
      <c r="BJ15" s="6" t="str">
        <f>IF(OR('A créer'!D15="Oui",LEN('A créer'!D15)=0,LEN('A créer'!C15)=0),"","0")</f>
        <v/>
      </c>
      <c r="BK15" s="2" t="str">
        <f>IF(OR('A créer'!D15="Oui",LEN('A créer'!D15)=0,LEN('A créer'!C15)=0),"","TAB")</f>
        <v/>
      </c>
      <c r="BL15" s="6" t="str">
        <f>IF(OR('A créer'!D15="Oui",LEN('A créer'!D15)=0,LEN('A créer'!C15)=0),"","ZZZZZZZZZZZZZZZ")</f>
        <v/>
      </c>
      <c r="BM15" s="6" t="str">
        <f>IF(OR('A créer'!D15="Oui",LEN('A créer'!D15)=0,LEN('A créer'!C15)=0),"","0")</f>
        <v/>
      </c>
      <c r="BN15" s="2" t="str">
        <f>IF(OR('A créer'!D15="Oui",LEN('A créer'!D15)=0,LEN('A créer'!C15)=0),"","TAB")</f>
        <v/>
      </c>
      <c r="BO15" s="6" t="str">
        <f>IF(OR('A créer'!D15="Oui",LEN('A créer'!D15)=0,LEN('A créer'!C15)=0),"","ZZZ")</f>
        <v/>
      </c>
      <c r="BP15" s="6" t="str">
        <f>IF(OR('A créer'!D15="Oui",LEN('A créer'!D15)=0,LEN('A créer'!C15)=0),"","0")</f>
        <v/>
      </c>
      <c r="BQ15" s="2" t="str">
        <f>IF(OR('A créer'!D15="Oui",LEN('A créer'!D15)=0,LEN('A créer'!C15)=0),"","TAB")</f>
        <v/>
      </c>
      <c r="BR15" s="6" t="str">
        <f>IF(OR('A créer'!D15="Oui",LEN('A créer'!D15)=0,LEN('A créer'!C15)=0),"","ZZZZZZZZZZ")</f>
        <v/>
      </c>
      <c r="BS15" s="6" t="str">
        <f>IF(OR('A créer'!D15="Oui",LEN('A créer'!D15)=0,LEN('A créer'!C15)=0),"","0")</f>
        <v/>
      </c>
      <c r="BT15" s="2" t="str">
        <f>IF(OR('A créer'!D15="Oui",LEN('A créer'!D15)=0,LEN('A créer'!C15)=0),"","TAB")</f>
        <v/>
      </c>
      <c r="BU15" s="6" t="str">
        <f>IF(OR('A créer'!D15="Oui",LEN('A créer'!D15)=0,LEN('A créer'!C15)=0),"","ZZZZZZZZZZ")</f>
        <v/>
      </c>
      <c r="BV15" s="6" t="str">
        <f>IF(OR('A créer'!D15="Oui",LEN('A créer'!D15)=0,LEN('A créer'!C15)=0),"","0")</f>
        <v/>
      </c>
      <c r="BW15" s="2" t="str">
        <f>IF(OR('A créer'!D15="Oui",LEN('A créer'!D15)=0,LEN('A créer'!C15)=0),"","TAB")</f>
        <v/>
      </c>
      <c r="BX15" s="6" t="str">
        <f>IF(OR('A créer'!D15="Oui",LEN('A créer'!D15)=0,LEN('A créer'!C15)=0),"","ZZZZZZZZZZ")</f>
        <v/>
      </c>
      <c r="BY15" s="2" t="str">
        <f>IF(OR('A créer'!D15="Oui",LEN('A créer'!D15)=0,LEN('A créer'!C15)=0),"","ENT")</f>
        <v/>
      </c>
      <c r="BZ15" s="2" t="str">
        <f>IF(OR('A créer'!D15="Oui",LEN('A créer'!D15)=0,LEN('A créer'!C15)=0),"","*SAVE")</f>
        <v/>
      </c>
    </row>
    <row r="16" spans="1:78" x14ac:dyDescent="0.35">
      <c r="A16" s="2" t="str">
        <f>IF(LEN('A créer'!C16)=0,"","*FN")</f>
        <v/>
      </c>
      <c r="B16" s="3" t="str">
        <f>IF(LEN('A créer'!C16)=0,"","\E")</f>
        <v/>
      </c>
      <c r="C16" s="2" t="str">
        <f>IF(LEN('A créer'!C16)=0,"","Tab")</f>
        <v/>
      </c>
      <c r="D16" s="6" t="str">
        <f>IF(LEN('A créer'!C16)=0,"",'A créer'!A16)</f>
        <v/>
      </c>
      <c r="E16" s="2" t="str">
        <f>IF(LEN('A créer'!C16)=0,"","Tab")</f>
        <v/>
      </c>
      <c r="F16" s="6" t="str">
        <f>IF(LEN('A créer'!C16)=0,"",0)</f>
        <v/>
      </c>
      <c r="G16" s="2" t="str">
        <f>IF(LEN('A créer'!C16)=0,"","Tab")</f>
        <v/>
      </c>
      <c r="H16" s="6" t="str">
        <f>IF(LEN('A créer'!C16)=0,"","ZZZ")</f>
        <v/>
      </c>
      <c r="I16" s="6" t="str">
        <f>IF(LEN('A créer'!C16)=0,"","0")</f>
        <v/>
      </c>
      <c r="J16" s="2" t="str">
        <f>IF(LEN('A créer'!C16)=0,"","Tab")</f>
        <v/>
      </c>
      <c r="K16" s="6" t="str">
        <f>IF(LEN('A créer'!C16)=0,"","ZZZZZZ")</f>
        <v/>
      </c>
      <c r="L16" s="6" t="str">
        <f>IF(LEN('A créer'!C16)=0,"","0")</f>
        <v/>
      </c>
      <c r="M16" s="2" t="str">
        <f>IF(LEN('A créer'!C16)=0,"","Tab")</f>
        <v/>
      </c>
      <c r="N16" s="6" t="str">
        <f>IF(LEN('A créer'!C16)=0,"","ZZZZZ")</f>
        <v/>
      </c>
      <c r="O16" s="6" t="str">
        <f>IF(LEN('A créer'!C16)=0,"",CONCATENATE('A créer'!B16,'A créer'!A16))</f>
        <v/>
      </c>
      <c r="P16" s="2" t="str">
        <f>IF(LEN('A créer'!C16)=0,"","Tab")</f>
        <v/>
      </c>
      <c r="Q16" s="6" t="str">
        <f>IF(LEN('A créer'!C16)=0,"","0")</f>
        <v/>
      </c>
      <c r="R16" s="2" t="str">
        <f>IF(LEN('A créer'!C16)=0,"","Tab")</f>
        <v/>
      </c>
      <c r="S16" s="6" t="str">
        <f>IF(LEN('A créer'!C16)=0,"","ZZZZZZZZZZ")</f>
        <v/>
      </c>
      <c r="T16" s="6" t="str">
        <f>IF(LEN('A créer'!C16)=0,"","0")</f>
        <v/>
      </c>
      <c r="U16" s="2" t="str">
        <f>IF(LEN('A créer'!C16)=0,"","Tab")</f>
        <v/>
      </c>
      <c r="V16" s="6" t="str">
        <f>IF(LEN('A créer'!C16)=0,"","ZZZZZZZZZZ")</f>
        <v/>
      </c>
      <c r="W16" s="6" t="str">
        <f>IF(LEN('A créer'!C16)=0,"","0")</f>
        <v/>
      </c>
      <c r="X16" s="2" t="str">
        <f>IF(LEN('A créer'!C16)=0,"","Tab")</f>
        <v/>
      </c>
      <c r="Y16" s="6" t="str">
        <f>IF(LEN('A créer'!C16)=0,"","ZZZZZZZZZZZZZZZ")</f>
        <v/>
      </c>
      <c r="Z16" s="6" t="str">
        <f>IF(LEN('A créer'!C16)=0,"","0")</f>
        <v/>
      </c>
      <c r="AA16" s="2" t="str">
        <f>IF(LEN('A créer'!C16)=0,"","Tab")</f>
        <v/>
      </c>
      <c r="AB16" s="6" t="str">
        <f>IF(LEN('A créer'!C16)=0,"","ZZZ")</f>
        <v/>
      </c>
      <c r="AC16" s="6" t="str">
        <f>IF(LEN('A créer'!C16)=0,"","0")</f>
        <v/>
      </c>
      <c r="AD16" s="2" t="str">
        <f>IF(LEN('A créer'!C16)=0,"","Tab")</f>
        <v/>
      </c>
      <c r="AE16" s="6" t="str">
        <f>IF(LEN('A créer'!C16)=0,"","ZZZZZZZZZZ")</f>
        <v/>
      </c>
      <c r="AF16" s="6" t="str">
        <f>IF(LEN('A créer'!C16)=0,"","0")</f>
        <v/>
      </c>
      <c r="AG16" s="2" t="str">
        <f>IF(LEN('A créer'!C16)=0,"","Tab")</f>
        <v/>
      </c>
      <c r="AH16" s="6" t="str">
        <f>IF(LEN('A créer'!C16)=0,"","ZZZZZZZZZZ")</f>
        <v/>
      </c>
      <c r="AI16" s="6" t="str">
        <f>IF(LEN('A créer'!C16)=0,"","0")</f>
        <v/>
      </c>
      <c r="AJ16" s="2" t="str">
        <f>IF(LEN('A créer'!C16)=0,"","Tab")</f>
        <v/>
      </c>
      <c r="AK16" s="6" t="str">
        <f>IF(LEN('A créer'!C16)=0,"","ZZZZZZZZZZ")</f>
        <v/>
      </c>
      <c r="AL16" s="2" t="str">
        <f>IF(LEN('A créer'!C16)=0,"","ENT")</f>
        <v/>
      </c>
      <c r="AM16" s="2" t="str">
        <f>IF(LEN('A créer'!C16)=0,"","*SAVE")</f>
        <v/>
      </c>
      <c r="AN16" s="2" t="str">
        <f>IF(OR('A créer'!D16="Oui",LEN('A créer'!D16)=0,LEN('A créer'!C16)=0),"","*FN")</f>
        <v/>
      </c>
      <c r="AO16" s="3" t="str">
        <f>IF(OR('A créer'!D16="Oui",LEN('A créer'!D16)=0,LEN('A créer'!C16)=0),"","\E")</f>
        <v/>
      </c>
      <c r="AP16" s="2" t="str">
        <f>IF(OR('A créer'!D16="Oui",LEN('A créer'!D16)=0,LEN('A créer'!C16)=0),"","TAB")</f>
        <v/>
      </c>
      <c r="AQ16" s="6" t="str">
        <f>IF(OR('A créer'!D16="Oui",LEN('A créer'!D16)=0,LEN('A créer'!C16)=0),"",'A créer'!A16)</f>
        <v/>
      </c>
      <c r="AR16" s="2" t="str">
        <f>IF(OR('A créer'!D16="Oui",LEN('A créer'!D16)=0,LEN('A créer'!C16)=0),"","TAB")</f>
        <v/>
      </c>
      <c r="AS16" s="6" t="str">
        <f>IF(OR('A créer'!D16="Oui",LEN('A créer'!D16)=0,LEN('A créer'!C16)=0),"","0")</f>
        <v/>
      </c>
      <c r="AT16" s="2" t="str">
        <f>IF(OR('A créer'!D16="Oui",LEN('A créer'!D16)=0,LEN('A créer'!C16)=0),"","TAB")</f>
        <v/>
      </c>
      <c r="AU16" s="6" t="str">
        <f>IF(OR('A créer'!D16="Oui",LEN('A créer'!D16)=0,LEN('A créer'!C16)=0),"","ZZZ")</f>
        <v/>
      </c>
      <c r="AV16" s="6" t="str">
        <f>IF(OR('A créer'!D16="Oui",LEN('A créer'!D16)=0,LEN('A créer'!C16)=0),"","0")</f>
        <v/>
      </c>
      <c r="AW16" s="2" t="str">
        <f>IF(OR('A créer'!D16="Oui",LEN('A créer'!D16)=0,LEN('A créer'!C16)=0),"","TAB")</f>
        <v/>
      </c>
      <c r="AX16" s="6" t="str">
        <f>IF(OR('A créer'!D16="Oui",LEN('A créer'!D16)=0,LEN('A créer'!C16)=0),"","ZZZZZZ")</f>
        <v/>
      </c>
      <c r="AY16" s="6" t="str">
        <f>IF(OR('A créer'!D16="Oui",LEN('A créer'!D16)=0,LEN('A créer'!C16)=0),"","0")</f>
        <v/>
      </c>
      <c r="AZ16" s="2" t="str">
        <f>IF(OR('A créer'!D16="Oui",LEN('A créer'!D16)=0,LEN('A créer'!C16)=0),"","TAB")</f>
        <v/>
      </c>
      <c r="BA16" s="6" t="str">
        <f>IF(OR('A créer'!D16="Oui",LEN('A créer'!D16)=0,LEN('A créer'!C16)=0),"","ZZZZZ")</f>
        <v/>
      </c>
      <c r="BB16" s="6" t="str">
        <f>IF(OR('A créer'!D16="Oui",LEN('A créer'!D16)=0,LEN('A créer'!C16)=0),"",CONCATENATE("XXX",'A créer'!A16))</f>
        <v/>
      </c>
      <c r="BC16" s="2" t="str">
        <f>IF(OR('A créer'!D16="Oui",LEN('A créer'!D16)=0,LEN('A créer'!C16)=0),"","TAB")</f>
        <v/>
      </c>
      <c r="BD16" s="6" t="str">
        <f>IF(OR('A créer'!D16="Oui",LEN('A créer'!D16)=0,LEN('A créer'!C16)=0),"","0")</f>
        <v/>
      </c>
      <c r="BE16" s="2" t="str">
        <f>IF(OR('A créer'!D16="Oui",LEN('A créer'!D16)=0,LEN('A créer'!C16)=0),"","TAB")</f>
        <v/>
      </c>
      <c r="BF16" s="6" t="str">
        <f>IF(OR('A créer'!D16="Oui",LEN('A créer'!D16)=0,LEN('A créer'!C16)=0),"","ZZZZZZZZZZ")</f>
        <v/>
      </c>
      <c r="BG16" s="6" t="str">
        <f>IF(OR('A créer'!D16="Oui",LEN('A créer'!D16)=0,LEN('A créer'!C16)=0),"","0")</f>
        <v/>
      </c>
      <c r="BH16" s="2" t="str">
        <f>IF(OR('A créer'!D16="Oui",LEN('A créer'!D16)=0,LEN('A créer'!C16)=0),"","TAB")</f>
        <v/>
      </c>
      <c r="BI16" s="6" t="str">
        <f>IF(OR('A créer'!D16="Oui",LEN('A créer'!D16)=0,LEN('A créer'!C16)=0),"","ZZZZZZZZZZ")</f>
        <v/>
      </c>
      <c r="BJ16" s="6" t="str">
        <f>IF(OR('A créer'!D16="Oui",LEN('A créer'!D16)=0,LEN('A créer'!C16)=0),"","0")</f>
        <v/>
      </c>
      <c r="BK16" s="2" t="str">
        <f>IF(OR('A créer'!D16="Oui",LEN('A créer'!D16)=0,LEN('A créer'!C16)=0),"","TAB")</f>
        <v/>
      </c>
      <c r="BL16" s="6" t="str">
        <f>IF(OR('A créer'!D16="Oui",LEN('A créer'!D16)=0,LEN('A créer'!C16)=0),"","ZZZZZZZZZZZZZZZ")</f>
        <v/>
      </c>
      <c r="BM16" s="6" t="str">
        <f>IF(OR('A créer'!D16="Oui",LEN('A créer'!D16)=0,LEN('A créer'!C16)=0),"","0")</f>
        <v/>
      </c>
      <c r="BN16" s="2" t="str">
        <f>IF(OR('A créer'!D16="Oui",LEN('A créer'!D16)=0,LEN('A créer'!C16)=0),"","TAB")</f>
        <v/>
      </c>
      <c r="BO16" s="6" t="str">
        <f>IF(OR('A créer'!D16="Oui",LEN('A créer'!D16)=0,LEN('A créer'!C16)=0),"","ZZZ")</f>
        <v/>
      </c>
      <c r="BP16" s="6" t="str">
        <f>IF(OR('A créer'!D16="Oui",LEN('A créer'!D16)=0,LEN('A créer'!C16)=0),"","0")</f>
        <v/>
      </c>
      <c r="BQ16" s="2" t="str">
        <f>IF(OR('A créer'!D16="Oui",LEN('A créer'!D16)=0,LEN('A créer'!C16)=0),"","TAB")</f>
        <v/>
      </c>
      <c r="BR16" s="6" t="str">
        <f>IF(OR('A créer'!D16="Oui",LEN('A créer'!D16)=0,LEN('A créer'!C16)=0),"","ZZZZZZZZZZ")</f>
        <v/>
      </c>
      <c r="BS16" s="6" t="str">
        <f>IF(OR('A créer'!D16="Oui",LEN('A créer'!D16)=0,LEN('A créer'!C16)=0),"","0")</f>
        <v/>
      </c>
      <c r="BT16" s="2" t="str">
        <f>IF(OR('A créer'!D16="Oui",LEN('A créer'!D16)=0,LEN('A créer'!C16)=0),"","TAB")</f>
        <v/>
      </c>
      <c r="BU16" s="6" t="str">
        <f>IF(OR('A créer'!D16="Oui",LEN('A créer'!D16)=0,LEN('A créer'!C16)=0),"","ZZZZZZZZZZ")</f>
        <v/>
      </c>
      <c r="BV16" s="6" t="str">
        <f>IF(OR('A créer'!D16="Oui",LEN('A créer'!D16)=0,LEN('A créer'!C16)=0),"","0")</f>
        <v/>
      </c>
      <c r="BW16" s="2" t="str">
        <f>IF(OR('A créer'!D16="Oui",LEN('A créer'!D16)=0,LEN('A créer'!C16)=0),"","TAB")</f>
        <v/>
      </c>
      <c r="BX16" s="6" t="str">
        <f>IF(OR('A créer'!D16="Oui",LEN('A créer'!D16)=0,LEN('A créer'!C16)=0),"","ZZZZZZZZZZ")</f>
        <v/>
      </c>
      <c r="BY16" s="2" t="str">
        <f>IF(OR('A créer'!D16="Oui",LEN('A créer'!D16)=0,LEN('A créer'!C16)=0),"","ENT")</f>
        <v/>
      </c>
      <c r="BZ16" s="2" t="str">
        <f>IF(OR('A créer'!D16="Oui",LEN('A créer'!D16)=0,LEN('A créer'!C16)=0),"","*SAVE")</f>
        <v/>
      </c>
    </row>
    <row r="17" spans="1:78" x14ac:dyDescent="0.35">
      <c r="A17" s="2" t="str">
        <f>IF(LEN('A créer'!C17)=0,"","*FN")</f>
        <v/>
      </c>
      <c r="B17" s="3" t="str">
        <f>IF(LEN('A créer'!C17)=0,"","\E")</f>
        <v/>
      </c>
      <c r="C17" s="2" t="str">
        <f>IF(LEN('A créer'!C17)=0,"","Tab")</f>
        <v/>
      </c>
      <c r="D17" s="6" t="str">
        <f>IF(LEN('A créer'!C17)=0,"",'A créer'!A17)</f>
        <v/>
      </c>
      <c r="E17" s="2" t="str">
        <f>IF(LEN('A créer'!C17)=0,"","Tab")</f>
        <v/>
      </c>
      <c r="F17" s="6" t="str">
        <f>IF(LEN('A créer'!C17)=0,"",0)</f>
        <v/>
      </c>
      <c r="G17" s="2" t="str">
        <f>IF(LEN('A créer'!C17)=0,"","Tab")</f>
        <v/>
      </c>
      <c r="H17" s="6" t="str">
        <f>IF(LEN('A créer'!C17)=0,"","ZZZ")</f>
        <v/>
      </c>
      <c r="I17" s="6" t="str">
        <f>IF(LEN('A créer'!C17)=0,"","0")</f>
        <v/>
      </c>
      <c r="J17" s="2" t="str">
        <f>IF(LEN('A créer'!C17)=0,"","Tab")</f>
        <v/>
      </c>
      <c r="K17" s="6" t="str">
        <f>IF(LEN('A créer'!C17)=0,"","ZZZZZZ")</f>
        <v/>
      </c>
      <c r="L17" s="6" t="str">
        <f>IF(LEN('A créer'!C17)=0,"","0")</f>
        <v/>
      </c>
      <c r="M17" s="2" t="str">
        <f>IF(LEN('A créer'!C17)=0,"","Tab")</f>
        <v/>
      </c>
      <c r="N17" s="6" t="str">
        <f>IF(LEN('A créer'!C17)=0,"","ZZZZZ")</f>
        <v/>
      </c>
      <c r="O17" s="6" t="str">
        <f>IF(LEN('A créer'!C17)=0,"",CONCATENATE('A créer'!B17,'A créer'!A17))</f>
        <v/>
      </c>
      <c r="P17" s="2" t="str">
        <f>IF(LEN('A créer'!C17)=0,"","Tab")</f>
        <v/>
      </c>
      <c r="Q17" s="6" t="str">
        <f>IF(LEN('A créer'!C17)=0,"","0")</f>
        <v/>
      </c>
      <c r="R17" s="2" t="str">
        <f>IF(LEN('A créer'!C17)=0,"","Tab")</f>
        <v/>
      </c>
      <c r="S17" s="6" t="str">
        <f>IF(LEN('A créer'!C17)=0,"","ZZZZZZZZZZ")</f>
        <v/>
      </c>
      <c r="T17" s="6" t="str">
        <f>IF(LEN('A créer'!C17)=0,"","0")</f>
        <v/>
      </c>
      <c r="U17" s="2" t="str">
        <f>IF(LEN('A créer'!C17)=0,"","Tab")</f>
        <v/>
      </c>
      <c r="V17" s="6" t="str">
        <f>IF(LEN('A créer'!C17)=0,"","ZZZZZZZZZZ")</f>
        <v/>
      </c>
      <c r="W17" s="6" t="str">
        <f>IF(LEN('A créer'!C17)=0,"","0")</f>
        <v/>
      </c>
      <c r="X17" s="2" t="str">
        <f>IF(LEN('A créer'!C17)=0,"","Tab")</f>
        <v/>
      </c>
      <c r="Y17" s="6" t="str">
        <f>IF(LEN('A créer'!C17)=0,"","ZZZZZZZZZZZZZZZ")</f>
        <v/>
      </c>
      <c r="Z17" s="6" t="str">
        <f>IF(LEN('A créer'!C17)=0,"","0")</f>
        <v/>
      </c>
      <c r="AA17" s="2" t="str">
        <f>IF(LEN('A créer'!C17)=0,"","Tab")</f>
        <v/>
      </c>
      <c r="AB17" s="6" t="str">
        <f>IF(LEN('A créer'!C17)=0,"","ZZZ")</f>
        <v/>
      </c>
      <c r="AC17" s="6" t="str">
        <f>IF(LEN('A créer'!C17)=0,"","0")</f>
        <v/>
      </c>
      <c r="AD17" s="2" t="str">
        <f>IF(LEN('A créer'!C17)=0,"","Tab")</f>
        <v/>
      </c>
      <c r="AE17" s="6" t="str">
        <f>IF(LEN('A créer'!C17)=0,"","ZZZZZZZZZZ")</f>
        <v/>
      </c>
      <c r="AF17" s="6" t="str">
        <f>IF(LEN('A créer'!C17)=0,"","0")</f>
        <v/>
      </c>
      <c r="AG17" s="2" t="str">
        <f>IF(LEN('A créer'!C17)=0,"","Tab")</f>
        <v/>
      </c>
      <c r="AH17" s="6" t="str">
        <f>IF(LEN('A créer'!C17)=0,"","ZZZZZZZZZZ")</f>
        <v/>
      </c>
      <c r="AI17" s="6" t="str">
        <f>IF(LEN('A créer'!C17)=0,"","0")</f>
        <v/>
      </c>
      <c r="AJ17" s="2" t="str">
        <f>IF(LEN('A créer'!C17)=0,"","Tab")</f>
        <v/>
      </c>
      <c r="AK17" s="6" t="str">
        <f>IF(LEN('A créer'!C17)=0,"","ZZZZZZZZZZ")</f>
        <v/>
      </c>
      <c r="AL17" s="2" t="str">
        <f>IF(LEN('A créer'!C17)=0,"","ENT")</f>
        <v/>
      </c>
      <c r="AM17" s="2" t="str">
        <f>IF(LEN('A créer'!C17)=0,"","*SAVE")</f>
        <v/>
      </c>
      <c r="AN17" s="2" t="str">
        <f>IF(OR('A créer'!D17="Oui",LEN('A créer'!D17)=0,LEN('A créer'!C17)=0),"","*FN")</f>
        <v/>
      </c>
      <c r="AO17" s="3" t="str">
        <f>IF(OR('A créer'!D17="Oui",LEN('A créer'!D17)=0,LEN('A créer'!C17)=0),"","\E")</f>
        <v/>
      </c>
      <c r="AP17" s="2" t="str">
        <f>IF(OR('A créer'!D17="Oui",LEN('A créer'!D17)=0,LEN('A créer'!C17)=0),"","TAB")</f>
        <v/>
      </c>
      <c r="AQ17" s="6" t="str">
        <f>IF(OR('A créer'!D17="Oui",LEN('A créer'!D17)=0,LEN('A créer'!C17)=0),"",'A créer'!A17)</f>
        <v/>
      </c>
      <c r="AR17" s="2" t="str">
        <f>IF(OR('A créer'!D17="Oui",LEN('A créer'!D17)=0,LEN('A créer'!C17)=0),"","TAB")</f>
        <v/>
      </c>
      <c r="AS17" s="6" t="str">
        <f>IF(OR('A créer'!D17="Oui",LEN('A créer'!D17)=0,LEN('A créer'!C17)=0),"","0")</f>
        <v/>
      </c>
      <c r="AT17" s="2" t="str">
        <f>IF(OR('A créer'!D17="Oui",LEN('A créer'!D17)=0,LEN('A créer'!C17)=0),"","TAB")</f>
        <v/>
      </c>
      <c r="AU17" s="6" t="str">
        <f>IF(OR('A créer'!D17="Oui",LEN('A créer'!D17)=0,LEN('A créer'!C17)=0),"","ZZZ")</f>
        <v/>
      </c>
      <c r="AV17" s="6" t="str">
        <f>IF(OR('A créer'!D17="Oui",LEN('A créer'!D17)=0,LEN('A créer'!C17)=0),"","0")</f>
        <v/>
      </c>
      <c r="AW17" s="2" t="str">
        <f>IF(OR('A créer'!D17="Oui",LEN('A créer'!D17)=0,LEN('A créer'!C17)=0),"","TAB")</f>
        <v/>
      </c>
      <c r="AX17" s="6" t="str">
        <f>IF(OR('A créer'!D17="Oui",LEN('A créer'!D17)=0,LEN('A créer'!C17)=0),"","ZZZZZZ")</f>
        <v/>
      </c>
      <c r="AY17" s="6" t="str">
        <f>IF(OR('A créer'!D17="Oui",LEN('A créer'!D17)=0,LEN('A créer'!C17)=0),"","0")</f>
        <v/>
      </c>
      <c r="AZ17" s="2" t="str">
        <f>IF(OR('A créer'!D17="Oui",LEN('A créer'!D17)=0,LEN('A créer'!C17)=0),"","TAB")</f>
        <v/>
      </c>
      <c r="BA17" s="6" t="str">
        <f>IF(OR('A créer'!D17="Oui",LEN('A créer'!D17)=0,LEN('A créer'!C17)=0),"","ZZZZZ")</f>
        <v/>
      </c>
      <c r="BB17" s="6" t="str">
        <f>IF(OR('A créer'!D17="Oui",LEN('A créer'!D17)=0,LEN('A créer'!C17)=0),"",CONCATENATE("XXX",'A créer'!A17))</f>
        <v/>
      </c>
      <c r="BC17" s="2" t="str">
        <f>IF(OR('A créer'!D17="Oui",LEN('A créer'!D17)=0,LEN('A créer'!C17)=0),"","TAB")</f>
        <v/>
      </c>
      <c r="BD17" s="6" t="str">
        <f>IF(OR('A créer'!D17="Oui",LEN('A créer'!D17)=0,LEN('A créer'!C17)=0),"","0")</f>
        <v/>
      </c>
      <c r="BE17" s="2" t="str">
        <f>IF(OR('A créer'!D17="Oui",LEN('A créer'!D17)=0,LEN('A créer'!C17)=0),"","TAB")</f>
        <v/>
      </c>
      <c r="BF17" s="6" t="str">
        <f>IF(OR('A créer'!D17="Oui",LEN('A créer'!D17)=0,LEN('A créer'!C17)=0),"","ZZZZZZZZZZ")</f>
        <v/>
      </c>
      <c r="BG17" s="6" t="str">
        <f>IF(OR('A créer'!D17="Oui",LEN('A créer'!D17)=0,LEN('A créer'!C17)=0),"","0")</f>
        <v/>
      </c>
      <c r="BH17" s="2" t="str">
        <f>IF(OR('A créer'!D17="Oui",LEN('A créer'!D17)=0,LEN('A créer'!C17)=0),"","TAB")</f>
        <v/>
      </c>
      <c r="BI17" s="6" t="str">
        <f>IF(OR('A créer'!D17="Oui",LEN('A créer'!D17)=0,LEN('A créer'!C17)=0),"","ZZZZZZZZZZ")</f>
        <v/>
      </c>
      <c r="BJ17" s="6" t="str">
        <f>IF(OR('A créer'!D17="Oui",LEN('A créer'!D17)=0,LEN('A créer'!C17)=0),"","0")</f>
        <v/>
      </c>
      <c r="BK17" s="2" t="str">
        <f>IF(OR('A créer'!D17="Oui",LEN('A créer'!D17)=0,LEN('A créer'!C17)=0),"","TAB")</f>
        <v/>
      </c>
      <c r="BL17" s="6" t="str">
        <f>IF(OR('A créer'!D17="Oui",LEN('A créer'!D17)=0,LEN('A créer'!C17)=0),"","ZZZZZZZZZZZZZZZ")</f>
        <v/>
      </c>
      <c r="BM17" s="6" t="str">
        <f>IF(OR('A créer'!D17="Oui",LEN('A créer'!D17)=0,LEN('A créer'!C17)=0),"","0")</f>
        <v/>
      </c>
      <c r="BN17" s="2" t="str">
        <f>IF(OR('A créer'!D17="Oui",LEN('A créer'!D17)=0,LEN('A créer'!C17)=0),"","TAB")</f>
        <v/>
      </c>
      <c r="BO17" s="6" t="str">
        <f>IF(OR('A créer'!D17="Oui",LEN('A créer'!D17)=0,LEN('A créer'!C17)=0),"","ZZZ")</f>
        <v/>
      </c>
      <c r="BP17" s="6" t="str">
        <f>IF(OR('A créer'!D17="Oui",LEN('A créer'!D17)=0,LEN('A créer'!C17)=0),"","0")</f>
        <v/>
      </c>
      <c r="BQ17" s="2" t="str">
        <f>IF(OR('A créer'!D17="Oui",LEN('A créer'!D17)=0,LEN('A créer'!C17)=0),"","TAB")</f>
        <v/>
      </c>
      <c r="BR17" s="6" t="str">
        <f>IF(OR('A créer'!D17="Oui",LEN('A créer'!D17)=0,LEN('A créer'!C17)=0),"","ZZZZZZZZZZ")</f>
        <v/>
      </c>
      <c r="BS17" s="6" t="str">
        <f>IF(OR('A créer'!D17="Oui",LEN('A créer'!D17)=0,LEN('A créer'!C17)=0),"","0")</f>
        <v/>
      </c>
      <c r="BT17" s="2" t="str">
        <f>IF(OR('A créer'!D17="Oui",LEN('A créer'!D17)=0,LEN('A créer'!C17)=0),"","TAB")</f>
        <v/>
      </c>
      <c r="BU17" s="6" t="str">
        <f>IF(OR('A créer'!D17="Oui",LEN('A créer'!D17)=0,LEN('A créer'!C17)=0),"","ZZZZZZZZZZ")</f>
        <v/>
      </c>
      <c r="BV17" s="6" t="str">
        <f>IF(OR('A créer'!D17="Oui",LEN('A créer'!D17)=0,LEN('A créer'!C17)=0),"","0")</f>
        <v/>
      </c>
      <c r="BW17" s="2" t="str">
        <f>IF(OR('A créer'!D17="Oui",LEN('A créer'!D17)=0,LEN('A créer'!C17)=0),"","TAB")</f>
        <v/>
      </c>
      <c r="BX17" s="6" t="str">
        <f>IF(OR('A créer'!D17="Oui",LEN('A créer'!D17)=0,LEN('A créer'!C17)=0),"","ZZZZZZZZZZ")</f>
        <v/>
      </c>
      <c r="BY17" s="2" t="str">
        <f>IF(OR('A créer'!D17="Oui",LEN('A créer'!D17)=0,LEN('A créer'!C17)=0),"","ENT")</f>
        <v/>
      </c>
      <c r="BZ17" s="2" t="str">
        <f>IF(OR('A créer'!D17="Oui",LEN('A créer'!D17)=0,LEN('A créer'!C17)=0),"","*SAVE")</f>
        <v/>
      </c>
    </row>
    <row r="18" spans="1:78" x14ac:dyDescent="0.35">
      <c r="A18" s="2" t="str">
        <f>IF(LEN('A créer'!C18)=0,"","*FN")</f>
        <v/>
      </c>
      <c r="B18" s="3" t="str">
        <f>IF(LEN('A créer'!C18)=0,"","\E")</f>
        <v/>
      </c>
      <c r="C18" s="2" t="str">
        <f>IF(LEN('A créer'!C18)=0,"","Tab")</f>
        <v/>
      </c>
      <c r="D18" s="6" t="str">
        <f>IF(LEN('A créer'!C18)=0,"",'A créer'!A18)</f>
        <v/>
      </c>
      <c r="E18" s="2" t="str">
        <f>IF(LEN('A créer'!C18)=0,"","Tab")</f>
        <v/>
      </c>
      <c r="F18" s="6" t="str">
        <f>IF(LEN('A créer'!C18)=0,"",0)</f>
        <v/>
      </c>
      <c r="G18" s="2" t="str">
        <f>IF(LEN('A créer'!C18)=0,"","Tab")</f>
        <v/>
      </c>
      <c r="H18" s="6" t="str">
        <f>IF(LEN('A créer'!C18)=0,"","ZZZ")</f>
        <v/>
      </c>
      <c r="I18" s="6" t="str">
        <f>IF(LEN('A créer'!C18)=0,"","0")</f>
        <v/>
      </c>
      <c r="J18" s="2" t="str">
        <f>IF(LEN('A créer'!C18)=0,"","Tab")</f>
        <v/>
      </c>
      <c r="K18" s="6" t="str">
        <f>IF(LEN('A créer'!C18)=0,"","ZZZZZZ")</f>
        <v/>
      </c>
      <c r="L18" s="6" t="str">
        <f>IF(LEN('A créer'!C18)=0,"","0")</f>
        <v/>
      </c>
      <c r="M18" s="2" t="str">
        <f>IF(LEN('A créer'!C18)=0,"","Tab")</f>
        <v/>
      </c>
      <c r="N18" s="6" t="str">
        <f>IF(LEN('A créer'!C18)=0,"","ZZZZZ")</f>
        <v/>
      </c>
      <c r="O18" s="6" t="str">
        <f>IF(LEN('A créer'!C18)=0,"",CONCATENATE('A créer'!B18,'A créer'!A18))</f>
        <v/>
      </c>
      <c r="P18" s="2" t="str">
        <f>IF(LEN('A créer'!C18)=0,"","Tab")</f>
        <v/>
      </c>
      <c r="Q18" s="6" t="str">
        <f>IF(LEN('A créer'!C18)=0,"","0")</f>
        <v/>
      </c>
      <c r="R18" s="2" t="str">
        <f>IF(LEN('A créer'!C18)=0,"","Tab")</f>
        <v/>
      </c>
      <c r="S18" s="6" t="str">
        <f>IF(LEN('A créer'!C18)=0,"","ZZZZZZZZZZ")</f>
        <v/>
      </c>
      <c r="T18" s="6" t="str">
        <f>IF(LEN('A créer'!C18)=0,"","0")</f>
        <v/>
      </c>
      <c r="U18" s="2" t="str">
        <f>IF(LEN('A créer'!C18)=0,"","Tab")</f>
        <v/>
      </c>
      <c r="V18" s="6" t="str">
        <f>IF(LEN('A créer'!C18)=0,"","ZZZZZZZZZZ")</f>
        <v/>
      </c>
      <c r="W18" s="6" t="str">
        <f>IF(LEN('A créer'!C18)=0,"","0")</f>
        <v/>
      </c>
      <c r="X18" s="2" t="str">
        <f>IF(LEN('A créer'!C18)=0,"","Tab")</f>
        <v/>
      </c>
      <c r="Y18" s="6" t="str">
        <f>IF(LEN('A créer'!C18)=0,"","ZZZZZZZZZZZZZZZ")</f>
        <v/>
      </c>
      <c r="Z18" s="6" t="str">
        <f>IF(LEN('A créer'!C18)=0,"","0")</f>
        <v/>
      </c>
      <c r="AA18" s="2" t="str">
        <f>IF(LEN('A créer'!C18)=0,"","Tab")</f>
        <v/>
      </c>
      <c r="AB18" s="6" t="str">
        <f>IF(LEN('A créer'!C18)=0,"","ZZZ")</f>
        <v/>
      </c>
      <c r="AC18" s="6" t="str">
        <f>IF(LEN('A créer'!C18)=0,"","0")</f>
        <v/>
      </c>
      <c r="AD18" s="2" t="str">
        <f>IF(LEN('A créer'!C18)=0,"","Tab")</f>
        <v/>
      </c>
      <c r="AE18" s="6" t="str">
        <f>IF(LEN('A créer'!C18)=0,"","ZZZZZZZZZZ")</f>
        <v/>
      </c>
      <c r="AF18" s="6" t="str">
        <f>IF(LEN('A créer'!C18)=0,"","0")</f>
        <v/>
      </c>
      <c r="AG18" s="2" t="str">
        <f>IF(LEN('A créer'!C18)=0,"","Tab")</f>
        <v/>
      </c>
      <c r="AH18" s="6" t="str">
        <f>IF(LEN('A créer'!C18)=0,"","ZZZZZZZZZZ")</f>
        <v/>
      </c>
      <c r="AI18" s="6" t="str">
        <f>IF(LEN('A créer'!C18)=0,"","0")</f>
        <v/>
      </c>
      <c r="AJ18" s="2" t="str">
        <f>IF(LEN('A créer'!C18)=0,"","Tab")</f>
        <v/>
      </c>
      <c r="AK18" s="6" t="str">
        <f>IF(LEN('A créer'!C18)=0,"","ZZZZZZZZZZ")</f>
        <v/>
      </c>
      <c r="AL18" s="2" t="str">
        <f>IF(LEN('A créer'!C18)=0,"","ENT")</f>
        <v/>
      </c>
      <c r="AM18" s="2" t="str">
        <f>IF(LEN('A créer'!C18)=0,"","*SAVE")</f>
        <v/>
      </c>
      <c r="AN18" s="2" t="str">
        <f>IF(OR('A créer'!D18="Oui",LEN('A créer'!D18)=0,LEN('A créer'!C18)=0),"","*FN")</f>
        <v/>
      </c>
      <c r="AO18" s="3" t="str">
        <f>IF(OR('A créer'!D18="Oui",LEN('A créer'!D18)=0,LEN('A créer'!C18)=0),"","\E")</f>
        <v/>
      </c>
      <c r="AP18" s="2" t="str">
        <f>IF(OR('A créer'!D18="Oui",LEN('A créer'!D18)=0,LEN('A créer'!C18)=0),"","TAB")</f>
        <v/>
      </c>
      <c r="AQ18" s="6" t="str">
        <f>IF(OR('A créer'!D18="Oui",LEN('A créer'!D18)=0,LEN('A créer'!C18)=0),"",'A créer'!A18)</f>
        <v/>
      </c>
      <c r="AR18" s="2" t="str">
        <f>IF(OR('A créer'!D18="Oui",LEN('A créer'!D18)=0,LEN('A créer'!C18)=0),"","TAB")</f>
        <v/>
      </c>
      <c r="AS18" s="6" t="str">
        <f>IF(OR('A créer'!D18="Oui",LEN('A créer'!D18)=0,LEN('A créer'!C18)=0),"","0")</f>
        <v/>
      </c>
      <c r="AT18" s="2" t="str">
        <f>IF(OR('A créer'!D18="Oui",LEN('A créer'!D18)=0,LEN('A créer'!C18)=0),"","TAB")</f>
        <v/>
      </c>
      <c r="AU18" s="6" t="str">
        <f>IF(OR('A créer'!D18="Oui",LEN('A créer'!D18)=0,LEN('A créer'!C18)=0),"","ZZZ")</f>
        <v/>
      </c>
      <c r="AV18" s="6" t="str">
        <f>IF(OR('A créer'!D18="Oui",LEN('A créer'!D18)=0,LEN('A créer'!C18)=0),"","0")</f>
        <v/>
      </c>
      <c r="AW18" s="2" t="str">
        <f>IF(OR('A créer'!D18="Oui",LEN('A créer'!D18)=0,LEN('A créer'!C18)=0),"","TAB")</f>
        <v/>
      </c>
      <c r="AX18" s="6" t="str">
        <f>IF(OR('A créer'!D18="Oui",LEN('A créer'!D18)=0,LEN('A créer'!C18)=0),"","ZZZZZZ")</f>
        <v/>
      </c>
      <c r="AY18" s="6" t="str">
        <f>IF(OR('A créer'!D18="Oui",LEN('A créer'!D18)=0,LEN('A créer'!C18)=0),"","0")</f>
        <v/>
      </c>
      <c r="AZ18" s="2" t="str">
        <f>IF(OR('A créer'!D18="Oui",LEN('A créer'!D18)=0,LEN('A créer'!C18)=0),"","TAB")</f>
        <v/>
      </c>
      <c r="BA18" s="6" t="str">
        <f>IF(OR('A créer'!D18="Oui",LEN('A créer'!D18)=0,LEN('A créer'!C18)=0),"","ZZZZZ")</f>
        <v/>
      </c>
      <c r="BB18" s="6" t="str">
        <f>IF(OR('A créer'!D18="Oui",LEN('A créer'!D18)=0,LEN('A créer'!C18)=0),"",CONCATENATE("XXX",'A créer'!A18))</f>
        <v/>
      </c>
      <c r="BC18" s="2" t="str">
        <f>IF(OR('A créer'!D18="Oui",LEN('A créer'!D18)=0,LEN('A créer'!C18)=0),"","TAB")</f>
        <v/>
      </c>
      <c r="BD18" s="6" t="str">
        <f>IF(OR('A créer'!D18="Oui",LEN('A créer'!D18)=0,LEN('A créer'!C18)=0),"","0")</f>
        <v/>
      </c>
      <c r="BE18" s="2" t="str">
        <f>IF(OR('A créer'!D18="Oui",LEN('A créer'!D18)=0,LEN('A créer'!C18)=0),"","TAB")</f>
        <v/>
      </c>
      <c r="BF18" s="6" t="str">
        <f>IF(OR('A créer'!D18="Oui",LEN('A créer'!D18)=0,LEN('A créer'!C18)=0),"","ZZZZZZZZZZ")</f>
        <v/>
      </c>
      <c r="BG18" s="6" t="str">
        <f>IF(OR('A créer'!D18="Oui",LEN('A créer'!D18)=0,LEN('A créer'!C18)=0),"","0")</f>
        <v/>
      </c>
      <c r="BH18" s="2" t="str">
        <f>IF(OR('A créer'!D18="Oui",LEN('A créer'!D18)=0,LEN('A créer'!C18)=0),"","TAB")</f>
        <v/>
      </c>
      <c r="BI18" s="6" t="str">
        <f>IF(OR('A créer'!D18="Oui",LEN('A créer'!D18)=0,LEN('A créer'!C18)=0),"","ZZZZZZZZZZ")</f>
        <v/>
      </c>
      <c r="BJ18" s="6" t="str">
        <f>IF(OR('A créer'!D18="Oui",LEN('A créer'!D18)=0,LEN('A créer'!C18)=0),"","0")</f>
        <v/>
      </c>
      <c r="BK18" s="2" t="str">
        <f>IF(OR('A créer'!D18="Oui",LEN('A créer'!D18)=0,LEN('A créer'!C18)=0),"","TAB")</f>
        <v/>
      </c>
      <c r="BL18" s="6" t="str">
        <f>IF(OR('A créer'!D18="Oui",LEN('A créer'!D18)=0,LEN('A créer'!C18)=0),"","ZZZZZZZZZZZZZZZ")</f>
        <v/>
      </c>
      <c r="BM18" s="6" t="str">
        <f>IF(OR('A créer'!D18="Oui",LEN('A créer'!D18)=0,LEN('A créer'!C18)=0),"","0")</f>
        <v/>
      </c>
      <c r="BN18" s="2" t="str">
        <f>IF(OR('A créer'!D18="Oui",LEN('A créer'!D18)=0,LEN('A créer'!C18)=0),"","TAB")</f>
        <v/>
      </c>
      <c r="BO18" s="6" t="str">
        <f>IF(OR('A créer'!D18="Oui",LEN('A créer'!D18)=0,LEN('A créer'!C18)=0),"","ZZZ")</f>
        <v/>
      </c>
      <c r="BP18" s="6" t="str">
        <f>IF(OR('A créer'!D18="Oui",LEN('A créer'!D18)=0,LEN('A créer'!C18)=0),"","0")</f>
        <v/>
      </c>
      <c r="BQ18" s="2" t="str">
        <f>IF(OR('A créer'!D18="Oui",LEN('A créer'!D18)=0,LEN('A créer'!C18)=0),"","TAB")</f>
        <v/>
      </c>
      <c r="BR18" s="6" t="str">
        <f>IF(OR('A créer'!D18="Oui",LEN('A créer'!D18)=0,LEN('A créer'!C18)=0),"","ZZZZZZZZZZ")</f>
        <v/>
      </c>
      <c r="BS18" s="6" t="str">
        <f>IF(OR('A créer'!D18="Oui",LEN('A créer'!D18)=0,LEN('A créer'!C18)=0),"","0")</f>
        <v/>
      </c>
      <c r="BT18" s="2" t="str">
        <f>IF(OR('A créer'!D18="Oui",LEN('A créer'!D18)=0,LEN('A créer'!C18)=0),"","TAB")</f>
        <v/>
      </c>
      <c r="BU18" s="6" t="str">
        <f>IF(OR('A créer'!D18="Oui",LEN('A créer'!D18)=0,LEN('A créer'!C18)=0),"","ZZZZZZZZZZ")</f>
        <v/>
      </c>
      <c r="BV18" s="6" t="str">
        <f>IF(OR('A créer'!D18="Oui",LEN('A créer'!D18)=0,LEN('A créer'!C18)=0),"","0")</f>
        <v/>
      </c>
      <c r="BW18" s="2" t="str">
        <f>IF(OR('A créer'!D18="Oui",LEN('A créer'!D18)=0,LEN('A créer'!C18)=0),"","TAB")</f>
        <v/>
      </c>
      <c r="BX18" s="6" t="str">
        <f>IF(OR('A créer'!D18="Oui",LEN('A créer'!D18)=0,LEN('A créer'!C18)=0),"","ZZZZZZZZZZ")</f>
        <v/>
      </c>
      <c r="BY18" s="2" t="str">
        <f>IF(OR('A créer'!D18="Oui",LEN('A créer'!D18)=0,LEN('A créer'!C18)=0),"","ENT")</f>
        <v/>
      </c>
      <c r="BZ18" s="2" t="str">
        <f>IF(OR('A créer'!D18="Oui",LEN('A créer'!D18)=0,LEN('A créer'!C18)=0),"","*SAVE")</f>
        <v/>
      </c>
    </row>
    <row r="19" spans="1:78" x14ac:dyDescent="0.35">
      <c r="A19" s="2" t="str">
        <f>IF(LEN('A créer'!C19)=0,"","*FN")</f>
        <v/>
      </c>
      <c r="B19" s="3" t="str">
        <f>IF(LEN('A créer'!C19)=0,"","\E")</f>
        <v/>
      </c>
      <c r="C19" s="2" t="str">
        <f>IF(LEN('A créer'!C19)=0,"","Tab")</f>
        <v/>
      </c>
      <c r="D19" s="6" t="str">
        <f>IF(LEN('A créer'!C19)=0,"",'A créer'!A19)</f>
        <v/>
      </c>
      <c r="E19" s="2" t="str">
        <f>IF(LEN('A créer'!C19)=0,"","Tab")</f>
        <v/>
      </c>
      <c r="F19" s="6" t="str">
        <f>IF(LEN('A créer'!C19)=0,"",0)</f>
        <v/>
      </c>
      <c r="G19" s="2" t="str">
        <f>IF(LEN('A créer'!C19)=0,"","Tab")</f>
        <v/>
      </c>
      <c r="H19" s="6" t="str">
        <f>IF(LEN('A créer'!C19)=0,"","ZZZ")</f>
        <v/>
      </c>
      <c r="I19" s="6" t="str">
        <f>IF(LEN('A créer'!C19)=0,"","0")</f>
        <v/>
      </c>
      <c r="J19" s="2" t="str">
        <f>IF(LEN('A créer'!C19)=0,"","Tab")</f>
        <v/>
      </c>
      <c r="K19" s="6" t="str">
        <f>IF(LEN('A créer'!C19)=0,"","ZZZZZZ")</f>
        <v/>
      </c>
      <c r="L19" s="6" t="str">
        <f>IF(LEN('A créer'!C19)=0,"","0")</f>
        <v/>
      </c>
      <c r="M19" s="2" t="str">
        <f>IF(LEN('A créer'!C19)=0,"","Tab")</f>
        <v/>
      </c>
      <c r="N19" s="6" t="str">
        <f>IF(LEN('A créer'!C19)=0,"","ZZZZZ")</f>
        <v/>
      </c>
      <c r="O19" s="6" t="str">
        <f>IF(LEN('A créer'!C19)=0,"",CONCATENATE('A créer'!B19,'A créer'!A19))</f>
        <v/>
      </c>
      <c r="P19" s="2" t="str">
        <f>IF(LEN('A créer'!C19)=0,"","Tab")</f>
        <v/>
      </c>
      <c r="Q19" s="6" t="str">
        <f>IF(LEN('A créer'!C19)=0,"","0")</f>
        <v/>
      </c>
      <c r="R19" s="2" t="str">
        <f>IF(LEN('A créer'!C19)=0,"","Tab")</f>
        <v/>
      </c>
      <c r="S19" s="6" t="str">
        <f>IF(LEN('A créer'!C19)=0,"","ZZZZZZZZZZ")</f>
        <v/>
      </c>
      <c r="T19" s="6" t="str">
        <f>IF(LEN('A créer'!C19)=0,"","0")</f>
        <v/>
      </c>
      <c r="U19" s="2" t="str">
        <f>IF(LEN('A créer'!C19)=0,"","Tab")</f>
        <v/>
      </c>
      <c r="V19" s="6" t="str">
        <f>IF(LEN('A créer'!C19)=0,"","ZZZZZZZZZZ")</f>
        <v/>
      </c>
      <c r="W19" s="6" t="str">
        <f>IF(LEN('A créer'!C19)=0,"","0")</f>
        <v/>
      </c>
      <c r="X19" s="2" t="str">
        <f>IF(LEN('A créer'!C19)=0,"","Tab")</f>
        <v/>
      </c>
      <c r="Y19" s="6" t="str">
        <f>IF(LEN('A créer'!C19)=0,"","ZZZZZZZZZZZZZZZ")</f>
        <v/>
      </c>
      <c r="Z19" s="6" t="str">
        <f>IF(LEN('A créer'!C19)=0,"","0")</f>
        <v/>
      </c>
      <c r="AA19" s="2" t="str">
        <f>IF(LEN('A créer'!C19)=0,"","Tab")</f>
        <v/>
      </c>
      <c r="AB19" s="6" t="str">
        <f>IF(LEN('A créer'!C19)=0,"","ZZZ")</f>
        <v/>
      </c>
      <c r="AC19" s="6" t="str">
        <f>IF(LEN('A créer'!C19)=0,"","0")</f>
        <v/>
      </c>
      <c r="AD19" s="2" t="str">
        <f>IF(LEN('A créer'!C19)=0,"","Tab")</f>
        <v/>
      </c>
      <c r="AE19" s="6" t="str">
        <f>IF(LEN('A créer'!C19)=0,"","ZZZZZZZZZZ")</f>
        <v/>
      </c>
      <c r="AF19" s="6" t="str">
        <f>IF(LEN('A créer'!C19)=0,"","0")</f>
        <v/>
      </c>
      <c r="AG19" s="2" t="str">
        <f>IF(LEN('A créer'!C19)=0,"","Tab")</f>
        <v/>
      </c>
      <c r="AH19" s="6" t="str">
        <f>IF(LEN('A créer'!C19)=0,"","ZZZZZZZZZZ")</f>
        <v/>
      </c>
      <c r="AI19" s="6" t="str">
        <f>IF(LEN('A créer'!C19)=0,"","0")</f>
        <v/>
      </c>
      <c r="AJ19" s="2" t="str">
        <f>IF(LEN('A créer'!C19)=0,"","Tab")</f>
        <v/>
      </c>
      <c r="AK19" s="6" t="str">
        <f>IF(LEN('A créer'!C19)=0,"","ZZZZZZZZZZ")</f>
        <v/>
      </c>
      <c r="AL19" s="2" t="str">
        <f>IF(LEN('A créer'!C19)=0,"","ENT")</f>
        <v/>
      </c>
      <c r="AM19" s="2" t="str">
        <f>IF(LEN('A créer'!C19)=0,"","*SAVE")</f>
        <v/>
      </c>
      <c r="AN19" s="2" t="str">
        <f>IF(OR('A créer'!D19="Oui",LEN('A créer'!D19)=0,LEN('A créer'!C19)=0),"","*FN")</f>
        <v/>
      </c>
      <c r="AO19" s="3" t="str">
        <f>IF(OR('A créer'!D19="Oui",LEN('A créer'!D19)=0,LEN('A créer'!C19)=0),"","\E")</f>
        <v/>
      </c>
      <c r="AP19" s="2" t="str">
        <f>IF(OR('A créer'!D19="Oui",LEN('A créer'!D19)=0,LEN('A créer'!C19)=0),"","TAB")</f>
        <v/>
      </c>
      <c r="AQ19" s="6" t="str">
        <f>IF(OR('A créer'!D19="Oui",LEN('A créer'!D19)=0,LEN('A créer'!C19)=0),"",'A créer'!A19)</f>
        <v/>
      </c>
      <c r="AR19" s="2" t="str">
        <f>IF(OR('A créer'!D19="Oui",LEN('A créer'!D19)=0,LEN('A créer'!C19)=0),"","TAB")</f>
        <v/>
      </c>
      <c r="AS19" s="6" t="str">
        <f>IF(OR('A créer'!D19="Oui",LEN('A créer'!D19)=0,LEN('A créer'!C19)=0),"","0")</f>
        <v/>
      </c>
      <c r="AT19" s="2" t="str">
        <f>IF(OR('A créer'!D19="Oui",LEN('A créer'!D19)=0,LEN('A créer'!C19)=0),"","TAB")</f>
        <v/>
      </c>
      <c r="AU19" s="6" t="str">
        <f>IF(OR('A créer'!D19="Oui",LEN('A créer'!D19)=0,LEN('A créer'!C19)=0),"","ZZZ")</f>
        <v/>
      </c>
      <c r="AV19" s="6" t="str">
        <f>IF(OR('A créer'!D19="Oui",LEN('A créer'!D19)=0,LEN('A créer'!C19)=0),"","0")</f>
        <v/>
      </c>
      <c r="AW19" s="2" t="str">
        <f>IF(OR('A créer'!D19="Oui",LEN('A créer'!D19)=0,LEN('A créer'!C19)=0),"","TAB")</f>
        <v/>
      </c>
      <c r="AX19" s="6" t="str">
        <f>IF(OR('A créer'!D19="Oui",LEN('A créer'!D19)=0,LEN('A créer'!C19)=0),"","ZZZZZZ")</f>
        <v/>
      </c>
      <c r="AY19" s="6" t="str">
        <f>IF(OR('A créer'!D19="Oui",LEN('A créer'!D19)=0,LEN('A créer'!C19)=0),"","0")</f>
        <v/>
      </c>
      <c r="AZ19" s="2" t="str">
        <f>IF(OR('A créer'!D19="Oui",LEN('A créer'!D19)=0,LEN('A créer'!C19)=0),"","TAB")</f>
        <v/>
      </c>
      <c r="BA19" s="6" t="str">
        <f>IF(OR('A créer'!D19="Oui",LEN('A créer'!D19)=0,LEN('A créer'!C19)=0),"","ZZZZZ")</f>
        <v/>
      </c>
      <c r="BB19" s="6" t="str">
        <f>IF(OR('A créer'!D19="Oui",LEN('A créer'!D19)=0,LEN('A créer'!C19)=0),"",CONCATENATE("XXX",'A créer'!A19))</f>
        <v/>
      </c>
      <c r="BC19" s="2" t="str">
        <f>IF(OR('A créer'!D19="Oui",LEN('A créer'!D19)=0,LEN('A créer'!C19)=0),"","TAB")</f>
        <v/>
      </c>
      <c r="BD19" s="6" t="str">
        <f>IF(OR('A créer'!D19="Oui",LEN('A créer'!D19)=0,LEN('A créer'!C19)=0),"","0")</f>
        <v/>
      </c>
      <c r="BE19" s="2" t="str">
        <f>IF(OR('A créer'!D19="Oui",LEN('A créer'!D19)=0,LEN('A créer'!C19)=0),"","TAB")</f>
        <v/>
      </c>
      <c r="BF19" s="6" t="str">
        <f>IF(OR('A créer'!D19="Oui",LEN('A créer'!D19)=0,LEN('A créer'!C19)=0),"","ZZZZZZZZZZ")</f>
        <v/>
      </c>
      <c r="BG19" s="6" t="str">
        <f>IF(OR('A créer'!D19="Oui",LEN('A créer'!D19)=0,LEN('A créer'!C19)=0),"","0")</f>
        <v/>
      </c>
      <c r="BH19" s="2" t="str">
        <f>IF(OR('A créer'!D19="Oui",LEN('A créer'!D19)=0,LEN('A créer'!C19)=0),"","TAB")</f>
        <v/>
      </c>
      <c r="BI19" s="6" t="str">
        <f>IF(OR('A créer'!D19="Oui",LEN('A créer'!D19)=0,LEN('A créer'!C19)=0),"","ZZZZZZZZZZ")</f>
        <v/>
      </c>
      <c r="BJ19" s="6" t="str">
        <f>IF(OR('A créer'!D19="Oui",LEN('A créer'!D19)=0,LEN('A créer'!C19)=0),"","0")</f>
        <v/>
      </c>
      <c r="BK19" s="2" t="str">
        <f>IF(OR('A créer'!D19="Oui",LEN('A créer'!D19)=0,LEN('A créer'!C19)=0),"","TAB")</f>
        <v/>
      </c>
      <c r="BL19" s="6" t="str">
        <f>IF(OR('A créer'!D19="Oui",LEN('A créer'!D19)=0,LEN('A créer'!C19)=0),"","ZZZZZZZZZZZZZZZ")</f>
        <v/>
      </c>
      <c r="BM19" s="6" t="str">
        <f>IF(OR('A créer'!D19="Oui",LEN('A créer'!D19)=0,LEN('A créer'!C19)=0),"","0")</f>
        <v/>
      </c>
      <c r="BN19" s="2" t="str">
        <f>IF(OR('A créer'!D19="Oui",LEN('A créer'!D19)=0,LEN('A créer'!C19)=0),"","TAB")</f>
        <v/>
      </c>
      <c r="BO19" s="6" t="str">
        <f>IF(OR('A créer'!D19="Oui",LEN('A créer'!D19)=0,LEN('A créer'!C19)=0),"","ZZZ")</f>
        <v/>
      </c>
      <c r="BP19" s="6" t="str">
        <f>IF(OR('A créer'!D19="Oui",LEN('A créer'!D19)=0,LEN('A créer'!C19)=0),"","0")</f>
        <v/>
      </c>
      <c r="BQ19" s="2" t="str">
        <f>IF(OR('A créer'!D19="Oui",LEN('A créer'!D19)=0,LEN('A créer'!C19)=0),"","TAB")</f>
        <v/>
      </c>
      <c r="BR19" s="6" t="str">
        <f>IF(OR('A créer'!D19="Oui",LEN('A créer'!D19)=0,LEN('A créer'!C19)=0),"","ZZZZZZZZZZ")</f>
        <v/>
      </c>
      <c r="BS19" s="6" t="str">
        <f>IF(OR('A créer'!D19="Oui",LEN('A créer'!D19)=0,LEN('A créer'!C19)=0),"","0")</f>
        <v/>
      </c>
      <c r="BT19" s="2" t="str">
        <f>IF(OR('A créer'!D19="Oui",LEN('A créer'!D19)=0,LEN('A créer'!C19)=0),"","TAB")</f>
        <v/>
      </c>
      <c r="BU19" s="6" t="str">
        <f>IF(OR('A créer'!D19="Oui",LEN('A créer'!D19)=0,LEN('A créer'!C19)=0),"","ZZZZZZZZZZ")</f>
        <v/>
      </c>
      <c r="BV19" s="6" t="str">
        <f>IF(OR('A créer'!D19="Oui",LEN('A créer'!D19)=0,LEN('A créer'!C19)=0),"","0")</f>
        <v/>
      </c>
      <c r="BW19" s="2" t="str">
        <f>IF(OR('A créer'!D19="Oui",LEN('A créer'!D19)=0,LEN('A créer'!C19)=0),"","TAB")</f>
        <v/>
      </c>
      <c r="BX19" s="6" t="str">
        <f>IF(OR('A créer'!D19="Oui",LEN('A créer'!D19)=0,LEN('A créer'!C19)=0),"","ZZZZZZZZZZ")</f>
        <v/>
      </c>
      <c r="BY19" s="2" t="str">
        <f>IF(OR('A créer'!D19="Oui",LEN('A créer'!D19)=0,LEN('A créer'!C19)=0),"","ENT")</f>
        <v/>
      </c>
      <c r="BZ19" s="2" t="str">
        <f>IF(OR('A créer'!D19="Oui",LEN('A créer'!D19)=0,LEN('A créer'!C19)=0),"","*SAVE")</f>
        <v/>
      </c>
    </row>
    <row r="20" spans="1:78" x14ac:dyDescent="0.35">
      <c r="A20" s="2" t="str">
        <f>IF(LEN('A créer'!C20)=0,"","*FN")</f>
        <v/>
      </c>
      <c r="B20" s="3" t="str">
        <f>IF(LEN('A créer'!C20)=0,"","\E")</f>
        <v/>
      </c>
      <c r="C20" s="2" t="str">
        <f>IF(LEN('A créer'!C20)=0,"","Tab")</f>
        <v/>
      </c>
      <c r="D20" s="6" t="str">
        <f>IF(LEN('A créer'!C20)=0,"",'A créer'!A20)</f>
        <v/>
      </c>
      <c r="E20" s="2" t="str">
        <f>IF(LEN('A créer'!C20)=0,"","Tab")</f>
        <v/>
      </c>
      <c r="F20" s="6" t="str">
        <f>IF(LEN('A créer'!C20)=0,"",0)</f>
        <v/>
      </c>
      <c r="G20" s="2" t="str">
        <f>IF(LEN('A créer'!C20)=0,"","Tab")</f>
        <v/>
      </c>
      <c r="H20" s="6" t="str">
        <f>IF(LEN('A créer'!C20)=0,"","ZZZ")</f>
        <v/>
      </c>
      <c r="I20" s="6" t="str">
        <f>IF(LEN('A créer'!C20)=0,"","0")</f>
        <v/>
      </c>
      <c r="J20" s="2" t="str">
        <f>IF(LEN('A créer'!C20)=0,"","Tab")</f>
        <v/>
      </c>
      <c r="K20" s="6" t="str">
        <f>IF(LEN('A créer'!C20)=0,"","ZZZZZZ")</f>
        <v/>
      </c>
      <c r="L20" s="6" t="str">
        <f>IF(LEN('A créer'!C20)=0,"","0")</f>
        <v/>
      </c>
      <c r="M20" s="2" t="str">
        <f>IF(LEN('A créer'!C20)=0,"","Tab")</f>
        <v/>
      </c>
      <c r="N20" s="6" t="str">
        <f>IF(LEN('A créer'!C20)=0,"","ZZZZZ")</f>
        <v/>
      </c>
      <c r="O20" s="6" t="str">
        <f>IF(LEN('A créer'!C20)=0,"",CONCATENATE('A créer'!B20,'A créer'!A20))</f>
        <v/>
      </c>
      <c r="P20" s="2" t="str">
        <f>IF(LEN('A créer'!C20)=0,"","Tab")</f>
        <v/>
      </c>
      <c r="Q20" s="6" t="str">
        <f>IF(LEN('A créer'!C20)=0,"","0")</f>
        <v/>
      </c>
      <c r="R20" s="2" t="str">
        <f>IF(LEN('A créer'!C20)=0,"","Tab")</f>
        <v/>
      </c>
      <c r="S20" s="6" t="str">
        <f>IF(LEN('A créer'!C20)=0,"","ZZZZZZZZZZ")</f>
        <v/>
      </c>
      <c r="T20" s="6" t="str">
        <f>IF(LEN('A créer'!C20)=0,"","0")</f>
        <v/>
      </c>
      <c r="U20" s="2" t="str">
        <f>IF(LEN('A créer'!C20)=0,"","Tab")</f>
        <v/>
      </c>
      <c r="V20" s="6" t="str">
        <f>IF(LEN('A créer'!C20)=0,"","ZZZZZZZZZZ")</f>
        <v/>
      </c>
      <c r="W20" s="6" t="str">
        <f>IF(LEN('A créer'!C20)=0,"","0")</f>
        <v/>
      </c>
      <c r="X20" s="2" t="str">
        <f>IF(LEN('A créer'!C20)=0,"","Tab")</f>
        <v/>
      </c>
      <c r="Y20" s="6" t="str">
        <f>IF(LEN('A créer'!C20)=0,"","ZZZZZZZZZZZZZZZ")</f>
        <v/>
      </c>
      <c r="Z20" s="6" t="str">
        <f>IF(LEN('A créer'!C20)=0,"","0")</f>
        <v/>
      </c>
      <c r="AA20" s="2" t="str">
        <f>IF(LEN('A créer'!C20)=0,"","Tab")</f>
        <v/>
      </c>
      <c r="AB20" s="6" t="str">
        <f>IF(LEN('A créer'!C20)=0,"","ZZZ")</f>
        <v/>
      </c>
      <c r="AC20" s="6" t="str">
        <f>IF(LEN('A créer'!C20)=0,"","0")</f>
        <v/>
      </c>
      <c r="AD20" s="2" t="str">
        <f>IF(LEN('A créer'!C20)=0,"","Tab")</f>
        <v/>
      </c>
      <c r="AE20" s="6" t="str">
        <f>IF(LEN('A créer'!C20)=0,"","ZZZZZZZZZZ")</f>
        <v/>
      </c>
      <c r="AF20" s="6" t="str">
        <f>IF(LEN('A créer'!C20)=0,"","0")</f>
        <v/>
      </c>
      <c r="AG20" s="2" t="str">
        <f>IF(LEN('A créer'!C20)=0,"","Tab")</f>
        <v/>
      </c>
      <c r="AH20" s="6" t="str">
        <f>IF(LEN('A créer'!C20)=0,"","ZZZZZZZZZZ")</f>
        <v/>
      </c>
      <c r="AI20" s="6" t="str">
        <f>IF(LEN('A créer'!C20)=0,"","0")</f>
        <v/>
      </c>
      <c r="AJ20" s="2" t="str">
        <f>IF(LEN('A créer'!C20)=0,"","Tab")</f>
        <v/>
      </c>
      <c r="AK20" s="6" t="str">
        <f>IF(LEN('A créer'!C20)=0,"","ZZZZZZZZZZ")</f>
        <v/>
      </c>
      <c r="AL20" s="2" t="str">
        <f>IF(LEN('A créer'!C20)=0,"","ENT")</f>
        <v/>
      </c>
      <c r="AM20" s="2" t="str">
        <f>IF(LEN('A créer'!C20)=0,"","*SAVE")</f>
        <v/>
      </c>
      <c r="AN20" s="2" t="str">
        <f>IF(OR('A créer'!D20="Oui",LEN('A créer'!D20)=0,LEN('A créer'!C20)=0),"","*FN")</f>
        <v/>
      </c>
      <c r="AO20" s="3" t="str">
        <f>IF(OR('A créer'!D20="Oui",LEN('A créer'!D20)=0,LEN('A créer'!C20)=0),"","\E")</f>
        <v/>
      </c>
      <c r="AP20" s="2" t="str">
        <f>IF(OR('A créer'!D20="Oui",LEN('A créer'!D20)=0,LEN('A créer'!C20)=0),"","TAB")</f>
        <v/>
      </c>
      <c r="AQ20" s="6" t="str">
        <f>IF(OR('A créer'!D20="Oui",LEN('A créer'!D20)=0,LEN('A créer'!C20)=0),"",'A créer'!A20)</f>
        <v/>
      </c>
      <c r="AR20" s="2" t="str">
        <f>IF(OR('A créer'!D20="Oui",LEN('A créer'!D20)=0,LEN('A créer'!C20)=0),"","TAB")</f>
        <v/>
      </c>
      <c r="AS20" s="6" t="str">
        <f>IF(OR('A créer'!D20="Oui",LEN('A créer'!D20)=0,LEN('A créer'!C20)=0),"","0")</f>
        <v/>
      </c>
      <c r="AT20" s="2" t="str">
        <f>IF(OR('A créer'!D20="Oui",LEN('A créer'!D20)=0,LEN('A créer'!C20)=0),"","TAB")</f>
        <v/>
      </c>
      <c r="AU20" s="6" t="str">
        <f>IF(OR('A créer'!D20="Oui",LEN('A créer'!D20)=0,LEN('A créer'!C20)=0),"","ZZZ")</f>
        <v/>
      </c>
      <c r="AV20" s="6" t="str">
        <f>IF(OR('A créer'!D20="Oui",LEN('A créer'!D20)=0,LEN('A créer'!C20)=0),"","0")</f>
        <v/>
      </c>
      <c r="AW20" s="2" t="str">
        <f>IF(OR('A créer'!D20="Oui",LEN('A créer'!D20)=0,LEN('A créer'!C20)=0),"","TAB")</f>
        <v/>
      </c>
      <c r="AX20" s="6" t="str">
        <f>IF(OR('A créer'!D20="Oui",LEN('A créer'!D20)=0,LEN('A créer'!C20)=0),"","ZZZZZZ")</f>
        <v/>
      </c>
      <c r="AY20" s="6" t="str">
        <f>IF(OR('A créer'!D20="Oui",LEN('A créer'!D20)=0,LEN('A créer'!C20)=0),"","0")</f>
        <v/>
      </c>
      <c r="AZ20" s="2" t="str">
        <f>IF(OR('A créer'!D20="Oui",LEN('A créer'!D20)=0,LEN('A créer'!C20)=0),"","TAB")</f>
        <v/>
      </c>
      <c r="BA20" s="6" t="str">
        <f>IF(OR('A créer'!D20="Oui",LEN('A créer'!D20)=0,LEN('A créer'!C20)=0),"","ZZZZZ")</f>
        <v/>
      </c>
      <c r="BB20" s="6" t="str">
        <f>IF(OR('A créer'!D20="Oui",LEN('A créer'!D20)=0,LEN('A créer'!C20)=0),"",CONCATENATE("XXX",'A créer'!A20))</f>
        <v/>
      </c>
      <c r="BC20" s="2" t="str">
        <f>IF(OR('A créer'!D20="Oui",LEN('A créer'!D20)=0,LEN('A créer'!C20)=0),"","TAB")</f>
        <v/>
      </c>
      <c r="BD20" s="6" t="str">
        <f>IF(OR('A créer'!D20="Oui",LEN('A créer'!D20)=0,LEN('A créer'!C20)=0),"","0")</f>
        <v/>
      </c>
      <c r="BE20" s="2" t="str">
        <f>IF(OR('A créer'!D20="Oui",LEN('A créer'!D20)=0,LEN('A créer'!C20)=0),"","TAB")</f>
        <v/>
      </c>
      <c r="BF20" s="6" t="str">
        <f>IF(OR('A créer'!D20="Oui",LEN('A créer'!D20)=0,LEN('A créer'!C20)=0),"","ZZZZZZZZZZ")</f>
        <v/>
      </c>
      <c r="BG20" s="6" t="str">
        <f>IF(OR('A créer'!D20="Oui",LEN('A créer'!D20)=0,LEN('A créer'!C20)=0),"","0")</f>
        <v/>
      </c>
      <c r="BH20" s="2" t="str">
        <f>IF(OR('A créer'!D20="Oui",LEN('A créer'!D20)=0,LEN('A créer'!C20)=0),"","TAB")</f>
        <v/>
      </c>
      <c r="BI20" s="6" t="str">
        <f>IF(OR('A créer'!D20="Oui",LEN('A créer'!D20)=0,LEN('A créer'!C20)=0),"","ZZZZZZZZZZ")</f>
        <v/>
      </c>
      <c r="BJ20" s="6" t="str">
        <f>IF(OR('A créer'!D20="Oui",LEN('A créer'!D20)=0,LEN('A créer'!C20)=0),"","0")</f>
        <v/>
      </c>
      <c r="BK20" s="2" t="str">
        <f>IF(OR('A créer'!D20="Oui",LEN('A créer'!D20)=0,LEN('A créer'!C20)=0),"","TAB")</f>
        <v/>
      </c>
      <c r="BL20" s="6" t="str">
        <f>IF(OR('A créer'!D20="Oui",LEN('A créer'!D20)=0,LEN('A créer'!C20)=0),"","ZZZZZZZZZZZZZZZ")</f>
        <v/>
      </c>
      <c r="BM20" s="6" t="str">
        <f>IF(OR('A créer'!D20="Oui",LEN('A créer'!D20)=0,LEN('A créer'!C20)=0),"","0")</f>
        <v/>
      </c>
      <c r="BN20" s="2" t="str">
        <f>IF(OR('A créer'!D20="Oui",LEN('A créer'!D20)=0,LEN('A créer'!C20)=0),"","TAB")</f>
        <v/>
      </c>
      <c r="BO20" s="6" t="str">
        <f>IF(OR('A créer'!D20="Oui",LEN('A créer'!D20)=0,LEN('A créer'!C20)=0),"","ZZZ")</f>
        <v/>
      </c>
      <c r="BP20" s="6" t="str">
        <f>IF(OR('A créer'!D20="Oui",LEN('A créer'!D20)=0,LEN('A créer'!C20)=0),"","0")</f>
        <v/>
      </c>
      <c r="BQ20" s="2" t="str">
        <f>IF(OR('A créer'!D20="Oui",LEN('A créer'!D20)=0,LEN('A créer'!C20)=0),"","TAB")</f>
        <v/>
      </c>
      <c r="BR20" s="6" t="str">
        <f>IF(OR('A créer'!D20="Oui",LEN('A créer'!D20)=0,LEN('A créer'!C20)=0),"","ZZZZZZZZZZ")</f>
        <v/>
      </c>
      <c r="BS20" s="6" t="str">
        <f>IF(OR('A créer'!D20="Oui",LEN('A créer'!D20)=0,LEN('A créer'!C20)=0),"","0")</f>
        <v/>
      </c>
      <c r="BT20" s="2" t="str">
        <f>IF(OR('A créer'!D20="Oui",LEN('A créer'!D20)=0,LEN('A créer'!C20)=0),"","TAB")</f>
        <v/>
      </c>
      <c r="BU20" s="6" t="str">
        <f>IF(OR('A créer'!D20="Oui",LEN('A créer'!D20)=0,LEN('A créer'!C20)=0),"","ZZZZZZZZZZ")</f>
        <v/>
      </c>
      <c r="BV20" s="6" t="str">
        <f>IF(OR('A créer'!D20="Oui",LEN('A créer'!D20)=0,LEN('A créer'!C20)=0),"","0")</f>
        <v/>
      </c>
      <c r="BW20" s="2" t="str">
        <f>IF(OR('A créer'!D20="Oui",LEN('A créer'!D20)=0,LEN('A créer'!C20)=0),"","TAB")</f>
        <v/>
      </c>
      <c r="BX20" s="6" t="str">
        <f>IF(OR('A créer'!D20="Oui",LEN('A créer'!D20)=0,LEN('A créer'!C20)=0),"","ZZZZZZZZZZ")</f>
        <v/>
      </c>
      <c r="BY20" s="2" t="str">
        <f>IF(OR('A créer'!D20="Oui",LEN('A créer'!D20)=0,LEN('A créer'!C20)=0),"","ENT")</f>
        <v/>
      </c>
      <c r="BZ20" s="2" t="str">
        <f>IF(OR('A créer'!D20="Oui",LEN('A créer'!D20)=0,LEN('A créer'!C20)=0),"","*SAVE")</f>
        <v/>
      </c>
    </row>
    <row r="21" spans="1:78" x14ac:dyDescent="0.35">
      <c r="A21" s="2" t="str">
        <f>IF(LEN('A créer'!C21)=0,"","*FN")</f>
        <v/>
      </c>
      <c r="B21" s="3" t="str">
        <f>IF(LEN('A créer'!C21)=0,"","\E")</f>
        <v/>
      </c>
      <c r="C21" s="2" t="str">
        <f>IF(LEN('A créer'!C21)=0,"","Tab")</f>
        <v/>
      </c>
      <c r="D21" s="6" t="str">
        <f>IF(LEN('A créer'!C21)=0,"",'A créer'!A21)</f>
        <v/>
      </c>
      <c r="E21" s="2" t="str">
        <f>IF(LEN('A créer'!C21)=0,"","Tab")</f>
        <v/>
      </c>
      <c r="F21" s="6" t="str">
        <f>IF(LEN('A créer'!C21)=0,"",0)</f>
        <v/>
      </c>
      <c r="G21" s="2" t="str">
        <f>IF(LEN('A créer'!C21)=0,"","Tab")</f>
        <v/>
      </c>
      <c r="H21" s="6" t="str">
        <f>IF(LEN('A créer'!C21)=0,"","ZZZ")</f>
        <v/>
      </c>
      <c r="I21" s="6" t="str">
        <f>IF(LEN('A créer'!C21)=0,"","0")</f>
        <v/>
      </c>
      <c r="J21" s="2" t="str">
        <f>IF(LEN('A créer'!C21)=0,"","Tab")</f>
        <v/>
      </c>
      <c r="K21" s="6" t="str">
        <f>IF(LEN('A créer'!C21)=0,"","ZZZZZZ")</f>
        <v/>
      </c>
      <c r="L21" s="6" t="str">
        <f>IF(LEN('A créer'!C21)=0,"","0")</f>
        <v/>
      </c>
      <c r="M21" s="2" t="str">
        <f>IF(LEN('A créer'!C21)=0,"","Tab")</f>
        <v/>
      </c>
      <c r="N21" s="6" t="str">
        <f>IF(LEN('A créer'!C21)=0,"","ZZZZZ")</f>
        <v/>
      </c>
      <c r="O21" s="6" t="str">
        <f>IF(LEN('A créer'!C21)=0,"",CONCATENATE('A créer'!B21,'A créer'!A21))</f>
        <v/>
      </c>
      <c r="P21" s="2" t="str">
        <f>IF(LEN('A créer'!C21)=0,"","Tab")</f>
        <v/>
      </c>
      <c r="Q21" s="6" t="str">
        <f>IF(LEN('A créer'!C21)=0,"","0")</f>
        <v/>
      </c>
      <c r="R21" s="2" t="str">
        <f>IF(LEN('A créer'!C21)=0,"","Tab")</f>
        <v/>
      </c>
      <c r="S21" s="6" t="str">
        <f>IF(LEN('A créer'!C21)=0,"","ZZZZZZZZZZ")</f>
        <v/>
      </c>
      <c r="T21" s="6" t="str">
        <f>IF(LEN('A créer'!C21)=0,"","0")</f>
        <v/>
      </c>
      <c r="U21" s="2" t="str">
        <f>IF(LEN('A créer'!C21)=0,"","Tab")</f>
        <v/>
      </c>
      <c r="V21" s="6" t="str">
        <f>IF(LEN('A créer'!C21)=0,"","ZZZZZZZZZZ")</f>
        <v/>
      </c>
      <c r="W21" s="6" t="str">
        <f>IF(LEN('A créer'!C21)=0,"","0")</f>
        <v/>
      </c>
      <c r="X21" s="2" t="str">
        <f>IF(LEN('A créer'!C21)=0,"","Tab")</f>
        <v/>
      </c>
      <c r="Y21" s="6" t="str">
        <f>IF(LEN('A créer'!C21)=0,"","ZZZZZZZZZZZZZZZ")</f>
        <v/>
      </c>
      <c r="Z21" s="6" t="str">
        <f>IF(LEN('A créer'!C21)=0,"","0")</f>
        <v/>
      </c>
      <c r="AA21" s="2" t="str">
        <f>IF(LEN('A créer'!C21)=0,"","Tab")</f>
        <v/>
      </c>
      <c r="AB21" s="6" t="str">
        <f>IF(LEN('A créer'!C21)=0,"","ZZZ")</f>
        <v/>
      </c>
      <c r="AC21" s="6" t="str">
        <f>IF(LEN('A créer'!C21)=0,"","0")</f>
        <v/>
      </c>
      <c r="AD21" s="2" t="str">
        <f>IF(LEN('A créer'!C21)=0,"","Tab")</f>
        <v/>
      </c>
      <c r="AE21" s="6" t="str">
        <f>IF(LEN('A créer'!C21)=0,"","ZZZZZZZZZZ")</f>
        <v/>
      </c>
      <c r="AF21" s="6" t="str">
        <f>IF(LEN('A créer'!C21)=0,"","0")</f>
        <v/>
      </c>
      <c r="AG21" s="2" t="str">
        <f>IF(LEN('A créer'!C21)=0,"","Tab")</f>
        <v/>
      </c>
      <c r="AH21" s="6" t="str">
        <f>IF(LEN('A créer'!C21)=0,"","ZZZZZZZZZZ")</f>
        <v/>
      </c>
      <c r="AI21" s="6" t="str">
        <f>IF(LEN('A créer'!C21)=0,"","0")</f>
        <v/>
      </c>
      <c r="AJ21" s="2" t="str">
        <f>IF(LEN('A créer'!C21)=0,"","Tab")</f>
        <v/>
      </c>
      <c r="AK21" s="6" t="str">
        <f>IF(LEN('A créer'!C21)=0,"","ZZZZZZZZZZ")</f>
        <v/>
      </c>
      <c r="AL21" s="2" t="str">
        <f>IF(LEN('A créer'!C21)=0,"","ENT")</f>
        <v/>
      </c>
      <c r="AM21" s="2" t="str">
        <f>IF(LEN('A créer'!C21)=0,"","*SAVE")</f>
        <v/>
      </c>
      <c r="AN21" s="2" t="str">
        <f>IF(OR('A créer'!D21="Oui",LEN('A créer'!D21)=0,LEN('A créer'!C21)=0),"","*FN")</f>
        <v/>
      </c>
      <c r="AO21" s="3" t="str">
        <f>IF(OR('A créer'!D21="Oui",LEN('A créer'!D21)=0,LEN('A créer'!C21)=0),"","\E")</f>
        <v/>
      </c>
      <c r="AP21" s="2" t="str">
        <f>IF(OR('A créer'!D21="Oui",LEN('A créer'!D21)=0,LEN('A créer'!C21)=0),"","TAB")</f>
        <v/>
      </c>
      <c r="AQ21" s="6" t="str">
        <f>IF(OR('A créer'!D21="Oui",LEN('A créer'!D21)=0,LEN('A créer'!C21)=0),"",'A créer'!A21)</f>
        <v/>
      </c>
      <c r="AR21" s="2" t="str">
        <f>IF(OR('A créer'!D21="Oui",LEN('A créer'!D21)=0,LEN('A créer'!C21)=0),"","TAB")</f>
        <v/>
      </c>
      <c r="AS21" s="6" t="str">
        <f>IF(OR('A créer'!D21="Oui",LEN('A créer'!D21)=0,LEN('A créer'!C21)=0),"","0")</f>
        <v/>
      </c>
      <c r="AT21" s="2" t="str">
        <f>IF(OR('A créer'!D21="Oui",LEN('A créer'!D21)=0,LEN('A créer'!C21)=0),"","TAB")</f>
        <v/>
      </c>
      <c r="AU21" s="6" t="str">
        <f>IF(OR('A créer'!D21="Oui",LEN('A créer'!D21)=0,LEN('A créer'!C21)=0),"","ZZZ")</f>
        <v/>
      </c>
      <c r="AV21" s="6" t="str">
        <f>IF(OR('A créer'!D21="Oui",LEN('A créer'!D21)=0,LEN('A créer'!C21)=0),"","0")</f>
        <v/>
      </c>
      <c r="AW21" s="2" t="str">
        <f>IF(OR('A créer'!D21="Oui",LEN('A créer'!D21)=0,LEN('A créer'!C21)=0),"","TAB")</f>
        <v/>
      </c>
      <c r="AX21" s="6" t="str">
        <f>IF(OR('A créer'!D21="Oui",LEN('A créer'!D21)=0,LEN('A créer'!C21)=0),"","ZZZZZZ")</f>
        <v/>
      </c>
      <c r="AY21" s="6" t="str">
        <f>IF(OR('A créer'!D21="Oui",LEN('A créer'!D21)=0,LEN('A créer'!C21)=0),"","0")</f>
        <v/>
      </c>
      <c r="AZ21" s="2" t="str">
        <f>IF(OR('A créer'!D21="Oui",LEN('A créer'!D21)=0,LEN('A créer'!C21)=0),"","TAB")</f>
        <v/>
      </c>
      <c r="BA21" s="6" t="str">
        <f>IF(OR('A créer'!D21="Oui",LEN('A créer'!D21)=0,LEN('A créer'!C21)=0),"","ZZZZZ")</f>
        <v/>
      </c>
      <c r="BB21" s="6" t="str">
        <f>IF(OR('A créer'!D21="Oui",LEN('A créer'!D21)=0,LEN('A créer'!C21)=0),"",CONCATENATE("XXX",'A créer'!A21))</f>
        <v/>
      </c>
      <c r="BC21" s="2" t="str">
        <f>IF(OR('A créer'!D21="Oui",LEN('A créer'!D21)=0,LEN('A créer'!C21)=0),"","TAB")</f>
        <v/>
      </c>
      <c r="BD21" s="6" t="str">
        <f>IF(OR('A créer'!D21="Oui",LEN('A créer'!D21)=0,LEN('A créer'!C21)=0),"","0")</f>
        <v/>
      </c>
      <c r="BE21" s="2" t="str">
        <f>IF(OR('A créer'!D21="Oui",LEN('A créer'!D21)=0,LEN('A créer'!C21)=0),"","TAB")</f>
        <v/>
      </c>
      <c r="BF21" s="6" t="str">
        <f>IF(OR('A créer'!D21="Oui",LEN('A créer'!D21)=0,LEN('A créer'!C21)=0),"","ZZZZZZZZZZ")</f>
        <v/>
      </c>
      <c r="BG21" s="6" t="str">
        <f>IF(OR('A créer'!D21="Oui",LEN('A créer'!D21)=0,LEN('A créer'!C21)=0),"","0")</f>
        <v/>
      </c>
      <c r="BH21" s="2" t="str">
        <f>IF(OR('A créer'!D21="Oui",LEN('A créer'!D21)=0,LEN('A créer'!C21)=0),"","TAB")</f>
        <v/>
      </c>
      <c r="BI21" s="6" t="str">
        <f>IF(OR('A créer'!D21="Oui",LEN('A créer'!D21)=0,LEN('A créer'!C21)=0),"","ZZZZZZZZZZ")</f>
        <v/>
      </c>
      <c r="BJ21" s="6" t="str">
        <f>IF(OR('A créer'!D21="Oui",LEN('A créer'!D21)=0,LEN('A créer'!C21)=0),"","0")</f>
        <v/>
      </c>
      <c r="BK21" s="2" t="str">
        <f>IF(OR('A créer'!D21="Oui",LEN('A créer'!D21)=0,LEN('A créer'!C21)=0),"","TAB")</f>
        <v/>
      </c>
      <c r="BL21" s="6" t="str">
        <f>IF(OR('A créer'!D21="Oui",LEN('A créer'!D21)=0,LEN('A créer'!C21)=0),"","ZZZZZZZZZZZZZZZ")</f>
        <v/>
      </c>
      <c r="BM21" s="6" t="str">
        <f>IF(OR('A créer'!D21="Oui",LEN('A créer'!D21)=0,LEN('A créer'!C21)=0),"","0")</f>
        <v/>
      </c>
      <c r="BN21" s="2" t="str">
        <f>IF(OR('A créer'!D21="Oui",LEN('A créer'!D21)=0,LEN('A créer'!C21)=0),"","TAB")</f>
        <v/>
      </c>
      <c r="BO21" s="6" t="str">
        <f>IF(OR('A créer'!D21="Oui",LEN('A créer'!D21)=0,LEN('A créer'!C21)=0),"","ZZZ")</f>
        <v/>
      </c>
      <c r="BP21" s="6" t="str">
        <f>IF(OR('A créer'!D21="Oui",LEN('A créer'!D21)=0,LEN('A créer'!C21)=0),"","0")</f>
        <v/>
      </c>
      <c r="BQ21" s="2" t="str">
        <f>IF(OR('A créer'!D21="Oui",LEN('A créer'!D21)=0,LEN('A créer'!C21)=0),"","TAB")</f>
        <v/>
      </c>
      <c r="BR21" s="6" t="str">
        <f>IF(OR('A créer'!D21="Oui",LEN('A créer'!D21)=0,LEN('A créer'!C21)=0),"","ZZZZZZZZZZ")</f>
        <v/>
      </c>
      <c r="BS21" s="6" t="str">
        <f>IF(OR('A créer'!D21="Oui",LEN('A créer'!D21)=0,LEN('A créer'!C21)=0),"","0")</f>
        <v/>
      </c>
      <c r="BT21" s="2" t="str">
        <f>IF(OR('A créer'!D21="Oui",LEN('A créer'!D21)=0,LEN('A créer'!C21)=0),"","TAB")</f>
        <v/>
      </c>
      <c r="BU21" s="6" t="str">
        <f>IF(OR('A créer'!D21="Oui",LEN('A créer'!D21)=0,LEN('A créer'!C21)=0),"","ZZZZZZZZZZ")</f>
        <v/>
      </c>
      <c r="BV21" s="6" t="str">
        <f>IF(OR('A créer'!D21="Oui",LEN('A créer'!D21)=0,LEN('A créer'!C21)=0),"","0")</f>
        <v/>
      </c>
      <c r="BW21" s="2" t="str">
        <f>IF(OR('A créer'!D21="Oui",LEN('A créer'!D21)=0,LEN('A créer'!C21)=0),"","TAB")</f>
        <v/>
      </c>
      <c r="BX21" s="6" t="str">
        <f>IF(OR('A créer'!D21="Oui",LEN('A créer'!D21)=0,LEN('A créer'!C21)=0),"","ZZZZZZZZZZ")</f>
        <v/>
      </c>
      <c r="BY21" s="2" t="str">
        <f>IF(OR('A créer'!D21="Oui",LEN('A créer'!D21)=0,LEN('A créer'!C21)=0),"","ENT")</f>
        <v/>
      </c>
      <c r="BZ21" s="2" t="str">
        <f>IF(OR('A créer'!D21="Oui",LEN('A créer'!D21)=0,LEN('A créer'!C21)=0),"","*SAVE")</f>
        <v/>
      </c>
    </row>
    <row r="22" spans="1:78" x14ac:dyDescent="0.35">
      <c r="A22" s="2" t="str">
        <f>IF(LEN('A créer'!C22)=0,"","*FN")</f>
        <v/>
      </c>
      <c r="B22" s="3" t="str">
        <f>IF(LEN('A créer'!C22)=0,"","\E")</f>
        <v/>
      </c>
      <c r="C22" s="2" t="str">
        <f>IF(LEN('A créer'!C22)=0,"","Tab")</f>
        <v/>
      </c>
      <c r="D22" s="6" t="str">
        <f>IF(LEN('A créer'!C22)=0,"",'A créer'!A22)</f>
        <v/>
      </c>
      <c r="E22" s="2" t="str">
        <f>IF(LEN('A créer'!C22)=0,"","Tab")</f>
        <v/>
      </c>
      <c r="F22" s="6" t="str">
        <f>IF(LEN('A créer'!C22)=0,"",0)</f>
        <v/>
      </c>
      <c r="G22" s="2" t="str">
        <f>IF(LEN('A créer'!C22)=0,"","Tab")</f>
        <v/>
      </c>
      <c r="H22" s="6" t="str">
        <f>IF(LEN('A créer'!C22)=0,"","ZZZ")</f>
        <v/>
      </c>
      <c r="I22" s="6" t="str">
        <f>IF(LEN('A créer'!C22)=0,"","0")</f>
        <v/>
      </c>
      <c r="J22" s="2" t="str">
        <f>IF(LEN('A créer'!C22)=0,"","Tab")</f>
        <v/>
      </c>
      <c r="K22" s="6" t="str">
        <f>IF(LEN('A créer'!C22)=0,"","ZZZZZZ")</f>
        <v/>
      </c>
      <c r="L22" s="6" t="str">
        <f>IF(LEN('A créer'!C22)=0,"","0")</f>
        <v/>
      </c>
      <c r="M22" s="2" t="str">
        <f>IF(LEN('A créer'!C22)=0,"","Tab")</f>
        <v/>
      </c>
      <c r="N22" s="6" t="str">
        <f>IF(LEN('A créer'!C22)=0,"","ZZZZZ")</f>
        <v/>
      </c>
      <c r="O22" s="6" t="str">
        <f>IF(LEN('A créer'!C22)=0,"",CONCATENATE('A créer'!B22,'A créer'!A22))</f>
        <v/>
      </c>
      <c r="P22" s="2" t="str">
        <f>IF(LEN('A créer'!C22)=0,"","Tab")</f>
        <v/>
      </c>
      <c r="Q22" s="6" t="str">
        <f>IF(LEN('A créer'!C22)=0,"","0")</f>
        <v/>
      </c>
      <c r="R22" s="2" t="str">
        <f>IF(LEN('A créer'!C22)=0,"","Tab")</f>
        <v/>
      </c>
      <c r="S22" s="6" t="str">
        <f>IF(LEN('A créer'!C22)=0,"","ZZZZZZZZZZ")</f>
        <v/>
      </c>
      <c r="T22" s="6" t="str">
        <f>IF(LEN('A créer'!C22)=0,"","0")</f>
        <v/>
      </c>
      <c r="U22" s="2" t="str">
        <f>IF(LEN('A créer'!C22)=0,"","Tab")</f>
        <v/>
      </c>
      <c r="V22" s="6" t="str">
        <f>IF(LEN('A créer'!C22)=0,"","ZZZZZZZZZZ")</f>
        <v/>
      </c>
      <c r="W22" s="6" t="str">
        <f>IF(LEN('A créer'!C22)=0,"","0")</f>
        <v/>
      </c>
      <c r="X22" s="2" t="str">
        <f>IF(LEN('A créer'!C22)=0,"","Tab")</f>
        <v/>
      </c>
      <c r="Y22" s="6" t="str">
        <f>IF(LEN('A créer'!C22)=0,"","ZZZZZZZZZZZZZZZ")</f>
        <v/>
      </c>
      <c r="Z22" s="6" t="str">
        <f>IF(LEN('A créer'!C22)=0,"","0")</f>
        <v/>
      </c>
      <c r="AA22" s="2" t="str">
        <f>IF(LEN('A créer'!C22)=0,"","Tab")</f>
        <v/>
      </c>
      <c r="AB22" s="6" t="str">
        <f>IF(LEN('A créer'!C22)=0,"","ZZZ")</f>
        <v/>
      </c>
      <c r="AC22" s="6" t="str">
        <f>IF(LEN('A créer'!C22)=0,"","0")</f>
        <v/>
      </c>
      <c r="AD22" s="2" t="str">
        <f>IF(LEN('A créer'!C22)=0,"","Tab")</f>
        <v/>
      </c>
      <c r="AE22" s="6" t="str">
        <f>IF(LEN('A créer'!C22)=0,"","ZZZZZZZZZZ")</f>
        <v/>
      </c>
      <c r="AF22" s="6" t="str">
        <f>IF(LEN('A créer'!C22)=0,"","0")</f>
        <v/>
      </c>
      <c r="AG22" s="2" t="str">
        <f>IF(LEN('A créer'!C22)=0,"","Tab")</f>
        <v/>
      </c>
      <c r="AH22" s="6" t="str">
        <f>IF(LEN('A créer'!C22)=0,"","ZZZZZZZZZZ")</f>
        <v/>
      </c>
      <c r="AI22" s="6" t="str">
        <f>IF(LEN('A créer'!C22)=0,"","0")</f>
        <v/>
      </c>
      <c r="AJ22" s="2" t="str">
        <f>IF(LEN('A créer'!C22)=0,"","Tab")</f>
        <v/>
      </c>
      <c r="AK22" s="6" t="str">
        <f>IF(LEN('A créer'!C22)=0,"","ZZZZZZZZZZ")</f>
        <v/>
      </c>
      <c r="AL22" s="2" t="str">
        <f>IF(LEN('A créer'!C22)=0,"","ENT")</f>
        <v/>
      </c>
      <c r="AM22" s="2" t="str">
        <f>IF(LEN('A créer'!C22)=0,"","*SAVE")</f>
        <v/>
      </c>
      <c r="AN22" s="2" t="str">
        <f>IF(OR('A créer'!D22="Oui",LEN('A créer'!D22)=0,LEN('A créer'!C22)=0),"","*FN")</f>
        <v/>
      </c>
      <c r="AO22" s="3" t="str">
        <f>IF(OR('A créer'!D22="Oui",LEN('A créer'!D22)=0,LEN('A créer'!C22)=0),"","\E")</f>
        <v/>
      </c>
      <c r="AP22" s="2" t="str">
        <f>IF(OR('A créer'!D22="Oui",LEN('A créer'!D22)=0,LEN('A créer'!C22)=0),"","TAB")</f>
        <v/>
      </c>
      <c r="AQ22" s="6" t="str">
        <f>IF(OR('A créer'!D22="Oui",LEN('A créer'!D22)=0,LEN('A créer'!C22)=0),"",'A créer'!A22)</f>
        <v/>
      </c>
      <c r="AR22" s="2" t="str">
        <f>IF(OR('A créer'!D22="Oui",LEN('A créer'!D22)=0,LEN('A créer'!C22)=0),"","TAB")</f>
        <v/>
      </c>
      <c r="AS22" s="6" t="str">
        <f>IF(OR('A créer'!D22="Oui",LEN('A créer'!D22)=0,LEN('A créer'!C22)=0),"","0")</f>
        <v/>
      </c>
      <c r="AT22" s="2" t="str">
        <f>IF(OR('A créer'!D22="Oui",LEN('A créer'!D22)=0,LEN('A créer'!C22)=0),"","TAB")</f>
        <v/>
      </c>
      <c r="AU22" s="6" t="str">
        <f>IF(OR('A créer'!D22="Oui",LEN('A créer'!D22)=0,LEN('A créer'!C22)=0),"","ZZZ")</f>
        <v/>
      </c>
      <c r="AV22" s="6" t="str">
        <f>IF(OR('A créer'!D22="Oui",LEN('A créer'!D22)=0,LEN('A créer'!C22)=0),"","0")</f>
        <v/>
      </c>
      <c r="AW22" s="2" t="str">
        <f>IF(OR('A créer'!D22="Oui",LEN('A créer'!D22)=0,LEN('A créer'!C22)=0),"","TAB")</f>
        <v/>
      </c>
      <c r="AX22" s="6" t="str">
        <f>IF(OR('A créer'!D22="Oui",LEN('A créer'!D22)=0,LEN('A créer'!C22)=0),"","ZZZZZZ")</f>
        <v/>
      </c>
      <c r="AY22" s="6" t="str">
        <f>IF(OR('A créer'!D22="Oui",LEN('A créer'!D22)=0,LEN('A créer'!C22)=0),"","0")</f>
        <v/>
      </c>
      <c r="AZ22" s="2" t="str">
        <f>IF(OR('A créer'!D22="Oui",LEN('A créer'!D22)=0,LEN('A créer'!C22)=0),"","TAB")</f>
        <v/>
      </c>
      <c r="BA22" s="6" t="str">
        <f>IF(OR('A créer'!D22="Oui",LEN('A créer'!D22)=0,LEN('A créer'!C22)=0),"","ZZZZZ")</f>
        <v/>
      </c>
      <c r="BB22" s="6" t="str">
        <f>IF(OR('A créer'!D22="Oui",LEN('A créer'!D22)=0,LEN('A créer'!C22)=0),"",CONCATENATE("XXX",'A créer'!A22))</f>
        <v/>
      </c>
      <c r="BC22" s="2" t="str">
        <f>IF(OR('A créer'!D22="Oui",LEN('A créer'!D22)=0,LEN('A créer'!C22)=0),"","TAB")</f>
        <v/>
      </c>
      <c r="BD22" s="6" t="str">
        <f>IF(OR('A créer'!D22="Oui",LEN('A créer'!D22)=0,LEN('A créer'!C22)=0),"","0")</f>
        <v/>
      </c>
      <c r="BE22" s="2" t="str">
        <f>IF(OR('A créer'!D22="Oui",LEN('A créer'!D22)=0,LEN('A créer'!C22)=0),"","TAB")</f>
        <v/>
      </c>
      <c r="BF22" s="6" t="str">
        <f>IF(OR('A créer'!D22="Oui",LEN('A créer'!D22)=0,LEN('A créer'!C22)=0),"","ZZZZZZZZZZ")</f>
        <v/>
      </c>
      <c r="BG22" s="6" t="str">
        <f>IF(OR('A créer'!D22="Oui",LEN('A créer'!D22)=0,LEN('A créer'!C22)=0),"","0")</f>
        <v/>
      </c>
      <c r="BH22" s="2" t="str">
        <f>IF(OR('A créer'!D22="Oui",LEN('A créer'!D22)=0,LEN('A créer'!C22)=0),"","TAB")</f>
        <v/>
      </c>
      <c r="BI22" s="6" t="str">
        <f>IF(OR('A créer'!D22="Oui",LEN('A créer'!D22)=0,LEN('A créer'!C22)=0),"","ZZZZZZZZZZ")</f>
        <v/>
      </c>
      <c r="BJ22" s="6" t="str">
        <f>IF(OR('A créer'!D22="Oui",LEN('A créer'!D22)=0,LEN('A créer'!C22)=0),"","0")</f>
        <v/>
      </c>
      <c r="BK22" s="2" t="str">
        <f>IF(OR('A créer'!D22="Oui",LEN('A créer'!D22)=0,LEN('A créer'!C22)=0),"","TAB")</f>
        <v/>
      </c>
      <c r="BL22" s="6" t="str">
        <f>IF(OR('A créer'!D22="Oui",LEN('A créer'!D22)=0,LEN('A créer'!C22)=0),"","ZZZZZZZZZZZZZZZ")</f>
        <v/>
      </c>
      <c r="BM22" s="6" t="str">
        <f>IF(OR('A créer'!D22="Oui",LEN('A créer'!D22)=0,LEN('A créer'!C22)=0),"","0")</f>
        <v/>
      </c>
      <c r="BN22" s="2" t="str">
        <f>IF(OR('A créer'!D22="Oui",LEN('A créer'!D22)=0,LEN('A créer'!C22)=0),"","TAB")</f>
        <v/>
      </c>
      <c r="BO22" s="6" t="str">
        <f>IF(OR('A créer'!D22="Oui",LEN('A créer'!D22)=0,LEN('A créer'!C22)=0),"","ZZZ")</f>
        <v/>
      </c>
      <c r="BP22" s="6" t="str">
        <f>IF(OR('A créer'!D22="Oui",LEN('A créer'!D22)=0,LEN('A créer'!C22)=0),"","0")</f>
        <v/>
      </c>
      <c r="BQ22" s="2" t="str">
        <f>IF(OR('A créer'!D22="Oui",LEN('A créer'!D22)=0,LEN('A créer'!C22)=0),"","TAB")</f>
        <v/>
      </c>
      <c r="BR22" s="6" t="str">
        <f>IF(OR('A créer'!D22="Oui",LEN('A créer'!D22)=0,LEN('A créer'!C22)=0),"","ZZZZZZZZZZ")</f>
        <v/>
      </c>
      <c r="BS22" s="6" t="str">
        <f>IF(OR('A créer'!D22="Oui",LEN('A créer'!D22)=0,LEN('A créer'!C22)=0),"","0")</f>
        <v/>
      </c>
      <c r="BT22" s="2" t="str">
        <f>IF(OR('A créer'!D22="Oui",LEN('A créer'!D22)=0,LEN('A créer'!C22)=0),"","TAB")</f>
        <v/>
      </c>
      <c r="BU22" s="6" t="str">
        <f>IF(OR('A créer'!D22="Oui",LEN('A créer'!D22)=0,LEN('A créer'!C22)=0),"","ZZZZZZZZZZ")</f>
        <v/>
      </c>
      <c r="BV22" s="6" t="str">
        <f>IF(OR('A créer'!D22="Oui",LEN('A créer'!D22)=0,LEN('A créer'!C22)=0),"","0")</f>
        <v/>
      </c>
      <c r="BW22" s="2" t="str">
        <f>IF(OR('A créer'!D22="Oui",LEN('A créer'!D22)=0,LEN('A créer'!C22)=0),"","TAB")</f>
        <v/>
      </c>
      <c r="BX22" s="6" t="str">
        <f>IF(OR('A créer'!D22="Oui",LEN('A créer'!D22)=0,LEN('A créer'!C22)=0),"","ZZZZZZZZZZ")</f>
        <v/>
      </c>
      <c r="BY22" s="2" t="str">
        <f>IF(OR('A créer'!D22="Oui",LEN('A créer'!D22)=0,LEN('A créer'!C22)=0),"","ENT")</f>
        <v/>
      </c>
      <c r="BZ22" s="2" t="str">
        <f>IF(OR('A créer'!D22="Oui",LEN('A créer'!D22)=0,LEN('A créer'!C22)=0),"","*SAVE")</f>
        <v/>
      </c>
    </row>
    <row r="23" spans="1:78" x14ac:dyDescent="0.35">
      <c r="A23" s="2" t="str">
        <f>IF(LEN('A créer'!C23)=0,"","*FN")</f>
        <v/>
      </c>
      <c r="B23" s="3" t="str">
        <f>IF(LEN('A créer'!C23)=0,"","\E")</f>
        <v/>
      </c>
      <c r="C23" s="2" t="str">
        <f>IF(LEN('A créer'!C23)=0,"","Tab")</f>
        <v/>
      </c>
      <c r="D23" s="6" t="str">
        <f>IF(LEN('A créer'!C23)=0,"",'A créer'!A23)</f>
        <v/>
      </c>
      <c r="E23" s="2" t="str">
        <f>IF(LEN('A créer'!C23)=0,"","Tab")</f>
        <v/>
      </c>
      <c r="F23" s="6" t="str">
        <f>IF(LEN('A créer'!C23)=0,"",0)</f>
        <v/>
      </c>
      <c r="G23" s="2" t="str">
        <f>IF(LEN('A créer'!C23)=0,"","Tab")</f>
        <v/>
      </c>
      <c r="H23" s="6" t="str">
        <f>IF(LEN('A créer'!C23)=0,"","ZZZ")</f>
        <v/>
      </c>
      <c r="I23" s="6" t="str">
        <f>IF(LEN('A créer'!C23)=0,"","0")</f>
        <v/>
      </c>
      <c r="J23" s="2" t="str">
        <f>IF(LEN('A créer'!C23)=0,"","Tab")</f>
        <v/>
      </c>
      <c r="K23" s="6" t="str">
        <f>IF(LEN('A créer'!C23)=0,"","ZZZZZZ")</f>
        <v/>
      </c>
      <c r="L23" s="6" t="str">
        <f>IF(LEN('A créer'!C23)=0,"","0")</f>
        <v/>
      </c>
      <c r="M23" s="2" t="str">
        <f>IF(LEN('A créer'!C23)=0,"","Tab")</f>
        <v/>
      </c>
      <c r="N23" s="6" t="str">
        <f>IF(LEN('A créer'!C23)=0,"","ZZZZZ")</f>
        <v/>
      </c>
      <c r="O23" s="6" t="str">
        <f>IF(LEN('A créer'!C23)=0,"",CONCATENATE('A créer'!B23,'A créer'!A23))</f>
        <v/>
      </c>
      <c r="P23" s="2" t="str">
        <f>IF(LEN('A créer'!C23)=0,"","Tab")</f>
        <v/>
      </c>
      <c r="Q23" s="6" t="str">
        <f>IF(LEN('A créer'!C23)=0,"","0")</f>
        <v/>
      </c>
      <c r="R23" s="2" t="str">
        <f>IF(LEN('A créer'!C23)=0,"","Tab")</f>
        <v/>
      </c>
      <c r="S23" s="6" t="str">
        <f>IF(LEN('A créer'!C23)=0,"","ZZZZZZZZZZ")</f>
        <v/>
      </c>
      <c r="T23" s="6" t="str">
        <f>IF(LEN('A créer'!C23)=0,"","0")</f>
        <v/>
      </c>
      <c r="U23" s="2" t="str">
        <f>IF(LEN('A créer'!C23)=0,"","Tab")</f>
        <v/>
      </c>
      <c r="V23" s="6" t="str">
        <f>IF(LEN('A créer'!C23)=0,"","ZZZZZZZZZZ")</f>
        <v/>
      </c>
      <c r="W23" s="6" t="str">
        <f>IF(LEN('A créer'!C23)=0,"","0")</f>
        <v/>
      </c>
      <c r="X23" s="2" t="str">
        <f>IF(LEN('A créer'!C23)=0,"","Tab")</f>
        <v/>
      </c>
      <c r="Y23" s="6" t="str">
        <f>IF(LEN('A créer'!C23)=0,"","ZZZZZZZZZZZZZZZ")</f>
        <v/>
      </c>
      <c r="Z23" s="6" t="str">
        <f>IF(LEN('A créer'!C23)=0,"","0")</f>
        <v/>
      </c>
      <c r="AA23" s="2" t="str">
        <f>IF(LEN('A créer'!C23)=0,"","Tab")</f>
        <v/>
      </c>
      <c r="AB23" s="6" t="str">
        <f>IF(LEN('A créer'!C23)=0,"","ZZZ")</f>
        <v/>
      </c>
      <c r="AC23" s="6" t="str">
        <f>IF(LEN('A créer'!C23)=0,"","0")</f>
        <v/>
      </c>
      <c r="AD23" s="2" t="str">
        <f>IF(LEN('A créer'!C23)=0,"","Tab")</f>
        <v/>
      </c>
      <c r="AE23" s="6" t="str">
        <f>IF(LEN('A créer'!C23)=0,"","ZZZZZZZZZZ")</f>
        <v/>
      </c>
      <c r="AF23" s="6" t="str">
        <f>IF(LEN('A créer'!C23)=0,"","0")</f>
        <v/>
      </c>
      <c r="AG23" s="2" t="str">
        <f>IF(LEN('A créer'!C23)=0,"","Tab")</f>
        <v/>
      </c>
      <c r="AH23" s="6" t="str">
        <f>IF(LEN('A créer'!C23)=0,"","ZZZZZZZZZZ")</f>
        <v/>
      </c>
      <c r="AI23" s="6" t="str">
        <f>IF(LEN('A créer'!C23)=0,"","0")</f>
        <v/>
      </c>
      <c r="AJ23" s="2" t="str">
        <f>IF(LEN('A créer'!C23)=0,"","Tab")</f>
        <v/>
      </c>
      <c r="AK23" s="6" t="str">
        <f>IF(LEN('A créer'!C23)=0,"","ZZZZZZZZZZ")</f>
        <v/>
      </c>
      <c r="AL23" s="2" t="str">
        <f>IF(LEN('A créer'!C23)=0,"","ENT")</f>
        <v/>
      </c>
      <c r="AM23" s="2" t="str">
        <f>IF(LEN('A créer'!C23)=0,"","*SAVE")</f>
        <v/>
      </c>
      <c r="AN23" s="2" t="str">
        <f>IF(OR('A créer'!D23="Oui",LEN('A créer'!D23)=0,LEN('A créer'!C23)=0),"","*FN")</f>
        <v/>
      </c>
      <c r="AO23" s="3" t="str">
        <f>IF(OR('A créer'!D23="Oui",LEN('A créer'!D23)=0,LEN('A créer'!C23)=0),"","\E")</f>
        <v/>
      </c>
      <c r="AP23" s="2" t="str">
        <f>IF(OR('A créer'!D23="Oui",LEN('A créer'!D23)=0,LEN('A créer'!C23)=0),"","TAB")</f>
        <v/>
      </c>
      <c r="AQ23" s="6" t="str">
        <f>IF(OR('A créer'!D23="Oui",LEN('A créer'!D23)=0,LEN('A créer'!C23)=0),"",'A créer'!A23)</f>
        <v/>
      </c>
      <c r="AR23" s="2" t="str">
        <f>IF(OR('A créer'!D23="Oui",LEN('A créer'!D23)=0,LEN('A créer'!C23)=0),"","TAB")</f>
        <v/>
      </c>
      <c r="AS23" s="6" t="str">
        <f>IF(OR('A créer'!D23="Oui",LEN('A créer'!D23)=0,LEN('A créer'!C23)=0),"","0")</f>
        <v/>
      </c>
      <c r="AT23" s="2" t="str">
        <f>IF(OR('A créer'!D23="Oui",LEN('A créer'!D23)=0,LEN('A créer'!C23)=0),"","TAB")</f>
        <v/>
      </c>
      <c r="AU23" s="6" t="str">
        <f>IF(OR('A créer'!D23="Oui",LEN('A créer'!D23)=0,LEN('A créer'!C23)=0),"","ZZZ")</f>
        <v/>
      </c>
      <c r="AV23" s="6" t="str">
        <f>IF(OR('A créer'!D23="Oui",LEN('A créer'!D23)=0,LEN('A créer'!C23)=0),"","0")</f>
        <v/>
      </c>
      <c r="AW23" s="2" t="str">
        <f>IF(OR('A créer'!D23="Oui",LEN('A créer'!D23)=0,LEN('A créer'!C23)=0),"","TAB")</f>
        <v/>
      </c>
      <c r="AX23" s="6" t="str">
        <f>IF(OR('A créer'!D23="Oui",LEN('A créer'!D23)=0,LEN('A créer'!C23)=0),"","ZZZZZZ")</f>
        <v/>
      </c>
      <c r="AY23" s="6" t="str">
        <f>IF(OR('A créer'!D23="Oui",LEN('A créer'!D23)=0,LEN('A créer'!C23)=0),"","0")</f>
        <v/>
      </c>
      <c r="AZ23" s="2" t="str">
        <f>IF(OR('A créer'!D23="Oui",LEN('A créer'!D23)=0,LEN('A créer'!C23)=0),"","TAB")</f>
        <v/>
      </c>
      <c r="BA23" s="6" t="str">
        <f>IF(OR('A créer'!D23="Oui",LEN('A créer'!D23)=0,LEN('A créer'!C23)=0),"","ZZZZZ")</f>
        <v/>
      </c>
      <c r="BB23" s="6" t="str">
        <f>IF(OR('A créer'!D23="Oui",LEN('A créer'!D23)=0,LEN('A créer'!C23)=0),"",CONCATENATE("XXX",'A créer'!A23))</f>
        <v/>
      </c>
      <c r="BC23" s="2" t="str">
        <f>IF(OR('A créer'!D23="Oui",LEN('A créer'!D23)=0,LEN('A créer'!C23)=0),"","TAB")</f>
        <v/>
      </c>
      <c r="BD23" s="6" t="str">
        <f>IF(OR('A créer'!D23="Oui",LEN('A créer'!D23)=0,LEN('A créer'!C23)=0),"","0")</f>
        <v/>
      </c>
      <c r="BE23" s="2" t="str">
        <f>IF(OR('A créer'!D23="Oui",LEN('A créer'!D23)=0,LEN('A créer'!C23)=0),"","TAB")</f>
        <v/>
      </c>
      <c r="BF23" s="6" t="str">
        <f>IF(OR('A créer'!D23="Oui",LEN('A créer'!D23)=0,LEN('A créer'!C23)=0),"","ZZZZZZZZZZ")</f>
        <v/>
      </c>
      <c r="BG23" s="6" t="str">
        <f>IF(OR('A créer'!D23="Oui",LEN('A créer'!D23)=0,LEN('A créer'!C23)=0),"","0")</f>
        <v/>
      </c>
      <c r="BH23" s="2" t="str">
        <f>IF(OR('A créer'!D23="Oui",LEN('A créer'!D23)=0,LEN('A créer'!C23)=0),"","TAB")</f>
        <v/>
      </c>
      <c r="BI23" s="6" t="str">
        <f>IF(OR('A créer'!D23="Oui",LEN('A créer'!D23)=0,LEN('A créer'!C23)=0),"","ZZZZZZZZZZ")</f>
        <v/>
      </c>
      <c r="BJ23" s="6" t="str">
        <f>IF(OR('A créer'!D23="Oui",LEN('A créer'!D23)=0,LEN('A créer'!C23)=0),"","0")</f>
        <v/>
      </c>
      <c r="BK23" s="2" t="str">
        <f>IF(OR('A créer'!D23="Oui",LEN('A créer'!D23)=0,LEN('A créer'!C23)=0),"","TAB")</f>
        <v/>
      </c>
      <c r="BL23" s="6" t="str">
        <f>IF(OR('A créer'!D23="Oui",LEN('A créer'!D23)=0,LEN('A créer'!C23)=0),"","ZZZZZZZZZZZZZZZ")</f>
        <v/>
      </c>
      <c r="BM23" s="6" t="str">
        <f>IF(OR('A créer'!D23="Oui",LEN('A créer'!D23)=0,LEN('A créer'!C23)=0),"","0")</f>
        <v/>
      </c>
      <c r="BN23" s="2" t="str">
        <f>IF(OR('A créer'!D23="Oui",LEN('A créer'!D23)=0,LEN('A créer'!C23)=0),"","TAB")</f>
        <v/>
      </c>
      <c r="BO23" s="6" t="str">
        <f>IF(OR('A créer'!D23="Oui",LEN('A créer'!D23)=0,LEN('A créer'!C23)=0),"","ZZZ")</f>
        <v/>
      </c>
      <c r="BP23" s="6" t="str">
        <f>IF(OR('A créer'!D23="Oui",LEN('A créer'!D23)=0,LEN('A créer'!C23)=0),"","0")</f>
        <v/>
      </c>
      <c r="BQ23" s="2" t="str">
        <f>IF(OR('A créer'!D23="Oui",LEN('A créer'!D23)=0,LEN('A créer'!C23)=0),"","TAB")</f>
        <v/>
      </c>
      <c r="BR23" s="6" t="str">
        <f>IF(OR('A créer'!D23="Oui",LEN('A créer'!D23)=0,LEN('A créer'!C23)=0),"","ZZZZZZZZZZ")</f>
        <v/>
      </c>
      <c r="BS23" s="6" t="str">
        <f>IF(OR('A créer'!D23="Oui",LEN('A créer'!D23)=0,LEN('A créer'!C23)=0),"","0")</f>
        <v/>
      </c>
      <c r="BT23" s="2" t="str">
        <f>IF(OR('A créer'!D23="Oui",LEN('A créer'!D23)=0,LEN('A créer'!C23)=0),"","TAB")</f>
        <v/>
      </c>
      <c r="BU23" s="6" t="str">
        <f>IF(OR('A créer'!D23="Oui",LEN('A créer'!D23)=0,LEN('A créer'!C23)=0),"","ZZZZZZZZZZ")</f>
        <v/>
      </c>
      <c r="BV23" s="6" t="str">
        <f>IF(OR('A créer'!D23="Oui",LEN('A créer'!D23)=0,LEN('A créer'!C23)=0),"","0")</f>
        <v/>
      </c>
      <c r="BW23" s="2" t="str">
        <f>IF(OR('A créer'!D23="Oui",LEN('A créer'!D23)=0,LEN('A créer'!C23)=0),"","TAB")</f>
        <v/>
      </c>
      <c r="BX23" s="6" t="str">
        <f>IF(OR('A créer'!D23="Oui",LEN('A créer'!D23)=0,LEN('A créer'!C23)=0),"","ZZZZZZZZZZ")</f>
        <v/>
      </c>
      <c r="BY23" s="2" t="str">
        <f>IF(OR('A créer'!D23="Oui",LEN('A créer'!D23)=0,LEN('A créer'!C23)=0),"","ENT")</f>
        <v/>
      </c>
      <c r="BZ23" s="2" t="str">
        <f>IF(OR('A créer'!D23="Oui",LEN('A créer'!D23)=0,LEN('A créer'!C23)=0),"","*SAVE")</f>
        <v/>
      </c>
    </row>
    <row r="24" spans="1:78" x14ac:dyDescent="0.35">
      <c r="A24" s="2" t="str">
        <f>IF(LEN('A créer'!C24)=0,"","*FN")</f>
        <v/>
      </c>
      <c r="B24" s="3" t="str">
        <f>IF(LEN('A créer'!C24)=0,"","\E")</f>
        <v/>
      </c>
      <c r="C24" s="2" t="str">
        <f>IF(LEN('A créer'!C24)=0,"","Tab")</f>
        <v/>
      </c>
      <c r="D24" s="6" t="str">
        <f>IF(LEN('A créer'!C24)=0,"",'A créer'!A24)</f>
        <v/>
      </c>
      <c r="E24" s="2" t="str">
        <f>IF(LEN('A créer'!C24)=0,"","Tab")</f>
        <v/>
      </c>
      <c r="F24" s="6" t="str">
        <f>IF(LEN('A créer'!C24)=0,"",0)</f>
        <v/>
      </c>
      <c r="G24" s="2" t="str">
        <f>IF(LEN('A créer'!C24)=0,"","Tab")</f>
        <v/>
      </c>
      <c r="H24" s="6" t="str">
        <f>IF(LEN('A créer'!C24)=0,"","ZZZ")</f>
        <v/>
      </c>
      <c r="I24" s="6" t="str">
        <f>IF(LEN('A créer'!C24)=0,"","0")</f>
        <v/>
      </c>
      <c r="J24" s="2" t="str">
        <f>IF(LEN('A créer'!C24)=0,"","Tab")</f>
        <v/>
      </c>
      <c r="K24" s="6" t="str">
        <f>IF(LEN('A créer'!C24)=0,"","ZZZZZZ")</f>
        <v/>
      </c>
      <c r="L24" s="6" t="str">
        <f>IF(LEN('A créer'!C24)=0,"","0")</f>
        <v/>
      </c>
      <c r="M24" s="2" t="str">
        <f>IF(LEN('A créer'!C24)=0,"","Tab")</f>
        <v/>
      </c>
      <c r="N24" s="6" t="str">
        <f>IF(LEN('A créer'!C24)=0,"","ZZZZZ")</f>
        <v/>
      </c>
      <c r="O24" s="6" t="str">
        <f>IF(LEN('A créer'!C24)=0,"",CONCATENATE('A créer'!B24,'A créer'!A24))</f>
        <v/>
      </c>
      <c r="P24" s="2" t="str">
        <f>IF(LEN('A créer'!C24)=0,"","Tab")</f>
        <v/>
      </c>
      <c r="Q24" s="6" t="str">
        <f>IF(LEN('A créer'!C24)=0,"","0")</f>
        <v/>
      </c>
      <c r="R24" s="2" t="str">
        <f>IF(LEN('A créer'!C24)=0,"","Tab")</f>
        <v/>
      </c>
      <c r="S24" s="6" t="str">
        <f>IF(LEN('A créer'!C24)=0,"","ZZZZZZZZZZ")</f>
        <v/>
      </c>
      <c r="T24" s="6" t="str">
        <f>IF(LEN('A créer'!C24)=0,"","0")</f>
        <v/>
      </c>
      <c r="U24" s="2" t="str">
        <f>IF(LEN('A créer'!C24)=0,"","Tab")</f>
        <v/>
      </c>
      <c r="V24" s="6" t="str">
        <f>IF(LEN('A créer'!C24)=0,"","ZZZZZZZZZZ")</f>
        <v/>
      </c>
      <c r="W24" s="6" t="str">
        <f>IF(LEN('A créer'!C24)=0,"","0")</f>
        <v/>
      </c>
      <c r="X24" s="2" t="str">
        <f>IF(LEN('A créer'!C24)=0,"","Tab")</f>
        <v/>
      </c>
      <c r="Y24" s="6" t="str">
        <f>IF(LEN('A créer'!C24)=0,"","ZZZZZZZZZZZZZZZ")</f>
        <v/>
      </c>
      <c r="Z24" s="6" t="str">
        <f>IF(LEN('A créer'!C24)=0,"","0")</f>
        <v/>
      </c>
      <c r="AA24" s="2" t="str">
        <f>IF(LEN('A créer'!C24)=0,"","Tab")</f>
        <v/>
      </c>
      <c r="AB24" s="6" t="str">
        <f>IF(LEN('A créer'!C24)=0,"","ZZZ")</f>
        <v/>
      </c>
      <c r="AC24" s="6" t="str">
        <f>IF(LEN('A créer'!C24)=0,"","0")</f>
        <v/>
      </c>
      <c r="AD24" s="2" t="str">
        <f>IF(LEN('A créer'!C24)=0,"","Tab")</f>
        <v/>
      </c>
      <c r="AE24" s="6" t="str">
        <f>IF(LEN('A créer'!C24)=0,"","ZZZZZZZZZZ")</f>
        <v/>
      </c>
      <c r="AF24" s="6" t="str">
        <f>IF(LEN('A créer'!C24)=0,"","0")</f>
        <v/>
      </c>
      <c r="AG24" s="2" t="str">
        <f>IF(LEN('A créer'!C24)=0,"","Tab")</f>
        <v/>
      </c>
      <c r="AH24" s="6" t="str">
        <f>IF(LEN('A créer'!C24)=0,"","ZZZZZZZZZZ")</f>
        <v/>
      </c>
      <c r="AI24" s="6" t="str">
        <f>IF(LEN('A créer'!C24)=0,"","0")</f>
        <v/>
      </c>
      <c r="AJ24" s="2" t="str">
        <f>IF(LEN('A créer'!C24)=0,"","Tab")</f>
        <v/>
      </c>
      <c r="AK24" s="6" t="str">
        <f>IF(LEN('A créer'!C24)=0,"","ZZZZZZZZZZ")</f>
        <v/>
      </c>
      <c r="AL24" s="2" t="str">
        <f>IF(LEN('A créer'!C24)=0,"","ENT")</f>
        <v/>
      </c>
      <c r="AM24" s="2" t="str">
        <f>IF(LEN('A créer'!C24)=0,"","*SAVE")</f>
        <v/>
      </c>
      <c r="AN24" s="2" t="str">
        <f>IF(OR('A créer'!D24="Oui",LEN('A créer'!D24)=0,LEN('A créer'!C24)=0),"","*FN")</f>
        <v/>
      </c>
      <c r="AO24" s="3" t="str">
        <f>IF(OR('A créer'!D24="Oui",LEN('A créer'!D24)=0,LEN('A créer'!C24)=0),"","\E")</f>
        <v/>
      </c>
      <c r="AP24" s="2" t="str">
        <f>IF(OR('A créer'!D24="Oui",LEN('A créer'!D24)=0,LEN('A créer'!C24)=0),"","TAB")</f>
        <v/>
      </c>
      <c r="AQ24" s="6" t="str">
        <f>IF(OR('A créer'!D24="Oui",LEN('A créer'!D24)=0,LEN('A créer'!C24)=0),"",'A créer'!A24)</f>
        <v/>
      </c>
      <c r="AR24" s="2" t="str">
        <f>IF(OR('A créer'!D24="Oui",LEN('A créer'!D24)=0,LEN('A créer'!C24)=0),"","TAB")</f>
        <v/>
      </c>
      <c r="AS24" s="6" t="str">
        <f>IF(OR('A créer'!D24="Oui",LEN('A créer'!D24)=0,LEN('A créer'!C24)=0),"","0")</f>
        <v/>
      </c>
      <c r="AT24" s="2" t="str">
        <f>IF(OR('A créer'!D24="Oui",LEN('A créer'!D24)=0,LEN('A créer'!C24)=0),"","TAB")</f>
        <v/>
      </c>
      <c r="AU24" s="6" t="str">
        <f>IF(OR('A créer'!D24="Oui",LEN('A créer'!D24)=0,LEN('A créer'!C24)=0),"","ZZZ")</f>
        <v/>
      </c>
      <c r="AV24" s="6" t="str">
        <f>IF(OR('A créer'!D24="Oui",LEN('A créer'!D24)=0,LEN('A créer'!C24)=0),"","0")</f>
        <v/>
      </c>
      <c r="AW24" s="2" t="str">
        <f>IF(OR('A créer'!D24="Oui",LEN('A créer'!D24)=0,LEN('A créer'!C24)=0),"","TAB")</f>
        <v/>
      </c>
      <c r="AX24" s="6" t="str">
        <f>IF(OR('A créer'!D24="Oui",LEN('A créer'!D24)=0,LEN('A créer'!C24)=0),"","ZZZZZZ")</f>
        <v/>
      </c>
      <c r="AY24" s="6" t="str">
        <f>IF(OR('A créer'!D24="Oui",LEN('A créer'!D24)=0,LEN('A créer'!C24)=0),"","0")</f>
        <v/>
      </c>
      <c r="AZ24" s="2" t="str">
        <f>IF(OR('A créer'!D24="Oui",LEN('A créer'!D24)=0,LEN('A créer'!C24)=0),"","TAB")</f>
        <v/>
      </c>
      <c r="BA24" s="6" t="str">
        <f>IF(OR('A créer'!D24="Oui",LEN('A créer'!D24)=0,LEN('A créer'!C24)=0),"","ZZZZZ")</f>
        <v/>
      </c>
      <c r="BB24" s="6" t="str">
        <f>IF(OR('A créer'!D24="Oui",LEN('A créer'!D24)=0,LEN('A créer'!C24)=0),"",CONCATENATE("XXX",'A créer'!A24))</f>
        <v/>
      </c>
      <c r="BC24" s="2" t="str">
        <f>IF(OR('A créer'!D24="Oui",LEN('A créer'!D24)=0,LEN('A créer'!C24)=0),"","TAB")</f>
        <v/>
      </c>
      <c r="BD24" s="6" t="str">
        <f>IF(OR('A créer'!D24="Oui",LEN('A créer'!D24)=0,LEN('A créer'!C24)=0),"","0")</f>
        <v/>
      </c>
      <c r="BE24" s="2" t="str">
        <f>IF(OR('A créer'!D24="Oui",LEN('A créer'!D24)=0,LEN('A créer'!C24)=0),"","TAB")</f>
        <v/>
      </c>
      <c r="BF24" s="6" t="str">
        <f>IF(OR('A créer'!D24="Oui",LEN('A créer'!D24)=0,LEN('A créer'!C24)=0),"","ZZZZZZZZZZ")</f>
        <v/>
      </c>
      <c r="BG24" s="6" t="str">
        <f>IF(OR('A créer'!D24="Oui",LEN('A créer'!D24)=0,LEN('A créer'!C24)=0),"","0")</f>
        <v/>
      </c>
      <c r="BH24" s="2" t="str">
        <f>IF(OR('A créer'!D24="Oui",LEN('A créer'!D24)=0,LEN('A créer'!C24)=0),"","TAB")</f>
        <v/>
      </c>
      <c r="BI24" s="6" t="str">
        <f>IF(OR('A créer'!D24="Oui",LEN('A créer'!D24)=0,LEN('A créer'!C24)=0),"","ZZZZZZZZZZ")</f>
        <v/>
      </c>
      <c r="BJ24" s="6" t="str">
        <f>IF(OR('A créer'!D24="Oui",LEN('A créer'!D24)=0,LEN('A créer'!C24)=0),"","0")</f>
        <v/>
      </c>
      <c r="BK24" s="2" t="str">
        <f>IF(OR('A créer'!D24="Oui",LEN('A créer'!D24)=0,LEN('A créer'!C24)=0),"","TAB")</f>
        <v/>
      </c>
      <c r="BL24" s="6" t="str">
        <f>IF(OR('A créer'!D24="Oui",LEN('A créer'!D24)=0,LEN('A créer'!C24)=0),"","ZZZZZZZZZZZZZZZ")</f>
        <v/>
      </c>
      <c r="BM24" s="6" t="str">
        <f>IF(OR('A créer'!D24="Oui",LEN('A créer'!D24)=0,LEN('A créer'!C24)=0),"","0")</f>
        <v/>
      </c>
      <c r="BN24" s="2" t="str">
        <f>IF(OR('A créer'!D24="Oui",LEN('A créer'!D24)=0,LEN('A créer'!C24)=0),"","TAB")</f>
        <v/>
      </c>
      <c r="BO24" s="6" t="str">
        <f>IF(OR('A créer'!D24="Oui",LEN('A créer'!D24)=0,LEN('A créer'!C24)=0),"","ZZZ")</f>
        <v/>
      </c>
      <c r="BP24" s="6" t="str">
        <f>IF(OR('A créer'!D24="Oui",LEN('A créer'!D24)=0,LEN('A créer'!C24)=0),"","0")</f>
        <v/>
      </c>
      <c r="BQ24" s="2" t="str">
        <f>IF(OR('A créer'!D24="Oui",LEN('A créer'!D24)=0,LEN('A créer'!C24)=0),"","TAB")</f>
        <v/>
      </c>
      <c r="BR24" s="6" t="str">
        <f>IF(OR('A créer'!D24="Oui",LEN('A créer'!D24)=0,LEN('A créer'!C24)=0),"","ZZZZZZZZZZ")</f>
        <v/>
      </c>
      <c r="BS24" s="6" t="str">
        <f>IF(OR('A créer'!D24="Oui",LEN('A créer'!D24)=0,LEN('A créer'!C24)=0),"","0")</f>
        <v/>
      </c>
      <c r="BT24" s="2" t="str">
        <f>IF(OR('A créer'!D24="Oui",LEN('A créer'!D24)=0,LEN('A créer'!C24)=0),"","TAB")</f>
        <v/>
      </c>
      <c r="BU24" s="6" t="str">
        <f>IF(OR('A créer'!D24="Oui",LEN('A créer'!D24)=0,LEN('A créer'!C24)=0),"","ZZZZZZZZZZ")</f>
        <v/>
      </c>
      <c r="BV24" s="6" t="str">
        <f>IF(OR('A créer'!D24="Oui",LEN('A créer'!D24)=0,LEN('A créer'!C24)=0),"","0")</f>
        <v/>
      </c>
      <c r="BW24" s="2" t="str">
        <f>IF(OR('A créer'!D24="Oui",LEN('A créer'!D24)=0,LEN('A créer'!C24)=0),"","TAB")</f>
        <v/>
      </c>
      <c r="BX24" s="6" t="str">
        <f>IF(OR('A créer'!D24="Oui",LEN('A créer'!D24)=0,LEN('A créer'!C24)=0),"","ZZZZZZZZZZ")</f>
        <v/>
      </c>
      <c r="BY24" s="2" t="str">
        <f>IF(OR('A créer'!D24="Oui",LEN('A créer'!D24)=0,LEN('A créer'!C24)=0),"","ENT")</f>
        <v/>
      </c>
      <c r="BZ24" s="2" t="str">
        <f>IF(OR('A créer'!D24="Oui",LEN('A créer'!D24)=0,LEN('A créer'!C24)=0),"","*SAVE")</f>
        <v/>
      </c>
    </row>
    <row r="25" spans="1:78" x14ac:dyDescent="0.35">
      <c r="A25" s="2" t="str">
        <f>IF(LEN('A créer'!C25)=0,"","*FN")</f>
        <v/>
      </c>
      <c r="B25" s="3" t="str">
        <f>IF(LEN('A créer'!C25)=0,"","\E")</f>
        <v/>
      </c>
      <c r="C25" s="2" t="str">
        <f>IF(LEN('A créer'!C25)=0,"","Tab")</f>
        <v/>
      </c>
      <c r="D25" s="6" t="str">
        <f>IF(LEN('A créer'!C25)=0,"",'A créer'!A25)</f>
        <v/>
      </c>
      <c r="E25" s="2" t="str">
        <f>IF(LEN('A créer'!C25)=0,"","Tab")</f>
        <v/>
      </c>
      <c r="F25" s="6" t="str">
        <f>IF(LEN('A créer'!C25)=0,"",0)</f>
        <v/>
      </c>
      <c r="G25" s="2" t="str">
        <f>IF(LEN('A créer'!C25)=0,"","Tab")</f>
        <v/>
      </c>
      <c r="H25" s="6" t="str">
        <f>IF(LEN('A créer'!C25)=0,"","ZZZ")</f>
        <v/>
      </c>
      <c r="I25" s="6" t="str">
        <f>IF(LEN('A créer'!C25)=0,"","0")</f>
        <v/>
      </c>
      <c r="J25" s="2" t="str">
        <f>IF(LEN('A créer'!C25)=0,"","Tab")</f>
        <v/>
      </c>
      <c r="K25" s="6" t="str">
        <f>IF(LEN('A créer'!C25)=0,"","ZZZZZZ")</f>
        <v/>
      </c>
      <c r="L25" s="6" t="str">
        <f>IF(LEN('A créer'!C25)=0,"","0")</f>
        <v/>
      </c>
      <c r="M25" s="2" t="str">
        <f>IF(LEN('A créer'!C25)=0,"","Tab")</f>
        <v/>
      </c>
      <c r="N25" s="6" t="str">
        <f>IF(LEN('A créer'!C25)=0,"","ZZZZZ")</f>
        <v/>
      </c>
      <c r="O25" s="6" t="str">
        <f>IF(LEN('A créer'!C25)=0,"",CONCATENATE('A créer'!B25,'A créer'!A25))</f>
        <v/>
      </c>
      <c r="P25" s="2" t="str">
        <f>IF(LEN('A créer'!C25)=0,"","Tab")</f>
        <v/>
      </c>
      <c r="Q25" s="6" t="str">
        <f>IF(LEN('A créer'!C25)=0,"","0")</f>
        <v/>
      </c>
      <c r="R25" s="2" t="str">
        <f>IF(LEN('A créer'!C25)=0,"","Tab")</f>
        <v/>
      </c>
      <c r="S25" s="6" t="str">
        <f>IF(LEN('A créer'!C25)=0,"","ZZZZZZZZZZ")</f>
        <v/>
      </c>
      <c r="T25" s="6" t="str">
        <f>IF(LEN('A créer'!C25)=0,"","0")</f>
        <v/>
      </c>
      <c r="U25" s="2" t="str">
        <f>IF(LEN('A créer'!C25)=0,"","Tab")</f>
        <v/>
      </c>
      <c r="V25" s="6" t="str">
        <f>IF(LEN('A créer'!C25)=0,"","ZZZZZZZZZZ")</f>
        <v/>
      </c>
      <c r="W25" s="6" t="str">
        <f>IF(LEN('A créer'!C25)=0,"","0")</f>
        <v/>
      </c>
      <c r="X25" s="2" t="str">
        <f>IF(LEN('A créer'!C25)=0,"","Tab")</f>
        <v/>
      </c>
      <c r="Y25" s="6" t="str">
        <f>IF(LEN('A créer'!C25)=0,"","ZZZZZZZZZZZZZZZ")</f>
        <v/>
      </c>
      <c r="Z25" s="6" t="str">
        <f>IF(LEN('A créer'!C25)=0,"","0")</f>
        <v/>
      </c>
      <c r="AA25" s="2" t="str">
        <f>IF(LEN('A créer'!C25)=0,"","Tab")</f>
        <v/>
      </c>
      <c r="AB25" s="6" t="str">
        <f>IF(LEN('A créer'!C25)=0,"","ZZZ")</f>
        <v/>
      </c>
      <c r="AC25" s="6" t="str">
        <f>IF(LEN('A créer'!C25)=0,"","0")</f>
        <v/>
      </c>
      <c r="AD25" s="2" t="str">
        <f>IF(LEN('A créer'!C25)=0,"","Tab")</f>
        <v/>
      </c>
      <c r="AE25" s="6" t="str">
        <f>IF(LEN('A créer'!C25)=0,"","ZZZZZZZZZZ")</f>
        <v/>
      </c>
      <c r="AF25" s="6" t="str">
        <f>IF(LEN('A créer'!C25)=0,"","0")</f>
        <v/>
      </c>
      <c r="AG25" s="2" t="str">
        <f>IF(LEN('A créer'!C25)=0,"","Tab")</f>
        <v/>
      </c>
      <c r="AH25" s="6" t="str">
        <f>IF(LEN('A créer'!C25)=0,"","ZZZZZZZZZZ")</f>
        <v/>
      </c>
      <c r="AI25" s="6" t="str">
        <f>IF(LEN('A créer'!C25)=0,"","0")</f>
        <v/>
      </c>
      <c r="AJ25" s="2" t="str">
        <f>IF(LEN('A créer'!C25)=0,"","Tab")</f>
        <v/>
      </c>
      <c r="AK25" s="6" t="str">
        <f>IF(LEN('A créer'!C25)=0,"","ZZZZZZZZZZ")</f>
        <v/>
      </c>
      <c r="AL25" s="2" t="str">
        <f>IF(LEN('A créer'!C25)=0,"","ENT")</f>
        <v/>
      </c>
      <c r="AM25" s="2" t="str">
        <f>IF(LEN('A créer'!C25)=0,"","*SAVE")</f>
        <v/>
      </c>
      <c r="AN25" s="2" t="str">
        <f>IF(OR('A créer'!D25="Oui",LEN('A créer'!D25)=0,LEN('A créer'!C25)=0),"","*FN")</f>
        <v/>
      </c>
      <c r="AO25" s="3" t="str">
        <f>IF(OR('A créer'!D25="Oui",LEN('A créer'!D25)=0,LEN('A créer'!C25)=0),"","\E")</f>
        <v/>
      </c>
      <c r="AP25" s="2" t="str">
        <f>IF(OR('A créer'!D25="Oui",LEN('A créer'!D25)=0,LEN('A créer'!C25)=0),"","TAB")</f>
        <v/>
      </c>
      <c r="AQ25" s="6" t="str">
        <f>IF(OR('A créer'!D25="Oui",LEN('A créer'!D25)=0,LEN('A créer'!C25)=0),"",'A créer'!A25)</f>
        <v/>
      </c>
      <c r="AR25" s="2" t="str">
        <f>IF(OR('A créer'!D25="Oui",LEN('A créer'!D25)=0,LEN('A créer'!C25)=0),"","TAB")</f>
        <v/>
      </c>
      <c r="AS25" s="6" t="str">
        <f>IF(OR('A créer'!D25="Oui",LEN('A créer'!D25)=0,LEN('A créer'!C25)=0),"","0")</f>
        <v/>
      </c>
      <c r="AT25" s="2" t="str">
        <f>IF(OR('A créer'!D25="Oui",LEN('A créer'!D25)=0,LEN('A créer'!C25)=0),"","TAB")</f>
        <v/>
      </c>
      <c r="AU25" s="6" t="str">
        <f>IF(OR('A créer'!D25="Oui",LEN('A créer'!D25)=0,LEN('A créer'!C25)=0),"","ZZZ")</f>
        <v/>
      </c>
      <c r="AV25" s="6" t="str">
        <f>IF(OR('A créer'!D25="Oui",LEN('A créer'!D25)=0,LEN('A créer'!C25)=0),"","0")</f>
        <v/>
      </c>
      <c r="AW25" s="2" t="str">
        <f>IF(OR('A créer'!D25="Oui",LEN('A créer'!D25)=0,LEN('A créer'!C25)=0),"","TAB")</f>
        <v/>
      </c>
      <c r="AX25" s="6" t="str">
        <f>IF(OR('A créer'!D25="Oui",LEN('A créer'!D25)=0,LEN('A créer'!C25)=0),"","ZZZZZZ")</f>
        <v/>
      </c>
      <c r="AY25" s="6" t="str">
        <f>IF(OR('A créer'!D25="Oui",LEN('A créer'!D25)=0,LEN('A créer'!C25)=0),"","0")</f>
        <v/>
      </c>
      <c r="AZ25" s="2" t="str">
        <f>IF(OR('A créer'!D25="Oui",LEN('A créer'!D25)=0,LEN('A créer'!C25)=0),"","TAB")</f>
        <v/>
      </c>
      <c r="BA25" s="6" t="str">
        <f>IF(OR('A créer'!D25="Oui",LEN('A créer'!D25)=0,LEN('A créer'!C25)=0),"","ZZZZZ")</f>
        <v/>
      </c>
      <c r="BB25" s="6" t="str">
        <f>IF(OR('A créer'!D25="Oui",LEN('A créer'!D25)=0,LEN('A créer'!C25)=0),"",CONCATENATE("XXX",'A créer'!A25))</f>
        <v/>
      </c>
      <c r="BC25" s="2" t="str">
        <f>IF(OR('A créer'!D25="Oui",LEN('A créer'!D25)=0,LEN('A créer'!C25)=0),"","TAB")</f>
        <v/>
      </c>
      <c r="BD25" s="6" t="str">
        <f>IF(OR('A créer'!D25="Oui",LEN('A créer'!D25)=0,LEN('A créer'!C25)=0),"","0")</f>
        <v/>
      </c>
      <c r="BE25" s="2" t="str">
        <f>IF(OR('A créer'!D25="Oui",LEN('A créer'!D25)=0,LEN('A créer'!C25)=0),"","TAB")</f>
        <v/>
      </c>
      <c r="BF25" s="6" t="str">
        <f>IF(OR('A créer'!D25="Oui",LEN('A créer'!D25)=0,LEN('A créer'!C25)=0),"","ZZZZZZZZZZ")</f>
        <v/>
      </c>
      <c r="BG25" s="6" t="str">
        <f>IF(OR('A créer'!D25="Oui",LEN('A créer'!D25)=0,LEN('A créer'!C25)=0),"","0")</f>
        <v/>
      </c>
      <c r="BH25" s="2" t="str">
        <f>IF(OR('A créer'!D25="Oui",LEN('A créer'!D25)=0,LEN('A créer'!C25)=0),"","TAB")</f>
        <v/>
      </c>
      <c r="BI25" s="6" t="str">
        <f>IF(OR('A créer'!D25="Oui",LEN('A créer'!D25)=0,LEN('A créer'!C25)=0),"","ZZZZZZZZZZ")</f>
        <v/>
      </c>
      <c r="BJ25" s="6" t="str">
        <f>IF(OR('A créer'!D25="Oui",LEN('A créer'!D25)=0,LEN('A créer'!C25)=0),"","0")</f>
        <v/>
      </c>
      <c r="BK25" s="2" t="str">
        <f>IF(OR('A créer'!D25="Oui",LEN('A créer'!D25)=0,LEN('A créer'!C25)=0),"","TAB")</f>
        <v/>
      </c>
      <c r="BL25" s="6" t="str">
        <f>IF(OR('A créer'!D25="Oui",LEN('A créer'!D25)=0,LEN('A créer'!C25)=0),"","ZZZZZZZZZZZZZZZ")</f>
        <v/>
      </c>
      <c r="BM25" s="6" t="str">
        <f>IF(OR('A créer'!D25="Oui",LEN('A créer'!D25)=0,LEN('A créer'!C25)=0),"","0")</f>
        <v/>
      </c>
      <c r="BN25" s="2" t="str">
        <f>IF(OR('A créer'!D25="Oui",LEN('A créer'!D25)=0,LEN('A créer'!C25)=0),"","TAB")</f>
        <v/>
      </c>
      <c r="BO25" s="6" t="str">
        <f>IF(OR('A créer'!D25="Oui",LEN('A créer'!D25)=0,LEN('A créer'!C25)=0),"","ZZZ")</f>
        <v/>
      </c>
      <c r="BP25" s="6" t="str">
        <f>IF(OR('A créer'!D25="Oui",LEN('A créer'!D25)=0,LEN('A créer'!C25)=0),"","0")</f>
        <v/>
      </c>
      <c r="BQ25" s="2" t="str">
        <f>IF(OR('A créer'!D25="Oui",LEN('A créer'!D25)=0,LEN('A créer'!C25)=0),"","TAB")</f>
        <v/>
      </c>
      <c r="BR25" s="6" t="str">
        <f>IF(OR('A créer'!D25="Oui",LEN('A créer'!D25)=0,LEN('A créer'!C25)=0),"","ZZZZZZZZZZ")</f>
        <v/>
      </c>
      <c r="BS25" s="6" t="str">
        <f>IF(OR('A créer'!D25="Oui",LEN('A créer'!D25)=0,LEN('A créer'!C25)=0),"","0")</f>
        <v/>
      </c>
      <c r="BT25" s="2" t="str">
        <f>IF(OR('A créer'!D25="Oui",LEN('A créer'!D25)=0,LEN('A créer'!C25)=0),"","TAB")</f>
        <v/>
      </c>
      <c r="BU25" s="6" t="str">
        <f>IF(OR('A créer'!D25="Oui",LEN('A créer'!D25)=0,LEN('A créer'!C25)=0),"","ZZZZZZZZZZ")</f>
        <v/>
      </c>
      <c r="BV25" s="6" t="str">
        <f>IF(OR('A créer'!D25="Oui",LEN('A créer'!D25)=0,LEN('A créer'!C25)=0),"","0")</f>
        <v/>
      </c>
      <c r="BW25" s="2" t="str">
        <f>IF(OR('A créer'!D25="Oui",LEN('A créer'!D25)=0,LEN('A créer'!C25)=0),"","TAB")</f>
        <v/>
      </c>
      <c r="BX25" s="6" t="str">
        <f>IF(OR('A créer'!D25="Oui",LEN('A créer'!D25)=0,LEN('A créer'!C25)=0),"","ZZZZZZZZZZ")</f>
        <v/>
      </c>
      <c r="BY25" s="2" t="str">
        <f>IF(OR('A créer'!D25="Oui",LEN('A créer'!D25)=0,LEN('A créer'!C25)=0),"","ENT")</f>
        <v/>
      </c>
      <c r="BZ25" s="2" t="str">
        <f>IF(OR('A créer'!D25="Oui",LEN('A créer'!D25)=0,LEN('A créer'!C25)=0),"","*SAVE")</f>
        <v/>
      </c>
    </row>
    <row r="26" spans="1:78" x14ac:dyDescent="0.35">
      <c r="A26" s="2" t="str">
        <f>IF(LEN('A créer'!C26)=0,"","*FN")</f>
        <v/>
      </c>
      <c r="B26" s="3" t="str">
        <f>IF(LEN('A créer'!C26)=0,"","\E")</f>
        <v/>
      </c>
      <c r="C26" s="2" t="str">
        <f>IF(LEN('A créer'!C26)=0,"","Tab")</f>
        <v/>
      </c>
      <c r="D26" s="6" t="str">
        <f>IF(LEN('A créer'!C26)=0,"",'A créer'!A26)</f>
        <v/>
      </c>
      <c r="E26" s="2" t="str">
        <f>IF(LEN('A créer'!C26)=0,"","Tab")</f>
        <v/>
      </c>
      <c r="F26" s="6" t="str">
        <f>IF(LEN('A créer'!C26)=0,"",0)</f>
        <v/>
      </c>
      <c r="G26" s="2" t="str">
        <f>IF(LEN('A créer'!C26)=0,"","Tab")</f>
        <v/>
      </c>
      <c r="H26" s="6" t="str">
        <f>IF(LEN('A créer'!C26)=0,"","ZZZ")</f>
        <v/>
      </c>
      <c r="I26" s="6" t="str">
        <f>IF(LEN('A créer'!C26)=0,"","0")</f>
        <v/>
      </c>
      <c r="J26" s="2" t="str">
        <f>IF(LEN('A créer'!C26)=0,"","Tab")</f>
        <v/>
      </c>
      <c r="K26" s="6" t="str">
        <f>IF(LEN('A créer'!C26)=0,"","ZZZZZZ")</f>
        <v/>
      </c>
      <c r="L26" s="6" t="str">
        <f>IF(LEN('A créer'!C26)=0,"","0")</f>
        <v/>
      </c>
      <c r="M26" s="2" t="str">
        <f>IF(LEN('A créer'!C26)=0,"","Tab")</f>
        <v/>
      </c>
      <c r="N26" s="6" t="str">
        <f>IF(LEN('A créer'!C26)=0,"","ZZZZZ")</f>
        <v/>
      </c>
      <c r="O26" s="6" t="str">
        <f>IF(LEN('A créer'!C26)=0,"",CONCATENATE('A créer'!B26,'A créer'!A26))</f>
        <v/>
      </c>
      <c r="P26" s="2" t="str">
        <f>IF(LEN('A créer'!C26)=0,"","Tab")</f>
        <v/>
      </c>
      <c r="Q26" s="6" t="str">
        <f>IF(LEN('A créer'!C26)=0,"","0")</f>
        <v/>
      </c>
      <c r="R26" s="2" t="str">
        <f>IF(LEN('A créer'!C26)=0,"","Tab")</f>
        <v/>
      </c>
      <c r="S26" s="6" t="str">
        <f>IF(LEN('A créer'!C26)=0,"","ZZZZZZZZZZ")</f>
        <v/>
      </c>
      <c r="T26" s="6" t="str">
        <f>IF(LEN('A créer'!C26)=0,"","0")</f>
        <v/>
      </c>
      <c r="U26" s="2" t="str">
        <f>IF(LEN('A créer'!C26)=0,"","Tab")</f>
        <v/>
      </c>
      <c r="V26" s="6" t="str">
        <f>IF(LEN('A créer'!C26)=0,"","ZZZZZZZZZZ")</f>
        <v/>
      </c>
      <c r="W26" s="6" t="str">
        <f>IF(LEN('A créer'!C26)=0,"","0")</f>
        <v/>
      </c>
      <c r="X26" s="2" t="str">
        <f>IF(LEN('A créer'!C26)=0,"","Tab")</f>
        <v/>
      </c>
      <c r="Y26" s="6" t="str">
        <f>IF(LEN('A créer'!C26)=0,"","ZZZZZZZZZZZZZZZ")</f>
        <v/>
      </c>
      <c r="Z26" s="6" t="str">
        <f>IF(LEN('A créer'!C26)=0,"","0")</f>
        <v/>
      </c>
      <c r="AA26" s="2" t="str">
        <f>IF(LEN('A créer'!C26)=0,"","Tab")</f>
        <v/>
      </c>
      <c r="AB26" s="6" t="str">
        <f>IF(LEN('A créer'!C26)=0,"","ZZZ")</f>
        <v/>
      </c>
      <c r="AC26" s="6" t="str">
        <f>IF(LEN('A créer'!C26)=0,"","0")</f>
        <v/>
      </c>
      <c r="AD26" s="2" t="str">
        <f>IF(LEN('A créer'!C26)=0,"","Tab")</f>
        <v/>
      </c>
      <c r="AE26" s="6" t="str">
        <f>IF(LEN('A créer'!C26)=0,"","ZZZZZZZZZZ")</f>
        <v/>
      </c>
      <c r="AF26" s="6" t="str">
        <f>IF(LEN('A créer'!C26)=0,"","0")</f>
        <v/>
      </c>
      <c r="AG26" s="2" t="str">
        <f>IF(LEN('A créer'!C26)=0,"","Tab")</f>
        <v/>
      </c>
      <c r="AH26" s="6" t="str">
        <f>IF(LEN('A créer'!C26)=0,"","ZZZZZZZZZZ")</f>
        <v/>
      </c>
      <c r="AI26" s="6" t="str">
        <f>IF(LEN('A créer'!C26)=0,"","0")</f>
        <v/>
      </c>
      <c r="AJ26" s="2" t="str">
        <f>IF(LEN('A créer'!C26)=0,"","Tab")</f>
        <v/>
      </c>
      <c r="AK26" s="6" t="str">
        <f>IF(LEN('A créer'!C26)=0,"","ZZZZZZZZZZ")</f>
        <v/>
      </c>
      <c r="AL26" s="2" t="str">
        <f>IF(LEN('A créer'!C26)=0,"","ENT")</f>
        <v/>
      </c>
      <c r="AM26" s="2" t="str">
        <f>IF(LEN('A créer'!C26)=0,"","*SAVE")</f>
        <v/>
      </c>
      <c r="AN26" s="2" t="str">
        <f>IF(OR('A créer'!D26="Oui",LEN('A créer'!D26)=0,LEN('A créer'!C26)=0),"","*FN")</f>
        <v/>
      </c>
      <c r="AO26" s="3" t="str">
        <f>IF(OR('A créer'!D26="Oui",LEN('A créer'!D26)=0,LEN('A créer'!C26)=0),"","\E")</f>
        <v/>
      </c>
      <c r="AP26" s="2" t="str">
        <f>IF(OR('A créer'!D26="Oui",LEN('A créer'!D26)=0,LEN('A créer'!C26)=0),"","TAB")</f>
        <v/>
      </c>
      <c r="AQ26" s="6" t="str">
        <f>IF(OR('A créer'!D26="Oui",LEN('A créer'!D26)=0,LEN('A créer'!C26)=0),"",'A créer'!A26)</f>
        <v/>
      </c>
      <c r="AR26" s="2" t="str">
        <f>IF(OR('A créer'!D26="Oui",LEN('A créer'!D26)=0,LEN('A créer'!C26)=0),"","TAB")</f>
        <v/>
      </c>
      <c r="AS26" s="6" t="str">
        <f>IF(OR('A créer'!D26="Oui",LEN('A créer'!D26)=0,LEN('A créer'!C26)=0),"","0")</f>
        <v/>
      </c>
      <c r="AT26" s="2" t="str">
        <f>IF(OR('A créer'!D26="Oui",LEN('A créer'!D26)=0,LEN('A créer'!C26)=0),"","TAB")</f>
        <v/>
      </c>
      <c r="AU26" s="6" t="str">
        <f>IF(OR('A créer'!D26="Oui",LEN('A créer'!D26)=0,LEN('A créer'!C26)=0),"","ZZZ")</f>
        <v/>
      </c>
      <c r="AV26" s="6" t="str">
        <f>IF(OR('A créer'!D26="Oui",LEN('A créer'!D26)=0,LEN('A créer'!C26)=0),"","0")</f>
        <v/>
      </c>
      <c r="AW26" s="2" t="str">
        <f>IF(OR('A créer'!D26="Oui",LEN('A créer'!D26)=0,LEN('A créer'!C26)=0),"","TAB")</f>
        <v/>
      </c>
      <c r="AX26" s="6" t="str">
        <f>IF(OR('A créer'!D26="Oui",LEN('A créer'!D26)=0,LEN('A créer'!C26)=0),"","ZZZZZZ")</f>
        <v/>
      </c>
      <c r="AY26" s="6" t="str">
        <f>IF(OR('A créer'!D26="Oui",LEN('A créer'!D26)=0,LEN('A créer'!C26)=0),"","0")</f>
        <v/>
      </c>
      <c r="AZ26" s="2" t="str">
        <f>IF(OR('A créer'!D26="Oui",LEN('A créer'!D26)=0,LEN('A créer'!C26)=0),"","TAB")</f>
        <v/>
      </c>
      <c r="BA26" s="6" t="str">
        <f>IF(OR('A créer'!D26="Oui",LEN('A créer'!D26)=0,LEN('A créer'!C26)=0),"","ZZZZZ")</f>
        <v/>
      </c>
      <c r="BB26" s="6" t="str">
        <f>IF(OR('A créer'!D26="Oui",LEN('A créer'!D26)=0,LEN('A créer'!C26)=0),"",CONCATENATE("XXX",'A créer'!A26))</f>
        <v/>
      </c>
      <c r="BC26" s="2" t="str">
        <f>IF(OR('A créer'!D26="Oui",LEN('A créer'!D26)=0,LEN('A créer'!C26)=0),"","TAB")</f>
        <v/>
      </c>
      <c r="BD26" s="6" t="str">
        <f>IF(OR('A créer'!D26="Oui",LEN('A créer'!D26)=0,LEN('A créer'!C26)=0),"","0")</f>
        <v/>
      </c>
      <c r="BE26" s="2" t="str">
        <f>IF(OR('A créer'!D26="Oui",LEN('A créer'!D26)=0,LEN('A créer'!C26)=0),"","TAB")</f>
        <v/>
      </c>
      <c r="BF26" s="6" t="str">
        <f>IF(OR('A créer'!D26="Oui",LEN('A créer'!D26)=0,LEN('A créer'!C26)=0),"","ZZZZZZZZZZ")</f>
        <v/>
      </c>
      <c r="BG26" s="6" t="str">
        <f>IF(OR('A créer'!D26="Oui",LEN('A créer'!D26)=0,LEN('A créer'!C26)=0),"","0")</f>
        <v/>
      </c>
      <c r="BH26" s="2" t="str">
        <f>IF(OR('A créer'!D26="Oui",LEN('A créer'!D26)=0,LEN('A créer'!C26)=0),"","TAB")</f>
        <v/>
      </c>
      <c r="BI26" s="6" t="str">
        <f>IF(OR('A créer'!D26="Oui",LEN('A créer'!D26)=0,LEN('A créer'!C26)=0),"","ZZZZZZZZZZ")</f>
        <v/>
      </c>
      <c r="BJ26" s="6" t="str">
        <f>IF(OR('A créer'!D26="Oui",LEN('A créer'!D26)=0,LEN('A créer'!C26)=0),"","0")</f>
        <v/>
      </c>
      <c r="BK26" s="2" t="str">
        <f>IF(OR('A créer'!D26="Oui",LEN('A créer'!D26)=0,LEN('A créer'!C26)=0),"","TAB")</f>
        <v/>
      </c>
      <c r="BL26" s="6" t="str">
        <f>IF(OR('A créer'!D26="Oui",LEN('A créer'!D26)=0,LEN('A créer'!C26)=0),"","ZZZZZZZZZZZZZZZ")</f>
        <v/>
      </c>
      <c r="BM26" s="6" t="str">
        <f>IF(OR('A créer'!D26="Oui",LEN('A créer'!D26)=0,LEN('A créer'!C26)=0),"","0")</f>
        <v/>
      </c>
      <c r="BN26" s="2" t="str">
        <f>IF(OR('A créer'!D26="Oui",LEN('A créer'!D26)=0,LEN('A créer'!C26)=0),"","TAB")</f>
        <v/>
      </c>
      <c r="BO26" s="6" t="str">
        <f>IF(OR('A créer'!D26="Oui",LEN('A créer'!D26)=0,LEN('A créer'!C26)=0),"","ZZZ")</f>
        <v/>
      </c>
      <c r="BP26" s="6" t="str">
        <f>IF(OR('A créer'!D26="Oui",LEN('A créer'!D26)=0,LEN('A créer'!C26)=0),"","0")</f>
        <v/>
      </c>
      <c r="BQ26" s="2" t="str">
        <f>IF(OR('A créer'!D26="Oui",LEN('A créer'!D26)=0,LEN('A créer'!C26)=0),"","TAB")</f>
        <v/>
      </c>
      <c r="BR26" s="6" t="str">
        <f>IF(OR('A créer'!D26="Oui",LEN('A créer'!D26)=0,LEN('A créer'!C26)=0),"","ZZZZZZZZZZ")</f>
        <v/>
      </c>
      <c r="BS26" s="6" t="str">
        <f>IF(OR('A créer'!D26="Oui",LEN('A créer'!D26)=0,LEN('A créer'!C26)=0),"","0")</f>
        <v/>
      </c>
      <c r="BT26" s="2" t="str">
        <f>IF(OR('A créer'!D26="Oui",LEN('A créer'!D26)=0,LEN('A créer'!C26)=0),"","TAB")</f>
        <v/>
      </c>
      <c r="BU26" s="6" t="str">
        <f>IF(OR('A créer'!D26="Oui",LEN('A créer'!D26)=0,LEN('A créer'!C26)=0),"","ZZZZZZZZZZ")</f>
        <v/>
      </c>
      <c r="BV26" s="6" t="str">
        <f>IF(OR('A créer'!D26="Oui",LEN('A créer'!D26)=0,LEN('A créer'!C26)=0),"","0")</f>
        <v/>
      </c>
      <c r="BW26" s="2" t="str">
        <f>IF(OR('A créer'!D26="Oui",LEN('A créer'!D26)=0,LEN('A créer'!C26)=0),"","TAB")</f>
        <v/>
      </c>
      <c r="BX26" s="6" t="str">
        <f>IF(OR('A créer'!D26="Oui",LEN('A créer'!D26)=0,LEN('A créer'!C26)=0),"","ZZZZZZZZZZ")</f>
        <v/>
      </c>
      <c r="BY26" s="2" t="str">
        <f>IF(OR('A créer'!D26="Oui",LEN('A créer'!D26)=0,LEN('A créer'!C26)=0),"","ENT")</f>
        <v/>
      </c>
      <c r="BZ26" s="2" t="str">
        <f>IF(OR('A créer'!D26="Oui",LEN('A créer'!D26)=0,LEN('A créer'!C26)=0),"","*SAVE")</f>
        <v/>
      </c>
    </row>
    <row r="27" spans="1:78" x14ac:dyDescent="0.35">
      <c r="A27" s="2" t="str">
        <f>IF(LEN('A créer'!C27)=0,"","*FN")</f>
        <v/>
      </c>
      <c r="B27" s="3" t="str">
        <f>IF(LEN('A créer'!C27)=0,"","\E")</f>
        <v/>
      </c>
      <c r="C27" s="2" t="str">
        <f>IF(LEN('A créer'!C27)=0,"","Tab")</f>
        <v/>
      </c>
      <c r="D27" s="6" t="str">
        <f>IF(LEN('A créer'!C27)=0,"",'A créer'!A27)</f>
        <v/>
      </c>
      <c r="E27" s="2" t="str">
        <f>IF(LEN('A créer'!C27)=0,"","Tab")</f>
        <v/>
      </c>
      <c r="F27" s="6" t="str">
        <f>IF(LEN('A créer'!C27)=0,"",0)</f>
        <v/>
      </c>
      <c r="G27" s="2" t="str">
        <f>IF(LEN('A créer'!C27)=0,"","Tab")</f>
        <v/>
      </c>
      <c r="H27" s="6" t="str">
        <f>IF(LEN('A créer'!C27)=0,"","ZZZ")</f>
        <v/>
      </c>
      <c r="I27" s="6" t="str">
        <f>IF(LEN('A créer'!C27)=0,"","0")</f>
        <v/>
      </c>
      <c r="J27" s="2" t="str">
        <f>IF(LEN('A créer'!C27)=0,"","Tab")</f>
        <v/>
      </c>
      <c r="K27" s="6" t="str">
        <f>IF(LEN('A créer'!C27)=0,"","ZZZZZZ")</f>
        <v/>
      </c>
      <c r="L27" s="6" t="str">
        <f>IF(LEN('A créer'!C27)=0,"","0")</f>
        <v/>
      </c>
      <c r="M27" s="2" t="str">
        <f>IF(LEN('A créer'!C27)=0,"","Tab")</f>
        <v/>
      </c>
      <c r="N27" s="6" t="str">
        <f>IF(LEN('A créer'!C27)=0,"","ZZZZZ")</f>
        <v/>
      </c>
      <c r="O27" s="6" t="str">
        <f>IF(LEN('A créer'!C27)=0,"",CONCATENATE('A créer'!B27,'A créer'!A27))</f>
        <v/>
      </c>
      <c r="P27" s="2" t="str">
        <f>IF(LEN('A créer'!C27)=0,"","Tab")</f>
        <v/>
      </c>
      <c r="Q27" s="6" t="str">
        <f>IF(LEN('A créer'!C27)=0,"","0")</f>
        <v/>
      </c>
      <c r="R27" s="2" t="str">
        <f>IF(LEN('A créer'!C27)=0,"","Tab")</f>
        <v/>
      </c>
      <c r="S27" s="6" t="str">
        <f>IF(LEN('A créer'!C27)=0,"","ZZZZZZZZZZ")</f>
        <v/>
      </c>
      <c r="T27" s="6" t="str">
        <f>IF(LEN('A créer'!C27)=0,"","0")</f>
        <v/>
      </c>
      <c r="U27" s="2" t="str">
        <f>IF(LEN('A créer'!C27)=0,"","Tab")</f>
        <v/>
      </c>
      <c r="V27" s="6" t="str">
        <f>IF(LEN('A créer'!C27)=0,"","ZZZZZZZZZZ")</f>
        <v/>
      </c>
      <c r="W27" s="6" t="str">
        <f>IF(LEN('A créer'!C27)=0,"","0")</f>
        <v/>
      </c>
      <c r="X27" s="2" t="str">
        <f>IF(LEN('A créer'!C27)=0,"","Tab")</f>
        <v/>
      </c>
      <c r="Y27" s="6" t="str">
        <f>IF(LEN('A créer'!C27)=0,"","ZZZZZZZZZZZZZZZ")</f>
        <v/>
      </c>
      <c r="Z27" s="6" t="str">
        <f>IF(LEN('A créer'!C27)=0,"","0")</f>
        <v/>
      </c>
      <c r="AA27" s="2" t="str">
        <f>IF(LEN('A créer'!C27)=0,"","Tab")</f>
        <v/>
      </c>
      <c r="AB27" s="6" t="str">
        <f>IF(LEN('A créer'!C27)=0,"","ZZZ")</f>
        <v/>
      </c>
      <c r="AC27" s="6" t="str">
        <f>IF(LEN('A créer'!C27)=0,"","0")</f>
        <v/>
      </c>
      <c r="AD27" s="2" t="str">
        <f>IF(LEN('A créer'!C27)=0,"","Tab")</f>
        <v/>
      </c>
      <c r="AE27" s="6" t="str">
        <f>IF(LEN('A créer'!C27)=0,"","ZZZZZZZZZZ")</f>
        <v/>
      </c>
      <c r="AF27" s="6" t="str">
        <f>IF(LEN('A créer'!C27)=0,"","0")</f>
        <v/>
      </c>
      <c r="AG27" s="2" t="str">
        <f>IF(LEN('A créer'!C27)=0,"","Tab")</f>
        <v/>
      </c>
      <c r="AH27" s="6" t="str">
        <f>IF(LEN('A créer'!C27)=0,"","ZZZZZZZZZZ")</f>
        <v/>
      </c>
      <c r="AI27" s="6" t="str">
        <f>IF(LEN('A créer'!C27)=0,"","0")</f>
        <v/>
      </c>
      <c r="AJ27" s="2" t="str">
        <f>IF(LEN('A créer'!C27)=0,"","Tab")</f>
        <v/>
      </c>
      <c r="AK27" s="6" t="str">
        <f>IF(LEN('A créer'!C27)=0,"","ZZZZZZZZZZ")</f>
        <v/>
      </c>
      <c r="AL27" s="2" t="str">
        <f>IF(LEN('A créer'!C27)=0,"","ENT")</f>
        <v/>
      </c>
      <c r="AM27" s="2" t="str">
        <f>IF(LEN('A créer'!C27)=0,"","*SAVE")</f>
        <v/>
      </c>
      <c r="AN27" s="2" t="str">
        <f>IF(OR('A créer'!D27="Oui",LEN('A créer'!D27)=0,LEN('A créer'!C27)=0),"","*FN")</f>
        <v/>
      </c>
      <c r="AO27" s="3" t="str">
        <f>IF(OR('A créer'!D27="Oui",LEN('A créer'!D27)=0,LEN('A créer'!C27)=0),"","\E")</f>
        <v/>
      </c>
      <c r="AP27" s="2" t="str">
        <f>IF(OR('A créer'!D27="Oui",LEN('A créer'!D27)=0,LEN('A créer'!C27)=0),"","TAB")</f>
        <v/>
      </c>
      <c r="AQ27" s="6" t="str">
        <f>IF(OR('A créer'!D27="Oui",LEN('A créer'!D27)=0,LEN('A créer'!C27)=0),"",'A créer'!A27)</f>
        <v/>
      </c>
      <c r="AR27" s="2" t="str">
        <f>IF(OR('A créer'!D27="Oui",LEN('A créer'!D27)=0,LEN('A créer'!C27)=0),"","TAB")</f>
        <v/>
      </c>
      <c r="AS27" s="6" t="str">
        <f>IF(OR('A créer'!D27="Oui",LEN('A créer'!D27)=0,LEN('A créer'!C27)=0),"","0")</f>
        <v/>
      </c>
      <c r="AT27" s="2" t="str">
        <f>IF(OR('A créer'!D27="Oui",LEN('A créer'!D27)=0,LEN('A créer'!C27)=0),"","TAB")</f>
        <v/>
      </c>
      <c r="AU27" s="6" t="str">
        <f>IF(OR('A créer'!D27="Oui",LEN('A créer'!D27)=0,LEN('A créer'!C27)=0),"","ZZZ")</f>
        <v/>
      </c>
      <c r="AV27" s="6" t="str">
        <f>IF(OR('A créer'!D27="Oui",LEN('A créer'!D27)=0,LEN('A créer'!C27)=0),"","0")</f>
        <v/>
      </c>
      <c r="AW27" s="2" t="str">
        <f>IF(OR('A créer'!D27="Oui",LEN('A créer'!D27)=0,LEN('A créer'!C27)=0),"","TAB")</f>
        <v/>
      </c>
      <c r="AX27" s="6" t="str">
        <f>IF(OR('A créer'!D27="Oui",LEN('A créer'!D27)=0,LEN('A créer'!C27)=0),"","ZZZZZZ")</f>
        <v/>
      </c>
      <c r="AY27" s="6" t="str">
        <f>IF(OR('A créer'!D27="Oui",LEN('A créer'!D27)=0,LEN('A créer'!C27)=0),"","0")</f>
        <v/>
      </c>
      <c r="AZ27" s="2" t="str">
        <f>IF(OR('A créer'!D27="Oui",LEN('A créer'!D27)=0,LEN('A créer'!C27)=0),"","TAB")</f>
        <v/>
      </c>
      <c r="BA27" s="6" t="str">
        <f>IF(OR('A créer'!D27="Oui",LEN('A créer'!D27)=0,LEN('A créer'!C27)=0),"","ZZZZZ")</f>
        <v/>
      </c>
      <c r="BB27" s="6" t="str">
        <f>IF(OR('A créer'!D27="Oui",LEN('A créer'!D27)=0,LEN('A créer'!C27)=0),"",CONCATENATE("XXX",'A créer'!A27))</f>
        <v/>
      </c>
      <c r="BC27" s="2" t="str">
        <f>IF(OR('A créer'!D27="Oui",LEN('A créer'!D27)=0,LEN('A créer'!C27)=0),"","TAB")</f>
        <v/>
      </c>
      <c r="BD27" s="6" t="str">
        <f>IF(OR('A créer'!D27="Oui",LEN('A créer'!D27)=0,LEN('A créer'!C27)=0),"","0")</f>
        <v/>
      </c>
      <c r="BE27" s="2" t="str">
        <f>IF(OR('A créer'!D27="Oui",LEN('A créer'!D27)=0,LEN('A créer'!C27)=0),"","TAB")</f>
        <v/>
      </c>
      <c r="BF27" s="6" t="str">
        <f>IF(OR('A créer'!D27="Oui",LEN('A créer'!D27)=0,LEN('A créer'!C27)=0),"","ZZZZZZZZZZ")</f>
        <v/>
      </c>
      <c r="BG27" s="6" t="str">
        <f>IF(OR('A créer'!D27="Oui",LEN('A créer'!D27)=0,LEN('A créer'!C27)=0),"","0")</f>
        <v/>
      </c>
      <c r="BH27" s="2" t="str">
        <f>IF(OR('A créer'!D27="Oui",LEN('A créer'!D27)=0,LEN('A créer'!C27)=0),"","TAB")</f>
        <v/>
      </c>
      <c r="BI27" s="6" t="str">
        <f>IF(OR('A créer'!D27="Oui",LEN('A créer'!D27)=0,LEN('A créer'!C27)=0),"","ZZZZZZZZZZ")</f>
        <v/>
      </c>
      <c r="BJ27" s="6" t="str">
        <f>IF(OR('A créer'!D27="Oui",LEN('A créer'!D27)=0,LEN('A créer'!C27)=0),"","0")</f>
        <v/>
      </c>
      <c r="BK27" s="2" t="str">
        <f>IF(OR('A créer'!D27="Oui",LEN('A créer'!D27)=0,LEN('A créer'!C27)=0),"","TAB")</f>
        <v/>
      </c>
      <c r="BL27" s="6" t="str">
        <f>IF(OR('A créer'!D27="Oui",LEN('A créer'!D27)=0,LEN('A créer'!C27)=0),"","ZZZZZZZZZZZZZZZ")</f>
        <v/>
      </c>
      <c r="BM27" s="6" t="str">
        <f>IF(OR('A créer'!D27="Oui",LEN('A créer'!D27)=0,LEN('A créer'!C27)=0),"","0")</f>
        <v/>
      </c>
      <c r="BN27" s="2" t="str">
        <f>IF(OR('A créer'!D27="Oui",LEN('A créer'!D27)=0,LEN('A créer'!C27)=0),"","TAB")</f>
        <v/>
      </c>
      <c r="BO27" s="6" t="str">
        <f>IF(OR('A créer'!D27="Oui",LEN('A créer'!D27)=0,LEN('A créer'!C27)=0),"","ZZZ")</f>
        <v/>
      </c>
      <c r="BP27" s="6" t="str">
        <f>IF(OR('A créer'!D27="Oui",LEN('A créer'!D27)=0,LEN('A créer'!C27)=0),"","0")</f>
        <v/>
      </c>
      <c r="BQ27" s="2" t="str">
        <f>IF(OR('A créer'!D27="Oui",LEN('A créer'!D27)=0,LEN('A créer'!C27)=0),"","TAB")</f>
        <v/>
      </c>
      <c r="BR27" s="6" t="str">
        <f>IF(OR('A créer'!D27="Oui",LEN('A créer'!D27)=0,LEN('A créer'!C27)=0),"","ZZZZZZZZZZ")</f>
        <v/>
      </c>
      <c r="BS27" s="6" t="str">
        <f>IF(OR('A créer'!D27="Oui",LEN('A créer'!D27)=0,LEN('A créer'!C27)=0),"","0")</f>
        <v/>
      </c>
      <c r="BT27" s="2" t="str">
        <f>IF(OR('A créer'!D27="Oui",LEN('A créer'!D27)=0,LEN('A créer'!C27)=0),"","TAB")</f>
        <v/>
      </c>
      <c r="BU27" s="6" t="str">
        <f>IF(OR('A créer'!D27="Oui",LEN('A créer'!D27)=0,LEN('A créer'!C27)=0),"","ZZZZZZZZZZ")</f>
        <v/>
      </c>
      <c r="BV27" s="6" t="str">
        <f>IF(OR('A créer'!D27="Oui",LEN('A créer'!D27)=0,LEN('A créer'!C27)=0),"","0")</f>
        <v/>
      </c>
      <c r="BW27" s="2" t="str">
        <f>IF(OR('A créer'!D27="Oui",LEN('A créer'!D27)=0,LEN('A créer'!C27)=0),"","TAB")</f>
        <v/>
      </c>
      <c r="BX27" s="6" t="str">
        <f>IF(OR('A créer'!D27="Oui",LEN('A créer'!D27)=0,LEN('A créer'!C27)=0),"","ZZZZZZZZZZ")</f>
        <v/>
      </c>
      <c r="BY27" s="2" t="str">
        <f>IF(OR('A créer'!D27="Oui",LEN('A créer'!D27)=0,LEN('A créer'!C27)=0),"","ENT")</f>
        <v/>
      </c>
      <c r="BZ27" s="2" t="str">
        <f>IF(OR('A créer'!D27="Oui",LEN('A créer'!D27)=0,LEN('A créer'!C27)=0),"","*SAVE")</f>
        <v/>
      </c>
    </row>
    <row r="28" spans="1:78" x14ac:dyDescent="0.35">
      <c r="A28" s="2" t="str">
        <f>IF(LEN('A créer'!C28)=0,"","*FN")</f>
        <v/>
      </c>
      <c r="B28" s="3" t="str">
        <f>IF(LEN('A créer'!C28)=0,"","\E")</f>
        <v/>
      </c>
      <c r="C28" s="2" t="str">
        <f>IF(LEN('A créer'!C28)=0,"","Tab")</f>
        <v/>
      </c>
      <c r="D28" s="6" t="str">
        <f>IF(LEN('A créer'!C28)=0,"",'A créer'!A28)</f>
        <v/>
      </c>
      <c r="E28" s="2" t="str">
        <f>IF(LEN('A créer'!C28)=0,"","Tab")</f>
        <v/>
      </c>
      <c r="F28" s="6" t="str">
        <f>IF(LEN('A créer'!C28)=0,"",0)</f>
        <v/>
      </c>
      <c r="G28" s="2" t="str">
        <f>IF(LEN('A créer'!C28)=0,"","Tab")</f>
        <v/>
      </c>
      <c r="H28" s="6" t="str">
        <f>IF(LEN('A créer'!C28)=0,"","ZZZ")</f>
        <v/>
      </c>
      <c r="I28" s="6" t="str">
        <f>IF(LEN('A créer'!C28)=0,"","0")</f>
        <v/>
      </c>
      <c r="J28" s="2" t="str">
        <f>IF(LEN('A créer'!C28)=0,"","Tab")</f>
        <v/>
      </c>
      <c r="K28" s="6" t="str">
        <f>IF(LEN('A créer'!C28)=0,"","ZZZZZZ")</f>
        <v/>
      </c>
      <c r="L28" s="6" t="str">
        <f>IF(LEN('A créer'!C28)=0,"","0")</f>
        <v/>
      </c>
      <c r="M28" s="2" t="str">
        <f>IF(LEN('A créer'!C28)=0,"","Tab")</f>
        <v/>
      </c>
      <c r="N28" s="6" t="str">
        <f>IF(LEN('A créer'!C28)=0,"","ZZZZZ")</f>
        <v/>
      </c>
      <c r="O28" s="6" t="str">
        <f>IF(LEN('A créer'!C28)=0,"",CONCATENATE('A créer'!B28,'A créer'!A28))</f>
        <v/>
      </c>
      <c r="P28" s="2" t="str">
        <f>IF(LEN('A créer'!C28)=0,"","Tab")</f>
        <v/>
      </c>
      <c r="Q28" s="6" t="str">
        <f>IF(LEN('A créer'!C28)=0,"","0")</f>
        <v/>
      </c>
      <c r="R28" s="2" t="str">
        <f>IF(LEN('A créer'!C28)=0,"","Tab")</f>
        <v/>
      </c>
      <c r="S28" s="6" t="str">
        <f>IF(LEN('A créer'!C28)=0,"","ZZZZZZZZZZ")</f>
        <v/>
      </c>
      <c r="T28" s="6" t="str">
        <f>IF(LEN('A créer'!C28)=0,"","0")</f>
        <v/>
      </c>
      <c r="U28" s="2" t="str">
        <f>IF(LEN('A créer'!C28)=0,"","Tab")</f>
        <v/>
      </c>
      <c r="V28" s="6" t="str">
        <f>IF(LEN('A créer'!C28)=0,"","ZZZZZZZZZZ")</f>
        <v/>
      </c>
      <c r="W28" s="6" t="str">
        <f>IF(LEN('A créer'!C28)=0,"","0")</f>
        <v/>
      </c>
      <c r="X28" s="2" t="str">
        <f>IF(LEN('A créer'!C28)=0,"","Tab")</f>
        <v/>
      </c>
      <c r="Y28" s="6" t="str">
        <f>IF(LEN('A créer'!C28)=0,"","ZZZZZZZZZZZZZZZ")</f>
        <v/>
      </c>
      <c r="Z28" s="6" t="str">
        <f>IF(LEN('A créer'!C28)=0,"","0")</f>
        <v/>
      </c>
      <c r="AA28" s="2" t="str">
        <f>IF(LEN('A créer'!C28)=0,"","Tab")</f>
        <v/>
      </c>
      <c r="AB28" s="6" t="str">
        <f>IF(LEN('A créer'!C28)=0,"","ZZZ")</f>
        <v/>
      </c>
      <c r="AC28" s="6" t="str">
        <f>IF(LEN('A créer'!C28)=0,"","0")</f>
        <v/>
      </c>
      <c r="AD28" s="2" t="str">
        <f>IF(LEN('A créer'!C28)=0,"","Tab")</f>
        <v/>
      </c>
      <c r="AE28" s="6" t="str">
        <f>IF(LEN('A créer'!C28)=0,"","ZZZZZZZZZZ")</f>
        <v/>
      </c>
      <c r="AF28" s="6" t="str">
        <f>IF(LEN('A créer'!C28)=0,"","0")</f>
        <v/>
      </c>
      <c r="AG28" s="2" t="str">
        <f>IF(LEN('A créer'!C28)=0,"","Tab")</f>
        <v/>
      </c>
      <c r="AH28" s="6" t="str">
        <f>IF(LEN('A créer'!C28)=0,"","ZZZZZZZZZZ")</f>
        <v/>
      </c>
      <c r="AI28" s="6" t="str">
        <f>IF(LEN('A créer'!C28)=0,"","0")</f>
        <v/>
      </c>
      <c r="AJ28" s="2" t="str">
        <f>IF(LEN('A créer'!C28)=0,"","Tab")</f>
        <v/>
      </c>
      <c r="AK28" s="6" t="str">
        <f>IF(LEN('A créer'!C28)=0,"","ZZZZZZZZZZ")</f>
        <v/>
      </c>
      <c r="AL28" s="2" t="str">
        <f>IF(LEN('A créer'!C28)=0,"","ENT")</f>
        <v/>
      </c>
      <c r="AM28" s="2" t="str">
        <f>IF(LEN('A créer'!C28)=0,"","*SAVE")</f>
        <v/>
      </c>
      <c r="AN28" s="2" t="str">
        <f>IF(OR('A créer'!D28="Oui",LEN('A créer'!D28)=0,LEN('A créer'!C28)=0),"","*FN")</f>
        <v/>
      </c>
      <c r="AO28" s="3" t="str">
        <f>IF(OR('A créer'!D28="Oui",LEN('A créer'!D28)=0,LEN('A créer'!C28)=0),"","\E")</f>
        <v/>
      </c>
      <c r="AP28" s="2" t="str">
        <f>IF(OR('A créer'!D28="Oui",LEN('A créer'!D28)=0,LEN('A créer'!C28)=0),"","TAB")</f>
        <v/>
      </c>
      <c r="AQ28" s="6" t="str">
        <f>IF(OR('A créer'!D28="Oui",LEN('A créer'!D28)=0,LEN('A créer'!C28)=0),"",'A créer'!A28)</f>
        <v/>
      </c>
      <c r="AR28" s="2" t="str">
        <f>IF(OR('A créer'!D28="Oui",LEN('A créer'!D28)=0,LEN('A créer'!C28)=0),"","TAB")</f>
        <v/>
      </c>
      <c r="AS28" s="6" t="str">
        <f>IF(OR('A créer'!D28="Oui",LEN('A créer'!D28)=0,LEN('A créer'!C28)=0),"","0")</f>
        <v/>
      </c>
      <c r="AT28" s="2" t="str">
        <f>IF(OR('A créer'!D28="Oui",LEN('A créer'!D28)=0,LEN('A créer'!C28)=0),"","TAB")</f>
        <v/>
      </c>
      <c r="AU28" s="6" t="str">
        <f>IF(OR('A créer'!D28="Oui",LEN('A créer'!D28)=0,LEN('A créer'!C28)=0),"","ZZZ")</f>
        <v/>
      </c>
      <c r="AV28" s="6" t="str">
        <f>IF(OR('A créer'!D28="Oui",LEN('A créer'!D28)=0,LEN('A créer'!C28)=0),"","0")</f>
        <v/>
      </c>
      <c r="AW28" s="2" t="str">
        <f>IF(OR('A créer'!D28="Oui",LEN('A créer'!D28)=0,LEN('A créer'!C28)=0),"","TAB")</f>
        <v/>
      </c>
      <c r="AX28" s="6" t="str">
        <f>IF(OR('A créer'!D28="Oui",LEN('A créer'!D28)=0,LEN('A créer'!C28)=0),"","ZZZZZZ")</f>
        <v/>
      </c>
      <c r="AY28" s="6" t="str">
        <f>IF(OR('A créer'!D28="Oui",LEN('A créer'!D28)=0,LEN('A créer'!C28)=0),"","0")</f>
        <v/>
      </c>
      <c r="AZ28" s="2" t="str">
        <f>IF(OR('A créer'!D28="Oui",LEN('A créer'!D28)=0,LEN('A créer'!C28)=0),"","TAB")</f>
        <v/>
      </c>
      <c r="BA28" s="6" t="str">
        <f>IF(OR('A créer'!D28="Oui",LEN('A créer'!D28)=0,LEN('A créer'!C28)=0),"","ZZZZZ")</f>
        <v/>
      </c>
      <c r="BB28" s="6" t="str">
        <f>IF(OR('A créer'!D28="Oui",LEN('A créer'!D28)=0,LEN('A créer'!C28)=0),"",CONCATENATE("XXX",'A créer'!A28))</f>
        <v/>
      </c>
      <c r="BC28" s="2" t="str">
        <f>IF(OR('A créer'!D28="Oui",LEN('A créer'!D28)=0,LEN('A créer'!C28)=0),"","TAB")</f>
        <v/>
      </c>
      <c r="BD28" s="6" t="str">
        <f>IF(OR('A créer'!D28="Oui",LEN('A créer'!D28)=0,LEN('A créer'!C28)=0),"","0")</f>
        <v/>
      </c>
      <c r="BE28" s="2" t="str">
        <f>IF(OR('A créer'!D28="Oui",LEN('A créer'!D28)=0,LEN('A créer'!C28)=0),"","TAB")</f>
        <v/>
      </c>
      <c r="BF28" s="6" t="str">
        <f>IF(OR('A créer'!D28="Oui",LEN('A créer'!D28)=0,LEN('A créer'!C28)=0),"","ZZZZZZZZZZ")</f>
        <v/>
      </c>
      <c r="BG28" s="6" t="str">
        <f>IF(OR('A créer'!D28="Oui",LEN('A créer'!D28)=0,LEN('A créer'!C28)=0),"","0")</f>
        <v/>
      </c>
      <c r="BH28" s="2" t="str">
        <f>IF(OR('A créer'!D28="Oui",LEN('A créer'!D28)=0,LEN('A créer'!C28)=0),"","TAB")</f>
        <v/>
      </c>
      <c r="BI28" s="6" t="str">
        <f>IF(OR('A créer'!D28="Oui",LEN('A créer'!D28)=0,LEN('A créer'!C28)=0),"","ZZZZZZZZZZ")</f>
        <v/>
      </c>
      <c r="BJ28" s="6" t="str">
        <f>IF(OR('A créer'!D28="Oui",LEN('A créer'!D28)=0,LEN('A créer'!C28)=0),"","0")</f>
        <v/>
      </c>
      <c r="BK28" s="2" t="str">
        <f>IF(OR('A créer'!D28="Oui",LEN('A créer'!D28)=0,LEN('A créer'!C28)=0),"","TAB")</f>
        <v/>
      </c>
      <c r="BL28" s="6" t="str">
        <f>IF(OR('A créer'!D28="Oui",LEN('A créer'!D28)=0,LEN('A créer'!C28)=0),"","ZZZZZZZZZZZZZZZ")</f>
        <v/>
      </c>
      <c r="BM28" s="6" t="str">
        <f>IF(OR('A créer'!D28="Oui",LEN('A créer'!D28)=0,LEN('A créer'!C28)=0),"","0")</f>
        <v/>
      </c>
      <c r="BN28" s="2" t="str">
        <f>IF(OR('A créer'!D28="Oui",LEN('A créer'!D28)=0,LEN('A créer'!C28)=0),"","TAB")</f>
        <v/>
      </c>
      <c r="BO28" s="6" t="str">
        <f>IF(OR('A créer'!D28="Oui",LEN('A créer'!D28)=0,LEN('A créer'!C28)=0),"","ZZZ")</f>
        <v/>
      </c>
      <c r="BP28" s="6" t="str">
        <f>IF(OR('A créer'!D28="Oui",LEN('A créer'!D28)=0,LEN('A créer'!C28)=0),"","0")</f>
        <v/>
      </c>
      <c r="BQ28" s="2" t="str">
        <f>IF(OR('A créer'!D28="Oui",LEN('A créer'!D28)=0,LEN('A créer'!C28)=0),"","TAB")</f>
        <v/>
      </c>
      <c r="BR28" s="6" t="str">
        <f>IF(OR('A créer'!D28="Oui",LEN('A créer'!D28)=0,LEN('A créer'!C28)=0),"","ZZZZZZZZZZ")</f>
        <v/>
      </c>
      <c r="BS28" s="6" t="str">
        <f>IF(OR('A créer'!D28="Oui",LEN('A créer'!D28)=0,LEN('A créer'!C28)=0),"","0")</f>
        <v/>
      </c>
      <c r="BT28" s="2" t="str">
        <f>IF(OR('A créer'!D28="Oui",LEN('A créer'!D28)=0,LEN('A créer'!C28)=0),"","TAB")</f>
        <v/>
      </c>
      <c r="BU28" s="6" t="str">
        <f>IF(OR('A créer'!D28="Oui",LEN('A créer'!D28)=0,LEN('A créer'!C28)=0),"","ZZZZZZZZZZ")</f>
        <v/>
      </c>
      <c r="BV28" s="6" t="str">
        <f>IF(OR('A créer'!D28="Oui",LEN('A créer'!D28)=0,LEN('A créer'!C28)=0),"","0")</f>
        <v/>
      </c>
      <c r="BW28" s="2" t="str">
        <f>IF(OR('A créer'!D28="Oui",LEN('A créer'!D28)=0,LEN('A créer'!C28)=0),"","TAB")</f>
        <v/>
      </c>
      <c r="BX28" s="6" t="str">
        <f>IF(OR('A créer'!D28="Oui",LEN('A créer'!D28)=0,LEN('A créer'!C28)=0),"","ZZZZZZZZZZ")</f>
        <v/>
      </c>
      <c r="BY28" s="2" t="str">
        <f>IF(OR('A créer'!D28="Oui",LEN('A créer'!D28)=0,LEN('A créer'!C28)=0),"","ENT")</f>
        <v/>
      </c>
      <c r="BZ28" s="2" t="str">
        <f>IF(OR('A créer'!D28="Oui",LEN('A créer'!D28)=0,LEN('A créer'!C28)=0),"","*SAVE")</f>
        <v/>
      </c>
    </row>
    <row r="29" spans="1:78" x14ac:dyDescent="0.35">
      <c r="A29" s="2" t="str">
        <f>IF(LEN('A créer'!C29)=0,"","*FN")</f>
        <v/>
      </c>
      <c r="B29" s="3" t="str">
        <f>IF(LEN('A créer'!C29)=0,"","\E")</f>
        <v/>
      </c>
      <c r="C29" s="2" t="str">
        <f>IF(LEN('A créer'!C29)=0,"","Tab")</f>
        <v/>
      </c>
      <c r="D29" s="6" t="str">
        <f>IF(LEN('A créer'!C29)=0,"",'A créer'!A29)</f>
        <v/>
      </c>
      <c r="E29" s="2" t="str">
        <f>IF(LEN('A créer'!C29)=0,"","Tab")</f>
        <v/>
      </c>
      <c r="F29" s="6" t="str">
        <f>IF(LEN('A créer'!C29)=0,"",0)</f>
        <v/>
      </c>
      <c r="G29" s="2" t="str">
        <f>IF(LEN('A créer'!C29)=0,"","Tab")</f>
        <v/>
      </c>
      <c r="H29" s="6" t="str">
        <f>IF(LEN('A créer'!C29)=0,"","ZZZ")</f>
        <v/>
      </c>
      <c r="I29" s="6" t="str">
        <f>IF(LEN('A créer'!C29)=0,"","0")</f>
        <v/>
      </c>
      <c r="J29" s="2" t="str">
        <f>IF(LEN('A créer'!C29)=0,"","Tab")</f>
        <v/>
      </c>
      <c r="K29" s="6" t="str">
        <f>IF(LEN('A créer'!C29)=0,"","ZZZZZZ")</f>
        <v/>
      </c>
      <c r="L29" s="6" t="str">
        <f>IF(LEN('A créer'!C29)=0,"","0")</f>
        <v/>
      </c>
      <c r="M29" s="2" t="str">
        <f>IF(LEN('A créer'!C29)=0,"","Tab")</f>
        <v/>
      </c>
      <c r="N29" s="6" t="str">
        <f>IF(LEN('A créer'!C29)=0,"","ZZZZZ")</f>
        <v/>
      </c>
      <c r="O29" s="6" t="str">
        <f>IF(LEN('A créer'!C29)=0,"",CONCATENATE('A créer'!B29,'A créer'!A29))</f>
        <v/>
      </c>
      <c r="P29" s="2" t="str">
        <f>IF(LEN('A créer'!C29)=0,"","Tab")</f>
        <v/>
      </c>
      <c r="Q29" s="6" t="str">
        <f>IF(LEN('A créer'!C29)=0,"","0")</f>
        <v/>
      </c>
      <c r="R29" s="2" t="str">
        <f>IF(LEN('A créer'!C29)=0,"","Tab")</f>
        <v/>
      </c>
      <c r="S29" s="6" t="str">
        <f>IF(LEN('A créer'!C29)=0,"","ZZZZZZZZZZ")</f>
        <v/>
      </c>
      <c r="T29" s="6" t="str">
        <f>IF(LEN('A créer'!C29)=0,"","0")</f>
        <v/>
      </c>
      <c r="U29" s="2" t="str">
        <f>IF(LEN('A créer'!C29)=0,"","Tab")</f>
        <v/>
      </c>
      <c r="V29" s="6" t="str">
        <f>IF(LEN('A créer'!C29)=0,"","ZZZZZZZZZZ")</f>
        <v/>
      </c>
      <c r="W29" s="6" t="str">
        <f>IF(LEN('A créer'!C29)=0,"","0")</f>
        <v/>
      </c>
      <c r="X29" s="2" t="str">
        <f>IF(LEN('A créer'!C29)=0,"","Tab")</f>
        <v/>
      </c>
      <c r="Y29" s="6" t="str">
        <f>IF(LEN('A créer'!C29)=0,"","ZZZZZZZZZZZZZZZ")</f>
        <v/>
      </c>
      <c r="Z29" s="6" t="str">
        <f>IF(LEN('A créer'!C29)=0,"","0")</f>
        <v/>
      </c>
      <c r="AA29" s="2" t="str">
        <f>IF(LEN('A créer'!C29)=0,"","Tab")</f>
        <v/>
      </c>
      <c r="AB29" s="6" t="str">
        <f>IF(LEN('A créer'!C29)=0,"","ZZZ")</f>
        <v/>
      </c>
      <c r="AC29" s="6" t="str">
        <f>IF(LEN('A créer'!C29)=0,"","0")</f>
        <v/>
      </c>
      <c r="AD29" s="2" t="str">
        <f>IF(LEN('A créer'!C29)=0,"","Tab")</f>
        <v/>
      </c>
      <c r="AE29" s="6" t="str">
        <f>IF(LEN('A créer'!C29)=0,"","ZZZZZZZZZZ")</f>
        <v/>
      </c>
      <c r="AF29" s="6" t="str">
        <f>IF(LEN('A créer'!C29)=0,"","0")</f>
        <v/>
      </c>
      <c r="AG29" s="2" t="str">
        <f>IF(LEN('A créer'!C29)=0,"","Tab")</f>
        <v/>
      </c>
      <c r="AH29" s="6" t="str">
        <f>IF(LEN('A créer'!C29)=0,"","ZZZZZZZZZZ")</f>
        <v/>
      </c>
      <c r="AI29" s="6" t="str">
        <f>IF(LEN('A créer'!C29)=0,"","0")</f>
        <v/>
      </c>
      <c r="AJ29" s="2" t="str">
        <f>IF(LEN('A créer'!C29)=0,"","Tab")</f>
        <v/>
      </c>
      <c r="AK29" s="6" t="str">
        <f>IF(LEN('A créer'!C29)=0,"","ZZZZZZZZZZ")</f>
        <v/>
      </c>
      <c r="AL29" s="2" t="str">
        <f>IF(LEN('A créer'!C29)=0,"","ENT")</f>
        <v/>
      </c>
      <c r="AM29" s="2" t="str">
        <f>IF(LEN('A créer'!C29)=0,"","*SAVE")</f>
        <v/>
      </c>
      <c r="AN29" s="2" t="str">
        <f>IF(OR('A créer'!D29="Oui",LEN('A créer'!D29)=0,LEN('A créer'!C29)=0),"","*FN")</f>
        <v/>
      </c>
      <c r="AO29" s="3" t="str">
        <f>IF(OR('A créer'!D29="Oui",LEN('A créer'!D29)=0,LEN('A créer'!C29)=0),"","\E")</f>
        <v/>
      </c>
      <c r="AP29" s="2" t="str">
        <f>IF(OR('A créer'!D29="Oui",LEN('A créer'!D29)=0,LEN('A créer'!C29)=0),"","TAB")</f>
        <v/>
      </c>
      <c r="AQ29" s="6" t="str">
        <f>IF(OR('A créer'!D29="Oui",LEN('A créer'!D29)=0,LEN('A créer'!C29)=0),"",'A créer'!A29)</f>
        <v/>
      </c>
      <c r="AR29" s="2" t="str">
        <f>IF(OR('A créer'!D29="Oui",LEN('A créer'!D29)=0,LEN('A créer'!C29)=0),"","TAB")</f>
        <v/>
      </c>
      <c r="AS29" s="6" t="str">
        <f>IF(OR('A créer'!D29="Oui",LEN('A créer'!D29)=0,LEN('A créer'!C29)=0),"","0")</f>
        <v/>
      </c>
      <c r="AT29" s="2" t="str">
        <f>IF(OR('A créer'!D29="Oui",LEN('A créer'!D29)=0,LEN('A créer'!C29)=0),"","TAB")</f>
        <v/>
      </c>
      <c r="AU29" s="6" t="str">
        <f>IF(OR('A créer'!D29="Oui",LEN('A créer'!D29)=0,LEN('A créer'!C29)=0),"","ZZZ")</f>
        <v/>
      </c>
      <c r="AV29" s="6" t="str">
        <f>IF(OR('A créer'!D29="Oui",LEN('A créer'!D29)=0,LEN('A créer'!C29)=0),"","0")</f>
        <v/>
      </c>
      <c r="AW29" s="2" t="str">
        <f>IF(OR('A créer'!D29="Oui",LEN('A créer'!D29)=0,LEN('A créer'!C29)=0),"","TAB")</f>
        <v/>
      </c>
      <c r="AX29" s="6" t="str">
        <f>IF(OR('A créer'!D29="Oui",LEN('A créer'!D29)=0,LEN('A créer'!C29)=0),"","ZZZZZZ")</f>
        <v/>
      </c>
      <c r="AY29" s="6" t="str">
        <f>IF(OR('A créer'!D29="Oui",LEN('A créer'!D29)=0,LEN('A créer'!C29)=0),"","0")</f>
        <v/>
      </c>
      <c r="AZ29" s="2" t="str">
        <f>IF(OR('A créer'!D29="Oui",LEN('A créer'!D29)=0,LEN('A créer'!C29)=0),"","TAB")</f>
        <v/>
      </c>
      <c r="BA29" s="6" t="str">
        <f>IF(OR('A créer'!D29="Oui",LEN('A créer'!D29)=0,LEN('A créer'!C29)=0),"","ZZZZZ")</f>
        <v/>
      </c>
      <c r="BB29" s="6" t="str">
        <f>IF(OR('A créer'!D29="Oui",LEN('A créer'!D29)=0,LEN('A créer'!C29)=0),"",CONCATENATE("XXX",'A créer'!A29))</f>
        <v/>
      </c>
      <c r="BC29" s="2" t="str">
        <f>IF(OR('A créer'!D29="Oui",LEN('A créer'!D29)=0,LEN('A créer'!C29)=0),"","TAB")</f>
        <v/>
      </c>
      <c r="BD29" s="6" t="str">
        <f>IF(OR('A créer'!D29="Oui",LEN('A créer'!D29)=0,LEN('A créer'!C29)=0),"","0")</f>
        <v/>
      </c>
      <c r="BE29" s="2" t="str">
        <f>IF(OR('A créer'!D29="Oui",LEN('A créer'!D29)=0,LEN('A créer'!C29)=0),"","TAB")</f>
        <v/>
      </c>
      <c r="BF29" s="6" t="str">
        <f>IF(OR('A créer'!D29="Oui",LEN('A créer'!D29)=0,LEN('A créer'!C29)=0),"","ZZZZZZZZZZ")</f>
        <v/>
      </c>
      <c r="BG29" s="6" t="str">
        <f>IF(OR('A créer'!D29="Oui",LEN('A créer'!D29)=0,LEN('A créer'!C29)=0),"","0")</f>
        <v/>
      </c>
      <c r="BH29" s="2" t="str">
        <f>IF(OR('A créer'!D29="Oui",LEN('A créer'!D29)=0,LEN('A créer'!C29)=0),"","TAB")</f>
        <v/>
      </c>
      <c r="BI29" s="6" t="str">
        <f>IF(OR('A créer'!D29="Oui",LEN('A créer'!D29)=0,LEN('A créer'!C29)=0),"","ZZZZZZZZZZ")</f>
        <v/>
      </c>
      <c r="BJ29" s="6" t="str">
        <f>IF(OR('A créer'!D29="Oui",LEN('A créer'!D29)=0,LEN('A créer'!C29)=0),"","0")</f>
        <v/>
      </c>
      <c r="BK29" s="2" t="str">
        <f>IF(OR('A créer'!D29="Oui",LEN('A créer'!D29)=0,LEN('A créer'!C29)=0),"","TAB")</f>
        <v/>
      </c>
      <c r="BL29" s="6" t="str">
        <f>IF(OR('A créer'!D29="Oui",LEN('A créer'!D29)=0,LEN('A créer'!C29)=0),"","ZZZZZZZZZZZZZZZ")</f>
        <v/>
      </c>
      <c r="BM29" s="6" t="str">
        <f>IF(OR('A créer'!D29="Oui",LEN('A créer'!D29)=0,LEN('A créer'!C29)=0),"","0")</f>
        <v/>
      </c>
      <c r="BN29" s="2" t="str">
        <f>IF(OR('A créer'!D29="Oui",LEN('A créer'!D29)=0,LEN('A créer'!C29)=0),"","TAB")</f>
        <v/>
      </c>
      <c r="BO29" s="6" t="str">
        <f>IF(OR('A créer'!D29="Oui",LEN('A créer'!D29)=0,LEN('A créer'!C29)=0),"","ZZZ")</f>
        <v/>
      </c>
      <c r="BP29" s="6" t="str">
        <f>IF(OR('A créer'!D29="Oui",LEN('A créer'!D29)=0,LEN('A créer'!C29)=0),"","0")</f>
        <v/>
      </c>
      <c r="BQ29" s="2" t="str">
        <f>IF(OR('A créer'!D29="Oui",LEN('A créer'!D29)=0,LEN('A créer'!C29)=0),"","TAB")</f>
        <v/>
      </c>
      <c r="BR29" s="6" t="str">
        <f>IF(OR('A créer'!D29="Oui",LEN('A créer'!D29)=0,LEN('A créer'!C29)=0),"","ZZZZZZZZZZ")</f>
        <v/>
      </c>
      <c r="BS29" s="6" t="str">
        <f>IF(OR('A créer'!D29="Oui",LEN('A créer'!D29)=0,LEN('A créer'!C29)=0),"","0")</f>
        <v/>
      </c>
      <c r="BT29" s="2" t="str">
        <f>IF(OR('A créer'!D29="Oui",LEN('A créer'!D29)=0,LEN('A créer'!C29)=0),"","TAB")</f>
        <v/>
      </c>
      <c r="BU29" s="6" t="str">
        <f>IF(OR('A créer'!D29="Oui",LEN('A créer'!D29)=0,LEN('A créer'!C29)=0),"","ZZZZZZZZZZ")</f>
        <v/>
      </c>
      <c r="BV29" s="6" t="str">
        <f>IF(OR('A créer'!D29="Oui",LEN('A créer'!D29)=0,LEN('A créer'!C29)=0),"","0")</f>
        <v/>
      </c>
      <c r="BW29" s="2" t="str">
        <f>IF(OR('A créer'!D29="Oui",LEN('A créer'!D29)=0,LEN('A créer'!C29)=0),"","TAB")</f>
        <v/>
      </c>
      <c r="BX29" s="6" t="str">
        <f>IF(OR('A créer'!D29="Oui",LEN('A créer'!D29)=0,LEN('A créer'!C29)=0),"","ZZZZZZZZZZ")</f>
        <v/>
      </c>
      <c r="BY29" s="2" t="str">
        <f>IF(OR('A créer'!D29="Oui",LEN('A créer'!D29)=0,LEN('A créer'!C29)=0),"","ENT")</f>
        <v/>
      </c>
      <c r="BZ29" s="2" t="str">
        <f>IF(OR('A créer'!D29="Oui",LEN('A créer'!D29)=0,LEN('A créer'!C29)=0),"","*SAVE")</f>
        <v/>
      </c>
    </row>
    <row r="30" spans="1:78" x14ac:dyDescent="0.35">
      <c r="A30" s="2" t="str">
        <f>IF(LEN('A créer'!C30)=0,"","*FN")</f>
        <v/>
      </c>
      <c r="B30" s="3" t="str">
        <f>IF(LEN('A créer'!C30)=0,"","\E")</f>
        <v/>
      </c>
      <c r="C30" s="2" t="str">
        <f>IF(LEN('A créer'!C30)=0,"","Tab")</f>
        <v/>
      </c>
      <c r="D30" s="6" t="str">
        <f>IF(LEN('A créer'!C30)=0,"",'A créer'!A30)</f>
        <v/>
      </c>
      <c r="E30" s="2" t="str">
        <f>IF(LEN('A créer'!C30)=0,"","Tab")</f>
        <v/>
      </c>
      <c r="F30" s="6" t="str">
        <f>IF(LEN('A créer'!C30)=0,"",0)</f>
        <v/>
      </c>
      <c r="G30" s="2" t="str">
        <f>IF(LEN('A créer'!C30)=0,"","Tab")</f>
        <v/>
      </c>
      <c r="H30" s="6" t="str">
        <f>IF(LEN('A créer'!C30)=0,"","ZZZ")</f>
        <v/>
      </c>
      <c r="I30" s="6" t="str">
        <f>IF(LEN('A créer'!C30)=0,"","0")</f>
        <v/>
      </c>
      <c r="J30" s="2" t="str">
        <f>IF(LEN('A créer'!C30)=0,"","Tab")</f>
        <v/>
      </c>
      <c r="K30" s="6" t="str">
        <f>IF(LEN('A créer'!C30)=0,"","ZZZZZZ")</f>
        <v/>
      </c>
      <c r="L30" s="6" t="str">
        <f>IF(LEN('A créer'!C30)=0,"","0")</f>
        <v/>
      </c>
      <c r="M30" s="2" t="str">
        <f>IF(LEN('A créer'!C30)=0,"","Tab")</f>
        <v/>
      </c>
      <c r="N30" s="6" t="str">
        <f>IF(LEN('A créer'!C30)=0,"","ZZZZZ")</f>
        <v/>
      </c>
      <c r="O30" s="6" t="str">
        <f>IF(LEN('A créer'!C30)=0,"",CONCATENATE('A créer'!B30,'A créer'!A30))</f>
        <v/>
      </c>
      <c r="P30" s="2" t="str">
        <f>IF(LEN('A créer'!C30)=0,"","Tab")</f>
        <v/>
      </c>
      <c r="Q30" s="6" t="str">
        <f>IF(LEN('A créer'!C30)=0,"","0")</f>
        <v/>
      </c>
      <c r="R30" s="2" t="str">
        <f>IF(LEN('A créer'!C30)=0,"","Tab")</f>
        <v/>
      </c>
      <c r="S30" s="6" t="str">
        <f>IF(LEN('A créer'!C30)=0,"","ZZZZZZZZZZ")</f>
        <v/>
      </c>
      <c r="T30" s="6" t="str">
        <f>IF(LEN('A créer'!C30)=0,"","0")</f>
        <v/>
      </c>
      <c r="U30" s="2" t="str">
        <f>IF(LEN('A créer'!C30)=0,"","Tab")</f>
        <v/>
      </c>
      <c r="V30" s="6" t="str">
        <f>IF(LEN('A créer'!C30)=0,"","ZZZZZZZZZZ")</f>
        <v/>
      </c>
      <c r="W30" s="6" t="str">
        <f>IF(LEN('A créer'!C30)=0,"","0")</f>
        <v/>
      </c>
      <c r="X30" s="2" t="str">
        <f>IF(LEN('A créer'!C30)=0,"","Tab")</f>
        <v/>
      </c>
      <c r="Y30" s="6" t="str">
        <f>IF(LEN('A créer'!C30)=0,"","ZZZZZZZZZZZZZZZ")</f>
        <v/>
      </c>
      <c r="Z30" s="6" t="str">
        <f>IF(LEN('A créer'!C30)=0,"","0")</f>
        <v/>
      </c>
      <c r="AA30" s="2" t="str">
        <f>IF(LEN('A créer'!C30)=0,"","Tab")</f>
        <v/>
      </c>
      <c r="AB30" s="6" t="str">
        <f>IF(LEN('A créer'!C30)=0,"","ZZZ")</f>
        <v/>
      </c>
      <c r="AC30" s="6" t="str">
        <f>IF(LEN('A créer'!C30)=0,"","0")</f>
        <v/>
      </c>
      <c r="AD30" s="2" t="str">
        <f>IF(LEN('A créer'!C30)=0,"","Tab")</f>
        <v/>
      </c>
      <c r="AE30" s="6" t="str">
        <f>IF(LEN('A créer'!C30)=0,"","ZZZZZZZZZZ")</f>
        <v/>
      </c>
      <c r="AF30" s="6" t="str">
        <f>IF(LEN('A créer'!C30)=0,"","0")</f>
        <v/>
      </c>
      <c r="AG30" s="2" t="str">
        <f>IF(LEN('A créer'!C30)=0,"","Tab")</f>
        <v/>
      </c>
      <c r="AH30" s="6" t="str">
        <f>IF(LEN('A créer'!C30)=0,"","ZZZZZZZZZZ")</f>
        <v/>
      </c>
      <c r="AI30" s="6" t="str">
        <f>IF(LEN('A créer'!C30)=0,"","0")</f>
        <v/>
      </c>
      <c r="AJ30" s="2" t="str">
        <f>IF(LEN('A créer'!C30)=0,"","Tab")</f>
        <v/>
      </c>
      <c r="AK30" s="6" t="str">
        <f>IF(LEN('A créer'!C30)=0,"","ZZZZZZZZZZ")</f>
        <v/>
      </c>
      <c r="AL30" s="2" t="str">
        <f>IF(LEN('A créer'!C30)=0,"","ENT")</f>
        <v/>
      </c>
      <c r="AM30" s="2" t="str">
        <f>IF(LEN('A créer'!C30)=0,"","*SAVE")</f>
        <v/>
      </c>
      <c r="AN30" s="2" t="str">
        <f>IF(OR('A créer'!D30="Oui",LEN('A créer'!D30)=0,LEN('A créer'!C30)=0),"","*FN")</f>
        <v/>
      </c>
      <c r="AO30" s="3" t="str">
        <f>IF(OR('A créer'!D30="Oui",LEN('A créer'!D30)=0,LEN('A créer'!C30)=0),"","\E")</f>
        <v/>
      </c>
      <c r="AP30" s="2" t="str">
        <f>IF(OR('A créer'!D30="Oui",LEN('A créer'!D30)=0,LEN('A créer'!C30)=0),"","TAB")</f>
        <v/>
      </c>
      <c r="AQ30" s="6" t="str">
        <f>IF(OR('A créer'!D30="Oui",LEN('A créer'!D30)=0,LEN('A créer'!C30)=0),"",'A créer'!A30)</f>
        <v/>
      </c>
      <c r="AR30" s="2" t="str">
        <f>IF(OR('A créer'!D30="Oui",LEN('A créer'!D30)=0,LEN('A créer'!C30)=0),"","TAB")</f>
        <v/>
      </c>
      <c r="AS30" s="6" t="str">
        <f>IF(OR('A créer'!D30="Oui",LEN('A créer'!D30)=0,LEN('A créer'!C30)=0),"","0")</f>
        <v/>
      </c>
      <c r="AT30" s="2" t="str">
        <f>IF(OR('A créer'!D30="Oui",LEN('A créer'!D30)=0,LEN('A créer'!C30)=0),"","TAB")</f>
        <v/>
      </c>
      <c r="AU30" s="6" t="str">
        <f>IF(OR('A créer'!D30="Oui",LEN('A créer'!D30)=0,LEN('A créer'!C30)=0),"","ZZZ")</f>
        <v/>
      </c>
      <c r="AV30" s="6" t="str">
        <f>IF(OR('A créer'!D30="Oui",LEN('A créer'!D30)=0,LEN('A créer'!C30)=0),"","0")</f>
        <v/>
      </c>
      <c r="AW30" s="2" t="str">
        <f>IF(OR('A créer'!D30="Oui",LEN('A créer'!D30)=0,LEN('A créer'!C30)=0),"","TAB")</f>
        <v/>
      </c>
      <c r="AX30" s="6" t="str">
        <f>IF(OR('A créer'!D30="Oui",LEN('A créer'!D30)=0,LEN('A créer'!C30)=0),"","ZZZZZZ")</f>
        <v/>
      </c>
      <c r="AY30" s="6" t="str">
        <f>IF(OR('A créer'!D30="Oui",LEN('A créer'!D30)=0,LEN('A créer'!C30)=0),"","0")</f>
        <v/>
      </c>
      <c r="AZ30" s="2" t="str">
        <f>IF(OR('A créer'!D30="Oui",LEN('A créer'!D30)=0,LEN('A créer'!C30)=0),"","TAB")</f>
        <v/>
      </c>
      <c r="BA30" s="6" t="str">
        <f>IF(OR('A créer'!D30="Oui",LEN('A créer'!D30)=0,LEN('A créer'!C30)=0),"","ZZZZZ")</f>
        <v/>
      </c>
      <c r="BB30" s="6" t="str">
        <f>IF(OR('A créer'!D30="Oui",LEN('A créer'!D30)=0,LEN('A créer'!C30)=0),"",CONCATENATE("XXX",'A créer'!A30))</f>
        <v/>
      </c>
      <c r="BC30" s="2" t="str">
        <f>IF(OR('A créer'!D30="Oui",LEN('A créer'!D30)=0,LEN('A créer'!C30)=0),"","TAB")</f>
        <v/>
      </c>
      <c r="BD30" s="6" t="str">
        <f>IF(OR('A créer'!D30="Oui",LEN('A créer'!D30)=0,LEN('A créer'!C30)=0),"","0")</f>
        <v/>
      </c>
      <c r="BE30" s="2" t="str">
        <f>IF(OR('A créer'!D30="Oui",LEN('A créer'!D30)=0,LEN('A créer'!C30)=0),"","TAB")</f>
        <v/>
      </c>
      <c r="BF30" s="6" t="str">
        <f>IF(OR('A créer'!D30="Oui",LEN('A créer'!D30)=0,LEN('A créer'!C30)=0),"","ZZZZZZZZZZ")</f>
        <v/>
      </c>
      <c r="BG30" s="6" t="str">
        <f>IF(OR('A créer'!D30="Oui",LEN('A créer'!D30)=0,LEN('A créer'!C30)=0),"","0")</f>
        <v/>
      </c>
      <c r="BH30" s="2" t="str">
        <f>IF(OR('A créer'!D30="Oui",LEN('A créer'!D30)=0,LEN('A créer'!C30)=0),"","TAB")</f>
        <v/>
      </c>
      <c r="BI30" s="6" t="str">
        <f>IF(OR('A créer'!D30="Oui",LEN('A créer'!D30)=0,LEN('A créer'!C30)=0),"","ZZZZZZZZZZ")</f>
        <v/>
      </c>
      <c r="BJ30" s="6" t="str">
        <f>IF(OR('A créer'!D30="Oui",LEN('A créer'!D30)=0,LEN('A créer'!C30)=0),"","0")</f>
        <v/>
      </c>
      <c r="BK30" s="2" t="str">
        <f>IF(OR('A créer'!D30="Oui",LEN('A créer'!D30)=0,LEN('A créer'!C30)=0),"","TAB")</f>
        <v/>
      </c>
      <c r="BL30" s="6" t="str">
        <f>IF(OR('A créer'!D30="Oui",LEN('A créer'!D30)=0,LEN('A créer'!C30)=0),"","ZZZZZZZZZZZZZZZ")</f>
        <v/>
      </c>
      <c r="BM30" s="6" t="str">
        <f>IF(OR('A créer'!D30="Oui",LEN('A créer'!D30)=0,LEN('A créer'!C30)=0),"","0")</f>
        <v/>
      </c>
      <c r="BN30" s="2" t="str">
        <f>IF(OR('A créer'!D30="Oui",LEN('A créer'!D30)=0,LEN('A créer'!C30)=0),"","TAB")</f>
        <v/>
      </c>
      <c r="BO30" s="6" t="str">
        <f>IF(OR('A créer'!D30="Oui",LEN('A créer'!D30)=0,LEN('A créer'!C30)=0),"","ZZZ")</f>
        <v/>
      </c>
      <c r="BP30" s="6" t="str">
        <f>IF(OR('A créer'!D30="Oui",LEN('A créer'!D30)=0,LEN('A créer'!C30)=0),"","0")</f>
        <v/>
      </c>
      <c r="BQ30" s="2" t="str">
        <f>IF(OR('A créer'!D30="Oui",LEN('A créer'!D30)=0,LEN('A créer'!C30)=0),"","TAB")</f>
        <v/>
      </c>
      <c r="BR30" s="6" t="str">
        <f>IF(OR('A créer'!D30="Oui",LEN('A créer'!D30)=0,LEN('A créer'!C30)=0),"","ZZZZZZZZZZ")</f>
        <v/>
      </c>
      <c r="BS30" s="6" t="str">
        <f>IF(OR('A créer'!D30="Oui",LEN('A créer'!D30)=0,LEN('A créer'!C30)=0),"","0")</f>
        <v/>
      </c>
      <c r="BT30" s="2" t="str">
        <f>IF(OR('A créer'!D30="Oui",LEN('A créer'!D30)=0,LEN('A créer'!C30)=0),"","TAB")</f>
        <v/>
      </c>
      <c r="BU30" s="6" t="str">
        <f>IF(OR('A créer'!D30="Oui",LEN('A créer'!D30)=0,LEN('A créer'!C30)=0),"","ZZZZZZZZZZ")</f>
        <v/>
      </c>
      <c r="BV30" s="6" t="str">
        <f>IF(OR('A créer'!D30="Oui",LEN('A créer'!D30)=0,LEN('A créer'!C30)=0),"","0")</f>
        <v/>
      </c>
      <c r="BW30" s="2" t="str">
        <f>IF(OR('A créer'!D30="Oui",LEN('A créer'!D30)=0,LEN('A créer'!C30)=0),"","TAB")</f>
        <v/>
      </c>
      <c r="BX30" s="6" t="str">
        <f>IF(OR('A créer'!D30="Oui",LEN('A créer'!D30)=0,LEN('A créer'!C30)=0),"","ZZZZZZZZZZ")</f>
        <v/>
      </c>
      <c r="BY30" s="2" t="str">
        <f>IF(OR('A créer'!D30="Oui",LEN('A créer'!D30)=0,LEN('A créer'!C30)=0),"","ENT")</f>
        <v/>
      </c>
      <c r="BZ30" s="2" t="str">
        <f>IF(OR('A créer'!D30="Oui",LEN('A créer'!D30)=0,LEN('A créer'!C30)=0),"","*SAVE")</f>
        <v/>
      </c>
    </row>
    <row r="31" spans="1:78" x14ac:dyDescent="0.35">
      <c r="A31" s="2" t="str">
        <f>IF(LEN('A créer'!C31)=0,"","*FN")</f>
        <v/>
      </c>
      <c r="B31" s="3" t="str">
        <f>IF(LEN('A créer'!C31)=0,"","\E")</f>
        <v/>
      </c>
      <c r="C31" s="2" t="str">
        <f>IF(LEN('A créer'!C31)=0,"","Tab")</f>
        <v/>
      </c>
      <c r="D31" s="6" t="str">
        <f>IF(LEN('A créer'!C31)=0,"",'A créer'!A31)</f>
        <v/>
      </c>
      <c r="E31" s="2" t="str">
        <f>IF(LEN('A créer'!C31)=0,"","Tab")</f>
        <v/>
      </c>
      <c r="F31" s="6" t="str">
        <f>IF(LEN('A créer'!C31)=0,"",0)</f>
        <v/>
      </c>
      <c r="G31" s="2" t="str">
        <f>IF(LEN('A créer'!C31)=0,"","Tab")</f>
        <v/>
      </c>
      <c r="H31" s="6" t="str">
        <f>IF(LEN('A créer'!C31)=0,"","ZZZ")</f>
        <v/>
      </c>
      <c r="I31" s="6" t="str">
        <f>IF(LEN('A créer'!C31)=0,"","0")</f>
        <v/>
      </c>
      <c r="J31" s="2" t="str">
        <f>IF(LEN('A créer'!C31)=0,"","Tab")</f>
        <v/>
      </c>
      <c r="K31" s="6" t="str">
        <f>IF(LEN('A créer'!C31)=0,"","ZZZZZZ")</f>
        <v/>
      </c>
      <c r="L31" s="6" t="str">
        <f>IF(LEN('A créer'!C31)=0,"","0")</f>
        <v/>
      </c>
      <c r="M31" s="2" t="str">
        <f>IF(LEN('A créer'!C31)=0,"","Tab")</f>
        <v/>
      </c>
      <c r="N31" s="6" t="str">
        <f>IF(LEN('A créer'!C31)=0,"","ZZZZZ")</f>
        <v/>
      </c>
      <c r="O31" s="6" t="str">
        <f>IF(LEN('A créer'!C31)=0,"",CONCATENATE('A créer'!B31,'A créer'!A31))</f>
        <v/>
      </c>
      <c r="P31" s="2" t="str">
        <f>IF(LEN('A créer'!C31)=0,"","Tab")</f>
        <v/>
      </c>
      <c r="Q31" s="6" t="str">
        <f>IF(LEN('A créer'!C31)=0,"","0")</f>
        <v/>
      </c>
      <c r="R31" s="2" t="str">
        <f>IF(LEN('A créer'!C31)=0,"","Tab")</f>
        <v/>
      </c>
      <c r="S31" s="6" t="str">
        <f>IF(LEN('A créer'!C31)=0,"","ZZZZZZZZZZ")</f>
        <v/>
      </c>
      <c r="T31" s="6" t="str">
        <f>IF(LEN('A créer'!C31)=0,"","0")</f>
        <v/>
      </c>
      <c r="U31" s="2" t="str">
        <f>IF(LEN('A créer'!C31)=0,"","Tab")</f>
        <v/>
      </c>
      <c r="V31" s="6" t="str">
        <f>IF(LEN('A créer'!C31)=0,"","ZZZZZZZZZZ")</f>
        <v/>
      </c>
      <c r="W31" s="6" t="str">
        <f>IF(LEN('A créer'!C31)=0,"","0")</f>
        <v/>
      </c>
      <c r="X31" s="2" t="str">
        <f>IF(LEN('A créer'!C31)=0,"","Tab")</f>
        <v/>
      </c>
      <c r="Y31" s="6" t="str">
        <f>IF(LEN('A créer'!C31)=0,"","ZZZZZZZZZZZZZZZ")</f>
        <v/>
      </c>
      <c r="Z31" s="6" t="str">
        <f>IF(LEN('A créer'!C31)=0,"","0")</f>
        <v/>
      </c>
      <c r="AA31" s="2" t="str">
        <f>IF(LEN('A créer'!C31)=0,"","Tab")</f>
        <v/>
      </c>
      <c r="AB31" s="6" t="str">
        <f>IF(LEN('A créer'!C31)=0,"","ZZZ")</f>
        <v/>
      </c>
      <c r="AC31" s="6" t="str">
        <f>IF(LEN('A créer'!C31)=0,"","0")</f>
        <v/>
      </c>
      <c r="AD31" s="2" t="str">
        <f>IF(LEN('A créer'!C31)=0,"","Tab")</f>
        <v/>
      </c>
      <c r="AE31" s="6" t="str">
        <f>IF(LEN('A créer'!C31)=0,"","ZZZZZZZZZZ")</f>
        <v/>
      </c>
      <c r="AF31" s="6" t="str">
        <f>IF(LEN('A créer'!C31)=0,"","0")</f>
        <v/>
      </c>
      <c r="AG31" s="2" t="str">
        <f>IF(LEN('A créer'!C31)=0,"","Tab")</f>
        <v/>
      </c>
      <c r="AH31" s="6" t="str">
        <f>IF(LEN('A créer'!C31)=0,"","ZZZZZZZZZZ")</f>
        <v/>
      </c>
      <c r="AI31" s="6" t="str">
        <f>IF(LEN('A créer'!C31)=0,"","0")</f>
        <v/>
      </c>
      <c r="AJ31" s="2" t="str">
        <f>IF(LEN('A créer'!C31)=0,"","Tab")</f>
        <v/>
      </c>
      <c r="AK31" s="6" t="str">
        <f>IF(LEN('A créer'!C31)=0,"","ZZZZZZZZZZ")</f>
        <v/>
      </c>
      <c r="AL31" s="2" t="str">
        <f>IF(LEN('A créer'!C31)=0,"","ENT")</f>
        <v/>
      </c>
      <c r="AM31" s="2" t="str">
        <f>IF(LEN('A créer'!C31)=0,"","*SAVE")</f>
        <v/>
      </c>
      <c r="AN31" s="2" t="str">
        <f>IF(OR('A créer'!D31="Oui",LEN('A créer'!D31)=0,LEN('A créer'!C31)=0),"","*FN")</f>
        <v/>
      </c>
      <c r="AO31" s="3" t="str">
        <f>IF(OR('A créer'!D31="Oui",LEN('A créer'!D31)=0,LEN('A créer'!C31)=0),"","\E")</f>
        <v/>
      </c>
      <c r="AP31" s="2" t="str">
        <f>IF(OR('A créer'!D31="Oui",LEN('A créer'!D31)=0,LEN('A créer'!C31)=0),"","TAB")</f>
        <v/>
      </c>
      <c r="AQ31" s="6" t="str">
        <f>IF(OR('A créer'!D31="Oui",LEN('A créer'!D31)=0,LEN('A créer'!C31)=0),"",'A créer'!A31)</f>
        <v/>
      </c>
      <c r="AR31" s="2" t="str">
        <f>IF(OR('A créer'!D31="Oui",LEN('A créer'!D31)=0,LEN('A créer'!C31)=0),"","TAB")</f>
        <v/>
      </c>
      <c r="AS31" s="6" t="str">
        <f>IF(OR('A créer'!D31="Oui",LEN('A créer'!D31)=0,LEN('A créer'!C31)=0),"","0")</f>
        <v/>
      </c>
      <c r="AT31" s="2" t="str">
        <f>IF(OR('A créer'!D31="Oui",LEN('A créer'!D31)=0,LEN('A créer'!C31)=0),"","TAB")</f>
        <v/>
      </c>
      <c r="AU31" s="6" t="str">
        <f>IF(OR('A créer'!D31="Oui",LEN('A créer'!D31)=0,LEN('A créer'!C31)=0),"","ZZZ")</f>
        <v/>
      </c>
      <c r="AV31" s="6" t="str">
        <f>IF(OR('A créer'!D31="Oui",LEN('A créer'!D31)=0,LEN('A créer'!C31)=0),"","0")</f>
        <v/>
      </c>
      <c r="AW31" s="2" t="str">
        <f>IF(OR('A créer'!D31="Oui",LEN('A créer'!D31)=0,LEN('A créer'!C31)=0),"","TAB")</f>
        <v/>
      </c>
      <c r="AX31" s="6" t="str">
        <f>IF(OR('A créer'!D31="Oui",LEN('A créer'!D31)=0,LEN('A créer'!C31)=0),"","ZZZZZZ")</f>
        <v/>
      </c>
      <c r="AY31" s="6" t="str">
        <f>IF(OR('A créer'!D31="Oui",LEN('A créer'!D31)=0,LEN('A créer'!C31)=0),"","0")</f>
        <v/>
      </c>
      <c r="AZ31" s="2" t="str">
        <f>IF(OR('A créer'!D31="Oui",LEN('A créer'!D31)=0,LEN('A créer'!C31)=0),"","TAB")</f>
        <v/>
      </c>
      <c r="BA31" s="6" t="str">
        <f>IF(OR('A créer'!D31="Oui",LEN('A créer'!D31)=0,LEN('A créer'!C31)=0),"","ZZZZZ")</f>
        <v/>
      </c>
      <c r="BB31" s="6" t="str">
        <f>IF(OR('A créer'!D31="Oui",LEN('A créer'!D31)=0,LEN('A créer'!C31)=0),"",CONCATENATE("XXX",'A créer'!A31))</f>
        <v/>
      </c>
      <c r="BC31" s="2" t="str">
        <f>IF(OR('A créer'!D31="Oui",LEN('A créer'!D31)=0,LEN('A créer'!C31)=0),"","TAB")</f>
        <v/>
      </c>
      <c r="BD31" s="6" t="str">
        <f>IF(OR('A créer'!D31="Oui",LEN('A créer'!D31)=0,LEN('A créer'!C31)=0),"","0")</f>
        <v/>
      </c>
      <c r="BE31" s="2" t="str">
        <f>IF(OR('A créer'!D31="Oui",LEN('A créer'!D31)=0,LEN('A créer'!C31)=0),"","TAB")</f>
        <v/>
      </c>
      <c r="BF31" s="6" t="str">
        <f>IF(OR('A créer'!D31="Oui",LEN('A créer'!D31)=0,LEN('A créer'!C31)=0),"","ZZZZZZZZZZ")</f>
        <v/>
      </c>
      <c r="BG31" s="6" t="str">
        <f>IF(OR('A créer'!D31="Oui",LEN('A créer'!D31)=0,LEN('A créer'!C31)=0),"","0")</f>
        <v/>
      </c>
      <c r="BH31" s="2" t="str">
        <f>IF(OR('A créer'!D31="Oui",LEN('A créer'!D31)=0,LEN('A créer'!C31)=0),"","TAB")</f>
        <v/>
      </c>
      <c r="BI31" s="6" t="str">
        <f>IF(OR('A créer'!D31="Oui",LEN('A créer'!D31)=0,LEN('A créer'!C31)=0),"","ZZZZZZZZZZ")</f>
        <v/>
      </c>
      <c r="BJ31" s="6" t="str">
        <f>IF(OR('A créer'!D31="Oui",LEN('A créer'!D31)=0,LEN('A créer'!C31)=0),"","0")</f>
        <v/>
      </c>
      <c r="BK31" s="2" t="str">
        <f>IF(OR('A créer'!D31="Oui",LEN('A créer'!D31)=0,LEN('A créer'!C31)=0),"","TAB")</f>
        <v/>
      </c>
      <c r="BL31" s="6" t="str">
        <f>IF(OR('A créer'!D31="Oui",LEN('A créer'!D31)=0,LEN('A créer'!C31)=0),"","ZZZZZZZZZZZZZZZ")</f>
        <v/>
      </c>
      <c r="BM31" s="6" t="str">
        <f>IF(OR('A créer'!D31="Oui",LEN('A créer'!D31)=0,LEN('A créer'!C31)=0),"","0")</f>
        <v/>
      </c>
      <c r="BN31" s="2" t="str">
        <f>IF(OR('A créer'!D31="Oui",LEN('A créer'!D31)=0,LEN('A créer'!C31)=0),"","TAB")</f>
        <v/>
      </c>
      <c r="BO31" s="6" t="str">
        <f>IF(OR('A créer'!D31="Oui",LEN('A créer'!D31)=0,LEN('A créer'!C31)=0),"","ZZZ")</f>
        <v/>
      </c>
      <c r="BP31" s="6" t="str">
        <f>IF(OR('A créer'!D31="Oui",LEN('A créer'!D31)=0,LEN('A créer'!C31)=0),"","0")</f>
        <v/>
      </c>
      <c r="BQ31" s="2" t="str">
        <f>IF(OR('A créer'!D31="Oui",LEN('A créer'!D31)=0,LEN('A créer'!C31)=0),"","TAB")</f>
        <v/>
      </c>
      <c r="BR31" s="6" t="str">
        <f>IF(OR('A créer'!D31="Oui",LEN('A créer'!D31)=0,LEN('A créer'!C31)=0),"","ZZZZZZZZZZ")</f>
        <v/>
      </c>
      <c r="BS31" s="6" t="str">
        <f>IF(OR('A créer'!D31="Oui",LEN('A créer'!D31)=0,LEN('A créer'!C31)=0),"","0")</f>
        <v/>
      </c>
      <c r="BT31" s="2" t="str">
        <f>IF(OR('A créer'!D31="Oui",LEN('A créer'!D31)=0,LEN('A créer'!C31)=0),"","TAB")</f>
        <v/>
      </c>
      <c r="BU31" s="6" t="str">
        <f>IF(OR('A créer'!D31="Oui",LEN('A créer'!D31)=0,LEN('A créer'!C31)=0),"","ZZZZZZZZZZ")</f>
        <v/>
      </c>
      <c r="BV31" s="6" t="str">
        <f>IF(OR('A créer'!D31="Oui",LEN('A créer'!D31)=0,LEN('A créer'!C31)=0),"","0")</f>
        <v/>
      </c>
      <c r="BW31" s="2" t="str">
        <f>IF(OR('A créer'!D31="Oui",LEN('A créer'!D31)=0,LEN('A créer'!C31)=0),"","TAB")</f>
        <v/>
      </c>
      <c r="BX31" s="6" t="str">
        <f>IF(OR('A créer'!D31="Oui",LEN('A créer'!D31)=0,LEN('A créer'!C31)=0),"","ZZZZZZZZZZ")</f>
        <v/>
      </c>
      <c r="BY31" s="2" t="str">
        <f>IF(OR('A créer'!D31="Oui",LEN('A créer'!D31)=0,LEN('A créer'!C31)=0),"","ENT")</f>
        <v/>
      </c>
      <c r="BZ31" s="2" t="str">
        <f>IF(OR('A créer'!D31="Oui",LEN('A créer'!D31)=0,LEN('A créer'!C31)=0),"","*SAVE")</f>
        <v/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AM30"/>
  <sheetViews>
    <sheetView zoomScale="80" zoomScaleNormal="80" workbookViewId="0">
      <pane xSplit="1" ySplit="1" topLeftCell="B2" activePane="bottomRight" state="frozenSplit"/>
      <selection activeCell="G30" sqref="G30"/>
      <selection pane="topRight" activeCell="G30" sqref="G30"/>
      <selection pane="bottomLeft" activeCell="G30" sqref="G30"/>
      <selection pane="bottomRight" activeCell="A4" sqref="A4:AM4"/>
    </sheetView>
  </sheetViews>
  <sheetFormatPr baseColWidth="10" defaultRowHeight="14.5" x14ac:dyDescent="0.35"/>
  <cols>
    <col min="1" max="1" width="4.26953125" bestFit="1" customWidth="1"/>
    <col min="2" max="2" width="2.26953125" bestFit="1" customWidth="1"/>
    <col min="3" max="3" width="4" bestFit="1" customWidth="1"/>
    <col min="4" max="4" width="7.453125" bestFit="1" customWidth="1"/>
    <col min="5" max="5" width="4" bestFit="1" customWidth="1"/>
    <col min="6" max="6" width="11.54296875" customWidth="1"/>
    <col min="7" max="7" width="4.453125" customWidth="1"/>
    <col min="8" max="8" width="2" bestFit="1" customWidth="1"/>
    <col min="9" max="9" width="4" bestFit="1" customWidth="1"/>
    <col min="10" max="10" width="6.26953125" bestFit="1" customWidth="1"/>
    <col min="11" max="11" width="2" bestFit="1" customWidth="1"/>
    <col min="12" max="12" width="4" bestFit="1" customWidth="1"/>
    <col min="13" max="13" width="9.54296875" bestFit="1" customWidth="1"/>
    <col min="14" max="14" width="2" bestFit="1" customWidth="1"/>
    <col min="15" max="15" width="4" bestFit="1" customWidth="1"/>
    <col min="16" max="16" width="7.26953125" bestFit="1" customWidth="1"/>
    <col min="17" max="17" width="2" bestFit="1" customWidth="1"/>
    <col min="18" max="18" width="4" bestFit="1" customWidth="1"/>
    <col min="19" max="19" width="9.81640625" bestFit="1" customWidth="1"/>
    <col min="20" max="20" width="2" bestFit="1" customWidth="1"/>
    <col min="21" max="21" width="4" bestFit="1" customWidth="1"/>
    <col min="22" max="22" width="9.81640625" bestFit="1" customWidth="1"/>
    <col min="23" max="23" width="2" bestFit="1" customWidth="1"/>
    <col min="24" max="24" width="4" bestFit="1" customWidth="1"/>
    <col min="25" max="25" width="14.26953125" bestFit="1" customWidth="1"/>
    <col min="26" max="26" width="2" bestFit="1" customWidth="1"/>
    <col min="27" max="27" width="4" bestFit="1" customWidth="1"/>
    <col min="28" max="28" width="4.26953125" bestFit="1" customWidth="1"/>
    <col min="29" max="29" width="2" bestFit="1" customWidth="1"/>
    <col min="30" max="30" width="4" bestFit="1" customWidth="1"/>
    <col min="31" max="31" width="9.81640625" bestFit="1" customWidth="1"/>
    <col min="32" max="32" width="2" bestFit="1" customWidth="1"/>
    <col min="33" max="33" width="4" bestFit="1" customWidth="1"/>
    <col min="34" max="34" width="9.81640625" bestFit="1" customWidth="1"/>
    <col min="35" max="35" width="2" bestFit="1" customWidth="1"/>
    <col min="36" max="36" width="4" bestFit="1" customWidth="1"/>
    <col min="37" max="37" width="9.81640625" bestFit="1" customWidth="1"/>
    <col min="38" max="38" width="4.26953125" bestFit="1" customWidth="1"/>
    <col min="39" max="39" width="6.1796875" bestFit="1" customWidth="1"/>
  </cols>
  <sheetData>
    <row r="1" spans="1:39" x14ac:dyDescent="0.35">
      <c r="A1" s="2" t="s">
        <v>18</v>
      </c>
      <c r="B1" s="3" t="s">
        <v>17</v>
      </c>
      <c r="C1" s="2" t="s">
        <v>4</v>
      </c>
      <c r="D1" t="s">
        <v>1</v>
      </c>
      <c r="E1" s="2" t="s">
        <v>4</v>
      </c>
      <c r="F1" t="s">
        <v>2</v>
      </c>
      <c r="G1" s="2" t="s">
        <v>4</v>
      </c>
      <c r="H1">
        <v>0</v>
      </c>
      <c r="I1" s="2" t="s">
        <v>4</v>
      </c>
      <c r="J1" t="s">
        <v>5</v>
      </c>
      <c r="K1">
        <v>0</v>
      </c>
      <c r="L1" s="2" t="s">
        <v>4</v>
      </c>
      <c r="M1" t="s">
        <v>6</v>
      </c>
      <c r="N1">
        <v>0</v>
      </c>
      <c r="O1" s="2" t="s">
        <v>4</v>
      </c>
      <c r="P1" t="s">
        <v>7</v>
      </c>
      <c r="Q1">
        <v>0</v>
      </c>
      <c r="R1" s="2" t="s">
        <v>4</v>
      </c>
      <c r="S1" t="s">
        <v>8</v>
      </c>
      <c r="T1">
        <v>0</v>
      </c>
      <c r="U1" s="2" t="s">
        <v>4</v>
      </c>
      <c r="V1" t="s">
        <v>9</v>
      </c>
      <c r="W1">
        <v>0</v>
      </c>
      <c r="X1" s="2" t="s">
        <v>4</v>
      </c>
      <c r="Y1" t="s">
        <v>10</v>
      </c>
      <c r="Z1">
        <v>0</v>
      </c>
      <c r="AA1" s="2" t="s">
        <v>4</v>
      </c>
      <c r="AB1" t="s">
        <v>11</v>
      </c>
      <c r="AC1">
        <v>0</v>
      </c>
      <c r="AD1" s="2" t="s">
        <v>4</v>
      </c>
      <c r="AE1" t="s">
        <v>12</v>
      </c>
      <c r="AF1">
        <v>0</v>
      </c>
      <c r="AG1" s="2" t="s">
        <v>4</v>
      </c>
      <c r="AH1" t="s">
        <v>13</v>
      </c>
      <c r="AI1">
        <v>0</v>
      </c>
      <c r="AJ1" s="2" t="s">
        <v>4</v>
      </c>
      <c r="AK1" t="s">
        <v>14</v>
      </c>
      <c r="AL1" s="2" t="s">
        <v>15</v>
      </c>
      <c r="AM1" s="2" t="s">
        <v>16</v>
      </c>
    </row>
    <row r="2" spans="1:39" x14ac:dyDescent="0.35">
      <c r="A2" s="2" t="str">
        <f>IF(LEN('A créer'!C2)=0,"","*FN")</f>
        <v>*FN</v>
      </c>
      <c r="B2" s="3" t="str">
        <f>IF(LEN('A créer'!C2)=0,"","\I")</f>
        <v>\I</v>
      </c>
      <c r="C2" s="2" t="str">
        <f>IF(LEN('A créer'!C2)=0,"","Tab")</f>
        <v>Tab</v>
      </c>
      <c r="D2" t="str">
        <f>IF(LEN('A créer'!C2)=0,"",'A créer'!A2)</f>
        <v>0535</v>
      </c>
      <c r="E2" s="2" t="str">
        <f>IF(LEN('A créer'!C2)=0,"","Tab")</f>
        <v>Tab</v>
      </c>
      <c r="F2" t="str">
        <f>IF(LEN('A créer'!C2)=0,"",'A créer'!B2)</f>
        <v>DCW</v>
      </c>
      <c r="G2" s="2" t="str">
        <f>IF(LEN('A créer'!C2)=0,"","Tab")</f>
        <v>Tab</v>
      </c>
      <c r="H2">
        <f>IF(LEN('A créer'!C2)=0,"",0)</f>
        <v>0</v>
      </c>
      <c r="I2" s="2" t="str">
        <f>IF(LEN('A créer'!C2)=0,"","Tab")</f>
        <v>Tab</v>
      </c>
      <c r="J2" t="str">
        <f>IF(LEN('A créer'!C2)=0,"","ZZZZZZ")</f>
        <v>ZZZZZZ</v>
      </c>
      <c r="K2">
        <f>IF(LEN('A créer'!C2)=0,"",0)</f>
        <v>0</v>
      </c>
      <c r="L2" s="2" t="str">
        <f>IF(LEN('A créer'!C2)=0,"","Tab")</f>
        <v>Tab</v>
      </c>
      <c r="M2" t="str">
        <f>IF(LEN('A créer'!C2)=0,"","ZZZZZ")</f>
        <v>ZZZZZ</v>
      </c>
      <c r="N2">
        <f>IF(LEN('A créer'!C2)=0,"",0)</f>
        <v>0</v>
      </c>
      <c r="O2" s="2" t="str">
        <f>IF(LEN('A créer'!C2)=0,"","Tab")</f>
        <v>Tab</v>
      </c>
      <c r="P2" t="str">
        <f>IF(LEN('A créer'!C2)=0,"","ZZZZZZZ")</f>
        <v>ZZZZZZZ</v>
      </c>
      <c r="Q2">
        <f>IF(LEN('A créer'!C2)=0,"",0)</f>
        <v>0</v>
      </c>
      <c r="R2" s="2" t="str">
        <f>IF(LEN('A créer'!C2)=0,"","Tab")</f>
        <v>Tab</v>
      </c>
      <c r="S2" t="str">
        <f>IF(LEN('A créer'!C2)=0,"","ZZZZZZZZZZ")</f>
        <v>ZZZZZZZZZZ</v>
      </c>
      <c r="T2">
        <f>IF(LEN('A créer'!C2)=0,"",0)</f>
        <v>0</v>
      </c>
      <c r="U2" s="2" t="str">
        <f>IF(LEN('A créer'!C2)=0,"","Tab")</f>
        <v>Tab</v>
      </c>
      <c r="V2" t="str">
        <f>IF(LEN('A créer'!C2)=0,"","ZZZZZZZZZZ")</f>
        <v>ZZZZZZZZZZ</v>
      </c>
      <c r="W2">
        <f>IF(LEN('A créer'!C2)=0,"",0)</f>
        <v>0</v>
      </c>
      <c r="X2" s="2" t="str">
        <f>IF(LEN('A créer'!C2)=0,"","Tab")</f>
        <v>Tab</v>
      </c>
      <c r="Y2" t="str">
        <f>IF(LEN('A créer'!C2)=0,"","ZZZZZZZZZZZZZZZ")</f>
        <v>ZZZZZZZZZZZZZZZ</v>
      </c>
      <c r="Z2">
        <f>IF(LEN('A créer'!C2)=0,"",0)</f>
        <v>0</v>
      </c>
      <c r="AA2" s="2" t="str">
        <f>IF(LEN('A créer'!C2)=0,"","Tab")</f>
        <v>Tab</v>
      </c>
      <c r="AB2" t="str">
        <f>IF(LEN('A créer'!C2)=0,"","ZZZ")</f>
        <v>ZZZ</v>
      </c>
      <c r="AC2">
        <f>IF(LEN('A créer'!C2)=0,"",0)</f>
        <v>0</v>
      </c>
      <c r="AD2" s="2" t="str">
        <f>IF(LEN('A créer'!C2)=0,"","Tab")</f>
        <v>Tab</v>
      </c>
      <c r="AE2" t="str">
        <f>IF(LEN('A créer'!C2)=0,"","ZZZZZZZZZZ")</f>
        <v>ZZZZZZZZZZ</v>
      </c>
      <c r="AF2">
        <f>IF(LEN('A créer'!C2)=0,"",0)</f>
        <v>0</v>
      </c>
      <c r="AG2" s="2" t="str">
        <f>IF(LEN('A créer'!C2)=0,"","Tab")</f>
        <v>Tab</v>
      </c>
      <c r="AH2" t="str">
        <f>IF(LEN('A créer'!C2)=0,"","ZZZZZZZZZZ")</f>
        <v>ZZZZZZZZZZ</v>
      </c>
      <c r="AI2">
        <f>IF(LEN('A créer'!C2)=0,"",0)</f>
        <v>0</v>
      </c>
      <c r="AJ2" s="2" t="str">
        <f>IF(LEN('A créer'!C2)=0,"","Tab")</f>
        <v>Tab</v>
      </c>
      <c r="AK2" t="str">
        <f>IF(LEN('A créer'!C2)=0,"","ZZZZZZZZZZ")</f>
        <v>ZZZZZZZZZZ</v>
      </c>
      <c r="AL2" s="2" t="str">
        <f>IF(LEN('A créer'!C2)=0,"","ENT")</f>
        <v>ENT</v>
      </c>
      <c r="AM2" s="2" t="str">
        <f>IF(LEN('A créer'!C2)=0,"","*SAVE")</f>
        <v>*SAVE</v>
      </c>
    </row>
    <row r="3" spans="1:39" x14ac:dyDescent="0.35">
      <c r="A3" s="2" t="str">
        <f>IF(LEN('A créer'!C3)=0,"","*FN")</f>
        <v/>
      </c>
      <c r="B3" s="3" t="str">
        <f>IF(LEN('A créer'!C3)=0,"","\I")</f>
        <v/>
      </c>
      <c r="C3" s="2" t="str">
        <f>IF(LEN('A créer'!C3)=0,"","Tab")</f>
        <v/>
      </c>
      <c r="D3" t="str">
        <f>IF(LEN('A créer'!C3)=0,"",'A créer'!A3)</f>
        <v/>
      </c>
      <c r="E3" s="2" t="str">
        <f>IF(LEN('A créer'!C3)=0,"","Tab")</f>
        <v/>
      </c>
      <c r="F3" t="str">
        <f>IF(LEN('A créer'!C3)=0,"",'A créer'!B3)</f>
        <v/>
      </c>
      <c r="G3" s="2" t="str">
        <f>IF(LEN('A créer'!C3)=0,"","Tab")</f>
        <v/>
      </c>
      <c r="H3" t="str">
        <f>IF(LEN('A créer'!C3)=0,"",0)</f>
        <v/>
      </c>
      <c r="I3" s="2" t="str">
        <f>IF(LEN('A créer'!C3)=0,"","Tab")</f>
        <v/>
      </c>
      <c r="J3" t="str">
        <f>IF(LEN('A créer'!C3)=0,"","ZZZZZZ")</f>
        <v/>
      </c>
      <c r="K3" t="str">
        <f>IF(LEN('A créer'!C3)=0,"",0)</f>
        <v/>
      </c>
      <c r="L3" s="2" t="str">
        <f>IF(LEN('A créer'!C3)=0,"","Tab")</f>
        <v/>
      </c>
      <c r="M3" s="6" t="str">
        <f>IF(LEN('A créer'!C3)=0,"","ZZZZZ")</f>
        <v/>
      </c>
      <c r="N3" s="6" t="str">
        <f>IF(LEN('A créer'!C3)=0,"",0)</f>
        <v/>
      </c>
      <c r="O3" s="2" t="str">
        <f>IF(LEN('A créer'!C3)=0,"","Tab")</f>
        <v/>
      </c>
      <c r="P3" s="6" t="str">
        <f>IF(LEN('A créer'!C3)=0,"","ZZZZZZZ")</f>
        <v/>
      </c>
      <c r="Q3" s="6" t="str">
        <f>IF(LEN('A créer'!C3)=0,"",0)</f>
        <v/>
      </c>
      <c r="R3" s="2" t="str">
        <f>IF(LEN('A créer'!C3)=0,"","Tab")</f>
        <v/>
      </c>
      <c r="S3" s="6" t="str">
        <f>IF(LEN('A créer'!C3)=0,"","ZZZZZZZZZZ")</f>
        <v/>
      </c>
      <c r="T3" s="6" t="str">
        <f>IF(LEN('A créer'!C3)=0,"",0)</f>
        <v/>
      </c>
      <c r="U3" s="2" t="str">
        <f>IF(LEN('A créer'!C3)=0,"","Tab")</f>
        <v/>
      </c>
      <c r="V3" s="6" t="str">
        <f>IF(LEN('A créer'!C3)=0,"","ZZZZZZZZZZ")</f>
        <v/>
      </c>
      <c r="W3" s="6" t="str">
        <f>IF(LEN('A créer'!C3)=0,"",0)</f>
        <v/>
      </c>
      <c r="X3" s="2" t="str">
        <f>IF(LEN('A créer'!C3)=0,"","Tab")</f>
        <v/>
      </c>
      <c r="Y3" s="6" t="str">
        <f>IF(LEN('A créer'!C3)=0,"","ZZZZZZZZZZZZZZZ")</f>
        <v/>
      </c>
      <c r="Z3" s="6" t="str">
        <f>IF(LEN('A créer'!C3)=0,"",0)</f>
        <v/>
      </c>
      <c r="AA3" s="2" t="str">
        <f>IF(LEN('A créer'!C3)=0,"","Tab")</f>
        <v/>
      </c>
      <c r="AB3" s="6" t="str">
        <f>IF(LEN('A créer'!C3)=0,"","ZZZ")</f>
        <v/>
      </c>
      <c r="AC3" s="6" t="str">
        <f>IF(LEN('A créer'!C3)=0,"",0)</f>
        <v/>
      </c>
      <c r="AD3" s="2" t="str">
        <f>IF(LEN('A créer'!C3)=0,"","Tab")</f>
        <v/>
      </c>
      <c r="AE3" s="6" t="str">
        <f>IF(LEN('A créer'!C3)=0,"","ZZZZZZZZZZ")</f>
        <v/>
      </c>
      <c r="AF3" s="6" t="str">
        <f>IF(LEN('A créer'!C3)=0,"",0)</f>
        <v/>
      </c>
      <c r="AG3" s="2" t="str">
        <f>IF(LEN('A créer'!C3)=0,"","Tab")</f>
        <v/>
      </c>
      <c r="AH3" s="6" t="str">
        <f>IF(LEN('A créer'!C3)=0,"","ZZZZZZZZZZ")</f>
        <v/>
      </c>
      <c r="AI3" s="6" t="str">
        <f>IF(LEN('A créer'!C3)=0,"",0)</f>
        <v/>
      </c>
      <c r="AJ3" s="2" t="str">
        <f>IF(LEN('A créer'!C3)=0,"","Tab")</f>
        <v/>
      </c>
      <c r="AK3" s="6" t="str">
        <f>IF(LEN('A créer'!C3)=0,"","ZZZZZZZZZZ")</f>
        <v/>
      </c>
      <c r="AL3" s="2" t="str">
        <f>IF(LEN('A créer'!C3)=0,"","ENT")</f>
        <v/>
      </c>
      <c r="AM3" s="2" t="str">
        <f>IF(LEN('A créer'!C3)=0,"","*SAVE")</f>
        <v/>
      </c>
    </row>
    <row r="4" spans="1:39" x14ac:dyDescent="0.35">
      <c r="A4" s="2" t="str">
        <f>IF(LEN('A créer'!C4)=0,"","*FN")</f>
        <v>*FN</v>
      </c>
      <c r="B4" s="3" t="str">
        <f>IF(LEN('A créer'!C4)=0,"","\I")</f>
        <v>\I</v>
      </c>
      <c r="C4" s="2" t="str">
        <f>IF(LEN('A créer'!C4)=0,"","Tab")</f>
        <v>Tab</v>
      </c>
      <c r="D4" t="str">
        <f>IF(LEN('A créer'!C4)=0,"",'A créer'!A4)</f>
        <v>0595</v>
      </c>
      <c r="E4" s="2" t="str">
        <f>IF(LEN('A créer'!C4)=0,"","Tab")</f>
        <v>Tab</v>
      </c>
      <c r="F4" t="str">
        <f>IF(LEN('A créer'!C4)=0,"",'A créer'!B4)</f>
        <v>DCW</v>
      </c>
      <c r="G4" s="2" t="str">
        <f>IF(LEN('A créer'!C4)=0,"","Tab")</f>
        <v>Tab</v>
      </c>
      <c r="H4">
        <f>IF(LEN('A créer'!C4)=0,"",0)</f>
        <v>0</v>
      </c>
      <c r="I4" s="2" t="str">
        <f>IF(LEN('A créer'!C4)=0,"","Tab")</f>
        <v>Tab</v>
      </c>
      <c r="J4" t="str">
        <f>IF(LEN('A créer'!C4)=0,"","ZZZZZZ")</f>
        <v>ZZZZZZ</v>
      </c>
      <c r="K4">
        <f>IF(LEN('A créer'!C4)=0,"",0)</f>
        <v>0</v>
      </c>
      <c r="L4" s="2" t="str">
        <f>IF(LEN('A créer'!C4)=0,"","Tab")</f>
        <v>Tab</v>
      </c>
      <c r="M4" s="6" t="str">
        <f>IF(LEN('A créer'!C4)=0,"","ZZZZZ")</f>
        <v>ZZZZZ</v>
      </c>
      <c r="N4" s="6">
        <f>IF(LEN('A créer'!C4)=0,"",0)</f>
        <v>0</v>
      </c>
      <c r="O4" s="2" t="str">
        <f>IF(LEN('A créer'!C4)=0,"","Tab")</f>
        <v>Tab</v>
      </c>
      <c r="P4" s="6" t="str">
        <f>IF(LEN('A créer'!C4)=0,"","ZZZZZZZ")</f>
        <v>ZZZZZZZ</v>
      </c>
      <c r="Q4" s="6">
        <f>IF(LEN('A créer'!C4)=0,"",0)</f>
        <v>0</v>
      </c>
      <c r="R4" s="2" t="str">
        <f>IF(LEN('A créer'!C4)=0,"","Tab")</f>
        <v>Tab</v>
      </c>
      <c r="S4" s="6" t="str">
        <f>IF(LEN('A créer'!C4)=0,"","ZZZZZZZZZZ")</f>
        <v>ZZZZZZZZZZ</v>
      </c>
      <c r="T4" s="6">
        <f>IF(LEN('A créer'!C4)=0,"",0)</f>
        <v>0</v>
      </c>
      <c r="U4" s="2" t="str">
        <f>IF(LEN('A créer'!C4)=0,"","Tab")</f>
        <v>Tab</v>
      </c>
      <c r="V4" s="6" t="str">
        <f>IF(LEN('A créer'!C4)=0,"","ZZZZZZZZZZ")</f>
        <v>ZZZZZZZZZZ</v>
      </c>
      <c r="W4" s="6">
        <f>IF(LEN('A créer'!C4)=0,"",0)</f>
        <v>0</v>
      </c>
      <c r="X4" s="2" t="str">
        <f>IF(LEN('A créer'!C4)=0,"","Tab")</f>
        <v>Tab</v>
      </c>
      <c r="Y4" s="6" t="str">
        <f>IF(LEN('A créer'!C4)=0,"","ZZZZZZZZZZZZZZZ")</f>
        <v>ZZZZZZZZZZZZZZZ</v>
      </c>
      <c r="Z4" s="6">
        <f>IF(LEN('A créer'!C4)=0,"",0)</f>
        <v>0</v>
      </c>
      <c r="AA4" s="2" t="str">
        <f>IF(LEN('A créer'!C4)=0,"","Tab")</f>
        <v>Tab</v>
      </c>
      <c r="AB4" s="6" t="str">
        <f>IF(LEN('A créer'!C4)=0,"","ZZZ")</f>
        <v>ZZZ</v>
      </c>
      <c r="AC4" s="6">
        <f>IF(LEN('A créer'!C4)=0,"",0)</f>
        <v>0</v>
      </c>
      <c r="AD4" s="2" t="str">
        <f>IF(LEN('A créer'!C4)=0,"","Tab")</f>
        <v>Tab</v>
      </c>
      <c r="AE4" s="6" t="str">
        <f>IF(LEN('A créer'!C4)=0,"","ZZZZZZZZZZ")</f>
        <v>ZZZZZZZZZZ</v>
      </c>
      <c r="AF4" s="6">
        <f>IF(LEN('A créer'!C4)=0,"",0)</f>
        <v>0</v>
      </c>
      <c r="AG4" s="2" t="str">
        <f>IF(LEN('A créer'!C4)=0,"","Tab")</f>
        <v>Tab</v>
      </c>
      <c r="AH4" s="6" t="str">
        <f>IF(LEN('A créer'!C4)=0,"","ZZZZZZZZZZ")</f>
        <v>ZZZZZZZZZZ</v>
      </c>
      <c r="AI4" s="6">
        <f>IF(LEN('A créer'!C4)=0,"",0)</f>
        <v>0</v>
      </c>
      <c r="AJ4" s="2" t="str">
        <f>IF(LEN('A créer'!C4)=0,"","Tab")</f>
        <v>Tab</v>
      </c>
      <c r="AK4" s="6" t="str">
        <f>IF(LEN('A créer'!C4)=0,"","ZZZZZZZZZZ")</f>
        <v>ZZZZZZZZZZ</v>
      </c>
      <c r="AL4" s="2" t="str">
        <f>IF(LEN('A créer'!C4)=0,"","ENT")</f>
        <v>ENT</v>
      </c>
      <c r="AM4" s="2" t="str">
        <f>IF(LEN('A créer'!C4)=0,"","*SAVE")</f>
        <v>*SAVE</v>
      </c>
    </row>
    <row r="5" spans="1:39" x14ac:dyDescent="0.35">
      <c r="A5" s="2" t="str">
        <f>IF(LEN('A créer'!C5)=0,"","*FN")</f>
        <v/>
      </c>
      <c r="B5" s="3" t="str">
        <f>IF(LEN('A créer'!C5)=0,"","\I")</f>
        <v/>
      </c>
      <c r="C5" s="2" t="str">
        <f>IF(LEN('A créer'!C5)=0,"","Tab")</f>
        <v/>
      </c>
      <c r="D5" t="str">
        <f>IF(LEN('A créer'!C5)=0,"",'A créer'!A5)</f>
        <v/>
      </c>
      <c r="E5" s="2" t="str">
        <f>IF(LEN('A créer'!C5)=0,"","Tab")</f>
        <v/>
      </c>
      <c r="F5" t="str">
        <f>IF(LEN('A créer'!C5)=0,"",'A créer'!B5)</f>
        <v/>
      </c>
      <c r="G5" s="2" t="str">
        <f>IF(LEN('A créer'!C5)=0,"","Tab")</f>
        <v/>
      </c>
      <c r="H5" t="str">
        <f>IF(LEN('A créer'!C5)=0,"",0)</f>
        <v/>
      </c>
      <c r="I5" s="2" t="str">
        <f>IF(LEN('A créer'!C5)=0,"","Tab")</f>
        <v/>
      </c>
      <c r="J5" t="str">
        <f>IF(LEN('A créer'!C5)=0,"","ZZZZZZ")</f>
        <v/>
      </c>
      <c r="K5" t="str">
        <f>IF(LEN('A créer'!C5)=0,"",0)</f>
        <v/>
      </c>
      <c r="L5" s="2" t="str">
        <f>IF(LEN('A créer'!C5)=0,"","Tab")</f>
        <v/>
      </c>
      <c r="M5" s="6" t="str">
        <f>IF(LEN('A créer'!C5)=0,"","ZZZZZ")</f>
        <v/>
      </c>
      <c r="N5" s="6" t="str">
        <f>IF(LEN('A créer'!C5)=0,"",0)</f>
        <v/>
      </c>
      <c r="O5" s="2" t="str">
        <f>IF(LEN('A créer'!C5)=0,"","Tab")</f>
        <v/>
      </c>
      <c r="P5" s="6" t="str">
        <f>IF(LEN('A créer'!C5)=0,"","ZZZZZZZ")</f>
        <v/>
      </c>
      <c r="Q5" s="6" t="str">
        <f>IF(LEN('A créer'!C5)=0,"",0)</f>
        <v/>
      </c>
      <c r="R5" s="2" t="str">
        <f>IF(LEN('A créer'!C5)=0,"","Tab")</f>
        <v/>
      </c>
      <c r="S5" s="6" t="str">
        <f>IF(LEN('A créer'!C5)=0,"","ZZZZZZZZZZ")</f>
        <v/>
      </c>
      <c r="T5" s="6" t="str">
        <f>IF(LEN('A créer'!C5)=0,"",0)</f>
        <v/>
      </c>
      <c r="U5" s="2" t="str">
        <f>IF(LEN('A créer'!C5)=0,"","Tab")</f>
        <v/>
      </c>
      <c r="V5" s="6" t="str">
        <f>IF(LEN('A créer'!C5)=0,"","ZZZZZZZZZZ")</f>
        <v/>
      </c>
      <c r="W5" s="6" t="str">
        <f>IF(LEN('A créer'!C5)=0,"",0)</f>
        <v/>
      </c>
      <c r="X5" s="2" t="str">
        <f>IF(LEN('A créer'!C5)=0,"","Tab")</f>
        <v/>
      </c>
      <c r="Y5" s="6" t="str">
        <f>IF(LEN('A créer'!C5)=0,"","ZZZZZZZZZZZZZZZ")</f>
        <v/>
      </c>
      <c r="Z5" s="6" t="str">
        <f>IF(LEN('A créer'!C5)=0,"",0)</f>
        <v/>
      </c>
      <c r="AA5" s="2" t="str">
        <f>IF(LEN('A créer'!C5)=0,"","Tab")</f>
        <v/>
      </c>
      <c r="AB5" s="6" t="str">
        <f>IF(LEN('A créer'!C5)=0,"","ZZZ")</f>
        <v/>
      </c>
      <c r="AC5" s="6" t="str">
        <f>IF(LEN('A créer'!C5)=0,"",0)</f>
        <v/>
      </c>
      <c r="AD5" s="2" t="str">
        <f>IF(LEN('A créer'!C5)=0,"","Tab")</f>
        <v/>
      </c>
      <c r="AE5" s="6" t="str">
        <f>IF(LEN('A créer'!C5)=0,"","ZZZZZZZZZZ")</f>
        <v/>
      </c>
      <c r="AF5" s="6" t="str">
        <f>IF(LEN('A créer'!C5)=0,"",0)</f>
        <v/>
      </c>
      <c r="AG5" s="2" t="str">
        <f>IF(LEN('A créer'!C5)=0,"","Tab")</f>
        <v/>
      </c>
      <c r="AH5" s="6" t="str">
        <f>IF(LEN('A créer'!C5)=0,"","ZZZZZZZZZZ")</f>
        <v/>
      </c>
      <c r="AI5" s="6" t="str">
        <f>IF(LEN('A créer'!C5)=0,"",0)</f>
        <v/>
      </c>
      <c r="AJ5" s="2" t="str">
        <f>IF(LEN('A créer'!C5)=0,"","Tab")</f>
        <v/>
      </c>
      <c r="AK5" s="6" t="str">
        <f>IF(LEN('A créer'!C5)=0,"","ZZZZZZZZZZ")</f>
        <v/>
      </c>
      <c r="AL5" s="2" t="str">
        <f>IF(LEN('A créer'!C5)=0,"","ENT")</f>
        <v/>
      </c>
      <c r="AM5" s="2" t="str">
        <f>IF(LEN('A créer'!C5)=0,"","*SAVE")</f>
        <v/>
      </c>
    </row>
    <row r="6" spans="1:39" x14ac:dyDescent="0.35">
      <c r="A6" s="2" t="str">
        <f>IF(LEN('A créer'!C6)=0,"","*FN")</f>
        <v/>
      </c>
      <c r="B6" s="3" t="str">
        <f>IF(LEN('A créer'!C6)=0,"","\I")</f>
        <v/>
      </c>
      <c r="C6" s="2" t="str">
        <f>IF(LEN('A créer'!C6)=0,"","Tab")</f>
        <v/>
      </c>
      <c r="D6" t="str">
        <f>IF(LEN('A créer'!C6)=0,"",'A créer'!A6)</f>
        <v/>
      </c>
      <c r="E6" s="2" t="str">
        <f>IF(LEN('A créer'!C6)=0,"","Tab")</f>
        <v/>
      </c>
      <c r="F6" t="str">
        <f>IF(LEN('A créer'!C6)=0,"",'A créer'!B6)</f>
        <v/>
      </c>
      <c r="G6" s="2" t="str">
        <f>IF(LEN('A créer'!C6)=0,"","Tab")</f>
        <v/>
      </c>
      <c r="H6" t="str">
        <f>IF(LEN('A créer'!C6)=0,"",0)</f>
        <v/>
      </c>
      <c r="I6" s="2" t="str">
        <f>IF(LEN('A créer'!C6)=0,"","Tab")</f>
        <v/>
      </c>
      <c r="J6" t="str">
        <f>IF(LEN('A créer'!C6)=0,"","ZZZZZZ")</f>
        <v/>
      </c>
      <c r="K6" t="str">
        <f>IF(LEN('A créer'!C6)=0,"",0)</f>
        <v/>
      </c>
      <c r="L6" s="2" t="str">
        <f>IF(LEN('A créer'!C6)=0,"","Tab")</f>
        <v/>
      </c>
      <c r="M6" s="6" t="str">
        <f>IF(LEN('A créer'!C6)=0,"","ZZZZZ")</f>
        <v/>
      </c>
      <c r="N6" s="6" t="str">
        <f>IF(LEN('A créer'!C6)=0,"",0)</f>
        <v/>
      </c>
      <c r="O6" s="2" t="str">
        <f>IF(LEN('A créer'!C6)=0,"","Tab")</f>
        <v/>
      </c>
      <c r="P6" s="6" t="str">
        <f>IF(LEN('A créer'!C6)=0,"","ZZZZZZZ")</f>
        <v/>
      </c>
      <c r="Q6" s="6" t="str">
        <f>IF(LEN('A créer'!C6)=0,"",0)</f>
        <v/>
      </c>
      <c r="R6" s="2" t="str">
        <f>IF(LEN('A créer'!C6)=0,"","Tab")</f>
        <v/>
      </c>
      <c r="S6" s="6" t="str">
        <f>IF(LEN('A créer'!C6)=0,"","ZZZZZZZZZZ")</f>
        <v/>
      </c>
      <c r="T6" s="6" t="str">
        <f>IF(LEN('A créer'!C6)=0,"",0)</f>
        <v/>
      </c>
      <c r="U6" s="2" t="str">
        <f>IF(LEN('A créer'!C6)=0,"","Tab")</f>
        <v/>
      </c>
      <c r="V6" s="6" t="str">
        <f>IF(LEN('A créer'!C6)=0,"","ZZZZZZZZZZ")</f>
        <v/>
      </c>
      <c r="W6" s="6" t="str">
        <f>IF(LEN('A créer'!C6)=0,"",0)</f>
        <v/>
      </c>
      <c r="X6" s="2" t="str">
        <f>IF(LEN('A créer'!C6)=0,"","Tab")</f>
        <v/>
      </c>
      <c r="Y6" s="6" t="str">
        <f>IF(LEN('A créer'!C6)=0,"","ZZZZZZZZZZZZZZZ")</f>
        <v/>
      </c>
      <c r="Z6" s="6" t="str">
        <f>IF(LEN('A créer'!C6)=0,"",0)</f>
        <v/>
      </c>
      <c r="AA6" s="2" t="str">
        <f>IF(LEN('A créer'!C6)=0,"","Tab")</f>
        <v/>
      </c>
      <c r="AB6" s="6" t="str">
        <f>IF(LEN('A créer'!C6)=0,"","ZZZ")</f>
        <v/>
      </c>
      <c r="AC6" s="6" t="str">
        <f>IF(LEN('A créer'!C6)=0,"",0)</f>
        <v/>
      </c>
      <c r="AD6" s="2" t="str">
        <f>IF(LEN('A créer'!C6)=0,"","Tab")</f>
        <v/>
      </c>
      <c r="AE6" s="6" t="str">
        <f>IF(LEN('A créer'!C6)=0,"","ZZZZZZZZZZ")</f>
        <v/>
      </c>
      <c r="AF6" s="6" t="str">
        <f>IF(LEN('A créer'!C6)=0,"",0)</f>
        <v/>
      </c>
      <c r="AG6" s="2" t="str">
        <f>IF(LEN('A créer'!C6)=0,"","Tab")</f>
        <v/>
      </c>
      <c r="AH6" s="6" t="str">
        <f>IF(LEN('A créer'!C6)=0,"","ZZZZZZZZZZ")</f>
        <v/>
      </c>
      <c r="AI6" s="6" t="str">
        <f>IF(LEN('A créer'!C6)=0,"",0)</f>
        <v/>
      </c>
      <c r="AJ6" s="2" t="str">
        <f>IF(LEN('A créer'!C6)=0,"","Tab")</f>
        <v/>
      </c>
      <c r="AK6" s="6" t="str">
        <f>IF(LEN('A créer'!C6)=0,"","ZZZZZZZZZZ")</f>
        <v/>
      </c>
      <c r="AL6" s="2" t="str">
        <f>IF(LEN('A créer'!C6)=0,"","ENT")</f>
        <v/>
      </c>
      <c r="AM6" s="2" t="str">
        <f>IF(LEN('A créer'!C6)=0,"","*SAVE")</f>
        <v/>
      </c>
    </row>
    <row r="7" spans="1:39" x14ac:dyDescent="0.35">
      <c r="A7" s="2" t="str">
        <f>IF(LEN('A créer'!C7)=0,"","*FN")</f>
        <v/>
      </c>
      <c r="B7" s="3" t="str">
        <f>IF(LEN('A créer'!C7)=0,"","\I")</f>
        <v/>
      </c>
      <c r="C7" s="2" t="str">
        <f>IF(LEN('A créer'!C7)=0,"","Tab")</f>
        <v/>
      </c>
      <c r="D7" t="str">
        <f>IF(LEN('A créer'!C7)=0,"",'A créer'!A7)</f>
        <v/>
      </c>
      <c r="E7" s="2" t="str">
        <f>IF(LEN('A créer'!C7)=0,"","Tab")</f>
        <v/>
      </c>
      <c r="F7" t="str">
        <f>IF(LEN('A créer'!C7)=0,"",'A créer'!B7)</f>
        <v/>
      </c>
      <c r="G7" s="2" t="str">
        <f>IF(LEN('A créer'!C7)=0,"","Tab")</f>
        <v/>
      </c>
      <c r="H7" t="str">
        <f>IF(LEN('A créer'!C7)=0,"",0)</f>
        <v/>
      </c>
      <c r="I7" s="2" t="str">
        <f>IF(LEN('A créer'!C7)=0,"","Tab")</f>
        <v/>
      </c>
      <c r="J7" t="str">
        <f>IF(LEN('A créer'!C7)=0,"","ZZZZZZ")</f>
        <v/>
      </c>
      <c r="K7" t="str">
        <f>IF(LEN('A créer'!C7)=0,"",0)</f>
        <v/>
      </c>
      <c r="L7" s="2" t="str">
        <f>IF(LEN('A créer'!C7)=0,"","Tab")</f>
        <v/>
      </c>
      <c r="M7" s="6" t="str">
        <f>IF(LEN('A créer'!C7)=0,"","ZZZZZ")</f>
        <v/>
      </c>
      <c r="N7" s="6" t="str">
        <f>IF(LEN('A créer'!C7)=0,"",0)</f>
        <v/>
      </c>
      <c r="O7" s="2" t="str">
        <f>IF(LEN('A créer'!C7)=0,"","Tab")</f>
        <v/>
      </c>
      <c r="P7" s="6" t="str">
        <f>IF(LEN('A créer'!C7)=0,"","ZZZZZZZ")</f>
        <v/>
      </c>
      <c r="Q7" s="6" t="str">
        <f>IF(LEN('A créer'!C7)=0,"",0)</f>
        <v/>
      </c>
      <c r="R7" s="2" t="str">
        <f>IF(LEN('A créer'!C7)=0,"","Tab")</f>
        <v/>
      </c>
      <c r="S7" s="6" t="str">
        <f>IF(LEN('A créer'!C7)=0,"","ZZZZZZZZZZ")</f>
        <v/>
      </c>
      <c r="T7" s="6" t="str">
        <f>IF(LEN('A créer'!C7)=0,"",0)</f>
        <v/>
      </c>
      <c r="U7" s="2" t="str">
        <f>IF(LEN('A créer'!C7)=0,"","Tab")</f>
        <v/>
      </c>
      <c r="V7" s="6" t="str">
        <f>IF(LEN('A créer'!C7)=0,"","ZZZZZZZZZZ")</f>
        <v/>
      </c>
      <c r="W7" s="6" t="str">
        <f>IF(LEN('A créer'!C7)=0,"",0)</f>
        <v/>
      </c>
      <c r="X7" s="2" t="str">
        <f>IF(LEN('A créer'!C7)=0,"","Tab")</f>
        <v/>
      </c>
      <c r="Y7" s="6" t="str">
        <f>IF(LEN('A créer'!C7)=0,"","ZZZZZZZZZZZZZZZ")</f>
        <v/>
      </c>
      <c r="Z7" s="6" t="str">
        <f>IF(LEN('A créer'!C7)=0,"",0)</f>
        <v/>
      </c>
      <c r="AA7" s="2" t="str">
        <f>IF(LEN('A créer'!C7)=0,"","Tab")</f>
        <v/>
      </c>
      <c r="AB7" s="6" t="str">
        <f>IF(LEN('A créer'!C7)=0,"","ZZZ")</f>
        <v/>
      </c>
      <c r="AC7" s="6" t="str">
        <f>IF(LEN('A créer'!C7)=0,"",0)</f>
        <v/>
      </c>
      <c r="AD7" s="2" t="str">
        <f>IF(LEN('A créer'!C7)=0,"","Tab")</f>
        <v/>
      </c>
      <c r="AE7" s="6" t="str">
        <f>IF(LEN('A créer'!C7)=0,"","ZZZZZZZZZZ")</f>
        <v/>
      </c>
      <c r="AF7" s="6" t="str">
        <f>IF(LEN('A créer'!C7)=0,"",0)</f>
        <v/>
      </c>
      <c r="AG7" s="2" t="str">
        <f>IF(LEN('A créer'!C7)=0,"","Tab")</f>
        <v/>
      </c>
      <c r="AH7" s="6" t="str">
        <f>IF(LEN('A créer'!C7)=0,"","ZZZZZZZZZZ")</f>
        <v/>
      </c>
      <c r="AI7" s="6" t="str">
        <f>IF(LEN('A créer'!C7)=0,"",0)</f>
        <v/>
      </c>
      <c r="AJ7" s="2" t="str">
        <f>IF(LEN('A créer'!C7)=0,"","Tab")</f>
        <v/>
      </c>
      <c r="AK7" s="6" t="str">
        <f>IF(LEN('A créer'!C7)=0,"","ZZZZZZZZZZ")</f>
        <v/>
      </c>
      <c r="AL7" s="2" t="str">
        <f>IF(LEN('A créer'!C7)=0,"","ENT")</f>
        <v/>
      </c>
      <c r="AM7" s="2" t="str">
        <f>IF(LEN('A créer'!C7)=0,"","*SAVE")</f>
        <v/>
      </c>
    </row>
    <row r="8" spans="1:39" x14ac:dyDescent="0.35">
      <c r="A8" s="2" t="str">
        <f>IF(LEN('A créer'!C8)=0,"","*FN")</f>
        <v/>
      </c>
      <c r="B8" s="3" t="str">
        <f>IF(LEN('A créer'!C8)=0,"","\I")</f>
        <v/>
      </c>
      <c r="C8" s="2" t="str">
        <f>IF(LEN('A créer'!C8)=0,"","Tab")</f>
        <v/>
      </c>
      <c r="D8" t="str">
        <f>IF(LEN('A créer'!C8)=0,"",'A créer'!A8)</f>
        <v/>
      </c>
      <c r="E8" s="2" t="str">
        <f>IF(LEN('A créer'!C8)=0,"","Tab")</f>
        <v/>
      </c>
      <c r="F8" t="str">
        <f>IF(LEN('A créer'!C8)=0,"",'A créer'!B8)</f>
        <v/>
      </c>
      <c r="G8" s="2" t="str">
        <f>IF(LEN('A créer'!C8)=0,"","Tab")</f>
        <v/>
      </c>
      <c r="H8" t="str">
        <f>IF(LEN('A créer'!C8)=0,"",0)</f>
        <v/>
      </c>
      <c r="I8" s="2" t="str">
        <f>IF(LEN('A créer'!C8)=0,"","Tab")</f>
        <v/>
      </c>
      <c r="J8" t="str">
        <f>IF(LEN('A créer'!C8)=0,"","ZZZZZZ")</f>
        <v/>
      </c>
      <c r="K8" t="str">
        <f>IF(LEN('A créer'!C8)=0,"",0)</f>
        <v/>
      </c>
      <c r="L8" s="2" t="str">
        <f>IF(LEN('A créer'!C8)=0,"","Tab")</f>
        <v/>
      </c>
      <c r="M8" s="6" t="str">
        <f>IF(LEN('A créer'!C8)=0,"","ZZZZZ")</f>
        <v/>
      </c>
      <c r="N8" s="6" t="str">
        <f>IF(LEN('A créer'!C8)=0,"",0)</f>
        <v/>
      </c>
      <c r="O8" s="2" t="str">
        <f>IF(LEN('A créer'!C8)=0,"","Tab")</f>
        <v/>
      </c>
      <c r="P8" s="6" t="str">
        <f>IF(LEN('A créer'!C8)=0,"","ZZZZZZZ")</f>
        <v/>
      </c>
      <c r="Q8" s="6" t="str">
        <f>IF(LEN('A créer'!C8)=0,"",0)</f>
        <v/>
      </c>
      <c r="R8" s="2" t="str">
        <f>IF(LEN('A créer'!C8)=0,"","Tab")</f>
        <v/>
      </c>
      <c r="S8" s="6" t="str">
        <f>IF(LEN('A créer'!C8)=0,"","ZZZZZZZZZZ")</f>
        <v/>
      </c>
      <c r="T8" s="6" t="str">
        <f>IF(LEN('A créer'!C8)=0,"",0)</f>
        <v/>
      </c>
      <c r="U8" s="2" t="str">
        <f>IF(LEN('A créer'!C8)=0,"","Tab")</f>
        <v/>
      </c>
      <c r="V8" s="6" t="str">
        <f>IF(LEN('A créer'!C8)=0,"","ZZZZZZZZZZ")</f>
        <v/>
      </c>
      <c r="W8" s="6" t="str">
        <f>IF(LEN('A créer'!C8)=0,"",0)</f>
        <v/>
      </c>
      <c r="X8" s="2" t="str">
        <f>IF(LEN('A créer'!C8)=0,"","Tab")</f>
        <v/>
      </c>
      <c r="Y8" s="6" t="str">
        <f>IF(LEN('A créer'!C8)=0,"","ZZZZZZZZZZZZZZZ")</f>
        <v/>
      </c>
      <c r="Z8" s="6" t="str">
        <f>IF(LEN('A créer'!C8)=0,"",0)</f>
        <v/>
      </c>
      <c r="AA8" s="2" t="str">
        <f>IF(LEN('A créer'!C8)=0,"","Tab")</f>
        <v/>
      </c>
      <c r="AB8" s="6" t="str">
        <f>IF(LEN('A créer'!C8)=0,"","ZZZ")</f>
        <v/>
      </c>
      <c r="AC8" s="6" t="str">
        <f>IF(LEN('A créer'!C8)=0,"",0)</f>
        <v/>
      </c>
      <c r="AD8" s="2" t="str">
        <f>IF(LEN('A créer'!C8)=0,"","Tab")</f>
        <v/>
      </c>
      <c r="AE8" s="6" t="str">
        <f>IF(LEN('A créer'!C8)=0,"","ZZZZZZZZZZ")</f>
        <v/>
      </c>
      <c r="AF8" s="6" t="str">
        <f>IF(LEN('A créer'!C8)=0,"",0)</f>
        <v/>
      </c>
      <c r="AG8" s="2" t="str">
        <f>IF(LEN('A créer'!C8)=0,"","Tab")</f>
        <v/>
      </c>
      <c r="AH8" s="6" t="str">
        <f>IF(LEN('A créer'!C8)=0,"","ZZZZZZZZZZ")</f>
        <v/>
      </c>
      <c r="AI8" s="6" t="str">
        <f>IF(LEN('A créer'!C8)=0,"",0)</f>
        <v/>
      </c>
      <c r="AJ8" s="2" t="str">
        <f>IF(LEN('A créer'!C8)=0,"","Tab")</f>
        <v/>
      </c>
      <c r="AK8" s="6" t="str">
        <f>IF(LEN('A créer'!C8)=0,"","ZZZZZZZZZZ")</f>
        <v/>
      </c>
      <c r="AL8" s="2" t="str">
        <f>IF(LEN('A créer'!C8)=0,"","ENT")</f>
        <v/>
      </c>
      <c r="AM8" s="2" t="str">
        <f>IF(LEN('A créer'!C8)=0,"","*SAVE")</f>
        <v/>
      </c>
    </row>
    <row r="9" spans="1:39" x14ac:dyDescent="0.35">
      <c r="A9" s="2" t="str">
        <f>IF(LEN('A créer'!C9)=0,"","*FN")</f>
        <v/>
      </c>
      <c r="B9" s="3" t="str">
        <f>IF(LEN('A créer'!C9)=0,"","\I")</f>
        <v/>
      </c>
      <c r="C9" s="2" t="str">
        <f>IF(LEN('A créer'!C9)=0,"","Tab")</f>
        <v/>
      </c>
      <c r="D9" t="str">
        <f>IF(LEN('A créer'!C9)=0,"",'A créer'!A9)</f>
        <v/>
      </c>
      <c r="E9" s="2" t="str">
        <f>IF(LEN('A créer'!C9)=0,"","Tab")</f>
        <v/>
      </c>
      <c r="F9" t="str">
        <f>IF(LEN('A créer'!C9)=0,"",'A créer'!B9)</f>
        <v/>
      </c>
      <c r="G9" s="2" t="str">
        <f>IF(LEN('A créer'!C9)=0,"","Tab")</f>
        <v/>
      </c>
      <c r="H9" t="str">
        <f>IF(LEN('A créer'!C9)=0,"",0)</f>
        <v/>
      </c>
      <c r="I9" s="2" t="str">
        <f>IF(LEN('A créer'!C9)=0,"","Tab")</f>
        <v/>
      </c>
      <c r="J9" t="str">
        <f>IF(LEN('A créer'!C9)=0,"","ZZZZZZ")</f>
        <v/>
      </c>
      <c r="K9" t="str">
        <f>IF(LEN('A créer'!C9)=0,"",0)</f>
        <v/>
      </c>
      <c r="L9" s="2" t="str">
        <f>IF(LEN('A créer'!C9)=0,"","Tab")</f>
        <v/>
      </c>
      <c r="M9" s="6" t="str">
        <f>IF(LEN('A créer'!C9)=0,"","ZZZZZ")</f>
        <v/>
      </c>
      <c r="N9" s="6" t="str">
        <f>IF(LEN('A créer'!C9)=0,"",0)</f>
        <v/>
      </c>
      <c r="O9" s="2" t="str">
        <f>IF(LEN('A créer'!C9)=0,"","Tab")</f>
        <v/>
      </c>
      <c r="P9" s="6" t="str">
        <f>IF(LEN('A créer'!C9)=0,"","ZZZZZZZ")</f>
        <v/>
      </c>
      <c r="Q9" s="6" t="str">
        <f>IF(LEN('A créer'!C9)=0,"",0)</f>
        <v/>
      </c>
      <c r="R9" s="2" t="str">
        <f>IF(LEN('A créer'!C9)=0,"","Tab")</f>
        <v/>
      </c>
      <c r="S9" s="6" t="str">
        <f>IF(LEN('A créer'!C9)=0,"","ZZZZZZZZZZ")</f>
        <v/>
      </c>
      <c r="T9" s="6" t="str">
        <f>IF(LEN('A créer'!C9)=0,"",0)</f>
        <v/>
      </c>
      <c r="U9" s="2" t="str">
        <f>IF(LEN('A créer'!C9)=0,"","Tab")</f>
        <v/>
      </c>
      <c r="V9" s="6" t="str">
        <f>IF(LEN('A créer'!C9)=0,"","ZZZZZZZZZZ")</f>
        <v/>
      </c>
      <c r="W9" s="6" t="str">
        <f>IF(LEN('A créer'!C9)=0,"",0)</f>
        <v/>
      </c>
      <c r="X9" s="2" t="str">
        <f>IF(LEN('A créer'!C9)=0,"","Tab")</f>
        <v/>
      </c>
      <c r="Y9" s="6" t="str">
        <f>IF(LEN('A créer'!C9)=0,"","ZZZZZZZZZZZZZZZ")</f>
        <v/>
      </c>
      <c r="Z9" s="6" t="str">
        <f>IF(LEN('A créer'!C9)=0,"",0)</f>
        <v/>
      </c>
      <c r="AA9" s="2" t="str">
        <f>IF(LEN('A créer'!C9)=0,"","Tab")</f>
        <v/>
      </c>
      <c r="AB9" s="6" t="str">
        <f>IF(LEN('A créer'!C9)=0,"","ZZZ")</f>
        <v/>
      </c>
      <c r="AC9" s="6" t="str">
        <f>IF(LEN('A créer'!C9)=0,"",0)</f>
        <v/>
      </c>
      <c r="AD9" s="2" t="str">
        <f>IF(LEN('A créer'!C9)=0,"","Tab")</f>
        <v/>
      </c>
      <c r="AE9" s="6" t="str">
        <f>IF(LEN('A créer'!C9)=0,"","ZZZZZZZZZZ")</f>
        <v/>
      </c>
      <c r="AF9" s="6" t="str">
        <f>IF(LEN('A créer'!C9)=0,"",0)</f>
        <v/>
      </c>
      <c r="AG9" s="2" t="str">
        <f>IF(LEN('A créer'!C9)=0,"","Tab")</f>
        <v/>
      </c>
      <c r="AH9" s="6" t="str">
        <f>IF(LEN('A créer'!C9)=0,"","ZZZZZZZZZZ")</f>
        <v/>
      </c>
      <c r="AI9" s="6" t="str">
        <f>IF(LEN('A créer'!C9)=0,"",0)</f>
        <v/>
      </c>
      <c r="AJ9" s="2" t="str">
        <f>IF(LEN('A créer'!C9)=0,"","Tab")</f>
        <v/>
      </c>
      <c r="AK9" s="6" t="str">
        <f>IF(LEN('A créer'!C9)=0,"","ZZZZZZZZZZ")</f>
        <v/>
      </c>
      <c r="AL9" s="2" t="str">
        <f>IF(LEN('A créer'!C9)=0,"","ENT")</f>
        <v/>
      </c>
      <c r="AM9" s="2" t="str">
        <f>IF(LEN('A créer'!C9)=0,"","*SAVE")</f>
        <v/>
      </c>
    </row>
    <row r="10" spans="1:39" x14ac:dyDescent="0.35">
      <c r="A10" s="2" t="str">
        <f>IF(LEN('A créer'!C10)=0,"","*FN")</f>
        <v/>
      </c>
      <c r="B10" s="3" t="str">
        <f>IF(LEN('A créer'!C10)=0,"","\I")</f>
        <v/>
      </c>
      <c r="C10" s="2" t="str">
        <f>IF(LEN('A créer'!C10)=0,"","Tab")</f>
        <v/>
      </c>
      <c r="D10" t="str">
        <f>IF(LEN('A créer'!C10)=0,"",'A créer'!A10)</f>
        <v/>
      </c>
      <c r="E10" s="2" t="str">
        <f>IF(LEN('A créer'!C10)=0,"","Tab")</f>
        <v/>
      </c>
      <c r="F10" t="str">
        <f>IF(LEN('A créer'!C10)=0,"",'A créer'!B10)</f>
        <v/>
      </c>
      <c r="G10" s="2" t="str">
        <f>IF(LEN('A créer'!C10)=0,"","Tab")</f>
        <v/>
      </c>
      <c r="H10" t="str">
        <f>IF(LEN('A créer'!C10)=0,"",0)</f>
        <v/>
      </c>
      <c r="I10" s="2" t="str">
        <f>IF(LEN('A créer'!C10)=0,"","Tab")</f>
        <v/>
      </c>
      <c r="J10" t="str">
        <f>IF(LEN('A créer'!C10)=0,"","ZZZZZZ")</f>
        <v/>
      </c>
      <c r="K10" t="str">
        <f>IF(LEN('A créer'!C10)=0,"",0)</f>
        <v/>
      </c>
      <c r="L10" s="2" t="str">
        <f>IF(LEN('A créer'!C10)=0,"","Tab")</f>
        <v/>
      </c>
      <c r="M10" s="6" t="str">
        <f>IF(LEN('A créer'!C10)=0,"","ZZZZZ")</f>
        <v/>
      </c>
      <c r="N10" s="6" t="str">
        <f>IF(LEN('A créer'!C10)=0,"",0)</f>
        <v/>
      </c>
      <c r="O10" s="2" t="str">
        <f>IF(LEN('A créer'!C10)=0,"","Tab")</f>
        <v/>
      </c>
      <c r="P10" s="6" t="str">
        <f>IF(LEN('A créer'!C10)=0,"","ZZZZZZZ")</f>
        <v/>
      </c>
      <c r="Q10" s="6" t="str">
        <f>IF(LEN('A créer'!C10)=0,"",0)</f>
        <v/>
      </c>
      <c r="R10" s="2" t="str">
        <f>IF(LEN('A créer'!C10)=0,"","Tab")</f>
        <v/>
      </c>
      <c r="S10" s="6" t="str">
        <f>IF(LEN('A créer'!C10)=0,"","ZZZZZZZZZZ")</f>
        <v/>
      </c>
      <c r="T10" s="6" t="str">
        <f>IF(LEN('A créer'!C10)=0,"",0)</f>
        <v/>
      </c>
      <c r="U10" s="2" t="str">
        <f>IF(LEN('A créer'!C10)=0,"","Tab")</f>
        <v/>
      </c>
      <c r="V10" s="6" t="str">
        <f>IF(LEN('A créer'!C10)=0,"","ZZZZZZZZZZ")</f>
        <v/>
      </c>
      <c r="W10" s="6" t="str">
        <f>IF(LEN('A créer'!C10)=0,"",0)</f>
        <v/>
      </c>
      <c r="X10" s="2" t="str">
        <f>IF(LEN('A créer'!C10)=0,"","Tab")</f>
        <v/>
      </c>
      <c r="Y10" s="6" t="str">
        <f>IF(LEN('A créer'!C10)=0,"","ZZZZZZZZZZZZZZZ")</f>
        <v/>
      </c>
      <c r="Z10" s="6" t="str">
        <f>IF(LEN('A créer'!C10)=0,"",0)</f>
        <v/>
      </c>
      <c r="AA10" s="2" t="str">
        <f>IF(LEN('A créer'!C10)=0,"","Tab")</f>
        <v/>
      </c>
      <c r="AB10" s="6" t="str">
        <f>IF(LEN('A créer'!C10)=0,"","ZZZ")</f>
        <v/>
      </c>
      <c r="AC10" s="6" t="str">
        <f>IF(LEN('A créer'!C10)=0,"",0)</f>
        <v/>
      </c>
      <c r="AD10" s="2" t="str">
        <f>IF(LEN('A créer'!C10)=0,"","Tab")</f>
        <v/>
      </c>
      <c r="AE10" s="6" t="str">
        <f>IF(LEN('A créer'!C10)=0,"","ZZZZZZZZZZ")</f>
        <v/>
      </c>
      <c r="AF10" s="6" t="str">
        <f>IF(LEN('A créer'!C10)=0,"",0)</f>
        <v/>
      </c>
      <c r="AG10" s="2" t="str">
        <f>IF(LEN('A créer'!C10)=0,"","Tab")</f>
        <v/>
      </c>
      <c r="AH10" s="6" t="str">
        <f>IF(LEN('A créer'!C10)=0,"","ZZZZZZZZZZ")</f>
        <v/>
      </c>
      <c r="AI10" s="6" t="str">
        <f>IF(LEN('A créer'!C10)=0,"",0)</f>
        <v/>
      </c>
      <c r="AJ10" s="2" t="str">
        <f>IF(LEN('A créer'!C10)=0,"","Tab")</f>
        <v/>
      </c>
      <c r="AK10" s="6" t="str">
        <f>IF(LEN('A créer'!C10)=0,"","ZZZZZZZZZZ")</f>
        <v/>
      </c>
      <c r="AL10" s="2" t="str">
        <f>IF(LEN('A créer'!C10)=0,"","ENT")</f>
        <v/>
      </c>
      <c r="AM10" s="2" t="str">
        <f>IF(LEN('A créer'!C10)=0,"","*SAVE")</f>
        <v/>
      </c>
    </row>
    <row r="11" spans="1:39" x14ac:dyDescent="0.35">
      <c r="A11" s="2" t="str">
        <f>IF(LEN('A créer'!C11)=0,"","*FN")</f>
        <v/>
      </c>
      <c r="B11" s="3" t="str">
        <f>IF(LEN('A créer'!C11)=0,"","\I")</f>
        <v/>
      </c>
      <c r="C11" s="2" t="str">
        <f>IF(LEN('A créer'!C11)=0,"","Tab")</f>
        <v/>
      </c>
      <c r="D11" t="str">
        <f>IF(LEN('A créer'!C11)=0,"",'A créer'!A11)</f>
        <v/>
      </c>
      <c r="E11" s="2" t="str">
        <f>IF(LEN('A créer'!C11)=0,"","Tab")</f>
        <v/>
      </c>
      <c r="F11" t="str">
        <f>IF(LEN('A créer'!C11)=0,"",'A créer'!B11)</f>
        <v/>
      </c>
      <c r="G11" s="2" t="str">
        <f>IF(LEN('A créer'!C11)=0,"","Tab")</f>
        <v/>
      </c>
      <c r="H11" t="str">
        <f>IF(LEN('A créer'!C11)=0,"",0)</f>
        <v/>
      </c>
      <c r="I11" s="2" t="str">
        <f>IF(LEN('A créer'!C11)=0,"","Tab")</f>
        <v/>
      </c>
      <c r="J11" t="str">
        <f>IF(LEN('A créer'!C11)=0,"","ZZZZZZ")</f>
        <v/>
      </c>
      <c r="K11" t="str">
        <f>IF(LEN('A créer'!C11)=0,"",0)</f>
        <v/>
      </c>
      <c r="L11" s="2" t="str">
        <f>IF(LEN('A créer'!C11)=0,"","Tab")</f>
        <v/>
      </c>
      <c r="M11" s="6" t="str">
        <f>IF(LEN('A créer'!C11)=0,"","ZZZZZ")</f>
        <v/>
      </c>
      <c r="N11" s="6" t="str">
        <f>IF(LEN('A créer'!C11)=0,"",0)</f>
        <v/>
      </c>
      <c r="O11" s="2" t="str">
        <f>IF(LEN('A créer'!C11)=0,"","Tab")</f>
        <v/>
      </c>
      <c r="P11" s="6" t="str">
        <f>IF(LEN('A créer'!C11)=0,"","ZZZZZZZ")</f>
        <v/>
      </c>
      <c r="Q11" s="6" t="str">
        <f>IF(LEN('A créer'!C11)=0,"",0)</f>
        <v/>
      </c>
      <c r="R11" s="2" t="str">
        <f>IF(LEN('A créer'!C11)=0,"","Tab")</f>
        <v/>
      </c>
      <c r="S11" s="6" t="str">
        <f>IF(LEN('A créer'!C11)=0,"","ZZZZZZZZZZ")</f>
        <v/>
      </c>
      <c r="T11" s="6" t="str">
        <f>IF(LEN('A créer'!C11)=0,"",0)</f>
        <v/>
      </c>
      <c r="U11" s="2" t="str">
        <f>IF(LEN('A créer'!C11)=0,"","Tab")</f>
        <v/>
      </c>
      <c r="V11" s="6" t="str">
        <f>IF(LEN('A créer'!C11)=0,"","ZZZZZZZZZZ")</f>
        <v/>
      </c>
      <c r="W11" s="6" t="str">
        <f>IF(LEN('A créer'!C11)=0,"",0)</f>
        <v/>
      </c>
      <c r="X11" s="2" t="str">
        <f>IF(LEN('A créer'!C11)=0,"","Tab")</f>
        <v/>
      </c>
      <c r="Y11" s="6" t="str">
        <f>IF(LEN('A créer'!C11)=0,"","ZZZZZZZZZZZZZZZ")</f>
        <v/>
      </c>
      <c r="Z11" s="6" t="str">
        <f>IF(LEN('A créer'!C11)=0,"",0)</f>
        <v/>
      </c>
      <c r="AA11" s="2" t="str">
        <f>IF(LEN('A créer'!C11)=0,"","Tab")</f>
        <v/>
      </c>
      <c r="AB11" s="6" t="str">
        <f>IF(LEN('A créer'!C11)=0,"","ZZZ")</f>
        <v/>
      </c>
      <c r="AC11" s="6" t="str">
        <f>IF(LEN('A créer'!C11)=0,"",0)</f>
        <v/>
      </c>
      <c r="AD11" s="2" t="str">
        <f>IF(LEN('A créer'!C11)=0,"","Tab")</f>
        <v/>
      </c>
      <c r="AE11" s="6" t="str">
        <f>IF(LEN('A créer'!C11)=0,"","ZZZZZZZZZZ")</f>
        <v/>
      </c>
      <c r="AF11" s="6" t="str">
        <f>IF(LEN('A créer'!C11)=0,"",0)</f>
        <v/>
      </c>
      <c r="AG11" s="2" t="str">
        <f>IF(LEN('A créer'!C11)=0,"","Tab")</f>
        <v/>
      </c>
      <c r="AH11" s="6" t="str">
        <f>IF(LEN('A créer'!C11)=0,"","ZZZZZZZZZZ")</f>
        <v/>
      </c>
      <c r="AI11" s="6" t="str">
        <f>IF(LEN('A créer'!C11)=0,"",0)</f>
        <v/>
      </c>
      <c r="AJ11" s="2" t="str">
        <f>IF(LEN('A créer'!C11)=0,"","Tab")</f>
        <v/>
      </c>
      <c r="AK11" s="6" t="str">
        <f>IF(LEN('A créer'!C11)=0,"","ZZZZZZZZZZ")</f>
        <v/>
      </c>
      <c r="AL11" s="2" t="str">
        <f>IF(LEN('A créer'!C11)=0,"","ENT")</f>
        <v/>
      </c>
      <c r="AM11" s="2" t="str">
        <f>IF(LEN('A créer'!C11)=0,"","*SAVE")</f>
        <v/>
      </c>
    </row>
    <row r="12" spans="1:39" x14ac:dyDescent="0.35">
      <c r="A12" s="2" t="str">
        <f>IF(LEN('A créer'!C12)=0,"","*FN")</f>
        <v/>
      </c>
      <c r="B12" s="3" t="str">
        <f>IF(LEN('A créer'!C12)=0,"","\I")</f>
        <v/>
      </c>
      <c r="C12" s="2" t="str">
        <f>IF(LEN('A créer'!C12)=0,"","Tab")</f>
        <v/>
      </c>
      <c r="D12" t="str">
        <f>IF(LEN('A créer'!C12)=0,"",'A créer'!A12)</f>
        <v/>
      </c>
      <c r="E12" s="2" t="str">
        <f>IF(LEN('A créer'!C12)=0,"","Tab")</f>
        <v/>
      </c>
      <c r="F12" t="str">
        <f>IF(LEN('A créer'!C12)=0,"",'A créer'!B12)</f>
        <v/>
      </c>
      <c r="G12" s="2" t="str">
        <f>IF(LEN('A créer'!C12)=0,"","Tab")</f>
        <v/>
      </c>
      <c r="H12" t="str">
        <f>IF(LEN('A créer'!C12)=0,"",0)</f>
        <v/>
      </c>
      <c r="I12" s="2" t="str">
        <f>IF(LEN('A créer'!C12)=0,"","Tab")</f>
        <v/>
      </c>
      <c r="J12" t="str">
        <f>IF(LEN('A créer'!C12)=0,"","ZZZZZZ")</f>
        <v/>
      </c>
      <c r="K12" t="str">
        <f>IF(LEN('A créer'!C12)=0,"",0)</f>
        <v/>
      </c>
      <c r="L12" s="2" t="str">
        <f>IF(LEN('A créer'!C12)=0,"","Tab")</f>
        <v/>
      </c>
      <c r="M12" s="6" t="str">
        <f>IF(LEN('A créer'!C12)=0,"","ZZZZZ")</f>
        <v/>
      </c>
      <c r="N12" s="6" t="str">
        <f>IF(LEN('A créer'!C12)=0,"",0)</f>
        <v/>
      </c>
      <c r="O12" s="2" t="str">
        <f>IF(LEN('A créer'!C12)=0,"","Tab")</f>
        <v/>
      </c>
      <c r="P12" s="6" t="str">
        <f>IF(LEN('A créer'!C12)=0,"","ZZZZZZZ")</f>
        <v/>
      </c>
      <c r="Q12" s="6" t="str">
        <f>IF(LEN('A créer'!C12)=0,"",0)</f>
        <v/>
      </c>
      <c r="R12" s="2" t="str">
        <f>IF(LEN('A créer'!C12)=0,"","Tab")</f>
        <v/>
      </c>
      <c r="S12" s="6" t="str">
        <f>IF(LEN('A créer'!C12)=0,"","ZZZZZZZZZZ")</f>
        <v/>
      </c>
      <c r="T12" s="6" t="str">
        <f>IF(LEN('A créer'!C12)=0,"",0)</f>
        <v/>
      </c>
      <c r="U12" s="2" t="str">
        <f>IF(LEN('A créer'!C12)=0,"","Tab")</f>
        <v/>
      </c>
      <c r="V12" s="6" t="str">
        <f>IF(LEN('A créer'!C12)=0,"","ZZZZZZZZZZ")</f>
        <v/>
      </c>
      <c r="W12" s="6" t="str">
        <f>IF(LEN('A créer'!C12)=0,"",0)</f>
        <v/>
      </c>
      <c r="X12" s="2" t="str">
        <f>IF(LEN('A créer'!C12)=0,"","Tab")</f>
        <v/>
      </c>
      <c r="Y12" s="6" t="str">
        <f>IF(LEN('A créer'!C12)=0,"","ZZZZZZZZZZZZZZZ")</f>
        <v/>
      </c>
      <c r="Z12" s="6" t="str">
        <f>IF(LEN('A créer'!C12)=0,"",0)</f>
        <v/>
      </c>
      <c r="AA12" s="2" t="str">
        <f>IF(LEN('A créer'!C12)=0,"","Tab")</f>
        <v/>
      </c>
      <c r="AB12" s="6" t="str">
        <f>IF(LEN('A créer'!C12)=0,"","ZZZ")</f>
        <v/>
      </c>
      <c r="AC12" s="6" t="str">
        <f>IF(LEN('A créer'!C12)=0,"",0)</f>
        <v/>
      </c>
      <c r="AD12" s="2" t="str">
        <f>IF(LEN('A créer'!C12)=0,"","Tab")</f>
        <v/>
      </c>
      <c r="AE12" s="6" t="str">
        <f>IF(LEN('A créer'!C12)=0,"","ZZZZZZZZZZ")</f>
        <v/>
      </c>
      <c r="AF12" s="6" t="str">
        <f>IF(LEN('A créer'!C12)=0,"",0)</f>
        <v/>
      </c>
      <c r="AG12" s="2" t="str">
        <f>IF(LEN('A créer'!C12)=0,"","Tab")</f>
        <v/>
      </c>
      <c r="AH12" s="6" t="str">
        <f>IF(LEN('A créer'!C12)=0,"","ZZZZZZZZZZ")</f>
        <v/>
      </c>
      <c r="AI12" s="6" t="str">
        <f>IF(LEN('A créer'!C12)=0,"",0)</f>
        <v/>
      </c>
      <c r="AJ12" s="2" t="str">
        <f>IF(LEN('A créer'!C12)=0,"","Tab")</f>
        <v/>
      </c>
      <c r="AK12" s="6" t="str">
        <f>IF(LEN('A créer'!C12)=0,"","ZZZZZZZZZZ")</f>
        <v/>
      </c>
      <c r="AL12" s="2" t="str">
        <f>IF(LEN('A créer'!C12)=0,"","ENT")</f>
        <v/>
      </c>
      <c r="AM12" s="2" t="str">
        <f>IF(LEN('A créer'!C12)=0,"","*SAVE")</f>
        <v/>
      </c>
    </row>
    <row r="13" spans="1:39" x14ac:dyDescent="0.35">
      <c r="A13" s="2" t="str">
        <f>IF(LEN('A créer'!C13)=0,"","*FN")</f>
        <v/>
      </c>
      <c r="B13" s="3" t="str">
        <f>IF(LEN('A créer'!C13)=0,"","\I")</f>
        <v/>
      </c>
      <c r="C13" s="2" t="str">
        <f>IF(LEN('A créer'!C13)=0,"","Tab")</f>
        <v/>
      </c>
      <c r="D13" t="str">
        <f>IF(LEN('A créer'!C13)=0,"",'A créer'!A13)</f>
        <v/>
      </c>
      <c r="E13" s="2" t="str">
        <f>IF(LEN('A créer'!C13)=0,"","Tab")</f>
        <v/>
      </c>
      <c r="F13" t="str">
        <f>IF(LEN('A créer'!C13)=0,"",'A créer'!B13)</f>
        <v/>
      </c>
      <c r="G13" s="2" t="str">
        <f>IF(LEN('A créer'!C13)=0,"","Tab")</f>
        <v/>
      </c>
      <c r="H13" t="str">
        <f>IF(LEN('A créer'!C13)=0,"",0)</f>
        <v/>
      </c>
      <c r="I13" s="2" t="str">
        <f>IF(LEN('A créer'!C13)=0,"","Tab")</f>
        <v/>
      </c>
      <c r="J13" t="str">
        <f>IF(LEN('A créer'!C13)=0,"","ZZZZZZ")</f>
        <v/>
      </c>
      <c r="K13" t="str">
        <f>IF(LEN('A créer'!C13)=0,"",0)</f>
        <v/>
      </c>
      <c r="L13" s="2" t="str">
        <f>IF(LEN('A créer'!C13)=0,"","Tab")</f>
        <v/>
      </c>
      <c r="M13" s="6" t="str">
        <f>IF(LEN('A créer'!C13)=0,"","ZZZZZ")</f>
        <v/>
      </c>
      <c r="N13" s="6" t="str">
        <f>IF(LEN('A créer'!C13)=0,"",0)</f>
        <v/>
      </c>
      <c r="O13" s="2" t="str">
        <f>IF(LEN('A créer'!C13)=0,"","Tab")</f>
        <v/>
      </c>
      <c r="P13" s="6" t="str">
        <f>IF(LEN('A créer'!C13)=0,"","ZZZZZZZ")</f>
        <v/>
      </c>
      <c r="Q13" s="6" t="str">
        <f>IF(LEN('A créer'!C13)=0,"",0)</f>
        <v/>
      </c>
      <c r="R13" s="2" t="str">
        <f>IF(LEN('A créer'!C13)=0,"","Tab")</f>
        <v/>
      </c>
      <c r="S13" s="6" t="str">
        <f>IF(LEN('A créer'!C13)=0,"","ZZZZZZZZZZ")</f>
        <v/>
      </c>
      <c r="T13" s="6" t="str">
        <f>IF(LEN('A créer'!C13)=0,"",0)</f>
        <v/>
      </c>
      <c r="U13" s="2" t="str">
        <f>IF(LEN('A créer'!C13)=0,"","Tab")</f>
        <v/>
      </c>
      <c r="V13" s="6" t="str">
        <f>IF(LEN('A créer'!C13)=0,"","ZZZZZZZZZZ")</f>
        <v/>
      </c>
      <c r="W13" s="6" t="str">
        <f>IF(LEN('A créer'!C13)=0,"",0)</f>
        <v/>
      </c>
      <c r="X13" s="2" t="str">
        <f>IF(LEN('A créer'!C13)=0,"","Tab")</f>
        <v/>
      </c>
      <c r="Y13" s="6" t="str">
        <f>IF(LEN('A créer'!C13)=0,"","ZZZZZZZZZZZZZZZ")</f>
        <v/>
      </c>
      <c r="Z13" s="6" t="str">
        <f>IF(LEN('A créer'!C13)=0,"",0)</f>
        <v/>
      </c>
      <c r="AA13" s="2" t="str">
        <f>IF(LEN('A créer'!C13)=0,"","Tab")</f>
        <v/>
      </c>
      <c r="AB13" s="6" t="str">
        <f>IF(LEN('A créer'!C13)=0,"","ZZZ")</f>
        <v/>
      </c>
      <c r="AC13" s="6" t="str">
        <f>IF(LEN('A créer'!C13)=0,"",0)</f>
        <v/>
      </c>
      <c r="AD13" s="2" t="str">
        <f>IF(LEN('A créer'!C13)=0,"","Tab")</f>
        <v/>
      </c>
      <c r="AE13" s="6" t="str">
        <f>IF(LEN('A créer'!C13)=0,"","ZZZZZZZZZZ")</f>
        <v/>
      </c>
      <c r="AF13" s="6" t="str">
        <f>IF(LEN('A créer'!C13)=0,"",0)</f>
        <v/>
      </c>
      <c r="AG13" s="2" t="str">
        <f>IF(LEN('A créer'!C13)=0,"","Tab")</f>
        <v/>
      </c>
      <c r="AH13" s="6" t="str">
        <f>IF(LEN('A créer'!C13)=0,"","ZZZZZZZZZZ")</f>
        <v/>
      </c>
      <c r="AI13" s="6" t="str">
        <f>IF(LEN('A créer'!C13)=0,"",0)</f>
        <v/>
      </c>
      <c r="AJ13" s="2" t="str">
        <f>IF(LEN('A créer'!C13)=0,"","Tab")</f>
        <v/>
      </c>
      <c r="AK13" s="6" t="str">
        <f>IF(LEN('A créer'!C13)=0,"","ZZZZZZZZZZ")</f>
        <v/>
      </c>
      <c r="AL13" s="2" t="str">
        <f>IF(LEN('A créer'!C13)=0,"","ENT")</f>
        <v/>
      </c>
      <c r="AM13" s="2" t="str">
        <f>IF(LEN('A créer'!C13)=0,"","*SAVE")</f>
        <v/>
      </c>
    </row>
    <row r="14" spans="1:39" x14ac:dyDescent="0.35">
      <c r="A14" s="2" t="str">
        <f>IF(LEN('A créer'!C14)=0,"","*FN")</f>
        <v/>
      </c>
      <c r="B14" s="3" t="str">
        <f>IF(LEN('A créer'!C14)=0,"","\I")</f>
        <v/>
      </c>
      <c r="C14" s="2" t="str">
        <f>IF(LEN('A créer'!C14)=0,"","Tab")</f>
        <v/>
      </c>
      <c r="D14" t="str">
        <f>IF(LEN('A créer'!C14)=0,"",'A créer'!A14)</f>
        <v/>
      </c>
      <c r="E14" s="2" t="str">
        <f>IF(LEN('A créer'!C14)=0,"","Tab")</f>
        <v/>
      </c>
      <c r="F14" t="str">
        <f>IF(LEN('A créer'!C14)=0,"",'A créer'!B14)</f>
        <v/>
      </c>
      <c r="G14" s="2" t="str">
        <f>IF(LEN('A créer'!C14)=0,"","Tab")</f>
        <v/>
      </c>
      <c r="H14" t="str">
        <f>IF(LEN('A créer'!C14)=0,"",0)</f>
        <v/>
      </c>
      <c r="I14" s="2" t="str">
        <f>IF(LEN('A créer'!C14)=0,"","Tab")</f>
        <v/>
      </c>
      <c r="J14" t="str">
        <f>IF(LEN('A créer'!C14)=0,"","ZZZZZZ")</f>
        <v/>
      </c>
      <c r="K14" t="str">
        <f>IF(LEN('A créer'!C14)=0,"",0)</f>
        <v/>
      </c>
      <c r="L14" s="2" t="str">
        <f>IF(LEN('A créer'!C14)=0,"","Tab")</f>
        <v/>
      </c>
      <c r="M14" s="6" t="str">
        <f>IF(LEN('A créer'!C14)=0,"","ZZZZZ")</f>
        <v/>
      </c>
      <c r="N14" s="6" t="str">
        <f>IF(LEN('A créer'!C14)=0,"",0)</f>
        <v/>
      </c>
      <c r="O14" s="2" t="str">
        <f>IF(LEN('A créer'!C14)=0,"","Tab")</f>
        <v/>
      </c>
      <c r="P14" s="6" t="str">
        <f>IF(LEN('A créer'!C14)=0,"","ZZZZZZZ")</f>
        <v/>
      </c>
      <c r="Q14" s="6" t="str">
        <f>IF(LEN('A créer'!C14)=0,"",0)</f>
        <v/>
      </c>
      <c r="R14" s="2" t="str">
        <f>IF(LEN('A créer'!C14)=0,"","Tab")</f>
        <v/>
      </c>
      <c r="S14" s="6" t="str">
        <f>IF(LEN('A créer'!C14)=0,"","ZZZZZZZZZZ")</f>
        <v/>
      </c>
      <c r="T14" s="6" t="str">
        <f>IF(LEN('A créer'!C14)=0,"",0)</f>
        <v/>
      </c>
      <c r="U14" s="2" t="str">
        <f>IF(LEN('A créer'!C14)=0,"","Tab")</f>
        <v/>
      </c>
      <c r="V14" s="6" t="str">
        <f>IF(LEN('A créer'!C14)=0,"","ZZZZZZZZZZ")</f>
        <v/>
      </c>
      <c r="W14" s="6" t="str">
        <f>IF(LEN('A créer'!C14)=0,"",0)</f>
        <v/>
      </c>
      <c r="X14" s="2" t="str">
        <f>IF(LEN('A créer'!C14)=0,"","Tab")</f>
        <v/>
      </c>
      <c r="Y14" s="6" t="str">
        <f>IF(LEN('A créer'!C14)=0,"","ZZZZZZZZZZZZZZZ")</f>
        <v/>
      </c>
      <c r="Z14" s="6" t="str">
        <f>IF(LEN('A créer'!C14)=0,"",0)</f>
        <v/>
      </c>
      <c r="AA14" s="2" t="str">
        <f>IF(LEN('A créer'!C14)=0,"","Tab")</f>
        <v/>
      </c>
      <c r="AB14" s="6" t="str">
        <f>IF(LEN('A créer'!C14)=0,"","ZZZ")</f>
        <v/>
      </c>
      <c r="AC14" s="6" t="str">
        <f>IF(LEN('A créer'!C14)=0,"",0)</f>
        <v/>
      </c>
      <c r="AD14" s="2" t="str">
        <f>IF(LEN('A créer'!C14)=0,"","Tab")</f>
        <v/>
      </c>
      <c r="AE14" s="6" t="str">
        <f>IF(LEN('A créer'!C14)=0,"","ZZZZZZZZZZ")</f>
        <v/>
      </c>
      <c r="AF14" s="6" t="str">
        <f>IF(LEN('A créer'!C14)=0,"",0)</f>
        <v/>
      </c>
      <c r="AG14" s="2" t="str">
        <f>IF(LEN('A créer'!C14)=0,"","Tab")</f>
        <v/>
      </c>
      <c r="AH14" s="6" t="str">
        <f>IF(LEN('A créer'!C14)=0,"","ZZZZZZZZZZ")</f>
        <v/>
      </c>
      <c r="AI14" s="6" t="str">
        <f>IF(LEN('A créer'!C14)=0,"",0)</f>
        <v/>
      </c>
      <c r="AJ14" s="2" t="str">
        <f>IF(LEN('A créer'!C14)=0,"","Tab")</f>
        <v/>
      </c>
      <c r="AK14" s="6" t="str">
        <f>IF(LEN('A créer'!C14)=0,"","ZZZZZZZZZZ")</f>
        <v/>
      </c>
      <c r="AL14" s="2" t="str">
        <f>IF(LEN('A créer'!C14)=0,"","ENT")</f>
        <v/>
      </c>
      <c r="AM14" s="2" t="str">
        <f>IF(LEN('A créer'!C14)=0,"","*SAVE")</f>
        <v/>
      </c>
    </row>
    <row r="15" spans="1:39" x14ac:dyDescent="0.35">
      <c r="A15" s="2" t="str">
        <f>IF(LEN('A créer'!C15)=0,"","*FN")</f>
        <v/>
      </c>
      <c r="B15" s="3" t="str">
        <f>IF(LEN('A créer'!C15)=0,"","\I")</f>
        <v/>
      </c>
      <c r="C15" s="2" t="str">
        <f>IF(LEN('A créer'!C15)=0,"","Tab")</f>
        <v/>
      </c>
      <c r="D15" t="str">
        <f>IF(LEN('A créer'!C15)=0,"",'A créer'!A15)</f>
        <v/>
      </c>
      <c r="E15" s="2" t="str">
        <f>IF(LEN('A créer'!C15)=0,"","Tab")</f>
        <v/>
      </c>
      <c r="F15" t="str">
        <f>IF(LEN('A créer'!C15)=0,"",'A créer'!B15)</f>
        <v/>
      </c>
      <c r="G15" s="2" t="str">
        <f>IF(LEN('A créer'!C15)=0,"","Tab")</f>
        <v/>
      </c>
      <c r="H15" t="str">
        <f>IF(LEN('A créer'!C15)=0,"",0)</f>
        <v/>
      </c>
      <c r="I15" s="2" t="str">
        <f>IF(LEN('A créer'!C15)=0,"","Tab")</f>
        <v/>
      </c>
      <c r="J15" t="str">
        <f>IF(LEN('A créer'!C15)=0,"","ZZZZZZ")</f>
        <v/>
      </c>
      <c r="K15" t="str">
        <f>IF(LEN('A créer'!C15)=0,"",0)</f>
        <v/>
      </c>
      <c r="L15" s="2" t="str">
        <f>IF(LEN('A créer'!C15)=0,"","Tab")</f>
        <v/>
      </c>
      <c r="M15" s="6" t="str">
        <f>IF(LEN('A créer'!C15)=0,"","ZZZZZ")</f>
        <v/>
      </c>
      <c r="N15" s="6" t="str">
        <f>IF(LEN('A créer'!C15)=0,"",0)</f>
        <v/>
      </c>
      <c r="O15" s="2" t="str">
        <f>IF(LEN('A créer'!C15)=0,"","Tab")</f>
        <v/>
      </c>
      <c r="P15" s="6" t="str">
        <f>IF(LEN('A créer'!C15)=0,"","ZZZZZZZ")</f>
        <v/>
      </c>
      <c r="Q15" s="6" t="str">
        <f>IF(LEN('A créer'!C15)=0,"",0)</f>
        <v/>
      </c>
      <c r="R15" s="2" t="str">
        <f>IF(LEN('A créer'!C15)=0,"","Tab")</f>
        <v/>
      </c>
      <c r="S15" s="6" t="str">
        <f>IF(LEN('A créer'!C15)=0,"","ZZZZZZZZZZ")</f>
        <v/>
      </c>
      <c r="T15" s="6" t="str">
        <f>IF(LEN('A créer'!C15)=0,"",0)</f>
        <v/>
      </c>
      <c r="U15" s="2" t="str">
        <f>IF(LEN('A créer'!C15)=0,"","Tab")</f>
        <v/>
      </c>
      <c r="V15" s="6" t="str">
        <f>IF(LEN('A créer'!C15)=0,"","ZZZZZZZZZZ")</f>
        <v/>
      </c>
      <c r="W15" s="6" t="str">
        <f>IF(LEN('A créer'!C15)=0,"",0)</f>
        <v/>
      </c>
      <c r="X15" s="2" t="str">
        <f>IF(LEN('A créer'!C15)=0,"","Tab")</f>
        <v/>
      </c>
      <c r="Y15" s="6" t="str">
        <f>IF(LEN('A créer'!C15)=0,"","ZZZZZZZZZZZZZZZ")</f>
        <v/>
      </c>
      <c r="Z15" s="6" t="str">
        <f>IF(LEN('A créer'!C15)=0,"",0)</f>
        <v/>
      </c>
      <c r="AA15" s="2" t="str">
        <f>IF(LEN('A créer'!C15)=0,"","Tab")</f>
        <v/>
      </c>
      <c r="AB15" s="6" t="str">
        <f>IF(LEN('A créer'!C15)=0,"","ZZZ")</f>
        <v/>
      </c>
      <c r="AC15" s="6" t="str">
        <f>IF(LEN('A créer'!C15)=0,"",0)</f>
        <v/>
      </c>
      <c r="AD15" s="2" t="str">
        <f>IF(LEN('A créer'!C15)=0,"","Tab")</f>
        <v/>
      </c>
      <c r="AE15" s="6" t="str">
        <f>IF(LEN('A créer'!C15)=0,"","ZZZZZZZZZZ")</f>
        <v/>
      </c>
      <c r="AF15" s="6" t="str">
        <f>IF(LEN('A créer'!C15)=0,"",0)</f>
        <v/>
      </c>
      <c r="AG15" s="2" t="str">
        <f>IF(LEN('A créer'!C15)=0,"","Tab")</f>
        <v/>
      </c>
      <c r="AH15" s="6" t="str">
        <f>IF(LEN('A créer'!C15)=0,"","ZZZZZZZZZZ")</f>
        <v/>
      </c>
      <c r="AI15" s="6" t="str">
        <f>IF(LEN('A créer'!C15)=0,"",0)</f>
        <v/>
      </c>
      <c r="AJ15" s="2" t="str">
        <f>IF(LEN('A créer'!C15)=0,"","Tab")</f>
        <v/>
      </c>
      <c r="AK15" s="6" t="str">
        <f>IF(LEN('A créer'!C15)=0,"","ZZZZZZZZZZ")</f>
        <v/>
      </c>
      <c r="AL15" s="2" t="str">
        <f>IF(LEN('A créer'!C15)=0,"","ENT")</f>
        <v/>
      </c>
      <c r="AM15" s="2" t="str">
        <f>IF(LEN('A créer'!C15)=0,"","*SAVE")</f>
        <v/>
      </c>
    </row>
    <row r="16" spans="1:39" x14ac:dyDescent="0.35">
      <c r="A16" s="2" t="str">
        <f>IF(LEN('A créer'!C16)=0,"","*FN")</f>
        <v/>
      </c>
      <c r="B16" s="3" t="str">
        <f>IF(LEN('A créer'!C16)=0,"","\I")</f>
        <v/>
      </c>
      <c r="C16" s="2" t="str">
        <f>IF(LEN('A créer'!C16)=0,"","Tab")</f>
        <v/>
      </c>
      <c r="D16" t="str">
        <f>IF(LEN('A créer'!C16)=0,"",'A créer'!A16)</f>
        <v/>
      </c>
      <c r="E16" s="2" t="str">
        <f>IF(LEN('A créer'!C16)=0,"","Tab")</f>
        <v/>
      </c>
      <c r="F16" t="str">
        <f>IF(LEN('A créer'!C16)=0,"",'A créer'!B16)</f>
        <v/>
      </c>
      <c r="G16" s="2" t="str">
        <f>IF(LEN('A créer'!C16)=0,"","Tab")</f>
        <v/>
      </c>
      <c r="H16" t="str">
        <f>IF(LEN('A créer'!C16)=0,"",0)</f>
        <v/>
      </c>
      <c r="I16" s="2" t="str">
        <f>IF(LEN('A créer'!C16)=0,"","Tab")</f>
        <v/>
      </c>
      <c r="J16" t="str">
        <f>IF(LEN('A créer'!C16)=0,"","ZZZZZZ")</f>
        <v/>
      </c>
      <c r="K16" t="str">
        <f>IF(LEN('A créer'!C16)=0,"",0)</f>
        <v/>
      </c>
      <c r="L16" s="2" t="str">
        <f>IF(LEN('A créer'!C16)=0,"","Tab")</f>
        <v/>
      </c>
      <c r="M16" s="6" t="str">
        <f>IF(LEN('A créer'!C16)=0,"","ZZZZZ")</f>
        <v/>
      </c>
      <c r="N16" s="6" t="str">
        <f>IF(LEN('A créer'!C16)=0,"",0)</f>
        <v/>
      </c>
      <c r="O16" s="2" t="str">
        <f>IF(LEN('A créer'!C16)=0,"","Tab")</f>
        <v/>
      </c>
      <c r="P16" s="6" t="str">
        <f>IF(LEN('A créer'!C16)=0,"","ZZZZZZZ")</f>
        <v/>
      </c>
      <c r="Q16" s="6" t="str">
        <f>IF(LEN('A créer'!C16)=0,"",0)</f>
        <v/>
      </c>
      <c r="R16" s="2" t="str">
        <f>IF(LEN('A créer'!C16)=0,"","Tab")</f>
        <v/>
      </c>
      <c r="S16" s="6" t="str">
        <f>IF(LEN('A créer'!C16)=0,"","ZZZZZZZZZZ")</f>
        <v/>
      </c>
      <c r="T16" s="6" t="str">
        <f>IF(LEN('A créer'!C16)=0,"",0)</f>
        <v/>
      </c>
      <c r="U16" s="2" t="str">
        <f>IF(LEN('A créer'!C16)=0,"","Tab")</f>
        <v/>
      </c>
      <c r="V16" s="6" t="str">
        <f>IF(LEN('A créer'!C16)=0,"","ZZZZZZZZZZ")</f>
        <v/>
      </c>
      <c r="W16" s="6" t="str">
        <f>IF(LEN('A créer'!C16)=0,"",0)</f>
        <v/>
      </c>
      <c r="X16" s="2" t="str">
        <f>IF(LEN('A créer'!C16)=0,"","Tab")</f>
        <v/>
      </c>
      <c r="Y16" s="6" t="str">
        <f>IF(LEN('A créer'!C16)=0,"","ZZZZZZZZZZZZZZZ")</f>
        <v/>
      </c>
      <c r="Z16" s="6" t="str">
        <f>IF(LEN('A créer'!C16)=0,"",0)</f>
        <v/>
      </c>
      <c r="AA16" s="2" t="str">
        <f>IF(LEN('A créer'!C16)=0,"","Tab")</f>
        <v/>
      </c>
      <c r="AB16" s="6" t="str">
        <f>IF(LEN('A créer'!C16)=0,"","ZZZ")</f>
        <v/>
      </c>
      <c r="AC16" s="6" t="str">
        <f>IF(LEN('A créer'!C16)=0,"",0)</f>
        <v/>
      </c>
      <c r="AD16" s="2" t="str">
        <f>IF(LEN('A créer'!C16)=0,"","Tab")</f>
        <v/>
      </c>
      <c r="AE16" s="6" t="str">
        <f>IF(LEN('A créer'!C16)=0,"","ZZZZZZZZZZ")</f>
        <v/>
      </c>
      <c r="AF16" s="6" t="str">
        <f>IF(LEN('A créer'!C16)=0,"",0)</f>
        <v/>
      </c>
      <c r="AG16" s="2" t="str">
        <f>IF(LEN('A créer'!C16)=0,"","Tab")</f>
        <v/>
      </c>
      <c r="AH16" s="6" t="str">
        <f>IF(LEN('A créer'!C16)=0,"","ZZZZZZZZZZ")</f>
        <v/>
      </c>
      <c r="AI16" s="6" t="str">
        <f>IF(LEN('A créer'!C16)=0,"",0)</f>
        <v/>
      </c>
      <c r="AJ16" s="2" t="str">
        <f>IF(LEN('A créer'!C16)=0,"","Tab")</f>
        <v/>
      </c>
      <c r="AK16" s="6" t="str">
        <f>IF(LEN('A créer'!C16)=0,"","ZZZZZZZZZZ")</f>
        <v/>
      </c>
      <c r="AL16" s="2" t="str">
        <f>IF(LEN('A créer'!C16)=0,"","ENT")</f>
        <v/>
      </c>
      <c r="AM16" s="2" t="str">
        <f>IF(LEN('A créer'!C16)=0,"","*SAVE")</f>
        <v/>
      </c>
    </row>
    <row r="17" spans="1:39" x14ac:dyDescent="0.35">
      <c r="A17" s="2" t="str">
        <f>IF(LEN('A créer'!C17)=0,"","*FN")</f>
        <v/>
      </c>
      <c r="B17" s="3" t="str">
        <f>IF(LEN('A créer'!C17)=0,"","\I")</f>
        <v/>
      </c>
      <c r="C17" s="2" t="str">
        <f>IF(LEN('A créer'!C17)=0,"","Tab")</f>
        <v/>
      </c>
      <c r="D17" t="str">
        <f>IF(LEN('A créer'!C17)=0,"",'A créer'!A17)</f>
        <v/>
      </c>
      <c r="E17" s="2" t="str">
        <f>IF(LEN('A créer'!C17)=0,"","Tab")</f>
        <v/>
      </c>
      <c r="F17" t="str">
        <f>IF(LEN('A créer'!C17)=0,"",'A créer'!B17)</f>
        <v/>
      </c>
      <c r="G17" s="2" t="str">
        <f>IF(LEN('A créer'!C17)=0,"","Tab")</f>
        <v/>
      </c>
      <c r="H17" t="str">
        <f>IF(LEN('A créer'!C17)=0,"",0)</f>
        <v/>
      </c>
      <c r="I17" s="2" t="str">
        <f>IF(LEN('A créer'!C17)=0,"","Tab")</f>
        <v/>
      </c>
      <c r="J17" t="str">
        <f>IF(LEN('A créer'!C17)=0,"","ZZZZZZ")</f>
        <v/>
      </c>
      <c r="K17" t="str">
        <f>IF(LEN('A créer'!C17)=0,"",0)</f>
        <v/>
      </c>
      <c r="L17" s="2" t="str">
        <f>IF(LEN('A créer'!C17)=0,"","Tab")</f>
        <v/>
      </c>
      <c r="M17" s="6" t="str">
        <f>IF(LEN('A créer'!C17)=0,"","ZZZZZ")</f>
        <v/>
      </c>
      <c r="N17" s="6" t="str">
        <f>IF(LEN('A créer'!C17)=0,"",0)</f>
        <v/>
      </c>
      <c r="O17" s="2" t="str">
        <f>IF(LEN('A créer'!C17)=0,"","Tab")</f>
        <v/>
      </c>
      <c r="P17" s="6" t="str">
        <f>IF(LEN('A créer'!C17)=0,"","ZZZZZZZ")</f>
        <v/>
      </c>
      <c r="Q17" s="6" t="str">
        <f>IF(LEN('A créer'!C17)=0,"",0)</f>
        <v/>
      </c>
      <c r="R17" s="2" t="str">
        <f>IF(LEN('A créer'!C17)=0,"","Tab")</f>
        <v/>
      </c>
      <c r="S17" s="6" t="str">
        <f>IF(LEN('A créer'!C17)=0,"","ZZZZZZZZZZ")</f>
        <v/>
      </c>
      <c r="T17" s="6" t="str">
        <f>IF(LEN('A créer'!C17)=0,"",0)</f>
        <v/>
      </c>
      <c r="U17" s="2" t="str">
        <f>IF(LEN('A créer'!C17)=0,"","Tab")</f>
        <v/>
      </c>
      <c r="V17" s="6" t="str">
        <f>IF(LEN('A créer'!C17)=0,"","ZZZZZZZZZZ")</f>
        <v/>
      </c>
      <c r="W17" s="6" t="str">
        <f>IF(LEN('A créer'!C17)=0,"",0)</f>
        <v/>
      </c>
      <c r="X17" s="2" t="str">
        <f>IF(LEN('A créer'!C17)=0,"","Tab")</f>
        <v/>
      </c>
      <c r="Y17" s="6" t="str">
        <f>IF(LEN('A créer'!C17)=0,"","ZZZZZZZZZZZZZZZ")</f>
        <v/>
      </c>
      <c r="Z17" s="6" t="str">
        <f>IF(LEN('A créer'!C17)=0,"",0)</f>
        <v/>
      </c>
      <c r="AA17" s="2" t="str">
        <f>IF(LEN('A créer'!C17)=0,"","Tab")</f>
        <v/>
      </c>
      <c r="AB17" s="6" t="str">
        <f>IF(LEN('A créer'!C17)=0,"","ZZZ")</f>
        <v/>
      </c>
      <c r="AC17" s="6" t="str">
        <f>IF(LEN('A créer'!C17)=0,"",0)</f>
        <v/>
      </c>
      <c r="AD17" s="2" t="str">
        <f>IF(LEN('A créer'!C17)=0,"","Tab")</f>
        <v/>
      </c>
      <c r="AE17" s="6" t="str">
        <f>IF(LEN('A créer'!C17)=0,"","ZZZZZZZZZZ")</f>
        <v/>
      </c>
      <c r="AF17" s="6" t="str">
        <f>IF(LEN('A créer'!C17)=0,"",0)</f>
        <v/>
      </c>
      <c r="AG17" s="2" t="str">
        <f>IF(LEN('A créer'!C17)=0,"","Tab")</f>
        <v/>
      </c>
      <c r="AH17" s="6" t="str">
        <f>IF(LEN('A créer'!C17)=0,"","ZZZZZZZZZZ")</f>
        <v/>
      </c>
      <c r="AI17" s="6" t="str">
        <f>IF(LEN('A créer'!C17)=0,"",0)</f>
        <v/>
      </c>
      <c r="AJ17" s="2" t="str">
        <f>IF(LEN('A créer'!C17)=0,"","Tab")</f>
        <v/>
      </c>
      <c r="AK17" s="6" t="str">
        <f>IF(LEN('A créer'!C17)=0,"","ZZZZZZZZZZ")</f>
        <v/>
      </c>
      <c r="AL17" s="2" t="str">
        <f>IF(LEN('A créer'!C17)=0,"","ENT")</f>
        <v/>
      </c>
      <c r="AM17" s="2" t="str">
        <f>IF(LEN('A créer'!C17)=0,"","*SAVE")</f>
        <v/>
      </c>
    </row>
    <row r="18" spans="1:39" x14ac:dyDescent="0.35">
      <c r="A18" s="2" t="str">
        <f>IF(LEN('A créer'!C18)=0,"","*FN")</f>
        <v/>
      </c>
      <c r="B18" s="3" t="str">
        <f>IF(LEN('A créer'!C18)=0,"","\I")</f>
        <v/>
      </c>
      <c r="C18" s="2" t="str">
        <f>IF(LEN('A créer'!C18)=0,"","Tab")</f>
        <v/>
      </c>
      <c r="D18" t="str">
        <f>IF(LEN('A créer'!C18)=0,"",'A créer'!A18)</f>
        <v/>
      </c>
      <c r="E18" s="2" t="str">
        <f>IF(LEN('A créer'!C18)=0,"","Tab")</f>
        <v/>
      </c>
      <c r="F18" t="str">
        <f>IF(LEN('A créer'!C18)=0,"",'A créer'!B18)</f>
        <v/>
      </c>
      <c r="G18" s="2" t="str">
        <f>IF(LEN('A créer'!C18)=0,"","Tab")</f>
        <v/>
      </c>
      <c r="H18" t="str">
        <f>IF(LEN('A créer'!C18)=0,"",0)</f>
        <v/>
      </c>
      <c r="I18" s="2" t="str">
        <f>IF(LEN('A créer'!C18)=0,"","Tab")</f>
        <v/>
      </c>
      <c r="J18" t="str">
        <f>IF(LEN('A créer'!C18)=0,"","ZZZZZZ")</f>
        <v/>
      </c>
      <c r="K18" t="str">
        <f>IF(LEN('A créer'!C18)=0,"",0)</f>
        <v/>
      </c>
      <c r="L18" s="2" t="str">
        <f>IF(LEN('A créer'!C18)=0,"","Tab")</f>
        <v/>
      </c>
      <c r="M18" s="6" t="str">
        <f>IF(LEN('A créer'!C18)=0,"","ZZZZZ")</f>
        <v/>
      </c>
      <c r="N18" s="6" t="str">
        <f>IF(LEN('A créer'!C18)=0,"",0)</f>
        <v/>
      </c>
      <c r="O18" s="2" t="str">
        <f>IF(LEN('A créer'!C18)=0,"","Tab")</f>
        <v/>
      </c>
      <c r="P18" s="6" t="str">
        <f>IF(LEN('A créer'!C18)=0,"","ZZZZZZZ")</f>
        <v/>
      </c>
      <c r="Q18" s="6" t="str">
        <f>IF(LEN('A créer'!C18)=0,"",0)</f>
        <v/>
      </c>
      <c r="R18" s="2" t="str">
        <f>IF(LEN('A créer'!C18)=0,"","Tab")</f>
        <v/>
      </c>
      <c r="S18" s="6" t="str">
        <f>IF(LEN('A créer'!C18)=0,"","ZZZZZZZZZZ")</f>
        <v/>
      </c>
      <c r="T18" s="6" t="str">
        <f>IF(LEN('A créer'!C18)=0,"",0)</f>
        <v/>
      </c>
      <c r="U18" s="2" t="str">
        <f>IF(LEN('A créer'!C18)=0,"","Tab")</f>
        <v/>
      </c>
      <c r="V18" s="6" t="str">
        <f>IF(LEN('A créer'!C18)=0,"","ZZZZZZZZZZ")</f>
        <v/>
      </c>
      <c r="W18" s="6" t="str">
        <f>IF(LEN('A créer'!C18)=0,"",0)</f>
        <v/>
      </c>
      <c r="X18" s="2" t="str">
        <f>IF(LEN('A créer'!C18)=0,"","Tab")</f>
        <v/>
      </c>
      <c r="Y18" s="6" t="str">
        <f>IF(LEN('A créer'!C18)=0,"","ZZZZZZZZZZZZZZZ")</f>
        <v/>
      </c>
      <c r="Z18" s="6" t="str">
        <f>IF(LEN('A créer'!C18)=0,"",0)</f>
        <v/>
      </c>
      <c r="AA18" s="2" t="str">
        <f>IF(LEN('A créer'!C18)=0,"","Tab")</f>
        <v/>
      </c>
      <c r="AB18" s="6" t="str">
        <f>IF(LEN('A créer'!C18)=0,"","ZZZ")</f>
        <v/>
      </c>
      <c r="AC18" s="6" t="str">
        <f>IF(LEN('A créer'!C18)=0,"",0)</f>
        <v/>
      </c>
      <c r="AD18" s="2" t="str">
        <f>IF(LEN('A créer'!C18)=0,"","Tab")</f>
        <v/>
      </c>
      <c r="AE18" s="6" t="str">
        <f>IF(LEN('A créer'!C18)=0,"","ZZZZZZZZZZ")</f>
        <v/>
      </c>
      <c r="AF18" s="6" t="str">
        <f>IF(LEN('A créer'!C18)=0,"",0)</f>
        <v/>
      </c>
      <c r="AG18" s="2" t="str">
        <f>IF(LEN('A créer'!C18)=0,"","Tab")</f>
        <v/>
      </c>
      <c r="AH18" s="6" t="str">
        <f>IF(LEN('A créer'!C18)=0,"","ZZZZZZZZZZ")</f>
        <v/>
      </c>
      <c r="AI18" s="6" t="str">
        <f>IF(LEN('A créer'!C18)=0,"",0)</f>
        <v/>
      </c>
      <c r="AJ18" s="2" t="str">
        <f>IF(LEN('A créer'!C18)=0,"","Tab")</f>
        <v/>
      </c>
      <c r="AK18" s="6" t="str">
        <f>IF(LEN('A créer'!C18)=0,"","ZZZZZZZZZZ")</f>
        <v/>
      </c>
      <c r="AL18" s="2" t="str">
        <f>IF(LEN('A créer'!C18)=0,"","ENT")</f>
        <v/>
      </c>
      <c r="AM18" s="2" t="str">
        <f>IF(LEN('A créer'!C18)=0,"","*SAVE")</f>
        <v/>
      </c>
    </row>
    <row r="19" spans="1:39" x14ac:dyDescent="0.35">
      <c r="A19" s="2" t="str">
        <f>IF(LEN('A créer'!C19)=0,"","*FN")</f>
        <v/>
      </c>
      <c r="B19" s="3" t="str">
        <f>IF(LEN('A créer'!C19)=0,"","\I")</f>
        <v/>
      </c>
      <c r="C19" s="2" t="str">
        <f>IF(LEN('A créer'!C19)=0,"","Tab")</f>
        <v/>
      </c>
      <c r="D19" t="str">
        <f>IF(LEN('A créer'!C19)=0,"",'A créer'!A19)</f>
        <v/>
      </c>
      <c r="E19" s="2" t="str">
        <f>IF(LEN('A créer'!C19)=0,"","Tab")</f>
        <v/>
      </c>
      <c r="F19" t="str">
        <f>IF(LEN('A créer'!C19)=0,"",'A créer'!B19)</f>
        <v/>
      </c>
      <c r="G19" s="2" t="str">
        <f>IF(LEN('A créer'!C19)=0,"","Tab")</f>
        <v/>
      </c>
      <c r="H19" t="str">
        <f>IF(LEN('A créer'!C19)=0,"",0)</f>
        <v/>
      </c>
      <c r="I19" s="2" t="str">
        <f>IF(LEN('A créer'!C19)=0,"","Tab")</f>
        <v/>
      </c>
      <c r="J19" t="str">
        <f>IF(LEN('A créer'!C19)=0,"","ZZZZZZ")</f>
        <v/>
      </c>
      <c r="K19" t="str">
        <f>IF(LEN('A créer'!C19)=0,"",0)</f>
        <v/>
      </c>
      <c r="L19" s="2" t="str">
        <f>IF(LEN('A créer'!C19)=0,"","Tab")</f>
        <v/>
      </c>
      <c r="M19" s="6" t="str">
        <f>IF(LEN('A créer'!C19)=0,"","ZZZZZ")</f>
        <v/>
      </c>
      <c r="N19" s="6" t="str">
        <f>IF(LEN('A créer'!C19)=0,"",0)</f>
        <v/>
      </c>
      <c r="O19" s="2" t="str">
        <f>IF(LEN('A créer'!C19)=0,"","Tab")</f>
        <v/>
      </c>
      <c r="P19" s="6" t="str">
        <f>IF(LEN('A créer'!C19)=0,"","ZZZZZZZ")</f>
        <v/>
      </c>
      <c r="Q19" s="6" t="str">
        <f>IF(LEN('A créer'!C19)=0,"",0)</f>
        <v/>
      </c>
      <c r="R19" s="2" t="str">
        <f>IF(LEN('A créer'!C19)=0,"","Tab")</f>
        <v/>
      </c>
      <c r="S19" s="6" t="str">
        <f>IF(LEN('A créer'!C19)=0,"","ZZZZZZZZZZ")</f>
        <v/>
      </c>
      <c r="T19" s="6" t="str">
        <f>IF(LEN('A créer'!C19)=0,"",0)</f>
        <v/>
      </c>
      <c r="U19" s="2" t="str">
        <f>IF(LEN('A créer'!C19)=0,"","Tab")</f>
        <v/>
      </c>
      <c r="V19" s="6" t="str">
        <f>IF(LEN('A créer'!C19)=0,"","ZZZZZZZZZZ")</f>
        <v/>
      </c>
      <c r="W19" s="6" t="str">
        <f>IF(LEN('A créer'!C19)=0,"",0)</f>
        <v/>
      </c>
      <c r="X19" s="2" t="str">
        <f>IF(LEN('A créer'!C19)=0,"","Tab")</f>
        <v/>
      </c>
      <c r="Y19" s="6" t="str">
        <f>IF(LEN('A créer'!C19)=0,"","ZZZZZZZZZZZZZZZ")</f>
        <v/>
      </c>
      <c r="Z19" s="6" t="str">
        <f>IF(LEN('A créer'!C19)=0,"",0)</f>
        <v/>
      </c>
      <c r="AA19" s="2" t="str">
        <f>IF(LEN('A créer'!C19)=0,"","Tab")</f>
        <v/>
      </c>
      <c r="AB19" s="6" t="str">
        <f>IF(LEN('A créer'!C19)=0,"","ZZZ")</f>
        <v/>
      </c>
      <c r="AC19" s="6" t="str">
        <f>IF(LEN('A créer'!C19)=0,"",0)</f>
        <v/>
      </c>
      <c r="AD19" s="2" t="str">
        <f>IF(LEN('A créer'!C19)=0,"","Tab")</f>
        <v/>
      </c>
      <c r="AE19" s="6" t="str">
        <f>IF(LEN('A créer'!C19)=0,"","ZZZZZZZZZZ")</f>
        <v/>
      </c>
      <c r="AF19" s="6" t="str">
        <f>IF(LEN('A créer'!C19)=0,"",0)</f>
        <v/>
      </c>
      <c r="AG19" s="2" t="str">
        <f>IF(LEN('A créer'!C19)=0,"","Tab")</f>
        <v/>
      </c>
      <c r="AH19" s="6" t="str">
        <f>IF(LEN('A créer'!C19)=0,"","ZZZZZZZZZZ")</f>
        <v/>
      </c>
      <c r="AI19" s="6" t="str">
        <f>IF(LEN('A créer'!C19)=0,"",0)</f>
        <v/>
      </c>
      <c r="AJ19" s="2" t="str">
        <f>IF(LEN('A créer'!C19)=0,"","Tab")</f>
        <v/>
      </c>
      <c r="AK19" s="6" t="str">
        <f>IF(LEN('A créer'!C19)=0,"","ZZZZZZZZZZ")</f>
        <v/>
      </c>
      <c r="AL19" s="2" t="str">
        <f>IF(LEN('A créer'!C19)=0,"","ENT")</f>
        <v/>
      </c>
      <c r="AM19" s="2" t="str">
        <f>IF(LEN('A créer'!C19)=0,"","*SAVE")</f>
        <v/>
      </c>
    </row>
    <row r="20" spans="1:39" x14ac:dyDescent="0.35">
      <c r="A20" s="2" t="str">
        <f>IF(LEN('A créer'!C20)=0,"","*FN")</f>
        <v/>
      </c>
      <c r="B20" s="3" t="str">
        <f>IF(LEN('A créer'!C20)=0,"","\I")</f>
        <v/>
      </c>
      <c r="C20" s="2" t="str">
        <f>IF(LEN('A créer'!C20)=0,"","Tab")</f>
        <v/>
      </c>
      <c r="D20" t="str">
        <f>IF(LEN('A créer'!C20)=0,"",'A créer'!A20)</f>
        <v/>
      </c>
      <c r="E20" s="2" t="str">
        <f>IF(LEN('A créer'!C20)=0,"","Tab")</f>
        <v/>
      </c>
      <c r="F20" t="str">
        <f>IF(LEN('A créer'!C20)=0,"",'A créer'!B20)</f>
        <v/>
      </c>
      <c r="G20" s="2" t="str">
        <f>IF(LEN('A créer'!C20)=0,"","Tab")</f>
        <v/>
      </c>
      <c r="H20" t="str">
        <f>IF(LEN('A créer'!C20)=0,"",0)</f>
        <v/>
      </c>
      <c r="I20" s="2" t="str">
        <f>IF(LEN('A créer'!C20)=0,"","Tab")</f>
        <v/>
      </c>
      <c r="J20" t="str">
        <f>IF(LEN('A créer'!C20)=0,"","ZZZZZZ")</f>
        <v/>
      </c>
      <c r="K20" t="str">
        <f>IF(LEN('A créer'!C20)=0,"",0)</f>
        <v/>
      </c>
      <c r="L20" s="2" t="str">
        <f>IF(LEN('A créer'!C20)=0,"","Tab")</f>
        <v/>
      </c>
      <c r="M20" s="6" t="str">
        <f>IF(LEN('A créer'!C20)=0,"","ZZZZZ")</f>
        <v/>
      </c>
      <c r="N20" s="6" t="str">
        <f>IF(LEN('A créer'!C20)=0,"",0)</f>
        <v/>
      </c>
      <c r="O20" s="2" t="str">
        <f>IF(LEN('A créer'!C20)=0,"","Tab")</f>
        <v/>
      </c>
      <c r="P20" s="6" t="str">
        <f>IF(LEN('A créer'!C20)=0,"","ZZZZZZZ")</f>
        <v/>
      </c>
      <c r="Q20" s="6" t="str">
        <f>IF(LEN('A créer'!C20)=0,"",0)</f>
        <v/>
      </c>
      <c r="R20" s="2" t="str">
        <f>IF(LEN('A créer'!C20)=0,"","Tab")</f>
        <v/>
      </c>
      <c r="S20" s="6" t="str">
        <f>IF(LEN('A créer'!C20)=0,"","ZZZZZZZZZZ")</f>
        <v/>
      </c>
      <c r="T20" s="6" t="str">
        <f>IF(LEN('A créer'!C20)=0,"",0)</f>
        <v/>
      </c>
      <c r="U20" s="2" t="str">
        <f>IF(LEN('A créer'!C20)=0,"","Tab")</f>
        <v/>
      </c>
      <c r="V20" s="6" t="str">
        <f>IF(LEN('A créer'!C20)=0,"","ZZZZZZZZZZ")</f>
        <v/>
      </c>
      <c r="W20" s="6" t="str">
        <f>IF(LEN('A créer'!C20)=0,"",0)</f>
        <v/>
      </c>
      <c r="X20" s="2" t="str">
        <f>IF(LEN('A créer'!C20)=0,"","Tab")</f>
        <v/>
      </c>
      <c r="Y20" s="6" t="str">
        <f>IF(LEN('A créer'!C20)=0,"","ZZZZZZZZZZZZZZZ")</f>
        <v/>
      </c>
      <c r="Z20" s="6" t="str">
        <f>IF(LEN('A créer'!C20)=0,"",0)</f>
        <v/>
      </c>
      <c r="AA20" s="2" t="str">
        <f>IF(LEN('A créer'!C20)=0,"","Tab")</f>
        <v/>
      </c>
      <c r="AB20" s="6" t="str">
        <f>IF(LEN('A créer'!C20)=0,"","ZZZ")</f>
        <v/>
      </c>
      <c r="AC20" s="6" t="str">
        <f>IF(LEN('A créer'!C20)=0,"",0)</f>
        <v/>
      </c>
      <c r="AD20" s="2" t="str">
        <f>IF(LEN('A créer'!C20)=0,"","Tab")</f>
        <v/>
      </c>
      <c r="AE20" s="6" t="str">
        <f>IF(LEN('A créer'!C20)=0,"","ZZZZZZZZZZ")</f>
        <v/>
      </c>
      <c r="AF20" s="6" t="str">
        <f>IF(LEN('A créer'!C20)=0,"",0)</f>
        <v/>
      </c>
      <c r="AG20" s="2" t="str">
        <f>IF(LEN('A créer'!C20)=0,"","Tab")</f>
        <v/>
      </c>
      <c r="AH20" s="6" t="str">
        <f>IF(LEN('A créer'!C20)=0,"","ZZZZZZZZZZ")</f>
        <v/>
      </c>
      <c r="AI20" s="6" t="str">
        <f>IF(LEN('A créer'!C20)=0,"",0)</f>
        <v/>
      </c>
      <c r="AJ20" s="2" t="str">
        <f>IF(LEN('A créer'!C20)=0,"","Tab")</f>
        <v/>
      </c>
      <c r="AK20" s="6" t="str">
        <f>IF(LEN('A créer'!C20)=0,"","ZZZZZZZZZZ")</f>
        <v/>
      </c>
      <c r="AL20" s="2" t="str">
        <f>IF(LEN('A créer'!C20)=0,"","ENT")</f>
        <v/>
      </c>
      <c r="AM20" s="2" t="str">
        <f>IF(LEN('A créer'!C20)=0,"","*SAVE")</f>
        <v/>
      </c>
    </row>
    <row r="21" spans="1:39" x14ac:dyDescent="0.35">
      <c r="A21" s="2" t="str">
        <f>IF(LEN('A créer'!C21)=0,"","*FN")</f>
        <v/>
      </c>
      <c r="B21" s="3" t="str">
        <f>IF(LEN('A créer'!C21)=0,"","\I")</f>
        <v/>
      </c>
      <c r="C21" s="2" t="str">
        <f>IF(LEN('A créer'!C21)=0,"","Tab")</f>
        <v/>
      </c>
      <c r="D21" t="str">
        <f>IF(LEN('A créer'!C21)=0,"",'A créer'!A21)</f>
        <v/>
      </c>
      <c r="E21" s="2" t="str">
        <f>IF(LEN('A créer'!C21)=0,"","Tab")</f>
        <v/>
      </c>
      <c r="F21" t="str">
        <f>IF(LEN('A créer'!C21)=0,"",'A créer'!B21)</f>
        <v/>
      </c>
      <c r="G21" s="2" t="str">
        <f>IF(LEN('A créer'!C21)=0,"","Tab")</f>
        <v/>
      </c>
      <c r="H21" t="str">
        <f>IF(LEN('A créer'!C21)=0,"",0)</f>
        <v/>
      </c>
      <c r="I21" s="2" t="str">
        <f>IF(LEN('A créer'!C21)=0,"","Tab")</f>
        <v/>
      </c>
      <c r="J21" t="str">
        <f>IF(LEN('A créer'!C21)=0,"","ZZZZZZ")</f>
        <v/>
      </c>
      <c r="K21" t="str">
        <f>IF(LEN('A créer'!C21)=0,"",0)</f>
        <v/>
      </c>
      <c r="L21" s="2" t="str">
        <f>IF(LEN('A créer'!C21)=0,"","Tab")</f>
        <v/>
      </c>
      <c r="M21" s="6" t="str">
        <f>IF(LEN('A créer'!C21)=0,"","ZZZZZ")</f>
        <v/>
      </c>
      <c r="N21" s="6" t="str">
        <f>IF(LEN('A créer'!C21)=0,"",0)</f>
        <v/>
      </c>
      <c r="O21" s="2" t="str">
        <f>IF(LEN('A créer'!C21)=0,"","Tab")</f>
        <v/>
      </c>
      <c r="P21" s="6" t="str">
        <f>IF(LEN('A créer'!C21)=0,"","ZZZZZZZ")</f>
        <v/>
      </c>
      <c r="Q21" s="6" t="str">
        <f>IF(LEN('A créer'!C21)=0,"",0)</f>
        <v/>
      </c>
      <c r="R21" s="2" t="str">
        <f>IF(LEN('A créer'!C21)=0,"","Tab")</f>
        <v/>
      </c>
      <c r="S21" s="6" t="str">
        <f>IF(LEN('A créer'!C21)=0,"","ZZZZZZZZZZ")</f>
        <v/>
      </c>
      <c r="T21" s="6" t="str">
        <f>IF(LEN('A créer'!C21)=0,"",0)</f>
        <v/>
      </c>
      <c r="U21" s="2" t="str">
        <f>IF(LEN('A créer'!C21)=0,"","Tab")</f>
        <v/>
      </c>
      <c r="V21" s="6" t="str">
        <f>IF(LEN('A créer'!C21)=0,"","ZZZZZZZZZZ")</f>
        <v/>
      </c>
      <c r="W21" s="6" t="str">
        <f>IF(LEN('A créer'!C21)=0,"",0)</f>
        <v/>
      </c>
      <c r="X21" s="2" t="str">
        <f>IF(LEN('A créer'!C21)=0,"","Tab")</f>
        <v/>
      </c>
      <c r="Y21" s="6" t="str">
        <f>IF(LEN('A créer'!C21)=0,"","ZZZZZZZZZZZZZZZ")</f>
        <v/>
      </c>
      <c r="Z21" s="6" t="str">
        <f>IF(LEN('A créer'!C21)=0,"",0)</f>
        <v/>
      </c>
      <c r="AA21" s="2" t="str">
        <f>IF(LEN('A créer'!C21)=0,"","Tab")</f>
        <v/>
      </c>
      <c r="AB21" s="6" t="str">
        <f>IF(LEN('A créer'!C21)=0,"","ZZZ")</f>
        <v/>
      </c>
      <c r="AC21" s="6" t="str">
        <f>IF(LEN('A créer'!C21)=0,"",0)</f>
        <v/>
      </c>
      <c r="AD21" s="2" t="str">
        <f>IF(LEN('A créer'!C21)=0,"","Tab")</f>
        <v/>
      </c>
      <c r="AE21" s="6" t="str">
        <f>IF(LEN('A créer'!C21)=0,"","ZZZZZZZZZZ")</f>
        <v/>
      </c>
      <c r="AF21" s="6" t="str">
        <f>IF(LEN('A créer'!C21)=0,"",0)</f>
        <v/>
      </c>
      <c r="AG21" s="2" t="str">
        <f>IF(LEN('A créer'!C21)=0,"","Tab")</f>
        <v/>
      </c>
      <c r="AH21" s="6" t="str">
        <f>IF(LEN('A créer'!C21)=0,"","ZZZZZZZZZZ")</f>
        <v/>
      </c>
      <c r="AI21" s="6" t="str">
        <f>IF(LEN('A créer'!C21)=0,"",0)</f>
        <v/>
      </c>
      <c r="AJ21" s="2" t="str">
        <f>IF(LEN('A créer'!C21)=0,"","Tab")</f>
        <v/>
      </c>
      <c r="AK21" s="6" t="str">
        <f>IF(LEN('A créer'!C21)=0,"","ZZZZZZZZZZ")</f>
        <v/>
      </c>
      <c r="AL21" s="2" t="str">
        <f>IF(LEN('A créer'!C21)=0,"","ENT")</f>
        <v/>
      </c>
      <c r="AM21" s="2" t="str">
        <f>IF(LEN('A créer'!C21)=0,"","*SAVE")</f>
        <v/>
      </c>
    </row>
    <row r="22" spans="1:39" x14ac:dyDescent="0.35">
      <c r="A22" s="2" t="str">
        <f>IF(LEN('A créer'!C22)=0,"","*FN")</f>
        <v/>
      </c>
      <c r="B22" s="3" t="str">
        <f>IF(LEN('A créer'!C22)=0,"","\I")</f>
        <v/>
      </c>
      <c r="C22" s="2" t="str">
        <f>IF(LEN('A créer'!C22)=0,"","Tab")</f>
        <v/>
      </c>
      <c r="D22" t="str">
        <f>IF(LEN('A créer'!C22)=0,"",'A créer'!A22)</f>
        <v/>
      </c>
      <c r="E22" s="2" t="str">
        <f>IF(LEN('A créer'!C22)=0,"","Tab")</f>
        <v/>
      </c>
      <c r="F22" t="str">
        <f>IF(LEN('A créer'!C22)=0,"",'A créer'!B22)</f>
        <v/>
      </c>
      <c r="G22" s="2" t="str">
        <f>IF(LEN('A créer'!C22)=0,"","Tab")</f>
        <v/>
      </c>
      <c r="H22" t="str">
        <f>IF(LEN('A créer'!C22)=0,"",0)</f>
        <v/>
      </c>
      <c r="I22" s="2" t="str">
        <f>IF(LEN('A créer'!C22)=0,"","Tab")</f>
        <v/>
      </c>
      <c r="J22" t="str">
        <f>IF(LEN('A créer'!C22)=0,"","ZZZZZZ")</f>
        <v/>
      </c>
      <c r="K22" t="str">
        <f>IF(LEN('A créer'!C22)=0,"",0)</f>
        <v/>
      </c>
      <c r="L22" s="2" t="str">
        <f>IF(LEN('A créer'!C22)=0,"","Tab")</f>
        <v/>
      </c>
      <c r="M22" s="6" t="str">
        <f>IF(LEN('A créer'!C22)=0,"","ZZZZZ")</f>
        <v/>
      </c>
      <c r="N22" s="6" t="str">
        <f>IF(LEN('A créer'!C22)=0,"",0)</f>
        <v/>
      </c>
      <c r="O22" s="2" t="str">
        <f>IF(LEN('A créer'!C22)=0,"","Tab")</f>
        <v/>
      </c>
      <c r="P22" s="6" t="str">
        <f>IF(LEN('A créer'!C22)=0,"","ZZZZZZZ")</f>
        <v/>
      </c>
      <c r="Q22" s="6" t="str">
        <f>IF(LEN('A créer'!C22)=0,"",0)</f>
        <v/>
      </c>
      <c r="R22" s="2" t="str">
        <f>IF(LEN('A créer'!C22)=0,"","Tab")</f>
        <v/>
      </c>
      <c r="S22" s="6" t="str">
        <f>IF(LEN('A créer'!C22)=0,"","ZZZZZZZZZZ")</f>
        <v/>
      </c>
      <c r="T22" s="6" t="str">
        <f>IF(LEN('A créer'!C22)=0,"",0)</f>
        <v/>
      </c>
      <c r="U22" s="2" t="str">
        <f>IF(LEN('A créer'!C22)=0,"","Tab")</f>
        <v/>
      </c>
      <c r="V22" s="6" t="str">
        <f>IF(LEN('A créer'!C22)=0,"","ZZZZZZZZZZ")</f>
        <v/>
      </c>
      <c r="W22" s="6" t="str">
        <f>IF(LEN('A créer'!C22)=0,"",0)</f>
        <v/>
      </c>
      <c r="X22" s="2" t="str">
        <f>IF(LEN('A créer'!C22)=0,"","Tab")</f>
        <v/>
      </c>
      <c r="Y22" s="6" t="str">
        <f>IF(LEN('A créer'!C22)=0,"","ZZZZZZZZZZZZZZZ")</f>
        <v/>
      </c>
      <c r="Z22" s="6" t="str">
        <f>IF(LEN('A créer'!C22)=0,"",0)</f>
        <v/>
      </c>
      <c r="AA22" s="2" t="str">
        <f>IF(LEN('A créer'!C22)=0,"","Tab")</f>
        <v/>
      </c>
      <c r="AB22" s="6" t="str">
        <f>IF(LEN('A créer'!C22)=0,"","ZZZ")</f>
        <v/>
      </c>
      <c r="AC22" s="6" t="str">
        <f>IF(LEN('A créer'!C22)=0,"",0)</f>
        <v/>
      </c>
      <c r="AD22" s="2" t="str">
        <f>IF(LEN('A créer'!C22)=0,"","Tab")</f>
        <v/>
      </c>
      <c r="AE22" s="6" t="str">
        <f>IF(LEN('A créer'!C22)=0,"","ZZZZZZZZZZ")</f>
        <v/>
      </c>
      <c r="AF22" s="6" t="str">
        <f>IF(LEN('A créer'!C22)=0,"",0)</f>
        <v/>
      </c>
      <c r="AG22" s="2" t="str">
        <f>IF(LEN('A créer'!C22)=0,"","Tab")</f>
        <v/>
      </c>
      <c r="AH22" s="6" t="str">
        <f>IF(LEN('A créer'!C22)=0,"","ZZZZZZZZZZ")</f>
        <v/>
      </c>
      <c r="AI22" s="6" t="str">
        <f>IF(LEN('A créer'!C22)=0,"",0)</f>
        <v/>
      </c>
      <c r="AJ22" s="2" t="str">
        <f>IF(LEN('A créer'!C22)=0,"","Tab")</f>
        <v/>
      </c>
      <c r="AK22" s="6" t="str">
        <f>IF(LEN('A créer'!C22)=0,"","ZZZZZZZZZZ")</f>
        <v/>
      </c>
      <c r="AL22" s="2" t="str">
        <f>IF(LEN('A créer'!C22)=0,"","ENT")</f>
        <v/>
      </c>
      <c r="AM22" s="2" t="str">
        <f>IF(LEN('A créer'!C22)=0,"","*SAVE")</f>
        <v/>
      </c>
    </row>
    <row r="23" spans="1:39" x14ac:dyDescent="0.35">
      <c r="A23" s="2" t="str">
        <f>IF(LEN('A créer'!C23)=0,"","*FN")</f>
        <v/>
      </c>
      <c r="B23" s="3" t="str">
        <f>IF(LEN('A créer'!C23)=0,"","\I")</f>
        <v/>
      </c>
      <c r="C23" s="2" t="str">
        <f>IF(LEN('A créer'!C23)=0,"","Tab")</f>
        <v/>
      </c>
      <c r="D23" t="str">
        <f>IF(LEN('A créer'!C23)=0,"",'A créer'!A23)</f>
        <v/>
      </c>
      <c r="E23" s="2" t="str">
        <f>IF(LEN('A créer'!C23)=0,"","Tab")</f>
        <v/>
      </c>
      <c r="F23" t="str">
        <f>IF(LEN('A créer'!C23)=0,"",'A créer'!B23)</f>
        <v/>
      </c>
      <c r="G23" s="2" t="str">
        <f>IF(LEN('A créer'!C23)=0,"","Tab")</f>
        <v/>
      </c>
      <c r="H23" t="str">
        <f>IF(LEN('A créer'!C23)=0,"",0)</f>
        <v/>
      </c>
      <c r="I23" s="2" t="str">
        <f>IF(LEN('A créer'!C23)=0,"","Tab")</f>
        <v/>
      </c>
      <c r="J23" t="str">
        <f>IF(LEN('A créer'!C23)=0,"","ZZZZZZ")</f>
        <v/>
      </c>
      <c r="K23" t="str">
        <f>IF(LEN('A créer'!C23)=0,"",0)</f>
        <v/>
      </c>
      <c r="L23" s="2" t="str">
        <f>IF(LEN('A créer'!C23)=0,"","Tab")</f>
        <v/>
      </c>
      <c r="M23" s="6" t="str">
        <f>IF(LEN('A créer'!C23)=0,"","ZZZZZ")</f>
        <v/>
      </c>
      <c r="N23" s="6" t="str">
        <f>IF(LEN('A créer'!C23)=0,"",0)</f>
        <v/>
      </c>
      <c r="O23" s="2" t="str">
        <f>IF(LEN('A créer'!C23)=0,"","Tab")</f>
        <v/>
      </c>
      <c r="P23" s="6" t="str">
        <f>IF(LEN('A créer'!C23)=0,"","ZZZZZZZ")</f>
        <v/>
      </c>
      <c r="Q23" s="6" t="str">
        <f>IF(LEN('A créer'!C23)=0,"",0)</f>
        <v/>
      </c>
      <c r="R23" s="2" t="str">
        <f>IF(LEN('A créer'!C23)=0,"","Tab")</f>
        <v/>
      </c>
      <c r="S23" s="6" t="str">
        <f>IF(LEN('A créer'!C23)=0,"","ZZZZZZZZZZ")</f>
        <v/>
      </c>
      <c r="T23" s="6" t="str">
        <f>IF(LEN('A créer'!C23)=0,"",0)</f>
        <v/>
      </c>
      <c r="U23" s="2" t="str">
        <f>IF(LEN('A créer'!C23)=0,"","Tab")</f>
        <v/>
      </c>
      <c r="V23" s="6" t="str">
        <f>IF(LEN('A créer'!C23)=0,"","ZZZZZZZZZZ")</f>
        <v/>
      </c>
      <c r="W23" s="6" t="str">
        <f>IF(LEN('A créer'!C23)=0,"",0)</f>
        <v/>
      </c>
      <c r="X23" s="2" t="str">
        <f>IF(LEN('A créer'!C23)=0,"","Tab")</f>
        <v/>
      </c>
      <c r="Y23" s="6" t="str">
        <f>IF(LEN('A créer'!C23)=0,"","ZZZZZZZZZZZZZZZ")</f>
        <v/>
      </c>
      <c r="Z23" s="6" t="str">
        <f>IF(LEN('A créer'!C23)=0,"",0)</f>
        <v/>
      </c>
      <c r="AA23" s="2" t="str">
        <f>IF(LEN('A créer'!C23)=0,"","Tab")</f>
        <v/>
      </c>
      <c r="AB23" s="6" t="str">
        <f>IF(LEN('A créer'!C23)=0,"","ZZZ")</f>
        <v/>
      </c>
      <c r="AC23" s="6" t="str">
        <f>IF(LEN('A créer'!C23)=0,"",0)</f>
        <v/>
      </c>
      <c r="AD23" s="2" t="str">
        <f>IF(LEN('A créer'!C23)=0,"","Tab")</f>
        <v/>
      </c>
      <c r="AE23" s="6" t="str">
        <f>IF(LEN('A créer'!C23)=0,"","ZZZZZZZZZZ")</f>
        <v/>
      </c>
      <c r="AF23" s="6" t="str">
        <f>IF(LEN('A créer'!C23)=0,"",0)</f>
        <v/>
      </c>
      <c r="AG23" s="2" t="str">
        <f>IF(LEN('A créer'!C23)=0,"","Tab")</f>
        <v/>
      </c>
      <c r="AH23" s="6" t="str">
        <f>IF(LEN('A créer'!C23)=0,"","ZZZZZZZZZZ")</f>
        <v/>
      </c>
      <c r="AI23" s="6" t="str">
        <f>IF(LEN('A créer'!C23)=0,"",0)</f>
        <v/>
      </c>
      <c r="AJ23" s="2" t="str">
        <f>IF(LEN('A créer'!C23)=0,"","Tab")</f>
        <v/>
      </c>
      <c r="AK23" s="6" t="str">
        <f>IF(LEN('A créer'!C23)=0,"","ZZZZZZZZZZ")</f>
        <v/>
      </c>
      <c r="AL23" s="2" t="str">
        <f>IF(LEN('A créer'!C23)=0,"","ENT")</f>
        <v/>
      </c>
      <c r="AM23" s="2" t="str">
        <f>IF(LEN('A créer'!C23)=0,"","*SAVE")</f>
        <v/>
      </c>
    </row>
    <row r="24" spans="1:39" x14ac:dyDescent="0.35">
      <c r="A24" s="2" t="str">
        <f>IF(LEN('A créer'!C24)=0,"","*FN")</f>
        <v/>
      </c>
      <c r="B24" s="3" t="str">
        <f>IF(LEN('A créer'!C24)=0,"","\I")</f>
        <v/>
      </c>
      <c r="C24" s="2" t="str">
        <f>IF(LEN('A créer'!C24)=0,"","Tab")</f>
        <v/>
      </c>
      <c r="D24" t="str">
        <f>IF(LEN('A créer'!C24)=0,"",'A créer'!A24)</f>
        <v/>
      </c>
      <c r="E24" s="2" t="str">
        <f>IF(LEN('A créer'!C24)=0,"","Tab")</f>
        <v/>
      </c>
      <c r="F24" t="str">
        <f>IF(LEN('A créer'!C24)=0,"",'A créer'!B24)</f>
        <v/>
      </c>
      <c r="G24" s="2" t="str">
        <f>IF(LEN('A créer'!C24)=0,"","Tab")</f>
        <v/>
      </c>
      <c r="H24" t="str">
        <f>IF(LEN('A créer'!C24)=0,"",0)</f>
        <v/>
      </c>
      <c r="I24" s="2" t="str">
        <f>IF(LEN('A créer'!C24)=0,"","Tab")</f>
        <v/>
      </c>
      <c r="J24" t="str">
        <f>IF(LEN('A créer'!C24)=0,"","ZZZZZZ")</f>
        <v/>
      </c>
      <c r="K24" t="str">
        <f>IF(LEN('A créer'!C24)=0,"",0)</f>
        <v/>
      </c>
      <c r="L24" s="2" t="str">
        <f>IF(LEN('A créer'!C24)=0,"","Tab")</f>
        <v/>
      </c>
      <c r="M24" s="6" t="str">
        <f>IF(LEN('A créer'!C24)=0,"","ZZZZZ")</f>
        <v/>
      </c>
      <c r="N24" s="6" t="str">
        <f>IF(LEN('A créer'!C24)=0,"",0)</f>
        <v/>
      </c>
      <c r="O24" s="2" t="str">
        <f>IF(LEN('A créer'!C24)=0,"","Tab")</f>
        <v/>
      </c>
      <c r="P24" s="6" t="str">
        <f>IF(LEN('A créer'!C24)=0,"","ZZZZZZZ")</f>
        <v/>
      </c>
      <c r="Q24" s="6" t="str">
        <f>IF(LEN('A créer'!C24)=0,"",0)</f>
        <v/>
      </c>
      <c r="R24" s="2" t="str">
        <f>IF(LEN('A créer'!C24)=0,"","Tab")</f>
        <v/>
      </c>
      <c r="S24" s="6" t="str">
        <f>IF(LEN('A créer'!C24)=0,"","ZZZZZZZZZZ")</f>
        <v/>
      </c>
      <c r="T24" s="6" t="str">
        <f>IF(LEN('A créer'!C24)=0,"",0)</f>
        <v/>
      </c>
      <c r="U24" s="2" t="str">
        <f>IF(LEN('A créer'!C24)=0,"","Tab")</f>
        <v/>
      </c>
      <c r="V24" s="6" t="str">
        <f>IF(LEN('A créer'!C24)=0,"","ZZZZZZZZZZ")</f>
        <v/>
      </c>
      <c r="W24" s="6" t="str">
        <f>IF(LEN('A créer'!C24)=0,"",0)</f>
        <v/>
      </c>
      <c r="X24" s="2" t="str">
        <f>IF(LEN('A créer'!C24)=0,"","Tab")</f>
        <v/>
      </c>
      <c r="Y24" s="6" t="str">
        <f>IF(LEN('A créer'!C24)=0,"","ZZZZZZZZZZZZZZZ")</f>
        <v/>
      </c>
      <c r="Z24" s="6" t="str">
        <f>IF(LEN('A créer'!C24)=0,"",0)</f>
        <v/>
      </c>
      <c r="AA24" s="2" t="str">
        <f>IF(LEN('A créer'!C24)=0,"","Tab")</f>
        <v/>
      </c>
      <c r="AB24" s="6" t="str">
        <f>IF(LEN('A créer'!C24)=0,"","ZZZ")</f>
        <v/>
      </c>
      <c r="AC24" s="6" t="str">
        <f>IF(LEN('A créer'!C24)=0,"",0)</f>
        <v/>
      </c>
      <c r="AD24" s="2" t="str">
        <f>IF(LEN('A créer'!C24)=0,"","Tab")</f>
        <v/>
      </c>
      <c r="AE24" s="6" t="str">
        <f>IF(LEN('A créer'!C24)=0,"","ZZZZZZZZZZ")</f>
        <v/>
      </c>
      <c r="AF24" s="6" t="str">
        <f>IF(LEN('A créer'!C24)=0,"",0)</f>
        <v/>
      </c>
      <c r="AG24" s="2" t="str">
        <f>IF(LEN('A créer'!C24)=0,"","Tab")</f>
        <v/>
      </c>
      <c r="AH24" s="6" t="str">
        <f>IF(LEN('A créer'!C24)=0,"","ZZZZZZZZZZ")</f>
        <v/>
      </c>
      <c r="AI24" s="6" t="str">
        <f>IF(LEN('A créer'!C24)=0,"",0)</f>
        <v/>
      </c>
      <c r="AJ24" s="2" t="str">
        <f>IF(LEN('A créer'!C24)=0,"","Tab")</f>
        <v/>
      </c>
      <c r="AK24" s="6" t="str">
        <f>IF(LEN('A créer'!C24)=0,"","ZZZZZZZZZZ")</f>
        <v/>
      </c>
      <c r="AL24" s="2" t="str">
        <f>IF(LEN('A créer'!C24)=0,"","ENT")</f>
        <v/>
      </c>
      <c r="AM24" s="2" t="str">
        <f>IF(LEN('A créer'!C24)=0,"","*SAVE")</f>
        <v/>
      </c>
    </row>
    <row r="25" spans="1:39" x14ac:dyDescent="0.35">
      <c r="A25" s="2" t="str">
        <f>IF(LEN('A créer'!C25)=0,"","*FN")</f>
        <v/>
      </c>
      <c r="B25" s="3" t="str">
        <f>IF(LEN('A créer'!C25)=0,"","\I")</f>
        <v/>
      </c>
      <c r="C25" s="2" t="str">
        <f>IF(LEN('A créer'!C25)=0,"","Tab")</f>
        <v/>
      </c>
      <c r="D25" t="str">
        <f>IF(LEN('A créer'!C25)=0,"",'A créer'!A25)</f>
        <v/>
      </c>
      <c r="E25" s="2" t="str">
        <f>IF(LEN('A créer'!C25)=0,"","Tab")</f>
        <v/>
      </c>
      <c r="F25" t="str">
        <f>IF(LEN('A créer'!C25)=0,"",'A créer'!B25)</f>
        <v/>
      </c>
      <c r="G25" s="2" t="str">
        <f>IF(LEN('A créer'!C25)=0,"","Tab")</f>
        <v/>
      </c>
      <c r="H25" t="str">
        <f>IF(LEN('A créer'!C25)=0,"",0)</f>
        <v/>
      </c>
      <c r="I25" s="2" t="str">
        <f>IF(LEN('A créer'!C25)=0,"","Tab")</f>
        <v/>
      </c>
      <c r="J25" t="str">
        <f>IF(LEN('A créer'!C25)=0,"","ZZZZZZ")</f>
        <v/>
      </c>
      <c r="K25" t="str">
        <f>IF(LEN('A créer'!C25)=0,"",0)</f>
        <v/>
      </c>
      <c r="L25" s="2" t="str">
        <f>IF(LEN('A créer'!C25)=0,"","Tab")</f>
        <v/>
      </c>
      <c r="M25" s="6" t="str">
        <f>IF(LEN('A créer'!C25)=0,"","ZZZZZ")</f>
        <v/>
      </c>
      <c r="N25" s="6" t="str">
        <f>IF(LEN('A créer'!C25)=0,"",0)</f>
        <v/>
      </c>
      <c r="O25" s="2" t="str">
        <f>IF(LEN('A créer'!C25)=0,"","Tab")</f>
        <v/>
      </c>
      <c r="P25" s="6" t="str">
        <f>IF(LEN('A créer'!C25)=0,"","ZZZZZZZ")</f>
        <v/>
      </c>
      <c r="Q25" s="6" t="str">
        <f>IF(LEN('A créer'!C25)=0,"",0)</f>
        <v/>
      </c>
      <c r="R25" s="2" t="str">
        <f>IF(LEN('A créer'!C25)=0,"","Tab")</f>
        <v/>
      </c>
      <c r="S25" s="6" t="str">
        <f>IF(LEN('A créer'!C25)=0,"","ZZZZZZZZZZ")</f>
        <v/>
      </c>
      <c r="T25" s="6" t="str">
        <f>IF(LEN('A créer'!C25)=0,"",0)</f>
        <v/>
      </c>
      <c r="U25" s="2" t="str">
        <f>IF(LEN('A créer'!C25)=0,"","Tab")</f>
        <v/>
      </c>
      <c r="V25" s="6" t="str">
        <f>IF(LEN('A créer'!C25)=0,"","ZZZZZZZZZZ")</f>
        <v/>
      </c>
      <c r="W25" s="6" t="str">
        <f>IF(LEN('A créer'!C25)=0,"",0)</f>
        <v/>
      </c>
      <c r="X25" s="2" t="str">
        <f>IF(LEN('A créer'!C25)=0,"","Tab")</f>
        <v/>
      </c>
      <c r="Y25" s="6" t="str">
        <f>IF(LEN('A créer'!C25)=0,"","ZZZZZZZZZZZZZZZ")</f>
        <v/>
      </c>
      <c r="Z25" s="6" t="str">
        <f>IF(LEN('A créer'!C25)=0,"",0)</f>
        <v/>
      </c>
      <c r="AA25" s="2" t="str">
        <f>IF(LEN('A créer'!C25)=0,"","Tab")</f>
        <v/>
      </c>
      <c r="AB25" s="6" t="str">
        <f>IF(LEN('A créer'!C25)=0,"","ZZZ")</f>
        <v/>
      </c>
      <c r="AC25" s="6" t="str">
        <f>IF(LEN('A créer'!C25)=0,"",0)</f>
        <v/>
      </c>
      <c r="AD25" s="2" t="str">
        <f>IF(LEN('A créer'!C25)=0,"","Tab")</f>
        <v/>
      </c>
      <c r="AE25" s="6" t="str">
        <f>IF(LEN('A créer'!C25)=0,"","ZZZZZZZZZZ")</f>
        <v/>
      </c>
      <c r="AF25" s="6" t="str">
        <f>IF(LEN('A créer'!C25)=0,"",0)</f>
        <v/>
      </c>
      <c r="AG25" s="2" t="str">
        <f>IF(LEN('A créer'!C25)=0,"","Tab")</f>
        <v/>
      </c>
      <c r="AH25" s="6" t="str">
        <f>IF(LEN('A créer'!C25)=0,"","ZZZZZZZZZZ")</f>
        <v/>
      </c>
      <c r="AI25" s="6" t="str">
        <f>IF(LEN('A créer'!C25)=0,"",0)</f>
        <v/>
      </c>
      <c r="AJ25" s="2" t="str">
        <f>IF(LEN('A créer'!C25)=0,"","Tab")</f>
        <v/>
      </c>
      <c r="AK25" s="6" t="str">
        <f>IF(LEN('A créer'!C25)=0,"","ZZZZZZZZZZ")</f>
        <v/>
      </c>
      <c r="AL25" s="2" t="str">
        <f>IF(LEN('A créer'!C25)=0,"","ENT")</f>
        <v/>
      </c>
      <c r="AM25" s="2" t="str">
        <f>IF(LEN('A créer'!C25)=0,"","*SAVE")</f>
        <v/>
      </c>
    </row>
    <row r="26" spans="1:39" x14ac:dyDescent="0.35">
      <c r="A26" s="2" t="str">
        <f>IF(LEN('A créer'!C26)=0,"","*FN")</f>
        <v/>
      </c>
      <c r="B26" s="3" t="str">
        <f>IF(LEN('A créer'!C26)=0,"","\I")</f>
        <v/>
      </c>
      <c r="C26" s="2" t="str">
        <f>IF(LEN('A créer'!C26)=0,"","Tab")</f>
        <v/>
      </c>
      <c r="D26" t="str">
        <f>IF(LEN('A créer'!C26)=0,"",'A créer'!A26)</f>
        <v/>
      </c>
      <c r="E26" s="2" t="str">
        <f>IF(LEN('A créer'!C26)=0,"","Tab")</f>
        <v/>
      </c>
      <c r="F26" t="str">
        <f>IF(LEN('A créer'!C26)=0,"",'A créer'!B26)</f>
        <v/>
      </c>
      <c r="G26" s="2" t="str">
        <f>IF(LEN('A créer'!C26)=0,"","Tab")</f>
        <v/>
      </c>
      <c r="H26" t="str">
        <f>IF(LEN('A créer'!C26)=0,"",0)</f>
        <v/>
      </c>
      <c r="I26" s="2" t="str">
        <f>IF(LEN('A créer'!C26)=0,"","Tab")</f>
        <v/>
      </c>
      <c r="J26" t="str">
        <f>IF(LEN('A créer'!C26)=0,"","ZZZZZZ")</f>
        <v/>
      </c>
      <c r="K26" t="str">
        <f>IF(LEN('A créer'!C26)=0,"",0)</f>
        <v/>
      </c>
      <c r="L26" s="2" t="str">
        <f>IF(LEN('A créer'!C26)=0,"","Tab")</f>
        <v/>
      </c>
      <c r="M26" s="6" t="str">
        <f>IF(LEN('A créer'!C26)=0,"","ZZZZZ")</f>
        <v/>
      </c>
      <c r="N26" s="6" t="str">
        <f>IF(LEN('A créer'!C26)=0,"",0)</f>
        <v/>
      </c>
      <c r="O26" s="2" t="str">
        <f>IF(LEN('A créer'!C26)=0,"","Tab")</f>
        <v/>
      </c>
      <c r="P26" s="6" t="str">
        <f>IF(LEN('A créer'!C26)=0,"","ZZZZZZZ")</f>
        <v/>
      </c>
      <c r="Q26" s="6" t="str">
        <f>IF(LEN('A créer'!C26)=0,"",0)</f>
        <v/>
      </c>
      <c r="R26" s="2" t="str">
        <f>IF(LEN('A créer'!C26)=0,"","Tab")</f>
        <v/>
      </c>
      <c r="S26" s="6" t="str">
        <f>IF(LEN('A créer'!C26)=0,"","ZZZZZZZZZZ")</f>
        <v/>
      </c>
      <c r="T26" s="6" t="str">
        <f>IF(LEN('A créer'!C26)=0,"",0)</f>
        <v/>
      </c>
      <c r="U26" s="2" t="str">
        <f>IF(LEN('A créer'!C26)=0,"","Tab")</f>
        <v/>
      </c>
      <c r="V26" s="6" t="str">
        <f>IF(LEN('A créer'!C26)=0,"","ZZZZZZZZZZ")</f>
        <v/>
      </c>
      <c r="W26" s="6" t="str">
        <f>IF(LEN('A créer'!C26)=0,"",0)</f>
        <v/>
      </c>
      <c r="X26" s="2" t="str">
        <f>IF(LEN('A créer'!C26)=0,"","Tab")</f>
        <v/>
      </c>
      <c r="Y26" s="6" t="str">
        <f>IF(LEN('A créer'!C26)=0,"","ZZZZZZZZZZZZZZZ")</f>
        <v/>
      </c>
      <c r="Z26" s="6" t="str">
        <f>IF(LEN('A créer'!C26)=0,"",0)</f>
        <v/>
      </c>
      <c r="AA26" s="2" t="str">
        <f>IF(LEN('A créer'!C26)=0,"","Tab")</f>
        <v/>
      </c>
      <c r="AB26" s="6" t="str">
        <f>IF(LEN('A créer'!C26)=0,"","ZZZ")</f>
        <v/>
      </c>
      <c r="AC26" s="6" t="str">
        <f>IF(LEN('A créer'!C26)=0,"",0)</f>
        <v/>
      </c>
      <c r="AD26" s="2" t="str">
        <f>IF(LEN('A créer'!C26)=0,"","Tab")</f>
        <v/>
      </c>
      <c r="AE26" s="6" t="str">
        <f>IF(LEN('A créer'!C26)=0,"","ZZZZZZZZZZ")</f>
        <v/>
      </c>
      <c r="AF26" s="6" t="str">
        <f>IF(LEN('A créer'!C26)=0,"",0)</f>
        <v/>
      </c>
      <c r="AG26" s="2" t="str">
        <f>IF(LEN('A créer'!C26)=0,"","Tab")</f>
        <v/>
      </c>
      <c r="AH26" s="6" t="str">
        <f>IF(LEN('A créer'!C26)=0,"","ZZZZZZZZZZ")</f>
        <v/>
      </c>
      <c r="AI26" s="6" t="str">
        <f>IF(LEN('A créer'!C26)=0,"",0)</f>
        <v/>
      </c>
      <c r="AJ26" s="2" t="str">
        <f>IF(LEN('A créer'!C26)=0,"","Tab")</f>
        <v/>
      </c>
      <c r="AK26" s="6" t="str">
        <f>IF(LEN('A créer'!C26)=0,"","ZZZZZZZZZZ")</f>
        <v/>
      </c>
      <c r="AL26" s="2" t="str">
        <f>IF(LEN('A créer'!C26)=0,"","ENT")</f>
        <v/>
      </c>
      <c r="AM26" s="2" t="str">
        <f>IF(LEN('A créer'!C26)=0,"","*SAVE")</f>
        <v/>
      </c>
    </row>
    <row r="27" spans="1:39" x14ac:dyDescent="0.35">
      <c r="A27" s="2" t="str">
        <f>IF(LEN('A créer'!C27)=0,"","*FN")</f>
        <v/>
      </c>
      <c r="B27" s="3" t="str">
        <f>IF(LEN('A créer'!C27)=0,"","\I")</f>
        <v/>
      </c>
      <c r="C27" s="2" t="str">
        <f>IF(LEN('A créer'!C27)=0,"","Tab")</f>
        <v/>
      </c>
      <c r="D27" t="str">
        <f>IF(LEN('A créer'!C27)=0,"",'A créer'!A27)</f>
        <v/>
      </c>
      <c r="E27" s="2" t="str">
        <f>IF(LEN('A créer'!C27)=0,"","Tab")</f>
        <v/>
      </c>
      <c r="F27" t="str">
        <f>IF(LEN('A créer'!C27)=0,"",'A créer'!B27)</f>
        <v/>
      </c>
      <c r="G27" s="2" t="str">
        <f>IF(LEN('A créer'!C27)=0,"","Tab")</f>
        <v/>
      </c>
      <c r="H27" t="str">
        <f>IF(LEN('A créer'!C27)=0,"",0)</f>
        <v/>
      </c>
      <c r="I27" s="2" t="str">
        <f>IF(LEN('A créer'!C27)=0,"","Tab")</f>
        <v/>
      </c>
      <c r="J27" t="str">
        <f>IF(LEN('A créer'!C27)=0,"","ZZZZZZ")</f>
        <v/>
      </c>
      <c r="K27" t="str">
        <f>IF(LEN('A créer'!C27)=0,"",0)</f>
        <v/>
      </c>
      <c r="L27" s="2" t="str">
        <f>IF(LEN('A créer'!C27)=0,"","Tab")</f>
        <v/>
      </c>
      <c r="M27" s="6" t="str">
        <f>IF(LEN('A créer'!C27)=0,"","ZZZZZ")</f>
        <v/>
      </c>
      <c r="N27" s="6" t="str">
        <f>IF(LEN('A créer'!C27)=0,"",0)</f>
        <v/>
      </c>
      <c r="O27" s="2" t="str">
        <f>IF(LEN('A créer'!C27)=0,"","Tab")</f>
        <v/>
      </c>
      <c r="P27" s="6" t="str">
        <f>IF(LEN('A créer'!C27)=0,"","ZZZZZZZ")</f>
        <v/>
      </c>
      <c r="Q27" s="6" t="str">
        <f>IF(LEN('A créer'!C27)=0,"",0)</f>
        <v/>
      </c>
      <c r="R27" s="2" t="str">
        <f>IF(LEN('A créer'!C27)=0,"","Tab")</f>
        <v/>
      </c>
      <c r="S27" s="6" t="str">
        <f>IF(LEN('A créer'!C27)=0,"","ZZZZZZZZZZ")</f>
        <v/>
      </c>
      <c r="T27" s="6" t="str">
        <f>IF(LEN('A créer'!C27)=0,"",0)</f>
        <v/>
      </c>
      <c r="U27" s="2" t="str">
        <f>IF(LEN('A créer'!C27)=0,"","Tab")</f>
        <v/>
      </c>
      <c r="V27" s="6" t="str">
        <f>IF(LEN('A créer'!C27)=0,"","ZZZZZZZZZZ")</f>
        <v/>
      </c>
      <c r="W27" s="6" t="str">
        <f>IF(LEN('A créer'!C27)=0,"",0)</f>
        <v/>
      </c>
      <c r="X27" s="2" t="str">
        <f>IF(LEN('A créer'!C27)=0,"","Tab")</f>
        <v/>
      </c>
      <c r="Y27" s="6" t="str">
        <f>IF(LEN('A créer'!C27)=0,"","ZZZZZZZZZZZZZZZ")</f>
        <v/>
      </c>
      <c r="Z27" s="6" t="str">
        <f>IF(LEN('A créer'!C27)=0,"",0)</f>
        <v/>
      </c>
      <c r="AA27" s="2" t="str">
        <f>IF(LEN('A créer'!C27)=0,"","Tab")</f>
        <v/>
      </c>
      <c r="AB27" s="6" t="str">
        <f>IF(LEN('A créer'!C27)=0,"","ZZZ")</f>
        <v/>
      </c>
      <c r="AC27" s="6" t="str">
        <f>IF(LEN('A créer'!C27)=0,"",0)</f>
        <v/>
      </c>
      <c r="AD27" s="2" t="str">
        <f>IF(LEN('A créer'!C27)=0,"","Tab")</f>
        <v/>
      </c>
      <c r="AE27" s="6" t="str">
        <f>IF(LEN('A créer'!C27)=0,"","ZZZZZZZZZZ")</f>
        <v/>
      </c>
      <c r="AF27" s="6" t="str">
        <f>IF(LEN('A créer'!C27)=0,"",0)</f>
        <v/>
      </c>
      <c r="AG27" s="2" t="str">
        <f>IF(LEN('A créer'!C27)=0,"","Tab")</f>
        <v/>
      </c>
      <c r="AH27" s="6" t="str">
        <f>IF(LEN('A créer'!C27)=0,"","ZZZZZZZZZZ")</f>
        <v/>
      </c>
      <c r="AI27" s="6" t="str">
        <f>IF(LEN('A créer'!C27)=0,"",0)</f>
        <v/>
      </c>
      <c r="AJ27" s="2" t="str">
        <f>IF(LEN('A créer'!C27)=0,"","Tab")</f>
        <v/>
      </c>
      <c r="AK27" s="6" t="str">
        <f>IF(LEN('A créer'!C27)=0,"","ZZZZZZZZZZ")</f>
        <v/>
      </c>
      <c r="AL27" s="2" t="str">
        <f>IF(LEN('A créer'!C27)=0,"","ENT")</f>
        <v/>
      </c>
      <c r="AM27" s="2" t="str">
        <f>IF(LEN('A créer'!C27)=0,"","*SAVE")</f>
        <v/>
      </c>
    </row>
    <row r="28" spans="1:39" x14ac:dyDescent="0.35">
      <c r="A28" s="2" t="str">
        <f>IF(LEN('A créer'!C28)=0,"","*FN")</f>
        <v/>
      </c>
      <c r="B28" s="3" t="str">
        <f>IF(LEN('A créer'!C28)=0,"","\I")</f>
        <v/>
      </c>
      <c r="C28" s="2" t="str">
        <f>IF(LEN('A créer'!C28)=0,"","Tab")</f>
        <v/>
      </c>
      <c r="D28" t="str">
        <f>IF(LEN('A créer'!C28)=0,"",'A créer'!A28)</f>
        <v/>
      </c>
      <c r="E28" s="2" t="str">
        <f>IF(LEN('A créer'!C28)=0,"","Tab")</f>
        <v/>
      </c>
      <c r="F28" t="str">
        <f>IF(LEN('A créer'!C28)=0,"",'A créer'!B28)</f>
        <v/>
      </c>
      <c r="G28" s="2" t="str">
        <f>IF(LEN('A créer'!C28)=0,"","Tab")</f>
        <v/>
      </c>
      <c r="H28" t="str">
        <f>IF(LEN('A créer'!C28)=0,"",0)</f>
        <v/>
      </c>
      <c r="I28" s="2" t="str">
        <f>IF(LEN('A créer'!C28)=0,"","Tab")</f>
        <v/>
      </c>
      <c r="J28" t="str">
        <f>IF(LEN('A créer'!C28)=0,"","ZZZZZZ")</f>
        <v/>
      </c>
      <c r="K28" t="str">
        <f>IF(LEN('A créer'!C28)=0,"",0)</f>
        <v/>
      </c>
      <c r="L28" s="2" t="str">
        <f>IF(LEN('A créer'!C28)=0,"","Tab")</f>
        <v/>
      </c>
      <c r="M28" s="6" t="str">
        <f>IF(LEN('A créer'!C28)=0,"","ZZZZZ")</f>
        <v/>
      </c>
      <c r="N28" s="6" t="str">
        <f>IF(LEN('A créer'!C28)=0,"",0)</f>
        <v/>
      </c>
      <c r="O28" s="2" t="str">
        <f>IF(LEN('A créer'!C28)=0,"","Tab")</f>
        <v/>
      </c>
      <c r="P28" s="6" t="str">
        <f>IF(LEN('A créer'!C28)=0,"","ZZZZZZZ")</f>
        <v/>
      </c>
      <c r="Q28" s="6" t="str">
        <f>IF(LEN('A créer'!C28)=0,"",0)</f>
        <v/>
      </c>
      <c r="R28" s="2" t="str">
        <f>IF(LEN('A créer'!C28)=0,"","Tab")</f>
        <v/>
      </c>
      <c r="S28" s="6" t="str">
        <f>IF(LEN('A créer'!C28)=0,"","ZZZZZZZZZZ")</f>
        <v/>
      </c>
      <c r="T28" s="6" t="str">
        <f>IF(LEN('A créer'!C28)=0,"",0)</f>
        <v/>
      </c>
      <c r="U28" s="2" t="str">
        <f>IF(LEN('A créer'!C28)=0,"","Tab")</f>
        <v/>
      </c>
      <c r="V28" s="6" t="str">
        <f>IF(LEN('A créer'!C28)=0,"","ZZZZZZZZZZ")</f>
        <v/>
      </c>
      <c r="W28" s="6" t="str">
        <f>IF(LEN('A créer'!C28)=0,"",0)</f>
        <v/>
      </c>
      <c r="X28" s="2" t="str">
        <f>IF(LEN('A créer'!C28)=0,"","Tab")</f>
        <v/>
      </c>
      <c r="Y28" s="6" t="str">
        <f>IF(LEN('A créer'!C28)=0,"","ZZZZZZZZZZZZZZZ")</f>
        <v/>
      </c>
      <c r="Z28" s="6" t="str">
        <f>IF(LEN('A créer'!C28)=0,"",0)</f>
        <v/>
      </c>
      <c r="AA28" s="2" t="str">
        <f>IF(LEN('A créer'!C28)=0,"","Tab")</f>
        <v/>
      </c>
      <c r="AB28" s="6" t="str">
        <f>IF(LEN('A créer'!C28)=0,"","ZZZ")</f>
        <v/>
      </c>
      <c r="AC28" s="6" t="str">
        <f>IF(LEN('A créer'!C28)=0,"",0)</f>
        <v/>
      </c>
      <c r="AD28" s="2" t="str">
        <f>IF(LEN('A créer'!C28)=0,"","Tab")</f>
        <v/>
      </c>
      <c r="AE28" s="6" t="str">
        <f>IF(LEN('A créer'!C28)=0,"","ZZZZZZZZZZ")</f>
        <v/>
      </c>
      <c r="AF28" s="6" t="str">
        <f>IF(LEN('A créer'!C28)=0,"",0)</f>
        <v/>
      </c>
      <c r="AG28" s="2" t="str">
        <f>IF(LEN('A créer'!C28)=0,"","Tab")</f>
        <v/>
      </c>
      <c r="AH28" s="6" t="str">
        <f>IF(LEN('A créer'!C28)=0,"","ZZZZZZZZZZ")</f>
        <v/>
      </c>
      <c r="AI28" s="6" t="str">
        <f>IF(LEN('A créer'!C28)=0,"",0)</f>
        <v/>
      </c>
      <c r="AJ28" s="2" t="str">
        <f>IF(LEN('A créer'!C28)=0,"","Tab")</f>
        <v/>
      </c>
      <c r="AK28" s="6" t="str">
        <f>IF(LEN('A créer'!C28)=0,"","ZZZZZZZZZZ")</f>
        <v/>
      </c>
      <c r="AL28" s="2" t="str">
        <f>IF(LEN('A créer'!C28)=0,"","ENT")</f>
        <v/>
      </c>
      <c r="AM28" s="2" t="str">
        <f>IF(LEN('A créer'!C28)=0,"","*SAVE")</f>
        <v/>
      </c>
    </row>
    <row r="29" spans="1:39" x14ac:dyDescent="0.35">
      <c r="A29" s="2" t="str">
        <f>IF(LEN('A créer'!C29)=0,"","*FN")</f>
        <v/>
      </c>
      <c r="B29" s="3" t="str">
        <f>IF(LEN('A créer'!C29)=0,"","\I")</f>
        <v/>
      </c>
      <c r="C29" s="2" t="str">
        <f>IF(LEN('A créer'!C29)=0,"","Tab")</f>
        <v/>
      </c>
      <c r="D29" t="str">
        <f>IF(LEN('A créer'!C29)=0,"",'A créer'!A29)</f>
        <v/>
      </c>
      <c r="E29" s="2" t="str">
        <f>IF(LEN('A créer'!C29)=0,"","Tab")</f>
        <v/>
      </c>
      <c r="F29" t="str">
        <f>IF(LEN('A créer'!C29)=0,"",'A créer'!B29)</f>
        <v/>
      </c>
      <c r="G29" s="2" t="str">
        <f>IF(LEN('A créer'!C29)=0,"","Tab")</f>
        <v/>
      </c>
      <c r="H29" t="str">
        <f>IF(LEN('A créer'!C29)=0,"",0)</f>
        <v/>
      </c>
      <c r="I29" s="2" t="str">
        <f>IF(LEN('A créer'!C29)=0,"","Tab")</f>
        <v/>
      </c>
      <c r="J29" t="str">
        <f>IF(LEN('A créer'!C29)=0,"","ZZZZZZ")</f>
        <v/>
      </c>
      <c r="K29" t="str">
        <f>IF(LEN('A créer'!C29)=0,"",0)</f>
        <v/>
      </c>
      <c r="L29" s="2" t="str">
        <f>IF(LEN('A créer'!C29)=0,"","Tab")</f>
        <v/>
      </c>
      <c r="M29" s="6" t="str">
        <f>IF(LEN('A créer'!C29)=0,"","ZZZZZ")</f>
        <v/>
      </c>
      <c r="N29" s="6" t="str">
        <f>IF(LEN('A créer'!C29)=0,"",0)</f>
        <v/>
      </c>
      <c r="O29" s="2" t="str">
        <f>IF(LEN('A créer'!C29)=0,"","Tab")</f>
        <v/>
      </c>
      <c r="P29" s="6" t="str">
        <f>IF(LEN('A créer'!C29)=0,"","ZZZZZZZ")</f>
        <v/>
      </c>
      <c r="Q29" s="6" t="str">
        <f>IF(LEN('A créer'!C29)=0,"",0)</f>
        <v/>
      </c>
      <c r="R29" s="2" t="str">
        <f>IF(LEN('A créer'!C29)=0,"","Tab")</f>
        <v/>
      </c>
      <c r="S29" s="6" t="str">
        <f>IF(LEN('A créer'!C29)=0,"","ZZZZZZZZZZ")</f>
        <v/>
      </c>
      <c r="T29" s="6" t="str">
        <f>IF(LEN('A créer'!C29)=0,"",0)</f>
        <v/>
      </c>
      <c r="U29" s="2" t="str">
        <f>IF(LEN('A créer'!C29)=0,"","Tab")</f>
        <v/>
      </c>
      <c r="V29" s="6" t="str">
        <f>IF(LEN('A créer'!C29)=0,"","ZZZZZZZZZZ")</f>
        <v/>
      </c>
      <c r="W29" s="6" t="str">
        <f>IF(LEN('A créer'!C29)=0,"",0)</f>
        <v/>
      </c>
      <c r="X29" s="2" t="str">
        <f>IF(LEN('A créer'!C29)=0,"","Tab")</f>
        <v/>
      </c>
      <c r="Y29" s="6" t="str">
        <f>IF(LEN('A créer'!C29)=0,"","ZZZZZZZZZZZZZZZ")</f>
        <v/>
      </c>
      <c r="Z29" s="6" t="str">
        <f>IF(LEN('A créer'!C29)=0,"",0)</f>
        <v/>
      </c>
      <c r="AA29" s="2" t="str">
        <f>IF(LEN('A créer'!C29)=0,"","Tab")</f>
        <v/>
      </c>
      <c r="AB29" s="6" t="str">
        <f>IF(LEN('A créer'!C29)=0,"","ZZZ")</f>
        <v/>
      </c>
      <c r="AC29" s="6" t="str">
        <f>IF(LEN('A créer'!C29)=0,"",0)</f>
        <v/>
      </c>
      <c r="AD29" s="2" t="str">
        <f>IF(LEN('A créer'!C29)=0,"","Tab")</f>
        <v/>
      </c>
      <c r="AE29" s="6" t="str">
        <f>IF(LEN('A créer'!C29)=0,"","ZZZZZZZZZZ")</f>
        <v/>
      </c>
      <c r="AF29" s="6" t="str">
        <f>IF(LEN('A créer'!C29)=0,"",0)</f>
        <v/>
      </c>
      <c r="AG29" s="2" t="str">
        <f>IF(LEN('A créer'!C29)=0,"","Tab")</f>
        <v/>
      </c>
      <c r="AH29" s="6" t="str">
        <f>IF(LEN('A créer'!C29)=0,"","ZZZZZZZZZZ")</f>
        <v/>
      </c>
      <c r="AI29" s="6" t="str">
        <f>IF(LEN('A créer'!C29)=0,"",0)</f>
        <v/>
      </c>
      <c r="AJ29" s="2" t="str">
        <f>IF(LEN('A créer'!C29)=0,"","Tab")</f>
        <v/>
      </c>
      <c r="AK29" s="6" t="str">
        <f>IF(LEN('A créer'!C29)=0,"","ZZZZZZZZZZ")</f>
        <v/>
      </c>
      <c r="AL29" s="2" t="str">
        <f>IF(LEN('A créer'!C29)=0,"","ENT")</f>
        <v/>
      </c>
      <c r="AM29" s="2" t="str">
        <f>IF(LEN('A créer'!C29)=0,"","*SAVE")</f>
        <v/>
      </c>
    </row>
    <row r="30" spans="1:39" x14ac:dyDescent="0.35">
      <c r="A30" s="2" t="str">
        <f>IF(LEN('A créer'!C30)=0,"","*FN")</f>
        <v/>
      </c>
      <c r="B30" s="3" t="str">
        <f>IF(LEN('A créer'!C30)=0,"","\I")</f>
        <v/>
      </c>
      <c r="C30" s="2" t="str">
        <f>IF(LEN('A créer'!C30)=0,"","Tab")</f>
        <v/>
      </c>
      <c r="D30" t="str">
        <f>IF(LEN('A créer'!C30)=0,"",'A créer'!A30)</f>
        <v/>
      </c>
      <c r="E30" s="2" t="str">
        <f>IF(LEN('A créer'!C30)=0,"","Tab")</f>
        <v/>
      </c>
      <c r="F30" t="str">
        <f>IF(LEN('A créer'!C30)=0,"",'A créer'!B30)</f>
        <v/>
      </c>
      <c r="G30" s="2" t="str">
        <f>IF(LEN('A créer'!C30)=0,"","Tab")</f>
        <v/>
      </c>
      <c r="H30" t="str">
        <f>IF(LEN('A créer'!C30)=0,"",0)</f>
        <v/>
      </c>
      <c r="I30" s="2" t="str">
        <f>IF(LEN('A créer'!C30)=0,"","Tab")</f>
        <v/>
      </c>
      <c r="J30" t="str">
        <f>IF(LEN('A créer'!C30)=0,"","ZZZZZZ")</f>
        <v/>
      </c>
      <c r="K30" t="str">
        <f>IF(LEN('A créer'!C30)=0,"",0)</f>
        <v/>
      </c>
      <c r="L30" s="2" t="str">
        <f>IF(LEN('A créer'!C30)=0,"","Tab")</f>
        <v/>
      </c>
      <c r="M30" s="6" t="str">
        <f>IF(LEN('A créer'!C30)=0,"","ZZZZZ")</f>
        <v/>
      </c>
      <c r="N30" s="6" t="str">
        <f>IF(LEN('A créer'!C30)=0,"",0)</f>
        <v/>
      </c>
      <c r="O30" s="2" t="str">
        <f>IF(LEN('A créer'!C30)=0,"","Tab")</f>
        <v/>
      </c>
      <c r="P30" s="6" t="str">
        <f>IF(LEN('A créer'!C30)=0,"","ZZZZZZZ")</f>
        <v/>
      </c>
      <c r="Q30" s="6" t="str">
        <f>IF(LEN('A créer'!C30)=0,"",0)</f>
        <v/>
      </c>
      <c r="R30" s="2" t="str">
        <f>IF(LEN('A créer'!C30)=0,"","Tab")</f>
        <v/>
      </c>
      <c r="S30" s="6" t="str">
        <f>IF(LEN('A créer'!C30)=0,"","ZZZZZZZZZZ")</f>
        <v/>
      </c>
      <c r="T30" s="6" t="str">
        <f>IF(LEN('A créer'!C30)=0,"",0)</f>
        <v/>
      </c>
      <c r="U30" s="2" t="str">
        <f>IF(LEN('A créer'!C30)=0,"","Tab")</f>
        <v/>
      </c>
      <c r="V30" s="6" t="str">
        <f>IF(LEN('A créer'!C30)=0,"","ZZZZZZZZZZ")</f>
        <v/>
      </c>
      <c r="W30" s="6" t="str">
        <f>IF(LEN('A créer'!C30)=0,"",0)</f>
        <v/>
      </c>
      <c r="X30" s="2" t="str">
        <f>IF(LEN('A créer'!C30)=0,"","Tab")</f>
        <v/>
      </c>
      <c r="Y30" s="6" t="str">
        <f>IF(LEN('A créer'!C30)=0,"","ZZZZZZZZZZZZZZZ")</f>
        <v/>
      </c>
      <c r="Z30" s="6" t="str">
        <f>IF(LEN('A créer'!C30)=0,"",0)</f>
        <v/>
      </c>
      <c r="AA30" s="2" t="str">
        <f>IF(LEN('A créer'!C30)=0,"","Tab")</f>
        <v/>
      </c>
      <c r="AB30" s="6" t="str">
        <f>IF(LEN('A créer'!C30)=0,"","ZZZ")</f>
        <v/>
      </c>
      <c r="AC30" s="6" t="str">
        <f>IF(LEN('A créer'!C30)=0,"",0)</f>
        <v/>
      </c>
      <c r="AD30" s="2" t="str">
        <f>IF(LEN('A créer'!C30)=0,"","Tab")</f>
        <v/>
      </c>
      <c r="AE30" s="6" t="str">
        <f>IF(LEN('A créer'!C30)=0,"","ZZZZZZZZZZ")</f>
        <v/>
      </c>
      <c r="AF30" s="6" t="str">
        <f>IF(LEN('A créer'!C30)=0,"",0)</f>
        <v/>
      </c>
      <c r="AG30" s="2" t="str">
        <f>IF(LEN('A créer'!C30)=0,"","Tab")</f>
        <v/>
      </c>
      <c r="AH30" s="6" t="str">
        <f>IF(LEN('A créer'!C30)=0,"","ZZZZZZZZZZ")</f>
        <v/>
      </c>
      <c r="AI30" s="6" t="str">
        <f>IF(LEN('A créer'!C30)=0,"",0)</f>
        <v/>
      </c>
      <c r="AJ30" s="2" t="str">
        <f>IF(LEN('A créer'!C30)=0,"","Tab")</f>
        <v/>
      </c>
      <c r="AK30" s="6" t="str">
        <f>IF(LEN('A créer'!C30)=0,"","ZZZZZZZZZZ")</f>
        <v/>
      </c>
      <c r="AL30" s="2" t="str">
        <f>IF(LEN('A créer'!C30)=0,"","ENT")</f>
        <v/>
      </c>
      <c r="AM30" s="2" t="str">
        <f>IF(LEN('A créer'!C30)=0,"","*SAVE")</f>
        <v/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AU30"/>
  <sheetViews>
    <sheetView zoomScale="80" zoomScaleNormal="80" workbookViewId="0">
      <pane xSplit="1" ySplit="1" topLeftCell="T2" activePane="bottomRight" state="frozenSplit"/>
      <selection activeCell="G30" sqref="G30"/>
      <selection pane="topRight" activeCell="G30" sqref="G30"/>
      <selection pane="bottomLeft" activeCell="G30" sqref="G30"/>
      <selection pane="bottomRight" activeCell="S4" sqref="S4:AU4"/>
    </sheetView>
  </sheetViews>
  <sheetFormatPr baseColWidth="10" defaultRowHeight="14.5" x14ac:dyDescent="0.35"/>
  <cols>
    <col min="1" max="1" width="4.26953125" bestFit="1" customWidth="1"/>
    <col min="2" max="2" width="4" bestFit="1" customWidth="1"/>
    <col min="3" max="3" width="25" bestFit="1" customWidth="1"/>
    <col min="4" max="4" width="5.26953125" customWidth="1"/>
    <col min="5" max="5" width="28.7265625" bestFit="1" customWidth="1"/>
    <col min="6" max="6" width="5.81640625" customWidth="1"/>
    <col min="7" max="8" width="4" bestFit="1" customWidth="1"/>
    <col min="9" max="9" width="49.26953125" bestFit="1" customWidth="1"/>
    <col min="10" max="10" width="6.54296875" customWidth="1"/>
    <col min="11" max="11" width="4" bestFit="1" customWidth="1"/>
    <col min="13" max="13" width="24.54296875" bestFit="1" customWidth="1"/>
    <col min="14" max="14" width="5.81640625" customWidth="1"/>
    <col min="15" max="15" width="4.26953125" bestFit="1" customWidth="1"/>
    <col min="16" max="16" width="6.1796875" bestFit="1" customWidth="1"/>
    <col min="17" max="17" width="4.26953125" bestFit="1" customWidth="1"/>
    <col min="18" max="18" width="5.453125" customWidth="1"/>
    <col min="19" max="19" width="11.7265625" customWidth="1"/>
    <col min="20" max="20" width="4.81640625" customWidth="1"/>
    <col min="21" max="21" width="33.54296875" bestFit="1" customWidth="1"/>
    <col min="22" max="22" width="5.453125" customWidth="1"/>
    <col min="23" max="23" width="4" bestFit="1" customWidth="1"/>
    <col min="24" max="24" width="4.81640625" customWidth="1"/>
    <col min="25" max="25" width="12.54296875" bestFit="1" customWidth="1"/>
    <col min="26" max="26" width="4" bestFit="1" customWidth="1"/>
    <col min="27" max="27" width="11.453125" bestFit="1" customWidth="1"/>
    <col min="28" max="28" width="4" bestFit="1" customWidth="1"/>
    <col min="29" max="29" width="11.54296875" style="4"/>
    <col min="30" max="31" width="4" bestFit="1" customWidth="1"/>
    <col min="33" max="33" width="4" bestFit="1" customWidth="1"/>
    <col min="34" max="34" width="9" style="4" customWidth="1"/>
    <col min="35" max="35" width="4" bestFit="1" customWidth="1"/>
    <col min="37" max="37" width="5.26953125" bestFit="1" customWidth="1"/>
    <col min="38" max="38" width="4.26953125" bestFit="1" customWidth="1"/>
    <col min="39" max="39" width="7.26953125" customWidth="1"/>
    <col min="40" max="40" width="6.7265625" customWidth="1"/>
    <col min="41" max="41" width="5.54296875" customWidth="1"/>
    <col min="42" max="42" width="5.453125" customWidth="1"/>
    <col min="43" max="43" width="5.26953125" customWidth="1"/>
    <col min="44" max="44" width="6.54296875" bestFit="1" customWidth="1"/>
    <col min="45" max="45" width="4" bestFit="1" customWidth="1"/>
    <col min="46" max="46" width="4.26953125" bestFit="1" customWidth="1"/>
    <col min="47" max="47" width="6.81640625" bestFit="1" customWidth="1"/>
  </cols>
  <sheetData>
    <row r="1" spans="1:47" x14ac:dyDescent="0.35">
      <c r="A1" s="2" t="s">
        <v>18</v>
      </c>
      <c r="B1" s="2" t="s">
        <v>4</v>
      </c>
      <c r="C1" t="s">
        <v>20</v>
      </c>
      <c r="D1" s="2" t="s">
        <v>4</v>
      </c>
      <c r="E1" t="s">
        <v>21</v>
      </c>
      <c r="F1" s="2" t="s">
        <v>4</v>
      </c>
      <c r="G1" s="2" t="s">
        <v>4</v>
      </c>
      <c r="H1" s="2" t="s">
        <v>4</v>
      </c>
      <c r="I1" s="4" t="s">
        <v>22</v>
      </c>
      <c r="J1" s="2" t="s">
        <v>93</v>
      </c>
      <c r="K1" s="2" t="s">
        <v>4</v>
      </c>
      <c r="L1" s="4" t="s">
        <v>23</v>
      </c>
      <c r="M1" s="4" t="s">
        <v>24</v>
      </c>
      <c r="N1" s="2" t="s">
        <v>4</v>
      </c>
      <c r="O1" s="2" t="s">
        <v>15</v>
      </c>
      <c r="P1" s="2" t="s">
        <v>16</v>
      </c>
      <c r="Q1" s="2" t="s">
        <v>18</v>
      </c>
      <c r="R1" s="2" t="s">
        <v>4</v>
      </c>
      <c r="S1" t="s">
        <v>20</v>
      </c>
      <c r="T1" s="2" t="s">
        <v>4</v>
      </c>
      <c r="U1" t="s">
        <v>21</v>
      </c>
      <c r="V1" s="2" t="s">
        <v>4</v>
      </c>
      <c r="W1" s="2" t="s">
        <v>4</v>
      </c>
      <c r="X1" s="2" t="s">
        <v>4</v>
      </c>
      <c r="Y1" s="4" t="s">
        <v>27</v>
      </c>
      <c r="Z1" s="2" t="s">
        <v>4</v>
      </c>
      <c r="AA1" s="4" t="s">
        <v>28</v>
      </c>
      <c r="AB1" s="2" t="s">
        <v>4</v>
      </c>
      <c r="AC1" s="4" t="s">
        <v>29</v>
      </c>
      <c r="AD1" s="2" t="s">
        <v>4</v>
      </c>
      <c r="AE1" s="2" t="s">
        <v>4</v>
      </c>
      <c r="AF1" s="4" t="s">
        <v>30</v>
      </c>
      <c r="AG1" s="2" t="s">
        <v>4</v>
      </c>
      <c r="AH1" s="4" t="s">
        <v>23</v>
      </c>
      <c r="AI1" s="2" t="s">
        <v>4</v>
      </c>
      <c r="AJ1" s="4" t="s">
        <v>24</v>
      </c>
      <c r="AK1" s="2" t="s">
        <v>4</v>
      </c>
      <c r="AL1" s="2" t="s">
        <v>15</v>
      </c>
      <c r="AM1" s="2" t="s">
        <v>93</v>
      </c>
      <c r="AN1" s="2" t="s">
        <v>93</v>
      </c>
      <c r="AO1" s="2" t="s">
        <v>4</v>
      </c>
      <c r="AP1" s="2" t="s">
        <v>4</v>
      </c>
      <c r="AQ1" s="2" t="s">
        <v>4</v>
      </c>
      <c r="AR1" s="4" t="s">
        <v>2</v>
      </c>
      <c r="AS1" s="2" t="s">
        <v>4</v>
      </c>
      <c r="AT1" s="2" t="s">
        <v>15</v>
      </c>
      <c r="AU1" s="2" t="s">
        <v>16</v>
      </c>
    </row>
    <row r="2" spans="1:47" x14ac:dyDescent="0.35">
      <c r="A2" s="2" t="str">
        <f>IF(OR('A créer'!D2="Oui",LEN('A créer'!D2)=0),"","*FN")</f>
        <v>*FN</v>
      </c>
      <c r="B2" s="2" t="str">
        <f>IF(OR('A créer'!D2="Oui",LEN('A créer'!D2)=0),"","Tab")</f>
        <v>Tab</v>
      </c>
      <c r="C2" t="str">
        <f>IF(OR('A créer'!D2="Oui",LEN('A créer'!D2)=0),"",'A créer'!I2)</f>
        <v>CHARLEVILLE RENOUVELABLE</v>
      </c>
      <c r="D2" s="2" t="str">
        <f>IF(OR('A créer'!D2="Oui",LEN('A créer'!D2)=0),"","Tab")</f>
        <v>Tab</v>
      </c>
      <c r="E2" t="str">
        <f>IF(OR('A créer'!D2="Oui",LEN('A créer'!D2)=0),"",'A créer'!C2)</f>
        <v>CHARLEVILLE RENOUVELABLE</v>
      </c>
      <c r="F2" s="2" t="str">
        <f>IF(OR('A créer'!D2="Oui",LEN('A créer'!D2)=0),"","Tab")</f>
        <v>Tab</v>
      </c>
      <c r="G2" s="2" t="str">
        <f>IF(OR('A créer'!D2="Oui",LEN('A créer'!D2)=0),"","Tab")</f>
        <v>Tab</v>
      </c>
      <c r="H2" s="2" t="str">
        <f>IF(OR('A créer'!D2="Oui",LEN('A créer'!D2)=0),"","Tab")</f>
        <v>Tab</v>
      </c>
      <c r="I2" t="str">
        <f>IF(OR('A créer'!D2="Oui",LEN('A créer'!D2)=0),"",'A créer'!J2)</f>
        <v>6, rue des Trézelots</v>
      </c>
      <c r="J2" s="2" t="str">
        <f>IF(OR('A créer'!D2="Oui",LEN('A créer'!D2)=0),"","Tab 4")</f>
        <v>Tab 4</v>
      </c>
      <c r="K2" s="2" t="str">
        <f>IF(OR('A créer'!D2="Oui",LEN('A créer'!D2)=0),"","Tab")</f>
        <v>Tab</v>
      </c>
      <c r="L2">
        <f>IF(OR('A créer'!D2="Oui",LEN('A créer'!D2)=0),"",'A créer'!K2)</f>
        <v>54425</v>
      </c>
      <c r="M2" t="str">
        <f>IF(OR('A créer'!D2="Oui",LEN('A créer'!D2)=0),"",'A créer'!L2)</f>
        <v>PULNOY</v>
      </c>
      <c r="N2" s="2" t="str">
        <f>IF(OR('A créer'!D2="Oui",LEN('A créer'!D2)=0),"","Tab")</f>
        <v>Tab</v>
      </c>
      <c r="O2" s="2" t="str">
        <f>IF(OR('A créer'!D2="Oui",LEN('A créer'!D2)=0),"","ENT")</f>
        <v>ENT</v>
      </c>
      <c r="P2" s="2" t="str">
        <f>IF(OR('A créer'!D2="Oui",LEN('A créer'!D2)=0),"","*SAVE")</f>
        <v>*SAVE</v>
      </c>
      <c r="Q2" s="2" t="str">
        <f>IF(LEN('A créer'!D2)=0,"","*FN")</f>
        <v>*FN</v>
      </c>
      <c r="R2" s="2" t="str">
        <f>IF(LEN('A créer'!D2)=0,"","Tab")</f>
        <v>Tab</v>
      </c>
      <c r="S2" t="str">
        <f>IF(LEN('A créer'!D2)=0,"",CONCATENATE('A créer'!B2,'A créer'!A2))</f>
        <v>DCW0535</v>
      </c>
      <c r="T2" s="2" t="str">
        <f>IF(LEN('A créer'!D2)=0,"","Tab")</f>
        <v>Tab</v>
      </c>
      <c r="U2" s="6" t="str">
        <f>IF('A créer'!F2="Oui",'A créer'!C2,IF(LEN('A créer'!F2)=0,"",CONCATENATE('A créer'!C2," (",'A créer'!M2,")")))</f>
        <v>CHARLEVILLE RENOUVELABLE (13535)</v>
      </c>
      <c r="V2" s="2" t="str">
        <f>IF(LEN('A créer'!D2)=0,"","Tab")</f>
        <v>Tab</v>
      </c>
      <c r="W2" s="2" t="str">
        <f>IF(LEN('A créer'!D2)=0,"","Tab")</f>
        <v>Tab</v>
      </c>
      <c r="X2" s="2" t="str">
        <f>IF(LEN('A créer'!D2)=0,"","Tab")</f>
        <v>Tab</v>
      </c>
      <c r="Y2" t="str">
        <f>IF('A créer'!F2="Oui",'A créer'!J2,IF(LEN('A créer'!F2)=0,"",'A créer'!N2))</f>
        <v>TSA 15503</v>
      </c>
      <c r="Z2" s="2" t="str">
        <f>IF(LEN('A créer'!D2)=0,"","Tab")</f>
        <v>Tab</v>
      </c>
      <c r="AA2" s="4" t="str">
        <f>IF('A créer'!F2="Oui","",IF(LEN('A créer'!F2)=0,"",'A créer'!O2))</f>
        <v>59784 LILLE CEDEX 9</v>
      </c>
      <c r="AB2" s="2" t="str">
        <f>IF(LEN('A créer'!D2)=0,"","Tab")</f>
        <v>Tab</v>
      </c>
      <c r="AC2" s="4" t="str">
        <f>IF('A créer'!F2="Oui","",IF(LEN('A créer'!F2)=0,"","contactfournisseur@csp.dalkia.fr"))</f>
        <v>contactfournisseur@csp.dalkia.fr</v>
      </c>
      <c r="AD2" s="2" t="str">
        <f>IF(LEN('A créer'!D2)=0,"","Tab")</f>
        <v>Tab</v>
      </c>
      <c r="AE2" s="2" t="str">
        <f>IF(LEN('A créer'!D2)=0,"","Tab")</f>
        <v>Tab</v>
      </c>
      <c r="AF2" t="str">
        <f>IF('A créer'!F2="Oui","",IF(LEN('A créer'!F2)=0,"","ATTENTION adresse UNIQUEMENT pour la comptabilité fournisseurs"))</f>
        <v>ATTENTION adresse UNIQUEMENT pour la comptabilité fournisseurs</v>
      </c>
      <c r="AG2" s="2" t="str">
        <f>IF(LEN('A créer'!D2)=0,"","Tab")</f>
        <v>Tab</v>
      </c>
      <c r="AH2" s="4" t="str">
        <f>IF('A créer'!F2="Oui",'A créer'!K2,IF(LEN('A créer'!F2)=0,"",""))</f>
        <v/>
      </c>
      <c r="AI2" s="2" t="str">
        <f>IF(OR(LEN('A créer'!D2)=0,LEN(AH2)&gt;0),"","Tab")</f>
        <v>Tab</v>
      </c>
      <c r="AJ2" t="str">
        <f>IF('A créer'!F2="Oui",'A créer'!L2,IF(LEN('A créer'!F2)=0,"","NOUVELLE ADRESSE FACTURATION"))</f>
        <v>NOUVELLE ADRESSE FACTURATION</v>
      </c>
      <c r="AK2" s="2" t="str">
        <f>IF(LEN('A créer'!D2)=0,"","Tab")</f>
        <v>Tab</v>
      </c>
      <c r="AL2" s="2" t="str">
        <f>IF(LEN('A créer'!D2)=0,"","ENT")</f>
        <v>ENT</v>
      </c>
      <c r="AM2" s="2" t="str">
        <f>IF(LEN('A créer'!D2)=0,"","Tab 4")</f>
        <v>Tab 4</v>
      </c>
      <c r="AN2" s="2" t="str">
        <f>IF(LEN('A créer'!D2)=0,"","Tab 4")</f>
        <v>Tab 4</v>
      </c>
      <c r="AO2" s="2" t="str">
        <f>IF(LEN('A créer'!D2)=0,"","Tab")</f>
        <v>Tab</v>
      </c>
      <c r="AP2" s="2" t="str">
        <f>IF(LEN('A créer'!D2)=0,"","Tab")</f>
        <v>Tab</v>
      </c>
      <c r="AQ2" s="2" t="str">
        <f>IF(LEN('A créer'!D2)=0,"","Tab")</f>
        <v>Tab</v>
      </c>
      <c r="AR2" s="4" t="str">
        <f>IF(OR('A créer'!D2="Oui",LEN('A créer'!D2)=0),"",IF(LEN('A créer'!F2)=0,"",'A créer'!B2))</f>
        <v>DCW</v>
      </c>
      <c r="AS2" s="2" t="str">
        <f>IF(LEN('A créer'!D2)=0,"","Tab")</f>
        <v>Tab</v>
      </c>
      <c r="AT2" s="2" t="str">
        <f>IF(LEN('A créer'!D2)=0,"","ENT")</f>
        <v>ENT</v>
      </c>
      <c r="AU2" s="2" t="str">
        <f>IF(LEN('A créer'!D2)=0,"","*SAVE")</f>
        <v>*SAVE</v>
      </c>
    </row>
    <row r="3" spans="1:47" x14ac:dyDescent="0.35">
      <c r="A3" s="2" t="str">
        <f>IF(OR('A créer'!D3="Oui",LEN('A créer'!D3)=0),"","*FN")</f>
        <v/>
      </c>
      <c r="B3" s="2" t="str">
        <f>IF(OR('A créer'!D3="Oui",LEN('A créer'!D3)=0),"","Tab")</f>
        <v/>
      </c>
      <c r="C3" s="6" t="str">
        <f>IF(OR('A créer'!D3="Oui",LEN('A créer'!D3)=0),"",'A créer'!I3)</f>
        <v/>
      </c>
      <c r="D3" s="2" t="str">
        <f>IF(OR('A créer'!D3="Oui",LEN('A créer'!D3)=0),"","Tab")</f>
        <v/>
      </c>
      <c r="E3" s="6" t="str">
        <f>IF(OR('A créer'!D3="Oui",LEN('A créer'!D3)=0),"",'A créer'!C3)</f>
        <v/>
      </c>
      <c r="F3" s="2" t="str">
        <f>IF(OR('A créer'!D3="Oui",LEN('A créer'!D3)=0),"","Tab")</f>
        <v/>
      </c>
      <c r="G3" s="2" t="str">
        <f>IF(OR('A créer'!D3="Oui",LEN('A créer'!D3)=0),"","Tab")</f>
        <v/>
      </c>
      <c r="H3" s="2" t="str">
        <f>IF(OR('A créer'!D3="Oui",LEN('A créer'!D3)=0),"","Tab")</f>
        <v/>
      </c>
      <c r="I3" s="6" t="str">
        <f>IF(OR('A créer'!D3="Oui",LEN('A créer'!D3)=0),"",'A créer'!J3)</f>
        <v/>
      </c>
      <c r="J3" s="2" t="str">
        <f>IF(OR('A créer'!D3="Oui",LEN('A créer'!D3)=0),"","Tab 4")</f>
        <v/>
      </c>
      <c r="K3" s="2" t="str">
        <f>IF(OR('A créer'!D3="Oui",LEN('A créer'!D3)=0),"","Tab")</f>
        <v/>
      </c>
      <c r="L3" s="6" t="str">
        <f>IF(OR('A créer'!D3="Oui",LEN('A créer'!D3)=0),"",'A créer'!K3)</f>
        <v/>
      </c>
      <c r="M3" s="6" t="str">
        <f>IF(OR('A créer'!D3="Oui",LEN('A créer'!D3)=0),"",'A créer'!L3)</f>
        <v/>
      </c>
      <c r="N3" s="2" t="str">
        <f>IF(OR('A créer'!D3="Oui",LEN('A créer'!D3)=0),"","Tab")</f>
        <v/>
      </c>
      <c r="O3" s="2" t="str">
        <f>IF(OR('A créer'!D3="Oui",LEN('A créer'!D3)=0),"","ENT")</f>
        <v/>
      </c>
      <c r="P3" s="2" t="str">
        <f>IF(OR('A créer'!D3="Oui",LEN('A créer'!D3)=0),"","*SAVE")</f>
        <v/>
      </c>
      <c r="Q3" s="2" t="str">
        <f>IF(LEN('A créer'!D3)=0,"","*FN")</f>
        <v/>
      </c>
      <c r="R3" s="2" t="str">
        <f>IF(LEN('A créer'!D3)=0,"","Tab")</f>
        <v/>
      </c>
      <c r="S3" s="6" t="str">
        <f>IF(LEN('A créer'!D3)=0,"",CONCATENATE('A créer'!B3,'A créer'!A3))</f>
        <v/>
      </c>
      <c r="T3" s="2" t="s">
        <v>4</v>
      </c>
      <c r="U3" s="6" t="str">
        <f>IF('A créer'!F3="Oui",'A créer'!C3,IF(LEN('A créer'!F3)=0,"",CONCATENATE('A créer'!C3," (",'A créer'!M3,")")))</f>
        <v/>
      </c>
      <c r="V3" s="2" t="str">
        <f>IF(LEN('A créer'!D3)=0,"","Tab")</f>
        <v/>
      </c>
      <c r="W3" s="2" t="str">
        <f>IF(LEN('A créer'!D3)=0,"","Tab")</f>
        <v/>
      </c>
      <c r="X3" s="2" t="str">
        <f>IF(LEN('A créer'!D3)=0,"","Tab")</f>
        <v/>
      </c>
      <c r="Y3" s="6" t="str">
        <f>IF('A créer'!F3="Oui",'A créer'!J3,IF(LEN('A créer'!F3)=0,"",'A créer'!N3))</f>
        <v/>
      </c>
      <c r="Z3" s="2" t="str">
        <f>IF(LEN('A créer'!D3)=0,"","Tab")</f>
        <v/>
      </c>
      <c r="AA3" s="4" t="str">
        <f>IF('A créer'!F3="Oui","",IF(LEN('A créer'!F3)=0,"",'A créer'!O3))</f>
        <v/>
      </c>
      <c r="AB3" s="2" t="str">
        <f>IF(LEN('A créer'!D3)=0,"","Tab")</f>
        <v/>
      </c>
      <c r="AC3" s="4" t="str">
        <f>IF('A créer'!F3="Oui","",IF(LEN('A créer'!F3)=0,"","contactfournisseur@csp.dalkia.fr"))</f>
        <v/>
      </c>
      <c r="AD3" s="2" t="str">
        <f>IF(LEN('A créer'!D3)=0,"","Tab")</f>
        <v/>
      </c>
      <c r="AE3" s="2" t="str">
        <f>IF(LEN('A créer'!D3)=0,"","Tab")</f>
        <v/>
      </c>
      <c r="AF3" s="6" t="str">
        <f>IF('A créer'!F3="Oui","",IF(LEN('A créer'!F3)=0,"","ATTENTION adresse UNIQUEMENT pour la comptabilité fournisseurs"))</f>
        <v/>
      </c>
      <c r="AG3" s="2" t="str">
        <f>IF(LEN('A créer'!D3)=0,"","Tab")</f>
        <v/>
      </c>
      <c r="AH3" s="4" t="str">
        <f>IF('A créer'!F3="Oui",'A créer'!K3,IF(LEN('A créer'!F3)=0,"",""))</f>
        <v/>
      </c>
      <c r="AI3" s="2" t="str">
        <f>IF(OR(LEN('A créer'!D3)=0,LEN(AH3)&gt;0),"","Tab")</f>
        <v/>
      </c>
      <c r="AJ3" s="6" t="str">
        <f>IF('A créer'!F3="Oui",'A créer'!L3,IF(LEN('A créer'!F3)=0,"","NOUVELLE ADRESSE FACTURATION"))</f>
        <v/>
      </c>
      <c r="AK3" s="2" t="str">
        <f>IF(LEN('A créer'!D3)=0,"","Tab")</f>
        <v/>
      </c>
      <c r="AL3" s="2" t="str">
        <f>IF(LEN('A créer'!D3)=0,"","ENT")</f>
        <v/>
      </c>
      <c r="AM3" s="2" t="str">
        <f>IF(LEN('A créer'!D3)=0,"","Tab 4")</f>
        <v/>
      </c>
      <c r="AN3" s="2" t="str">
        <f>IF(LEN('A créer'!D3)=0,"","Tab 4")</f>
        <v/>
      </c>
      <c r="AO3" s="2" t="str">
        <f>IF(LEN('A créer'!D3)=0,"","Tab")</f>
        <v/>
      </c>
      <c r="AP3" s="2" t="str">
        <f>IF(LEN('A créer'!D3)=0,"","Tab")</f>
        <v/>
      </c>
      <c r="AQ3" s="2" t="str">
        <f>IF(LEN('A créer'!D3)=0,"","Tab")</f>
        <v/>
      </c>
      <c r="AR3" s="4" t="str">
        <f>IF(OR('A créer'!D3="Oui",LEN('A créer'!D3)=0),"",IF(LEN('A créer'!F3)=0,"",'A créer'!B3))</f>
        <v/>
      </c>
      <c r="AS3" s="2" t="str">
        <f>IF(LEN('A créer'!D3)=0,"","Tab")</f>
        <v/>
      </c>
      <c r="AT3" s="2" t="str">
        <f>IF(LEN('A créer'!D3)=0,"","ENT")</f>
        <v/>
      </c>
      <c r="AU3" s="2" t="str">
        <f>IF(LEN('A créer'!D3)=0,"","*SAVE")</f>
        <v/>
      </c>
    </row>
    <row r="4" spans="1:47" x14ac:dyDescent="0.35">
      <c r="A4" s="2" t="str">
        <f>IF(OR('A créer'!D4="Oui",LEN('A créer'!D4)=0),"","*FN")</f>
        <v>*FN</v>
      </c>
      <c r="B4" s="2" t="str">
        <f>IF(OR('A créer'!D4="Oui",LEN('A créer'!D4)=0),"","Tab")</f>
        <v>Tab</v>
      </c>
      <c r="C4" s="6" t="str">
        <f>IF(OR('A créer'!D4="Oui",LEN('A créer'!D4)=0),"",'A créer'!I4)</f>
        <v>MIRECOURT ENERGIES</v>
      </c>
      <c r="D4" s="2" t="str">
        <f>IF(OR('A créer'!D4="Oui",LEN('A créer'!D4)=0),"","Tab")</f>
        <v>Tab</v>
      </c>
      <c r="E4" s="6" t="str">
        <f>IF(OR('A créer'!D4="Oui",LEN('A créer'!D4)=0),"",'A créer'!C4)</f>
        <v>MIRECOURT ENERGIES</v>
      </c>
      <c r="F4" s="2" t="str">
        <f>IF(OR('A créer'!D4="Oui",LEN('A créer'!D4)=0),"","Tab")</f>
        <v>Tab</v>
      </c>
      <c r="G4" s="2" t="str">
        <f>IF(OR('A créer'!D4="Oui",LEN('A créer'!D4)=0),"","Tab")</f>
        <v>Tab</v>
      </c>
      <c r="H4" s="2" t="str">
        <f>IF(OR('A créer'!D4="Oui",LEN('A créer'!D4)=0),"","Tab")</f>
        <v>Tab</v>
      </c>
      <c r="I4" s="6" t="str">
        <f>IF(OR('A créer'!D4="Oui",LEN('A créer'!D4)=0),"",'A créer'!J4)</f>
        <v>6, rue des Trézelots</v>
      </c>
      <c r="J4" s="2" t="str">
        <f>IF(OR('A créer'!D4="Oui",LEN('A créer'!D4)=0),"","Tab 4")</f>
        <v>Tab 4</v>
      </c>
      <c r="K4" s="2" t="str">
        <f>IF(OR('A créer'!D4="Oui",LEN('A créer'!D4)=0),"","Tab")</f>
        <v>Tab</v>
      </c>
      <c r="L4" s="6">
        <f>IF(OR('A créer'!D4="Oui",LEN('A créer'!D4)=0),"",'A créer'!K4)</f>
        <v>54425</v>
      </c>
      <c r="M4" s="6" t="str">
        <f>IF(OR('A créer'!D4="Oui",LEN('A créer'!D4)=0),"",'A créer'!L4)</f>
        <v>PULNOY</v>
      </c>
      <c r="N4" s="2" t="str">
        <f>IF(OR('A créer'!D4="Oui",LEN('A créer'!D4)=0),"","Tab")</f>
        <v>Tab</v>
      </c>
      <c r="O4" s="2" t="str">
        <f>IF(OR('A créer'!D4="Oui",LEN('A créer'!D4)=0),"","ENT")</f>
        <v>ENT</v>
      </c>
      <c r="P4" s="2" t="str">
        <f>IF(OR('A créer'!D4="Oui",LEN('A créer'!D4)=0),"","*SAVE")</f>
        <v>*SAVE</v>
      </c>
      <c r="Q4" s="2" t="str">
        <f>IF(LEN('A créer'!D4)=0,"","*FN")</f>
        <v>*FN</v>
      </c>
      <c r="R4" s="2" t="str">
        <f>IF(LEN('A créer'!D4)=0,"","Tab")</f>
        <v>Tab</v>
      </c>
      <c r="S4" s="6" t="str">
        <f>IF(LEN('A créer'!D4)=0,"",CONCATENATE('A créer'!B4,'A créer'!A4))</f>
        <v>DCW0595</v>
      </c>
      <c r="T4" s="2" t="s">
        <v>4</v>
      </c>
      <c r="U4" s="6" t="str">
        <f>IF('A créer'!F4="Oui",'A créer'!C4,IF(LEN('A créer'!F4)=0,"",CONCATENATE('A créer'!C4," (",'A créer'!M4,")")))</f>
        <v>MIRECOURT ENERGIES (13595)</v>
      </c>
      <c r="V4" s="2" t="str">
        <f>IF(LEN('A créer'!D4)=0,"","Tab")</f>
        <v>Tab</v>
      </c>
      <c r="W4" s="2" t="str">
        <f>IF(LEN('A créer'!D4)=0,"","Tab")</f>
        <v>Tab</v>
      </c>
      <c r="X4" s="2" t="str">
        <f>IF(LEN('A créer'!D4)=0,"","Tab")</f>
        <v>Tab</v>
      </c>
      <c r="Y4" s="6" t="str">
        <f>IF('A créer'!F4="Oui",'A créer'!J4,IF(LEN('A créer'!F4)=0,"",'A créer'!N4))</f>
        <v>TSA 15503</v>
      </c>
      <c r="Z4" s="2" t="str">
        <f>IF(LEN('A créer'!D4)=0,"","Tab")</f>
        <v>Tab</v>
      </c>
      <c r="AA4" s="4" t="str">
        <f>IF('A créer'!F4="Oui","",IF(LEN('A créer'!F4)=0,"",'A créer'!O4))</f>
        <v>59784 LILLE CEDEX 9</v>
      </c>
      <c r="AB4" s="2" t="str">
        <f>IF(LEN('A créer'!D4)=0,"","Tab")</f>
        <v>Tab</v>
      </c>
      <c r="AC4" s="4" t="str">
        <f>IF('A créer'!F4="Oui","",IF(LEN('A créer'!F4)=0,"","contactfournisseur@csp.dalkia.fr"))</f>
        <v>contactfournisseur@csp.dalkia.fr</v>
      </c>
      <c r="AD4" s="2" t="str">
        <f>IF(LEN('A créer'!D4)=0,"","Tab")</f>
        <v>Tab</v>
      </c>
      <c r="AE4" s="2" t="str">
        <f>IF(LEN('A créer'!D4)=0,"","Tab")</f>
        <v>Tab</v>
      </c>
      <c r="AF4" s="6" t="str">
        <f>IF('A créer'!F4="Oui","",IF(LEN('A créer'!F4)=0,"","ATTENTION adresse UNIQUEMENT pour la comptabilité fournisseurs"))</f>
        <v>ATTENTION adresse UNIQUEMENT pour la comptabilité fournisseurs</v>
      </c>
      <c r="AG4" s="2" t="str">
        <f>IF(LEN('A créer'!D4)=0,"","Tab")</f>
        <v>Tab</v>
      </c>
      <c r="AH4" s="4" t="str">
        <f>IF('A créer'!F4="Oui",'A créer'!K4,IF(LEN('A créer'!F4)=0,"",""))</f>
        <v/>
      </c>
      <c r="AI4" s="2" t="str">
        <f>IF(OR(LEN('A créer'!D4)=0,LEN(AH4)&gt;0),"","Tab")</f>
        <v>Tab</v>
      </c>
      <c r="AJ4" s="6" t="str">
        <f>IF('A créer'!F4="Oui",'A créer'!L4,IF(LEN('A créer'!F4)=0,"","NOUVELLE ADRESSE FACTURATION"))</f>
        <v>NOUVELLE ADRESSE FACTURATION</v>
      </c>
      <c r="AK4" s="2" t="str">
        <f>IF(LEN('A créer'!D4)=0,"","Tab")</f>
        <v>Tab</v>
      </c>
      <c r="AL4" s="2" t="str">
        <f>IF(LEN('A créer'!D4)=0,"","ENT")</f>
        <v>ENT</v>
      </c>
      <c r="AM4" s="2" t="str">
        <f>IF(LEN('A créer'!D4)=0,"","Tab 4")</f>
        <v>Tab 4</v>
      </c>
      <c r="AN4" s="2" t="str">
        <f>IF(LEN('A créer'!D4)=0,"","Tab 4")</f>
        <v>Tab 4</v>
      </c>
      <c r="AO4" s="2" t="str">
        <f>IF(LEN('A créer'!D4)=0,"","Tab")</f>
        <v>Tab</v>
      </c>
      <c r="AP4" s="2" t="str">
        <f>IF(LEN('A créer'!D4)=0,"","Tab")</f>
        <v>Tab</v>
      </c>
      <c r="AQ4" s="2" t="str">
        <f>IF(LEN('A créer'!D4)=0,"","Tab")</f>
        <v>Tab</v>
      </c>
      <c r="AR4" s="4" t="str">
        <f>IF(OR('A créer'!D4="Oui",LEN('A créer'!D4)=0),"",IF(LEN('A créer'!F4)=0,"",'A créer'!B4))</f>
        <v>DCW</v>
      </c>
      <c r="AS4" s="2" t="str">
        <f>IF(LEN('A créer'!D4)=0,"","Tab")</f>
        <v>Tab</v>
      </c>
      <c r="AT4" s="2" t="str">
        <f>IF(LEN('A créer'!D4)=0,"","ENT")</f>
        <v>ENT</v>
      </c>
      <c r="AU4" s="2" t="str">
        <f>IF(LEN('A créer'!D4)=0,"","*SAVE")</f>
        <v>*SAVE</v>
      </c>
    </row>
    <row r="5" spans="1:47" x14ac:dyDescent="0.35">
      <c r="A5" s="2" t="str">
        <f>IF(OR('A créer'!D5="Oui",LEN('A créer'!D5)=0),"","*FN")</f>
        <v/>
      </c>
      <c r="B5" s="2" t="str">
        <f>IF(OR('A créer'!D5="Oui",LEN('A créer'!D5)=0),"","Tab")</f>
        <v/>
      </c>
      <c r="C5" s="6" t="str">
        <f>IF(OR('A créer'!D5="Oui",LEN('A créer'!D5)=0),"",'A créer'!I5)</f>
        <v/>
      </c>
      <c r="D5" s="2" t="str">
        <f>IF(OR('A créer'!D5="Oui",LEN('A créer'!D5)=0),"","Tab")</f>
        <v/>
      </c>
      <c r="E5" s="6" t="str">
        <f>IF(OR('A créer'!D5="Oui",LEN('A créer'!D5)=0),"",'A créer'!C5)</f>
        <v/>
      </c>
      <c r="F5" s="2" t="str">
        <f>IF(OR('A créer'!D5="Oui",LEN('A créer'!D5)=0),"","Tab")</f>
        <v/>
      </c>
      <c r="G5" s="2" t="str">
        <f>IF(OR('A créer'!D5="Oui",LEN('A créer'!D5)=0),"","Tab")</f>
        <v/>
      </c>
      <c r="H5" s="2" t="str">
        <f>IF(OR('A créer'!D5="Oui",LEN('A créer'!D5)=0),"","Tab")</f>
        <v/>
      </c>
      <c r="I5" s="6" t="str">
        <f>IF(OR('A créer'!D5="Oui",LEN('A créer'!D5)=0),"",'A créer'!J5)</f>
        <v/>
      </c>
      <c r="J5" s="2" t="str">
        <f>IF(OR('A créer'!D5="Oui",LEN('A créer'!D5)=0),"","Tab 4")</f>
        <v/>
      </c>
      <c r="K5" s="2" t="str">
        <f>IF(OR('A créer'!D5="Oui",LEN('A créer'!D5)=0),"","Tab")</f>
        <v/>
      </c>
      <c r="L5" s="6" t="str">
        <f>IF(OR('A créer'!D5="Oui",LEN('A créer'!D5)=0),"",'A créer'!K5)</f>
        <v/>
      </c>
      <c r="M5" s="6" t="str">
        <f>IF(OR('A créer'!D5="Oui",LEN('A créer'!D5)=0),"",'A créer'!L5)</f>
        <v/>
      </c>
      <c r="N5" s="2" t="str">
        <f>IF(OR('A créer'!D5="Oui",LEN('A créer'!D5)=0),"","Tab")</f>
        <v/>
      </c>
      <c r="O5" s="2" t="str">
        <f>IF(OR('A créer'!D5="Oui",LEN('A créer'!D5)=0),"","ENT")</f>
        <v/>
      </c>
      <c r="P5" s="2" t="str">
        <f>IF(OR('A créer'!D5="Oui",LEN('A créer'!D5)=0),"","*SAVE")</f>
        <v/>
      </c>
      <c r="Q5" s="2" t="str">
        <f>IF(LEN('A créer'!D5)=0,"","*FN")</f>
        <v/>
      </c>
      <c r="R5" s="2" t="str">
        <f>IF(LEN('A créer'!D5)=0,"","Tab")</f>
        <v/>
      </c>
      <c r="S5" s="6" t="str">
        <f>IF(LEN('A créer'!D5)=0,"",CONCATENATE('A créer'!B5,'A créer'!A5))</f>
        <v/>
      </c>
      <c r="T5" s="2" t="s">
        <v>4</v>
      </c>
      <c r="U5" s="6" t="str">
        <f>IF('A créer'!F5="Oui",'A créer'!C5,IF(LEN('A créer'!F5)=0,"",CONCATENATE('A créer'!C5," (",'A créer'!M5,")")))</f>
        <v/>
      </c>
      <c r="V5" s="2" t="str">
        <f>IF(LEN('A créer'!D5)=0,"","Tab")</f>
        <v/>
      </c>
      <c r="W5" s="2" t="str">
        <f>IF(LEN('A créer'!D5)=0,"","Tab")</f>
        <v/>
      </c>
      <c r="X5" s="2" t="str">
        <f>IF(LEN('A créer'!D5)=0,"","Tab")</f>
        <v/>
      </c>
      <c r="Y5" s="6" t="str">
        <f>IF('A créer'!F5="Oui",'A créer'!J5,IF(LEN('A créer'!F5)=0,"",'A créer'!N5))</f>
        <v/>
      </c>
      <c r="Z5" s="2" t="str">
        <f>IF(LEN('A créer'!D5)=0,"","Tab")</f>
        <v/>
      </c>
      <c r="AA5" s="4" t="str">
        <f>IF('A créer'!F5="Oui","",IF(LEN('A créer'!F5)=0,"",'A créer'!O5))</f>
        <v/>
      </c>
      <c r="AB5" s="2" t="str">
        <f>IF(LEN('A créer'!D5)=0,"","Tab")</f>
        <v/>
      </c>
      <c r="AC5" s="4" t="str">
        <f>IF('A créer'!F5="Oui","",IF(LEN('A créer'!F5)=0,"","contactfournisseur@csp.dalkia.fr"))</f>
        <v/>
      </c>
      <c r="AD5" s="2" t="str">
        <f>IF(LEN('A créer'!D5)=0,"","Tab")</f>
        <v/>
      </c>
      <c r="AE5" s="2" t="str">
        <f>IF(LEN('A créer'!D5)=0,"","Tab")</f>
        <v/>
      </c>
      <c r="AF5" s="6" t="str">
        <f>IF('A créer'!F5="Oui","",IF(LEN('A créer'!F5)=0,"","ATTENTION adresse UNIQUEMENT pour la comptabilité fournisseurs"))</f>
        <v/>
      </c>
      <c r="AG5" s="2" t="str">
        <f>IF(LEN('A créer'!D5)=0,"","Tab")</f>
        <v/>
      </c>
      <c r="AH5" s="4" t="str">
        <f>IF('A créer'!F5="Oui",'A créer'!K5,IF(LEN('A créer'!F5)=0,"",""))</f>
        <v/>
      </c>
      <c r="AI5" s="2" t="str">
        <f>IF(OR(LEN('A créer'!D5)=0,LEN(AH5)&gt;0),"","Tab")</f>
        <v/>
      </c>
      <c r="AJ5" s="6" t="str">
        <f>IF('A créer'!F5="Oui",'A créer'!L5,IF(LEN('A créer'!F5)=0,"","NOUVELLE ADRESSE FACTURATION"))</f>
        <v/>
      </c>
      <c r="AK5" s="2" t="str">
        <f>IF(LEN('A créer'!D5)=0,"","Tab")</f>
        <v/>
      </c>
      <c r="AL5" s="2" t="str">
        <f>IF(LEN('A créer'!D5)=0,"","ENT")</f>
        <v/>
      </c>
      <c r="AM5" s="2" t="str">
        <f>IF(LEN('A créer'!D5)=0,"","Tab 4")</f>
        <v/>
      </c>
      <c r="AN5" s="2" t="str">
        <f>IF(LEN('A créer'!D5)=0,"","Tab 4")</f>
        <v/>
      </c>
      <c r="AO5" s="2" t="str">
        <f>IF(LEN('A créer'!D5)=0,"","Tab")</f>
        <v/>
      </c>
      <c r="AP5" s="2" t="str">
        <f>IF(LEN('A créer'!D5)=0,"","Tab")</f>
        <v/>
      </c>
      <c r="AQ5" s="2" t="str">
        <f>IF(LEN('A créer'!D5)=0,"","Tab")</f>
        <v/>
      </c>
      <c r="AR5" s="4" t="str">
        <f>IF(OR('A créer'!D5="Oui",LEN('A créer'!D5)=0),"",IF(LEN('A créer'!F5)=0,"",'A créer'!B5))</f>
        <v/>
      </c>
      <c r="AS5" s="2" t="str">
        <f>IF(LEN('A créer'!D5)=0,"","Tab")</f>
        <v/>
      </c>
      <c r="AT5" s="2" t="str">
        <f>IF(LEN('A créer'!D5)=0,"","ENT")</f>
        <v/>
      </c>
      <c r="AU5" s="2" t="str">
        <f>IF(LEN('A créer'!D5)=0,"","*SAVE")</f>
        <v/>
      </c>
    </row>
    <row r="6" spans="1:47" x14ac:dyDescent="0.35">
      <c r="A6" s="2" t="str">
        <f>IF(OR('A créer'!D6="Oui",LEN('A créer'!D6)=0),"","*FN")</f>
        <v/>
      </c>
      <c r="B6" s="2" t="str">
        <f>IF(OR('A créer'!D6="Oui",LEN('A créer'!D6)=0),"","Tab")</f>
        <v/>
      </c>
      <c r="C6" s="6" t="str">
        <f>IF(OR('A créer'!D6="Oui",LEN('A créer'!D6)=0),"",'A créer'!I6)</f>
        <v/>
      </c>
      <c r="D6" s="2" t="str">
        <f>IF(OR('A créer'!D6="Oui",LEN('A créer'!D6)=0),"","Tab")</f>
        <v/>
      </c>
      <c r="E6" s="6" t="str">
        <f>IF(OR('A créer'!D6="Oui",LEN('A créer'!D6)=0),"",'A créer'!C6)</f>
        <v/>
      </c>
      <c r="F6" s="2" t="str">
        <f>IF(OR('A créer'!D6="Oui",LEN('A créer'!D6)=0),"","Tab")</f>
        <v/>
      </c>
      <c r="G6" s="2" t="str">
        <f>IF(OR('A créer'!D6="Oui",LEN('A créer'!D6)=0),"","Tab")</f>
        <v/>
      </c>
      <c r="H6" s="2" t="str">
        <f>IF(OR('A créer'!D6="Oui",LEN('A créer'!D6)=0),"","Tab")</f>
        <v/>
      </c>
      <c r="I6" s="6" t="str">
        <f>IF(OR('A créer'!D6="Oui",LEN('A créer'!D6)=0),"",'A créer'!J6)</f>
        <v/>
      </c>
      <c r="J6" s="2" t="str">
        <f>IF(OR('A créer'!D6="Oui",LEN('A créer'!D6)=0),"","Tab 4")</f>
        <v/>
      </c>
      <c r="K6" s="2" t="str">
        <f>IF(OR('A créer'!D6="Oui",LEN('A créer'!D6)=0),"","Tab")</f>
        <v/>
      </c>
      <c r="L6" s="6" t="str">
        <f>IF(OR('A créer'!D6="Oui",LEN('A créer'!D6)=0),"",'A créer'!K6)</f>
        <v/>
      </c>
      <c r="M6" s="6" t="str">
        <f>IF(OR('A créer'!D6="Oui",LEN('A créer'!D6)=0),"",'A créer'!L6)</f>
        <v/>
      </c>
      <c r="N6" s="2" t="str">
        <f>IF(OR('A créer'!D6="Oui",LEN('A créer'!D6)=0),"","Tab")</f>
        <v/>
      </c>
      <c r="O6" s="2" t="str">
        <f>IF(OR('A créer'!D6="Oui",LEN('A créer'!D6)=0),"","ENT")</f>
        <v/>
      </c>
      <c r="P6" s="2" t="str">
        <f>IF(OR('A créer'!D6="Oui",LEN('A créer'!D6)=0),"","*SAVE")</f>
        <v/>
      </c>
      <c r="Q6" s="2" t="str">
        <f>IF(LEN('A créer'!D6)=0,"","*FN")</f>
        <v/>
      </c>
      <c r="R6" s="2" t="str">
        <f>IF(LEN('A créer'!D6)=0,"","Tab")</f>
        <v/>
      </c>
      <c r="S6" s="6" t="str">
        <f>IF(LEN('A créer'!D6)=0,"",CONCATENATE('A créer'!B6,'A créer'!A6))</f>
        <v/>
      </c>
      <c r="T6" s="2" t="s">
        <v>4</v>
      </c>
      <c r="U6" s="6" t="str">
        <f>IF('A créer'!F6="Oui",'A créer'!C6,IF(LEN('A créer'!F6)=0,"",CONCATENATE('A créer'!C6," (",'A créer'!M6,")")))</f>
        <v/>
      </c>
      <c r="V6" s="2" t="str">
        <f>IF(LEN('A créer'!D6)=0,"","Tab")</f>
        <v/>
      </c>
      <c r="W6" s="2" t="str">
        <f>IF(LEN('A créer'!D6)=0,"","Tab")</f>
        <v/>
      </c>
      <c r="X6" s="2" t="str">
        <f>IF(LEN('A créer'!D6)=0,"","Tab")</f>
        <v/>
      </c>
      <c r="Y6" s="6" t="str">
        <f>IF('A créer'!F6="Oui",'A créer'!J6,IF(LEN('A créer'!F6)=0,"",'A créer'!N6))</f>
        <v/>
      </c>
      <c r="Z6" s="2" t="str">
        <f>IF(LEN('A créer'!D6)=0,"","Tab")</f>
        <v/>
      </c>
      <c r="AA6" s="4" t="str">
        <f>IF('A créer'!F6="Oui","",IF(LEN('A créer'!F6)=0,"",'A créer'!O6))</f>
        <v/>
      </c>
      <c r="AB6" s="2" t="str">
        <f>IF(LEN('A créer'!D6)=0,"","Tab")</f>
        <v/>
      </c>
      <c r="AC6" s="4" t="str">
        <f>IF('A créer'!F6="Oui","",IF(LEN('A créer'!F6)=0,"","contactfournisseur@csp.dalkia.fr"))</f>
        <v/>
      </c>
      <c r="AD6" s="2" t="str">
        <f>IF(LEN('A créer'!D6)=0,"","Tab")</f>
        <v/>
      </c>
      <c r="AE6" s="2" t="str">
        <f>IF(LEN('A créer'!D6)=0,"","Tab")</f>
        <v/>
      </c>
      <c r="AF6" s="6" t="str">
        <f>IF('A créer'!F6="Oui","",IF(LEN('A créer'!F6)=0,"","ATTENTION adresse UNIQUEMENT pour la comptabilité fournisseurs"))</f>
        <v/>
      </c>
      <c r="AG6" s="2" t="str">
        <f>IF(LEN('A créer'!D6)=0,"","Tab")</f>
        <v/>
      </c>
      <c r="AH6" s="4" t="str">
        <f>IF('A créer'!F6="Oui",'A créer'!K6,IF(LEN('A créer'!F6)=0,"",""))</f>
        <v/>
      </c>
      <c r="AI6" s="2" t="str">
        <f>IF(OR(LEN('A créer'!D6)=0,LEN(AH6)&gt;0),"","Tab")</f>
        <v/>
      </c>
      <c r="AJ6" s="6" t="str">
        <f>IF('A créer'!F6="Oui",'A créer'!L6,IF(LEN('A créer'!F6)=0,"","NOUVELLE ADRESSE FACTURATION"))</f>
        <v/>
      </c>
      <c r="AK6" s="2" t="str">
        <f>IF(LEN('A créer'!D6)=0,"","Tab")</f>
        <v/>
      </c>
      <c r="AL6" s="2" t="str">
        <f>IF(LEN('A créer'!D6)=0,"","ENT")</f>
        <v/>
      </c>
      <c r="AM6" s="2" t="str">
        <f>IF(LEN('A créer'!D6)=0,"","Tab 4")</f>
        <v/>
      </c>
      <c r="AN6" s="2" t="str">
        <f>IF(LEN('A créer'!D6)=0,"","Tab 4")</f>
        <v/>
      </c>
      <c r="AO6" s="2" t="str">
        <f>IF(LEN('A créer'!D6)=0,"","Tab")</f>
        <v/>
      </c>
      <c r="AP6" s="2" t="str">
        <f>IF(LEN('A créer'!D6)=0,"","Tab")</f>
        <v/>
      </c>
      <c r="AQ6" s="2" t="str">
        <f>IF(LEN('A créer'!D6)=0,"","Tab")</f>
        <v/>
      </c>
      <c r="AR6" s="4" t="str">
        <f>IF(OR('A créer'!D6="Oui",LEN('A créer'!D6)=0),"",IF(LEN('A créer'!F6)=0,"",'A créer'!B6))</f>
        <v/>
      </c>
      <c r="AS6" s="2" t="str">
        <f>IF(LEN('A créer'!D6)=0,"","Tab")</f>
        <v/>
      </c>
      <c r="AT6" s="2" t="str">
        <f>IF(LEN('A créer'!D6)=0,"","ENT")</f>
        <v/>
      </c>
      <c r="AU6" s="2" t="str">
        <f>IF(LEN('A créer'!D6)=0,"","*SAVE")</f>
        <v/>
      </c>
    </row>
    <row r="7" spans="1:47" x14ac:dyDescent="0.35">
      <c r="A7" s="2" t="str">
        <f>IF(OR('A créer'!D7="Oui",LEN('A créer'!D7)=0),"","*FN")</f>
        <v/>
      </c>
      <c r="B7" s="2" t="str">
        <f>IF(OR('A créer'!D7="Oui",LEN('A créer'!D7)=0),"","Tab")</f>
        <v/>
      </c>
      <c r="C7" s="6" t="str">
        <f>IF(OR('A créer'!D7="Oui",LEN('A créer'!D7)=0),"",'A créer'!I7)</f>
        <v/>
      </c>
      <c r="D7" s="2" t="str">
        <f>IF(OR('A créer'!D7="Oui",LEN('A créer'!D7)=0),"","Tab")</f>
        <v/>
      </c>
      <c r="E7" s="6" t="str">
        <f>IF(OR('A créer'!D7="Oui",LEN('A créer'!D7)=0),"",'A créer'!C7)</f>
        <v/>
      </c>
      <c r="F7" s="2" t="str">
        <f>IF(OR('A créer'!D7="Oui",LEN('A créer'!D7)=0),"","Tab")</f>
        <v/>
      </c>
      <c r="G7" s="2" t="str">
        <f>IF(OR('A créer'!D7="Oui",LEN('A créer'!D7)=0),"","Tab")</f>
        <v/>
      </c>
      <c r="H7" s="2" t="str">
        <f>IF(OR('A créer'!D7="Oui",LEN('A créer'!D7)=0),"","Tab")</f>
        <v/>
      </c>
      <c r="I7" s="6" t="str">
        <f>IF(OR('A créer'!D7="Oui",LEN('A créer'!D7)=0),"",'A créer'!J7)</f>
        <v/>
      </c>
      <c r="J7" s="2" t="str">
        <f>IF(OR('A créer'!D7="Oui",LEN('A créer'!D7)=0),"","Tab 4")</f>
        <v/>
      </c>
      <c r="K7" s="2" t="str">
        <f>IF(OR('A créer'!D7="Oui",LEN('A créer'!D7)=0),"","Tab")</f>
        <v/>
      </c>
      <c r="L7" s="6" t="str">
        <f>IF(OR('A créer'!D7="Oui",LEN('A créer'!D7)=0),"",'A créer'!K7)</f>
        <v/>
      </c>
      <c r="M7" s="6" t="str">
        <f>IF(OR('A créer'!D7="Oui",LEN('A créer'!D7)=0),"",'A créer'!L7)</f>
        <v/>
      </c>
      <c r="N7" s="2" t="str">
        <f>IF(OR('A créer'!D7="Oui",LEN('A créer'!D7)=0),"","Tab")</f>
        <v/>
      </c>
      <c r="O7" s="2" t="str">
        <f>IF(OR('A créer'!D7="Oui",LEN('A créer'!D7)=0),"","ENT")</f>
        <v/>
      </c>
      <c r="P7" s="2" t="str">
        <f>IF(OR('A créer'!D7="Oui",LEN('A créer'!D7)=0),"","*SAVE")</f>
        <v/>
      </c>
      <c r="Q7" s="2" t="str">
        <f>IF(LEN('A créer'!D7)=0,"","*FN")</f>
        <v/>
      </c>
      <c r="R7" s="2" t="str">
        <f>IF(LEN('A créer'!D7)=0,"","Tab")</f>
        <v/>
      </c>
      <c r="S7" s="6" t="str">
        <f>IF(LEN('A créer'!D7)=0,"",CONCATENATE('A créer'!B7,'A créer'!A7))</f>
        <v/>
      </c>
      <c r="T7" s="2" t="s">
        <v>4</v>
      </c>
      <c r="U7" s="6" t="str">
        <f>IF('A créer'!F7="Oui",'A créer'!C7,IF(LEN('A créer'!F7)=0,"",CONCATENATE('A créer'!C7," (",'A créer'!M7,")")))</f>
        <v/>
      </c>
      <c r="V7" s="2" t="str">
        <f>IF(LEN('A créer'!D7)=0,"","Tab")</f>
        <v/>
      </c>
      <c r="W7" s="2" t="str">
        <f>IF(LEN('A créer'!D7)=0,"","Tab")</f>
        <v/>
      </c>
      <c r="X7" s="2" t="str">
        <f>IF(LEN('A créer'!D7)=0,"","Tab")</f>
        <v/>
      </c>
      <c r="Y7" s="6" t="str">
        <f>IF('A créer'!F7="Oui",'A créer'!J7,IF(LEN('A créer'!F7)=0,"",'A créer'!N7))</f>
        <v/>
      </c>
      <c r="Z7" s="2" t="str">
        <f>IF(LEN('A créer'!D7)=0,"","Tab")</f>
        <v/>
      </c>
      <c r="AA7" s="4" t="str">
        <f>IF('A créer'!F7="Oui","",IF(LEN('A créer'!F7)=0,"",'A créer'!O7))</f>
        <v/>
      </c>
      <c r="AB7" s="2" t="str">
        <f>IF(LEN('A créer'!D7)=0,"","Tab")</f>
        <v/>
      </c>
      <c r="AC7" s="4" t="str">
        <f>IF('A créer'!F7="Oui","",IF(LEN('A créer'!F7)=0,"","contactfournisseur@csp.dalkia.fr"))</f>
        <v/>
      </c>
      <c r="AD7" s="2" t="str">
        <f>IF(LEN('A créer'!D7)=0,"","Tab")</f>
        <v/>
      </c>
      <c r="AE7" s="2" t="str">
        <f>IF(LEN('A créer'!D7)=0,"","Tab")</f>
        <v/>
      </c>
      <c r="AF7" s="6" t="str">
        <f>IF('A créer'!F7="Oui","",IF(LEN('A créer'!F7)=0,"","ATTENTION adresse UNIQUEMENT pour la comptabilité fournisseurs"))</f>
        <v/>
      </c>
      <c r="AG7" s="2" t="str">
        <f>IF(LEN('A créer'!D7)=0,"","Tab")</f>
        <v/>
      </c>
      <c r="AH7" s="4" t="str">
        <f>IF('A créer'!F7="Oui",'A créer'!K7,IF(LEN('A créer'!F7)=0,"",""))</f>
        <v/>
      </c>
      <c r="AI7" s="2" t="str">
        <f>IF(OR(LEN('A créer'!D7)=0,LEN(AH7)&gt;0),"","Tab")</f>
        <v/>
      </c>
      <c r="AJ7" s="6" t="str">
        <f>IF('A créer'!F7="Oui",'A créer'!L7,IF(LEN('A créer'!F7)=0,"","NOUVELLE ADRESSE FACTURATION"))</f>
        <v/>
      </c>
      <c r="AK7" s="2" t="str">
        <f>IF(LEN('A créer'!D7)=0,"","Tab")</f>
        <v/>
      </c>
      <c r="AL7" s="2" t="str">
        <f>IF(LEN('A créer'!D7)=0,"","ENT")</f>
        <v/>
      </c>
      <c r="AM7" s="2" t="str">
        <f>IF(LEN('A créer'!D7)=0,"","Tab 4")</f>
        <v/>
      </c>
      <c r="AN7" s="2" t="str">
        <f>IF(LEN('A créer'!D7)=0,"","Tab 4")</f>
        <v/>
      </c>
      <c r="AO7" s="2" t="str">
        <f>IF(LEN('A créer'!D7)=0,"","Tab")</f>
        <v/>
      </c>
      <c r="AP7" s="2" t="str">
        <f>IF(LEN('A créer'!D7)=0,"","Tab")</f>
        <v/>
      </c>
      <c r="AQ7" s="2" t="str">
        <f>IF(LEN('A créer'!D7)=0,"","Tab")</f>
        <v/>
      </c>
      <c r="AR7" s="4" t="str">
        <f>IF(OR('A créer'!D7="Oui",LEN('A créer'!D7)=0),"",IF(LEN('A créer'!F7)=0,"",'A créer'!B7))</f>
        <v/>
      </c>
      <c r="AS7" s="2" t="str">
        <f>IF(LEN('A créer'!D7)=0,"","Tab")</f>
        <v/>
      </c>
      <c r="AT7" s="2" t="str">
        <f>IF(LEN('A créer'!D7)=0,"","ENT")</f>
        <v/>
      </c>
      <c r="AU7" s="2" t="str">
        <f>IF(LEN('A créer'!D7)=0,"","*SAVE")</f>
        <v/>
      </c>
    </row>
    <row r="8" spans="1:47" x14ac:dyDescent="0.35">
      <c r="A8" s="2" t="str">
        <f>IF(OR('A créer'!D8="Oui",LEN('A créer'!D8)=0),"","*FN")</f>
        <v/>
      </c>
      <c r="B8" s="2" t="str">
        <f>IF(OR('A créer'!D8="Oui",LEN('A créer'!D8)=0),"","Tab")</f>
        <v/>
      </c>
      <c r="C8" s="6" t="str">
        <f>IF(OR('A créer'!D8="Oui",LEN('A créer'!D8)=0),"",'A créer'!I8)</f>
        <v/>
      </c>
      <c r="D8" s="2" t="str">
        <f>IF(OR('A créer'!D8="Oui",LEN('A créer'!D8)=0),"","Tab")</f>
        <v/>
      </c>
      <c r="E8" s="6" t="str">
        <f>IF(OR('A créer'!D8="Oui",LEN('A créer'!D8)=0),"",'A créer'!C8)</f>
        <v/>
      </c>
      <c r="F8" s="2" t="str">
        <f>IF(OR('A créer'!D8="Oui",LEN('A créer'!D8)=0),"","Tab")</f>
        <v/>
      </c>
      <c r="G8" s="2" t="str">
        <f>IF(OR('A créer'!D8="Oui",LEN('A créer'!D8)=0),"","Tab")</f>
        <v/>
      </c>
      <c r="H8" s="2" t="str">
        <f>IF(OR('A créer'!D8="Oui",LEN('A créer'!D8)=0),"","Tab")</f>
        <v/>
      </c>
      <c r="I8" s="6" t="str">
        <f>IF(OR('A créer'!D8="Oui",LEN('A créer'!D8)=0),"",'A créer'!J8)</f>
        <v/>
      </c>
      <c r="J8" s="2" t="str">
        <f>IF(OR('A créer'!D8="Oui",LEN('A créer'!D8)=0),"","Tab 4")</f>
        <v/>
      </c>
      <c r="K8" s="2" t="str">
        <f>IF(OR('A créer'!D8="Oui",LEN('A créer'!D8)=0),"","Tab")</f>
        <v/>
      </c>
      <c r="L8" s="6" t="str">
        <f>IF(OR('A créer'!D8="Oui",LEN('A créer'!D8)=0),"",'A créer'!K8)</f>
        <v/>
      </c>
      <c r="M8" s="6" t="str">
        <f>IF(OR('A créer'!D8="Oui",LEN('A créer'!D8)=0),"",'A créer'!L8)</f>
        <v/>
      </c>
      <c r="N8" s="2" t="str">
        <f>IF(OR('A créer'!D8="Oui",LEN('A créer'!D8)=0),"","Tab")</f>
        <v/>
      </c>
      <c r="O8" s="2" t="str">
        <f>IF(OR('A créer'!D8="Oui",LEN('A créer'!D8)=0),"","ENT")</f>
        <v/>
      </c>
      <c r="P8" s="2" t="str">
        <f>IF(OR('A créer'!D8="Oui",LEN('A créer'!D8)=0),"","*SAVE")</f>
        <v/>
      </c>
      <c r="Q8" s="2" t="str">
        <f>IF(LEN('A créer'!D8)=0,"","*FN")</f>
        <v/>
      </c>
      <c r="R8" s="2" t="str">
        <f>IF(LEN('A créer'!D8)=0,"","Tab")</f>
        <v/>
      </c>
      <c r="S8" s="6" t="str">
        <f>IF(LEN('A créer'!D8)=0,"",CONCATENATE('A créer'!B8,'A créer'!A8))</f>
        <v/>
      </c>
      <c r="T8" s="2" t="s">
        <v>4</v>
      </c>
      <c r="U8" s="6" t="str">
        <f>IF('A créer'!F8="Oui",'A créer'!C8,IF(LEN('A créer'!F8)=0,"",CONCATENATE('A créer'!C8," (",'A créer'!M8,")")))</f>
        <v/>
      </c>
      <c r="V8" s="2" t="str">
        <f>IF(LEN('A créer'!D8)=0,"","Tab")</f>
        <v/>
      </c>
      <c r="W8" s="2" t="str">
        <f>IF(LEN('A créer'!D8)=0,"","Tab")</f>
        <v/>
      </c>
      <c r="X8" s="2" t="str">
        <f>IF(LEN('A créer'!D8)=0,"","Tab")</f>
        <v/>
      </c>
      <c r="Y8" s="6" t="str">
        <f>IF('A créer'!F8="Oui",'A créer'!J8,IF(LEN('A créer'!F8)=0,"",'A créer'!N8))</f>
        <v/>
      </c>
      <c r="Z8" s="2" t="str">
        <f>IF(LEN('A créer'!D8)=0,"","Tab")</f>
        <v/>
      </c>
      <c r="AA8" s="4" t="str">
        <f>IF('A créer'!F8="Oui","",IF(LEN('A créer'!F8)=0,"",'A créer'!O8))</f>
        <v/>
      </c>
      <c r="AB8" s="2" t="str">
        <f>IF(LEN('A créer'!D8)=0,"","Tab")</f>
        <v/>
      </c>
      <c r="AC8" s="4" t="str">
        <f>IF('A créer'!F8="Oui","",IF(LEN('A créer'!F8)=0,"","contactfournisseur@csp.dalkia.fr"))</f>
        <v/>
      </c>
      <c r="AD8" s="2" t="str">
        <f>IF(LEN('A créer'!D8)=0,"","Tab")</f>
        <v/>
      </c>
      <c r="AE8" s="2" t="str">
        <f>IF(LEN('A créer'!D8)=0,"","Tab")</f>
        <v/>
      </c>
      <c r="AF8" s="6" t="str">
        <f>IF('A créer'!F8="Oui","",IF(LEN('A créer'!F8)=0,"","ATTENTION adresse UNIQUEMENT pour la comptabilité fournisseurs"))</f>
        <v/>
      </c>
      <c r="AG8" s="2" t="str">
        <f>IF(LEN('A créer'!D8)=0,"","Tab")</f>
        <v/>
      </c>
      <c r="AH8" s="4" t="str">
        <f>IF('A créer'!F8="Oui",'A créer'!K8,IF(LEN('A créer'!F8)=0,"",""))</f>
        <v/>
      </c>
      <c r="AI8" s="2" t="str">
        <f>IF(OR(LEN('A créer'!D8)=0,LEN(AH8)&gt;0),"","Tab")</f>
        <v/>
      </c>
      <c r="AJ8" s="6" t="str">
        <f>IF('A créer'!F8="Oui",'A créer'!L8,IF(LEN('A créer'!F8)=0,"","NOUVELLE ADRESSE FACTURATION"))</f>
        <v/>
      </c>
      <c r="AK8" s="2" t="str">
        <f>IF(LEN('A créer'!D8)=0,"","Tab")</f>
        <v/>
      </c>
      <c r="AL8" s="2" t="str">
        <f>IF(LEN('A créer'!D8)=0,"","ENT")</f>
        <v/>
      </c>
      <c r="AM8" s="2" t="str">
        <f>IF(LEN('A créer'!D8)=0,"","Tab 4")</f>
        <v/>
      </c>
      <c r="AN8" s="2" t="str">
        <f>IF(LEN('A créer'!D8)=0,"","Tab 4")</f>
        <v/>
      </c>
      <c r="AO8" s="2" t="str">
        <f>IF(LEN('A créer'!D8)=0,"","Tab")</f>
        <v/>
      </c>
      <c r="AP8" s="2" t="str">
        <f>IF(LEN('A créer'!D8)=0,"","Tab")</f>
        <v/>
      </c>
      <c r="AQ8" s="2" t="str">
        <f>IF(LEN('A créer'!D8)=0,"","Tab")</f>
        <v/>
      </c>
      <c r="AR8" s="4" t="str">
        <f>IF(OR('A créer'!D8="Oui",LEN('A créer'!D8)=0),"",IF(LEN('A créer'!F8)=0,"",'A créer'!B8))</f>
        <v/>
      </c>
      <c r="AS8" s="2" t="str">
        <f>IF(LEN('A créer'!D8)=0,"","Tab")</f>
        <v/>
      </c>
      <c r="AT8" s="2" t="str">
        <f>IF(LEN('A créer'!D8)=0,"","ENT")</f>
        <v/>
      </c>
      <c r="AU8" s="2" t="str">
        <f>IF(LEN('A créer'!D8)=0,"","*SAVE")</f>
        <v/>
      </c>
    </row>
    <row r="9" spans="1:47" x14ac:dyDescent="0.35">
      <c r="A9" s="2" t="str">
        <f>IF(OR('A créer'!D9="Oui",LEN('A créer'!D9)=0),"","*FN")</f>
        <v/>
      </c>
      <c r="B9" s="2" t="str">
        <f>IF(OR('A créer'!D9="Oui",LEN('A créer'!D9)=0),"","Tab")</f>
        <v/>
      </c>
      <c r="C9" s="6" t="str">
        <f>IF(OR('A créer'!D9="Oui",LEN('A créer'!D9)=0),"",'A créer'!I9)</f>
        <v/>
      </c>
      <c r="D9" s="2" t="str">
        <f>IF(OR('A créer'!D9="Oui",LEN('A créer'!D9)=0),"","Tab")</f>
        <v/>
      </c>
      <c r="E9" s="6" t="str">
        <f>IF(OR('A créer'!D9="Oui",LEN('A créer'!D9)=0),"",'A créer'!C9)</f>
        <v/>
      </c>
      <c r="F9" s="2" t="str">
        <f>IF(OR('A créer'!D9="Oui",LEN('A créer'!D9)=0),"","Tab")</f>
        <v/>
      </c>
      <c r="G9" s="2" t="str">
        <f>IF(OR('A créer'!D9="Oui",LEN('A créer'!D9)=0),"","Tab")</f>
        <v/>
      </c>
      <c r="H9" s="2" t="str">
        <f>IF(OR('A créer'!D9="Oui",LEN('A créer'!D9)=0),"","Tab")</f>
        <v/>
      </c>
      <c r="I9" s="6" t="str">
        <f>IF(OR('A créer'!D9="Oui",LEN('A créer'!D9)=0),"",'A créer'!J9)</f>
        <v/>
      </c>
      <c r="J9" s="2" t="str">
        <f>IF(OR('A créer'!D9="Oui",LEN('A créer'!D9)=0),"","Tab 4")</f>
        <v/>
      </c>
      <c r="K9" s="2" t="str">
        <f>IF(OR('A créer'!D9="Oui",LEN('A créer'!D9)=0),"","Tab")</f>
        <v/>
      </c>
      <c r="L9" s="6" t="str">
        <f>IF(OR('A créer'!D9="Oui",LEN('A créer'!D9)=0),"",'A créer'!K9)</f>
        <v/>
      </c>
      <c r="M9" s="6" t="str">
        <f>IF(OR('A créer'!D9="Oui",LEN('A créer'!D9)=0),"",'A créer'!L9)</f>
        <v/>
      </c>
      <c r="N9" s="2" t="str">
        <f>IF(OR('A créer'!D9="Oui",LEN('A créer'!D9)=0),"","Tab")</f>
        <v/>
      </c>
      <c r="O9" s="2" t="str">
        <f>IF(OR('A créer'!D9="Oui",LEN('A créer'!D9)=0),"","ENT")</f>
        <v/>
      </c>
      <c r="P9" s="2" t="str">
        <f>IF(OR('A créer'!D9="Oui",LEN('A créer'!D9)=0),"","*SAVE")</f>
        <v/>
      </c>
      <c r="Q9" s="2" t="str">
        <f>IF(LEN('A créer'!D9)=0,"","*FN")</f>
        <v/>
      </c>
      <c r="R9" s="2" t="str">
        <f>IF(LEN('A créer'!D9)=0,"","Tab")</f>
        <v/>
      </c>
      <c r="S9" s="6" t="str">
        <f>IF(LEN('A créer'!D9)=0,"",CONCATENATE('A créer'!B9,'A créer'!A9))</f>
        <v/>
      </c>
      <c r="T9" s="2" t="s">
        <v>4</v>
      </c>
      <c r="U9" s="6" t="str">
        <f>IF('A créer'!F9="Oui",'A créer'!C9,IF(LEN('A créer'!F9)=0,"",CONCATENATE('A créer'!C9," (",'A créer'!M9,")")))</f>
        <v/>
      </c>
      <c r="V9" s="2" t="str">
        <f>IF(LEN('A créer'!D9)=0,"","Tab")</f>
        <v/>
      </c>
      <c r="W9" s="2" t="str">
        <f>IF(LEN('A créer'!D9)=0,"","Tab")</f>
        <v/>
      </c>
      <c r="X9" s="2" t="str">
        <f>IF(LEN('A créer'!D9)=0,"","Tab")</f>
        <v/>
      </c>
      <c r="Y9" s="6" t="str">
        <f>IF('A créer'!F9="Oui",'A créer'!J9,IF(LEN('A créer'!F9)=0,"",'A créer'!N9))</f>
        <v/>
      </c>
      <c r="Z9" s="2" t="str">
        <f>IF(LEN('A créer'!D9)=0,"","Tab")</f>
        <v/>
      </c>
      <c r="AA9" s="4" t="str">
        <f>IF('A créer'!F9="Oui","",IF(LEN('A créer'!F9)=0,"",'A créer'!O9))</f>
        <v/>
      </c>
      <c r="AB9" s="2" t="str">
        <f>IF(LEN('A créer'!D9)=0,"","Tab")</f>
        <v/>
      </c>
      <c r="AC9" s="4" t="str">
        <f>IF('A créer'!F9="Oui","",IF(LEN('A créer'!F9)=0,"","contactfournisseur@csp.dalkia.fr"))</f>
        <v/>
      </c>
      <c r="AD9" s="2" t="str">
        <f>IF(LEN('A créer'!D9)=0,"","Tab")</f>
        <v/>
      </c>
      <c r="AE9" s="2" t="str">
        <f>IF(LEN('A créer'!D9)=0,"","Tab")</f>
        <v/>
      </c>
      <c r="AF9" s="6" t="str">
        <f>IF('A créer'!F9="Oui","",IF(LEN('A créer'!F9)=0,"","ATTENTION adresse UNIQUEMENT pour la comptabilité fournisseurs"))</f>
        <v/>
      </c>
      <c r="AG9" s="2" t="str">
        <f>IF(LEN('A créer'!D9)=0,"","Tab")</f>
        <v/>
      </c>
      <c r="AH9" s="4" t="str">
        <f>IF('A créer'!F9="Oui",'A créer'!K9,IF(LEN('A créer'!F9)=0,"",""))</f>
        <v/>
      </c>
      <c r="AI9" s="2" t="str">
        <f>IF(OR(LEN('A créer'!D9)=0,LEN(AH9)&gt;0),"","Tab")</f>
        <v/>
      </c>
      <c r="AJ9" s="6" t="str">
        <f>IF('A créer'!F9="Oui",'A créer'!L9,IF(LEN('A créer'!F9)=0,"","NOUVELLE ADRESSE FACTURATION"))</f>
        <v/>
      </c>
      <c r="AK9" s="2" t="str">
        <f>IF(LEN('A créer'!D9)=0,"","Tab")</f>
        <v/>
      </c>
      <c r="AL9" s="2" t="str">
        <f>IF(LEN('A créer'!D9)=0,"","ENT")</f>
        <v/>
      </c>
      <c r="AM9" s="2" t="str">
        <f>IF(LEN('A créer'!D9)=0,"","Tab 4")</f>
        <v/>
      </c>
      <c r="AN9" s="2" t="str">
        <f>IF(LEN('A créer'!D9)=0,"","Tab 4")</f>
        <v/>
      </c>
      <c r="AO9" s="2" t="str">
        <f>IF(LEN('A créer'!D9)=0,"","Tab")</f>
        <v/>
      </c>
      <c r="AP9" s="2" t="str">
        <f>IF(LEN('A créer'!D9)=0,"","Tab")</f>
        <v/>
      </c>
      <c r="AQ9" s="2" t="str">
        <f>IF(LEN('A créer'!D9)=0,"","Tab")</f>
        <v/>
      </c>
      <c r="AR9" s="4" t="str">
        <f>IF(OR('A créer'!D9="Oui",LEN('A créer'!D9)=0),"",IF(LEN('A créer'!F9)=0,"",'A créer'!B9))</f>
        <v/>
      </c>
      <c r="AS9" s="2" t="str">
        <f>IF(LEN('A créer'!D9)=0,"","Tab")</f>
        <v/>
      </c>
      <c r="AT9" s="2" t="str">
        <f>IF(LEN('A créer'!D9)=0,"","ENT")</f>
        <v/>
      </c>
      <c r="AU9" s="2" t="str">
        <f>IF(LEN('A créer'!D9)=0,"","*SAVE")</f>
        <v/>
      </c>
    </row>
    <row r="10" spans="1:47" x14ac:dyDescent="0.35">
      <c r="A10" s="2" t="str">
        <f>IF(OR('A créer'!D10="Oui",LEN('A créer'!D10)=0),"","*FN")</f>
        <v/>
      </c>
      <c r="B10" s="2" t="str">
        <f>IF(OR('A créer'!D10="Oui",LEN('A créer'!D10)=0),"","Tab")</f>
        <v/>
      </c>
      <c r="C10" s="6" t="str">
        <f>IF(OR('A créer'!D10="Oui",LEN('A créer'!D10)=0),"",'A créer'!I10)</f>
        <v/>
      </c>
      <c r="D10" s="2" t="str">
        <f>IF(OR('A créer'!D10="Oui",LEN('A créer'!D10)=0),"","Tab")</f>
        <v/>
      </c>
      <c r="E10" s="6" t="str">
        <f>IF(OR('A créer'!D10="Oui",LEN('A créer'!D10)=0),"",'A créer'!C10)</f>
        <v/>
      </c>
      <c r="F10" s="2" t="str">
        <f>IF(OR('A créer'!D10="Oui",LEN('A créer'!D10)=0),"","Tab")</f>
        <v/>
      </c>
      <c r="G10" s="2" t="str">
        <f>IF(OR('A créer'!D10="Oui",LEN('A créer'!D10)=0),"","Tab")</f>
        <v/>
      </c>
      <c r="H10" s="2" t="str">
        <f>IF(OR('A créer'!D10="Oui",LEN('A créer'!D10)=0),"","Tab")</f>
        <v/>
      </c>
      <c r="I10" s="6" t="str">
        <f>IF(OR('A créer'!D10="Oui",LEN('A créer'!D10)=0),"",'A créer'!J10)</f>
        <v/>
      </c>
      <c r="J10" s="2" t="str">
        <f>IF(OR('A créer'!D10="Oui",LEN('A créer'!D10)=0),"","Tab 4")</f>
        <v/>
      </c>
      <c r="K10" s="2" t="str">
        <f>IF(OR('A créer'!D10="Oui",LEN('A créer'!D10)=0),"","Tab")</f>
        <v/>
      </c>
      <c r="L10" s="6" t="str">
        <f>IF(OR('A créer'!D10="Oui",LEN('A créer'!D10)=0),"",'A créer'!K10)</f>
        <v/>
      </c>
      <c r="M10" s="6" t="str">
        <f>IF(OR('A créer'!D10="Oui",LEN('A créer'!D10)=0),"",'A créer'!L10)</f>
        <v/>
      </c>
      <c r="N10" s="2" t="str">
        <f>IF(OR('A créer'!D10="Oui",LEN('A créer'!D10)=0),"","Tab")</f>
        <v/>
      </c>
      <c r="O10" s="2" t="str">
        <f>IF(OR('A créer'!D10="Oui",LEN('A créer'!D10)=0),"","ENT")</f>
        <v/>
      </c>
      <c r="P10" s="2" t="str">
        <f>IF(OR('A créer'!D10="Oui",LEN('A créer'!D10)=0),"","*SAVE")</f>
        <v/>
      </c>
      <c r="Q10" s="2" t="str">
        <f>IF(LEN('A créer'!D10)=0,"","*FN")</f>
        <v/>
      </c>
      <c r="R10" s="2" t="str">
        <f>IF(LEN('A créer'!D10)=0,"","Tab")</f>
        <v/>
      </c>
      <c r="S10" s="6" t="str">
        <f>IF(LEN('A créer'!D10)=0,"",CONCATENATE('A créer'!B10,'A créer'!A10))</f>
        <v/>
      </c>
      <c r="T10" s="2" t="s">
        <v>4</v>
      </c>
      <c r="U10" s="6" t="str">
        <f>IF('A créer'!F10="Oui",'A créer'!C10,IF(LEN('A créer'!F10)=0,"",CONCATENATE('A créer'!C10," (",'A créer'!M10,")")))</f>
        <v/>
      </c>
      <c r="V10" s="2" t="str">
        <f>IF(LEN('A créer'!D10)=0,"","Tab")</f>
        <v/>
      </c>
      <c r="W10" s="2" t="str">
        <f>IF(LEN('A créer'!D10)=0,"","Tab")</f>
        <v/>
      </c>
      <c r="X10" s="2" t="str">
        <f>IF(LEN('A créer'!D10)=0,"","Tab")</f>
        <v/>
      </c>
      <c r="Y10" s="6" t="str">
        <f>IF('A créer'!F10="Oui",'A créer'!J10,IF(LEN('A créer'!F10)=0,"",'A créer'!N10))</f>
        <v/>
      </c>
      <c r="Z10" s="2" t="str">
        <f>IF(LEN('A créer'!D10)=0,"","Tab")</f>
        <v/>
      </c>
      <c r="AA10" s="4" t="str">
        <f>IF('A créer'!F10="Oui","",IF(LEN('A créer'!F10)=0,"",'A créer'!O10))</f>
        <v/>
      </c>
      <c r="AB10" s="2" t="str">
        <f>IF(LEN('A créer'!D10)=0,"","Tab")</f>
        <v/>
      </c>
      <c r="AC10" s="4" t="str">
        <f>IF('A créer'!F10="Oui","",IF(LEN('A créer'!F10)=0,"","contactfournisseur@csp.dalkia.fr"))</f>
        <v/>
      </c>
      <c r="AD10" s="2" t="str">
        <f>IF(LEN('A créer'!D10)=0,"","Tab")</f>
        <v/>
      </c>
      <c r="AE10" s="2" t="str">
        <f>IF(LEN('A créer'!D10)=0,"","Tab")</f>
        <v/>
      </c>
      <c r="AF10" s="6" t="str">
        <f>IF('A créer'!F10="Oui","",IF(LEN('A créer'!F10)=0,"","ATTENTION adresse UNIQUEMENT pour la comptabilité fournisseurs"))</f>
        <v/>
      </c>
      <c r="AG10" s="2" t="str">
        <f>IF(LEN('A créer'!D10)=0,"","Tab")</f>
        <v/>
      </c>
      <c r="AH10" s="4" t="str">
        <f>IF('A créer'!F10="Oui",'A créer'!K10,IF(LEN('A créer'!F10)=0,"",""))</f>
        <v/>
      </c>
      <c r="AI10" s="2" t="str">
        <f>IF(OR(LEN('A créer'!D10)=0,LEN(AH10)&gt;0),"","Tab")</f>
        <v/>
      </c>
      <c r="AJ10" s="6" t="str">
        <f>IF('A créer'!F10="Oui",'A créer'!L10,IF(LEN('A créer'!F10)=0,"","NOUVELLE ADRESSE FACTURATION"))</f>
        <v/>
      </c>
      <c r="AK10" s="2" t="str">
        <f>IF(LEN('A créer'!D10)=0,"","Tab")</f>
        <v/>
      </c>
      <c r="AL10" s="2" t="str">
        <f>IF(LEN('A créer'!D10)=0,"","ENT")</f>
        <v/>
      </c>
      <c r="AM10" s="2" t="str">
        <f>IF(LEN('A créer'!D10)=0,"","Tab 4")</f>
        <v/>
      </c>
      <c r="AN10" s="2" t="str">
        <f>IF(LEN('A créer'!D10)=0,"","Tab 4")</f>
        <v/>
      </c>
      <c r="AO10" s="2" t="str">
        <f>IF(LEN('A créer'!D10)=0,"","Tab")</f>
        <v/>
      </c>
      <c r="AP10" s="2" t="str">
        <f>IF(LEN('A créer'!D10)=0,"","Tab")</f>
        <v/>
      </c>
      <c r="AQ10" s="2" t="str">
        <f>IF(LEN('A créer'!D10)=0,"","Tab")</f>
        <v/>
      </c>
      <c r="AR10" s="4" t="str">
        <f>IF(OR('A créer'!D10="Oui",LEN('A créer'!D10)=0),"",IF(LEN('A créer'!F10)=0,"",'A créer'!B10))</f>
        <v/>
      </c>
      <c r="AS10" s="2" t="str">
        <f>IF(LEN('A créer'!D10)=0,"","Tab")</f>
        <v/>
      </c>
      <c r="AT10" s="2" t="str">
        <f>IF(LEN('A créer'!D10)=0,"","ENT")</f>
        <v/>
      </c>
      <c r="AU10" s="2" t="str">
        <f>IF(LEN('A créer'!D10)=0,"","*SAVE")</f>
        <v/>
      </c>
    </row>
    <row r="11" spans="1:47" x14ac:dyDescent="0.35">
      <c r="A11" s="2" t="str">
        <f>IF(OR('A créer'!D11="Oui",LEN('A créer'!D11)=0),"","*FN")</f>
        <v/>
      </c>
      <c r="B11" s="2" t="str">
        <f>IF(OR('A créer'!D11="Oui",LEN('A créer'!D11)=0),"","Tab")</f>
        <v/>
      </c>
      <c r="C11" s="6" t="str">
        <f>IF(OR('A créer'!D11="Oui",LEN('A créer'!D11)=0),"",'A créer'!I11)</f>
        <v/>
      </c>
      <c r="D11" s="2" t="str">
        <f>IF(OR('A créer'!D11="Oui",LEN('A créer'!D11)=0),"","Tab")</f>
        <v/>
      </c>
      <c r="E11" s="6" t="str">
        <f>IF(OR('A créer'!D11="Oui",LEN('A créer'!D11)=0),"",'A créer'!C11)</f>
        <v/>
      </c>
      <c r="F11" s="2" t="str">
        <f>IF(OR('A créer'!D11="Oui",LEN('A créer'!D11)=0),"","Tab")</f>
        <v/>
      </c>
      <c r="G11" s="2" t="str">
        <f>IF(OR('A créer'!D11="Oui",LEN('A créer'!D11)=0),"","Tab")</f>
        <v/>
      </c>
      <c r="H11" s="2" t="str">
        <f>IF(OR('A créer'!D11="Oui",LEN('A créer'!D11)=0),"","Tab")</f>
        <v/>
      </c>
      <c r="I11" s="6" t="str">
        <f>IF(OR('A créer'!D11="Oui",LEN('A créer'!D11)=0),"",'A créer'!J11)</f>
        <v/>
      </c>
      <c r="J11" s="2" t="str">
        <f>IF(OR('A créer'!D11="Oui",LEN('A créer'!D11)=0),"","Tab 4")</f>
        <v/>
      </c>
      <c r="K11" s="2" t="str">
        <f>IF(OR('A créer'!D11="Oui",LEN('A créer'!D11)=0),"","Tab")</f>
        <v/>
      </c>
      <c r="L11" s="6" t="str">
        <f>IF(OR('A créer'!D11="Oui",LEN('A créer'!D11)=0),"",'A créer'!K11)</f>
        <v/>
      </c>
      <c r="M11" s="6" t="str">
        <f>IF(OR('A créer'!D11="Oui",LEN('A créer'!D11)=0),"",'A créer'!L11)</f>
        <v/>
      </c>
      <c r="N11" s="2" t="str">
        <f>IF(OR('A créer'!D11="Oui",LEN('A créer'!D11)=0),"","Tab")</f>
        <v/>
      </c>
      <c r="O11" s="2" t="str">
        <f>IF(OR('A créer'!D11="Oui",LEN('A créer'!D11)=0),"","ENT")</f>
        <v/>
      </c>
      <c r="P11" s="2" t="str">
        <f>IF(OR('A créer'!D11="Oui",LEN('A créer'!D11)=0),"","*SAVE")</f>
        <v/>
      </c>
      <c r="Q11" s="2" t="str">
        <f>IF(LEN('A créer'!D11)=0,"","*FN")</f>
        <v/>
      </c>
      <c r="R11" s="2" t="str">
        <f>IF(LEN('A créer'!D11)=0,"","Tab")</f>
        <v/>
      </c>
      <c r="S11" s="6" t="str">
        <f>IF(LEN('A créer'!D11)=0,"",CONCATENATE('A créer'!B11,'A créer'!A11))</f>
        <v/>
      </c>
      <c r="T11" s="2" t="s">
        <v>4</v>
      </c>
      <c r="U11" s="6" t="str">
        <f>IF('A créer'!F11="Oui",'A créer'!C11,IF(LEN('A créer'!F11)=0,"",CONCATENATE('A créer'!C11," (",'A créer'!M11,")")))</f>
        <v/>
      </c>
      <c r="V11" s="2" t="str">
        <f>IF(LEN('A créer'!D11)=0,"","Tab")</f>
        <v/>
      </c>
      <c r="W11" s="2" t="str">
        <f>IF(LEN('A créer'!D11)=0,"","Tab")</f>
        <v/>
      </c>
      <c r="X11" s="2" t="str">
        <f>IF(LEN('A créer'!D11)=0,"","Tab")</f>
        <v/>
      </c>
      <c r="Y11" s="6" t="str">
        <f>IF('A créer'!F11="Oui",'A créer'!J11,IF(LEN('A créer'!F11)=0,"",'A créer'!N11))</f>
        <v/>
      </c>
      <c r="Z11" s="2" t="str">
        <f>IF(LEN('A créer'!D11)=0,"","Tab")</f>
        <v/>
      </c>
      <c r="AA11" s="4" t="str">
        <f>IF('A créer'!F11="Oui","",IF(LEN('A créer'!F11)=0,"",'A créer'!O11))</f>
        <v/>
      </c>
      <c r="AB11" s="2" t="str">
        <f>IF(LEN('A créer'!D11)=0,"","Tab")</f>
        <v/>
      </c>
      <c r="AC11" s="4" t="str">
        <f>IF('A créer'!F11="Oui","",IF(LEN('A créer'!F11)=0,"","contactfournisseur@csp.dalkia.fr"))</f>
        <v/>
      </c>
      <c r="AD11" s="2" t="str">
        <f>IF(LEN('A créer'!D11)=0,"","Tab")</f>
        <v/>
      </c>
      <c r="AE11" s="2" t="str">
        <f>IF(LEN('A créer'!D11)=0,"","Tab")</f>
        <v/>
      </c>
      <c r="AF11" s="6" t="str">
        <f>IF('A créer'!F11="Oui","",IF(LEN('A créer'!F11)=0,"","ATTENTION adresse UNIQUEMENT pour la comptabilité fournisseurs"))</f>
        <v/>
      </c>
      <c r="AG11" s="2" t="str">
        <f>IF(LEN('A créer'!D11)=0,"","Tab")</f>
        <v/>
      </c>
      <c r="AH11" s="4" t="str">
        <f>IF('A créer'!F11="Oui",'A créer'!K11,IF(LEN('A créer'!F11)=0,"",""))</f>
        <v/>
      </c>
      <c r="AI11" s="2" t="str">
        <f>IF(OR(LEN('A créer'!D11)=0,LEN(AH11)&gt;0),"","Tab")</f>
        <v/>
      </c>
      <c r="AJ11" s="6" t="str">
        <f>IF('A créer'!F11="Oui",'A créer'!L11,IF(LEN('A créer'!F11)=0,"","NOUVELLE ADRESSE FACTURATION"))</f>
        <v/>
      </c>
      <c r="AK11" s="2" t="str">
        <f>IF(LEN('A créer'!D11)=0,"","Tab")</f>
        <v/>
      </c>
      <c r="AL11" s="2" t="str">
        <f>IF(LEN('A créer'!D11)=0,"","ENT")</f>
        <v/>
      </c>
      <c r="AM11" s="2" t="str">
        <f>IF(LEN('A créer'!D11)=0,"","Tab 4")</f>
        <v/>
      </c>
      <c r="AN11" s="2" t="str">
        <f>IF(LEN('A créer'!D11)=0,"","Tab 4")</f>
        <v/>
      </c>
      <c r="AO11" s="2" t="str">
        <f>IF(LEN('A créer'!D11)=0,"","Tab")</f>
        <v/>
      </c>
      <c r="AP11" s="2" t="str">
        <f>IF(LEN('A créer'!D11)=0,"","Tab")</f>
        <v/>
      </c>
      <c r="AQ11" s="2" t="str">
        <f>IF(LEN('A créer'!D11)=0,"","Tab")</f>
        <v/>
      </c>
      <c r="AR11" s="4" t="str">
        <f>IF(OR('A créer'!D11="Oui",LEN('A créer'!D11)=0),"",IF(LEN('A créer'!F11)=0,"",'A créer'!B11))</f>
        <v/>
      </c>
      <c r="AS11" s="2" t="str">
        <f>IF(LEN('A créer'!D11)=0,"","Tab")</f>
        <v/>
      </c>
      <c r="AT11" s="2" t="str">
        <f>IF(LEN('A créer'!D11)=0,"","ENT")</f>
        <v/>
      </c>
      <c r="AU11" s="2" t="str">
        <f>IF(LEN('A créer'!D11)=0,"","*SAVE")</f>
        <v/>
      </c>
    </row>
    <row r="12" spans="1:47" x14ac:dyDescent="0.35">
      <c r="A12" s="2" t="str">
        <f>IF(OR('A créer'!D12="Oui",LEN('A créer'!D12)=0),"","*FN")</f>
        <v/>
      </c>
      <c r="B12" s="2" t="str">
        <f>IF(OR('A créer'!D12="Oui",LEN('A créer'!D12)=0),"","Tab")</f>
        <v/>
      </c>
      <c r="C12" s="6" t="str">
        <f>IF(OR('A créer'!D12="Oui",LEN('A créer'!D12)=0),"",'A créer'!I12)</f>
        <v/>
      </c>
      <c r="D12" s="2" t="str">
        <f>IF(OR('A créer'!D12="Oui",LEN('A créer'!D12)=0),"","Tab")</f>
        <v/>
      </c>
      <c r="E12" s="6" t="str">
        <f>IF(OR('A créer'!D12="Oui",LEN('A créer'!D12)=0),"",'A créer'!C12)</f>
        <v/>
      </c>
      <c r="F12" s="2" t="str">
        <f>IF(OR('A créer'!D12="Oui",LEN('A créer'!D12)=0),"","Tab")</f>
        <v/>
      </c>
      <c r="G12" s="2" t="str">
        <f>IF(OR('A créer'!D12="Oui",LEN('A créer'!D12)=0),"","Tab")</f>
        <v/>
      </c>
      <c r="H12" s="2" t="str">
        <f>IF(OR('A créer'!D12="Oui",LEN('A créer'!D12)=0),"","Tab")</f>
        <v/>
      </c>
      <c r="I12" s="6" t="str">
        <f>IF(OR('A créer'!D12="Oui",LEN('A créer'!D12)=0),"",'A créer'!J12)</f>
        <v/>
      </c>
      <c r="J12" s="2" t="str">
        <f>IF(OR('A créer'!D12="Oui",LEN('A créer'!D12)=0),"","Tab 4")</f>
        <v/>
      </c>
      <c r="K12" s="2" t="str">
        <f>IF(OR('A créer'!D12="Oui",LEN('A créer'!D12)=0),"","Tab")</f>
        <v/>
      </c>
      <c r="L12" s="6" t="str">
        <f>IF(OR('A créer'!D12="Oui",LEN('A créer'!D12)=0),"",'A créer'!K12)</f>
        <v/>
      </c>
      <c r="M12" s="6" t="str">
        <f>IF(OR('A créer'!D12="Oui",LEN('A créer'!D12)=0),"",'A créer'!L12)</f>
        <v/>
      </c>
      <c r="N12" s="2" t="str">
        <f>IF(OR('A créer'!D12="Oui",LEN('A créer'!D12)=0),"","Tab")</f>
        <v/>
      </c>
      <c r="O12" s="2" t="str">
        <f>IF(OR('A créer'!D12="Oui",LEN('A créer'!D12)=0),"","ENT")</f>
        <v/>
      </c>
      <c r="P12" s="2" t="str">
        <f>IF(OR('A créer'!D12="Oui",LEN('A créer'!D12)=0),"","*SAVE")</f>
        <v/>
      </c>
      <c r="Q12" s="2" t="str">
        <f>IF(LEN('A créer'!D12)=0,"","*FN")</f>
        <v/>
      </c>
      <c r="R12" s="2" t="str">
        <f>IF(LEN('A créer'!D12)=0,"","Tab")</f>
        <v/>
      </c>
      <c r="S12" s="6" t="str">
        <f>IF(LEN('A créer'!D12)=0,"",CONCATENATE('A créer'!B12,'A créer'!A12))</f>
        <v/>
      </c>
      <c r="T12" s="2" t="s">
        <v>4</v>
      </c>
      <c r="U12" s="6" t="str">
        <f>IF('A créer'!F12="Oui",'A créer'!C12,IF(LEN('A créer'!F12)=0,"",CONCATENATE('A créer'!C12," (",'A créer'!M12,")")))</f>
        <v/>
      </c>
      <c r="V12" s="2" t="str">
        <f>IF(LEN('A créer'!D12)=0,"","Tab")</f>
        <v/>
      </c>
      <c r="W12" s="2" t="str">
        <f>IF(LEN('A créer'!D12)=0,"","Tab")</f>
        <v/>
      </c>
      <c r="X12" s="2" t="str">
        <f>IF(LEN('A créer'!D12)=0,"","Tab")</f>
        <v/>
      </c>
      <c r="Y12" s="6" t="str">
        <f>IF('A créer'!F12="Oui",'A créer'!J12,IF(LEN('A créer'!F12)=0,"",'A créer'!N12))</f>
        <v/>
      </c>
      <c r="Z12" s="2" t="str">
        <f>IF(LEN('A créer'!D12)=0,"","Tab")</f>
        <v/>
      </c>
      <c r="AA12" s="4" t="str">
        <f>IF('A créer'!F12="Oui","",IF(LEN('A créer'!F12)=0,"",'A créer'!O12))</f>
        <v/>
      </c>
      <c r="AB12" s="2" t="str">
        <f>IF(LEN('A créer'!D12)=0,"","Tab")</f>
        <v/>
      </c>
      <c r="AC12" s="4" t="str">
        <f>IF('A créer'!F12="Oui","",IF(LEN('A créer'!F12)=0,"","contactfournisseur@csp.dalkia.fr"))</f>
        <v/>
      </c>
      <c r="AD12" s="2" t="str">
        <f>IF(LEN('A créer'!D12)=0,"","Tab")</f>
        <v/>
      </c>
      <c r="AE12" s="2" t="str">
        <f>IF(LEN('A créer'!D12)=0,"","Tab")</f>
        <v/>
      </c>
      <c r="AF12" s="6" t="str">
        <f>IF('A créer'!F12="Oui","",IF(LEN('A créer'!F12)=0,"","ATTENTION adresse UNIQUEMENT pour la comptabilité fournisseurs"))</f>
        <v/>
      </c>
      <c r="AG12" s="2" t="str">
        <f>IF(LEN('A créer'!D12)=0,"","Tab")</f>
        <v/>
      </c>
      <c r="AH12" s="4" t="str">
        <f>IF('A créer'!F12="Oui",'A créer'!K12,IF(LEN('A créer'!F12)=0,"",""))</f>
        <v/>
      </c>
      <c r="AI12" s="2" t="str">
        <f>IF(OR(LEN('A créer'!D12)=0,LEN(AH12)&gt;0),"","Tab")</f>
        <v/>
      </c>
      <c r="AJ12" s="6" t="str">
        <f>IF('A créer'!F12="Oui",'A créer'!L12,IF(LEN('A créer'!F12)=0,"","NOUVELLE ADRESSE FACTURATION"))</f>
        <v/>
      </c>
      <c r="AK12" s="2" t="str">
        <f>IF(LEN('A créer'!D12)=0,"","Tab")</f>
        <v/>
      </c>
      <c r="AL12" s="2" t="str">
        <f>IF(LEN('A créer'!D12)=0,"","ENT")</f>
        <v/>
      </c>
      <c r="AM12" s="2" t="str">
        <f>IF(LEN('A créer'!D12)=0,"","Tab 4")</f>
        <v/>
      </c>
      <c r="AN12" s="2" t="str">
        <f>IF(LEN('A créer'!D12)=0,"","Tab 4")</f>
        <v/>
      </c>
      <c r="AO12" s="2" t="str">
        <f>IF(LEN('A créer'!D12)=0,"","Tab")</f>
        <v/>
      </c>
      <c r="AP12" s="2" t="str">
        <f>IF(LEN('A créer'!D12)=0,"","Tab")</f>
        <v/>
      </c>
      <c r="AQ12" s="2" t="str">
        <f>IF(LEN('A créer'!D12)=0,"","Tab")</f>
        <v/>
      </c>
      <c r="AR12" s="4" t="str">
        <f>IF(OR('A créer'!D12="Oui",LEN('A créer'!D12)=0),"",IF(LEN('A créer'!F12)=0,"",'A créer'!B12))</f>
        <v/>
      </c>
      <c r="AS12" s="2" t="str">
        <f>IF(LEN('A créer'!D12)=0,"","Tab")</f>
        <v/>
      </c>
      <c r="AT12" s="2" t="str">
        <f>IF(LEN('A créer'!D12)=0,"","ENT")</f>
        <v/>
      </c>
      <c r="AU12" s="2" t="str">
        <f>IF(LEN('A créer'!D12)=0,"","*SAVE")</f>
        <v/>
      </c>
    </row>
    <row r="13" spans="1:47" x14ac:dyDescent="0.35">
      <c r="A13" s="2" t="str">
        <f>IF(OR('A créer'!D13="Oui",LEN('A créer'!D13)=0),"","*FN")</f>
        <v/>
      </c>
      <c r="B13" s="2" t="str">
        <f>IF(OR('A créer'!D13="Oui",LEN('A créer'!D13)=0),"","Tab")</f>
        <v/>
      </c>
      <c r="C13" s="6" t="str">
        <f>IF(OR('A créer'!D13="Oui",LEN('A créer'!D13)=0),"",'A créer'!I13)</f>
        <v/>
      </c>
      <c r="D13" s="2" t="str">
        <f>IF(OR('A créer'!D13="Oui",LEN('A créer'!D13)=0),"","Tab")</f>
        <v/>
      </c>
      <c r="E13" s="6" t="str">
        <f>IF(OR('A créer'!D13="Oui",LEN('A créer'!D13)=0),"",'A créer'!C13)</f>
        <v/>
      </c>
      <c r="F13" s="2" t="str">
        <f>IF(OR('A créer'!D13="Oui",LEN('A créer'!D13)=0),"","Tab")</f>
        <v/>
      </c>
      <c r="G13" s="2" t="str">
        <f>IF(OR('A créer'!D13="Oui",LEN('A créer'!D13)=0),"","Tab")</f>
        <v/>
      </c>
      <c r="H13" s="2" t="str">
        <f>IF(OR('A créer'!D13="Oui",LEN('A créer'!D13)=0),"","Tab")</f>
        <v/>
      </c>
      <c r="I13" s="6" t="str">
        <f>IF(OR('A créer'!D13="Oui",LEN('A créer'!D13)=0),"",'A créer'!J13)</f>
        <v/>
      </c>
      <c r="J13" s="2" t="str">
        <f>IF(OR('A créer'!D13="Oui",LEN('A créer'!D13)=0),"","Tab 4")</f>
        <v/>
      </c>
      <c r="K13" s="2" t="str">
        <f>IF(OR('A créer'!D13="Oui",LEN('A créer'!D13)=0),"","Tab")</f>
        <v/>
      </c>
      <c r="L13" s="6" t="str">
        <f>IF(OR('A créer'!D13="Oui",LEN('A créer'!D13)=0),"",'A créer'!K13)</f>
        <v/>
      </c>
      <c r="M13" s="6" t="str">
        <f>IF(OR('A créer'!D13="Oui",LEN('A créer'!D13)=0),"",'A créer'!L13)</f>
        <v/>
      </c>
      <c r="N13" s="2" t="str">
        <f>IF(OR('A créer'!D13="Oui",LEN('A créer'!D13)=0),"","Tab")</f>
        <v/>
      </c>
      <c r="O13" s="2" t="str">
        <f>IF(OR('A créer'!D13="Oui",LEN('A créer'!D13)=0),"","ENT")</f>
        <v/>
      </c>
      <c r="P13" s="2" t="str">
        <f>IF(OR('A créer'!D13="Oui",LEN('A créer'!D13)=0),"","*SAVE")</f>
        <v/>
      </c>
      <c r="Q13" s="2" t="str">
        <f>IF(LEN('A créer'!D13)=0,"","*FN")</f>
        <v/>
      </c>
      <c r="R13" s="2" t="str">
        <f>IF(LEN('A créer'!D13)=0,"","Tab")</f>
        <v/>
      </c>
      <c r="S13" s="6" t="str">
        <f>IF(LEN('A créer'!D13)=0,"",CONCATENATE('A créer'!B13,'A créer'!A13))</f>
        <v/>
      </c>
      <c r="T13" s="2" t="s">
        <v>4</v>
      </c>
      <c r="U13" s="6" t="str">
        <f>IF('A créer'!F13="Oui",'A créer'!C13,IF(LEN('A créer'!F13)=0,"",CONCATENATE('A créer'!C13," (",'A créer'!M13,")")))</f>
        <v/>
      </c>
      <c r="V13" s="2" t="str">
        <f>IF(LEN('A créer'!D13)=0,"","Tab")</f>
        <v/>
      </c>
      <c r="W13" s="2" t="str">
        <f>IF(LEN('A créer'!D13)=0,"","Tab")</f>
        <v/>
      </c>
      <c r="X13" s="2" t="str">
        <f>IF(LEN('A créer'!D13)=0,"","Tab")</f>
        <v/>
      </c>
      <c r="Y13" s="6" t="str">
        <f>IF('A créer'!F13="Oui",'A créer'!J13,IF(LEN('A créer'!F13)=0,"",'A créer'!N13))</f>
        <v/>
      </c>
      <c r="Z13" s="2" t="str">
        <f>IF(LEN('A créer'!D13)=0,"","Tab")</f>
        <v/>
      </c>
      <c r="AA13" s="4" t="str">
        <f>IF('A créer'!F13="Oui","",IF(LEN('A créer'!F13)=0,"",'A créer'!O13))</f>
        <v/>
      </c>
      <c r="AB13" s="2" t="str">
        <f>IF(LEN('A créer'!D13)=0,"","Tab")</f>
        <v/>
      </c>
      <c r="AC13" s="4" t="str">
        <f>IF('A créer'!F13="Oui","",IF(LEN('A créer'!F13)=0,"","contactfournisseur@csp.dalkia.fr"))</f>
        <v/>
      </c>
      <c r="AD13" s="2" t="str">
        <f>IF(LEN('A créer'!D13)=0,"","Tab")</f>
        <v/>
      </c>
      <c r="AE13" s="2" t="str">
        <f>IF(LEN('A créer'!D13)=0,"","Tab")</f>
        <v/>
      </c>
      <c r="AF13" s="6" t="str">
        <f>IF('A créer'!F13="Oui","",IF(LEN('A créer'!F13)=0,"","ATTENTION adresse UNIQUEMENT pour la comptabilité fournisseurs"))</f>
        <v/>
      </c>
      <c r="AG13" s="2" t="str">
        <f>IF(LEN('A créer'!D13)=0,"","Tab")</f>
        <v/>
      </c>
      <c r="AH13" s="4" t="str">
        <f>IF('A créer'!F13="Oui",'A créer'!K13,IF(LEN('A créer'!F13)=0,"",""))</f>
        <v/>
      </c>
      <c r="AI13" s="2" t="str">
        <f>IF(OR(LEN('A créer'!D13)=0,LEN(AH13)&gt;0),"","Tab")</f>
        <v/>
      </c>
      <c r="AJ13" s="6" t="str">
        <f>IF('A créer'!F13="Oui",'A créer'!L13,IF(LEN('A créer'!F13)=0,"","NOUVELLE ADRESSE FACTURATION"))</f>
        <v/>
      </c>
      <c r="AK13" s="2" t="str">
        <f>IF(LEN('A créer'!D13)=0,"","Tab")</f>
        <v/>
      </c>
      <c r="AL13" s="2" t="str">
        <f>IF(LEN('A créer'!D13)=0,"","ENT")</f>
        <v/>
      </c>
      <c r="AM13" s="2" t="str">
        <f>IF(LEN('A créer'!D13)=0,"","Tab 4")</f>
        <v/>
      </c>
      <c r="AN13" s="2" t="str">
        <f>IF(LEN('A créer'!D13)=0,"","Tab 4")</f>
        <v/>
      </c>
      <c r="AO13" s="2" t="str">
        <f>IF(LEN('A créer'!D13)=0,"","Tab")</f>
        <v/>
      </c>
      <c r="AP13" s="2" t="str">
        <f>IF(LEN('A créer'!D13)=0,"","Tab")</f>
        <v/>
      </c>
      <c r="AQ13" s="2" t="str">
        <f>IF(LEN('A créer'!D13)=0,"","Tab")</f>
        <v/>
      </c>
      <c r="AR13" s="4" t="str">
        <f>IF(OR('A créer'!D13="Oui",LEN('A créer'!D13)=0),"",IF(LEN('A créer'!F13)=0,"",'A créer'!B13))</f>
        <v/>
      </c>
      <c r="AS13" s="2" t="str">
        <f>IF(LEN('A créer'!D13)=0,"","Tab")</f>
        <v/>
      </c>
      <c r="AT13" s="2" t="str">
        <f>IF(LEN('A créer'!D13)=0,"","ENT")</f>
        <v/>
      </c>
      <c r="AU13" s="2" t="str">
        <f>IF(LEN('A créer'!D13)=0,"","*SAVE")</f>
        <v/>
      </c>
    </row>
    <row r="14" spans="1:47" x14ac:dyDescent="0.35">
      <c r="A14" s="2" t="str">
        <f>IF(OR('A créer'!D14="Oui",LEN('A créer'!D14)=0),"","*FN")</f>
        <v/>
      </c>
      <c r="B14" s="2" t="str">
        <f>IF(OR('A créer'!D14="Oui",LEN('A créer'!D14)=0),"","Tab")</f>
        <v/>
      </c>
      <c r="C14" s="6" t="str">
        <f>IF(OR('A créer'!D14="Oui",LEN('A créer'!D14)=0),"",'A créer'!I14)</f>
        <v/>
      </c>
      <c r="D14" s="2" t="str">
        <f>IF(OR('A créer'!D14="Oui",LEN('A créer'!D14)=0),"","Tab")</f>
        <v/>
      </c>
      <c r="E14" s="6" t="str">
        <f>IF(OR('A créer'!D14="Oui",LEN('A créer'!D14)=0),"",'A créer'!C14)</f>
        <v/>
      </c>
      <c r="F14" s="2" t="str">
        <f>IF(OR('A créer'!D14="Oui",LEN('A créer'!D14)=0),"","Tab")</f>
        <v/>
      </c>
      <c r="G14" s="2" t="str">
        <f>IF(OR('A créer'!D14="Oui",LEN('A créer'!D14)=0),"","Tab")</f>
        <v/>
      </c>
      <c r="H14" s="2" t="str">
        <f>IF(OR('A créer'!D14="Oui",LEN('A créer'!D14)=0),"","Tab")</f>
        <v/>
      </c>
      <c r="I14" s="6" t="str">
        <f>IF(OR('A créer'!D14="Oui",LEN('A créer'!D14)=0),"",'A créer'!J14)</f>
        <v/>
      </c>
      <c r="J14" s="2" t="str">
        <f>IF(OR('A créer'!D14="Oui",LEN('A créer'!D14)=0),"","Tab 4")</f>
        <v/>
      </c>
      <c r="K14" s="2" t="str">
        <f>IF(OR('A créer'!D14="Oui",LEN('A créer'!D14)=0),"","Tab")</f>
        <v/>
      </c>
      <c r="L14" s="6" t="str">
        <f>IF(OR('A créer'!D14="Oui",LEN('A créer'!D14)=0),"",'A créer'!K14)</f>
        <v/>
      </c>
      <c r="M14" s="6" t="str">
        <f>IF(OR('A créer'!D14="Oui",LEN('A créer'!D14)=0),"",'A créer'!L14)</f>
        <v/>
      </c>
      <c r="N14" s="2" t="str">
        <f>IF(OR('A créer'!D14="Oui",LEN('A créer'!D14)=0),"","Tab")</f>
        <v/>
      </c>
      <c r="O14" s="2" t="str">
        <f>IF(OR('A créer'!D14="Oui",LEN('A créer'!D14)=0),"","ENT")</f>
        <v/>
      </c>
      <c r="P14" s="2" t="str">
        <f>IF(OR('A créer'!D14="Oui",LEN('A créer'!D14)=0),"","*SAVE")</f>
        <v/>
      </c>
      <c r="Q14" s="2" t="str">
        <f>IF(LEN('A créer'!D14)=0,"","*FN")</f>
        <v/>
      </c>
      <c r="R14" s="2" t="str">
        <f>IF(LEN('A créer'!D14)=0,"","Tab")</f>
        <v/>
      </c>
      <c r="S14" s="6" t="str">
        <f>IF(LEN('A créer'!D14)=0,"",CONCATENATE('A créer'!B14,'A créer'!A14))</f>
        <v/>
      </c>
      <c r="T14" s="2" t="s">
        <v>4</v>
      </c>
      <c r="U14" s="6" t="str">
        <f>IF('A créer'!F14="Oui",'A créer'!C14,IF(LEN('A créer'!F14)=0,"",CONCATENATE('A créer'!C14," (",'A créer'!M14,")")))</f>
        <v/>
      </c>
      <c r="V14" s="2" t="str">
        <f>IF(LEN('A créer'!D14)=0,"","Tab")</f>
        <v/>
      </c>
      <c r="W14" s="2" t="str">
        <f>IF(LEN('A créer'!D14)=0,"","Tab")</f>
        <v/>
      </c>
      <c r="X14" s="2" t="str">
        <f>IF(LEN('A créer'!D14)=0,"","Tab")</f>
        <v/>
      </c>
      <c r="Y14" s="6" t="str">
        <f>IF('A créer'!F14="Oui",'A créer'!J14,IF(LEN('A créer'!F14)=0,"",'A créer'!N14))</f>
        <v/>
      </c>
      <c r="Z14" s="2" t="str">
        <f>IF(LEN('A créer'!D14)=0,"","Tab")</f>
        <v/>
      </c>
      <c r="AA14" s="4" t="str">
        <f>IF('A créer'!F14="Oui","",IF(LEN('A créer'!F14)=0,"",'A créer'!O14))</f>
        <v/>
      </c>
      <c r="AB14" s="2" t="str">
        <f>IF(LEN('A créer'!D14)=0,"","Tab")</f>
        <v/>
      </c>
      <c r="AC14" s="4" t="str">
        <f>IF('A créer'!F14="Oui","",IF(LEN('A créer'!F14)=0,"","contactfournisseur@csp.dalkia.fr"))</f>
        <v/>
      </c>
      <c r="AD14" s="2" t="str">
        <f>IF(LEN('A créer'!D14)=0,"","Tab")</f>
        <v/>
      </c>
      <c r="AE14" s="2" t="str">
        <f>IF(LEN('A créer'!D14)=0,"","Tab")</f>
        <v/>
      </c>
      <c r="AF14" s="6" t="str">
        <f>IF('A créer'!F14="Oui","",IF(LEN('A créer'!F14)=0,"","ATTENTION adresse UNIQUEMENT pour la comptabilité fournisseurs"))</f>
        <v/>
      </c>
      <c r="AG14" s="2" t="str">
        <f>IF(LEN('A créer'!D14)=0,"","Tab")</f>
        <v/>
      </c>
      <c r="AH14" s="4" t="str">
        <f>IF('A créer'!F14="Oui",'A créer'!K14,IF(LEN('A créer'!F14)=0,"",""))</f>
        <v/>
      </c>
      <c r="AI14" s="2" t="str">
        <f>IF(OR(LEN('A créer'!D14)=0,LEN(AH14)&gt;0),"","Tab")</f>
        <v/>
      </c>
      <c r="AJ14" s="6" t="str">
        <f>IF('A créer'!F14="Oui",'A créer'!L14,IF(LEN('A créer'!F14)=0,"","NOUVELLE ADRESSE FACTURATION"))</f>
        <v/>
      </c>
      <c r="AK14" s="2" t="str">
        <f>IF(LEN('A créer'!D14)=0,"","Tab")</f>
        <v/>
      </c>
      <c r="AL14" s="2" t="str">
        <f>IF(LEN('A créer'!D14)=0,"","ENT")</f>
        <v/>
      </c>
      <c r="AM14" s="2" t="str">
        <f>IF(LEN('A créer'!D14)=0,"","Tab 4")</f>
        <v/>
      </c>
      <c r="AN14" s="2" t="str">
        <f>IF(LEN('A créer'!D14)=0,"","Tab 4")</f>
        <v/>
      </c>
      <c r="AO14" s="2" t="str">
        <f>IF(LEN('A créer'!D14)=0,"","Tab")</f>
        <v/>
      </c>
      <c r="AP14" s="2" t="str">
        <f>IF(LEN('A créer'!D14)=0,"","Tab")</f>
        <v/>
      </c>
      <c r="AQ14" s="2" t="str">
        <f>IF(LEN('A créer'!D14)=0,"","Tab")</f>
        <v/>
      </c>
      <c r="AR14" s="4" t="str">
        <f>IF(OR('A créer'!D14="Oui",LEN('A créer'!D14)=0),"",IF(LEN('A créer'!F14)=0,"",'A créer'!B14))</f>
        <v/>
      </c>
      <c r="AS14" s="2" t="str">
        <f>IF(LEN('A créer'!D14)=0,"","Tab")</f>
        <v/>
      </c>
      <c r="AT14" s="2" t="str">
        <f>IF(LEN('A créer'!D14)=0,"","ENT")</f>
        <v/>
      </c>
      <c r="AU14" s="2" t="str">
        <f>IF(LEN('A créer'!D14)=0,"","*SAVE")</f>
        <v/>
      </c>
    </row>
    <row r="15" spans="1:47" x14ac:dyDescent="0.35">
      <c r="A15" s="2" t="str">
        <f>IF(OR('A créer'!D15="Oui",LEN('A créer'!D15)=0),"","*FN")</f>
        <v/>
      </c>
      <c r="B15" s="2" t="str">
        <f>IF(OR('A créer'!D15="Oui",LEN('A créer'!D15)=0),"","Tab")</f>
        <v/>
      </c>
      <c r="C15" s="6" t="str">
        <f>IF(OR('A créer'!D15="Oui",LEN('A créer'!D15)=0),"",'A créer'!I15)</f>
        <v/>
      </c>
      <c r="D15" s="2" t="str">
        <f>IF(OR('A créer'!D15="Oui",LEN('A créer'!D15)=0),"","Tab")</f>
        <v/>
      </c>
      <c r="E15" s="6" t="str">
        <f>IF(OR('A créer'!D15="Oui",LEN('A créer'!D15)=0),"",'A créer'!C15)</f>
        <v/>
      </c>
      <c r="F15" s="2" t="str">
        <f>IF(OR('A créer'!D15="Oui",LEN('A créer'!D15)=0),"","Tab")</f>
        <v/>
      </c>
      <c r="G15" s="2" t="str">
        <f>IF(OR('A créer'!D15="Oui",LEN('A créer'!D15)=0),"","Tab")</f>
        <v/>
      </c>
      <c r="H15" s="2" t="str">
        <f>IF(OR('A créer'!D15="Oui",LEN('A créer'!D15)=0),"","Tab")</f>
        <v/>
      </c>
      <c r="I15" s="6" t="str">
        <f>IF(OR('A créer'!D15="Oui",LEN('A créer'!D15)=0),"",'A créer'!J15)</f>
        <v/>
      </c>
      <c r="J15" s="2" t="str">
        <f>IF(OR('A créer'!D15="Oui",LEN('A créer'!D15)=0),"","Tab 4")</f>
        <v/>
      </c>
      <c r="K15" s="2" t="str">
        <f>IF(OR('A créer'!D15="Oui",LEN('A créer'!D15)=0),"","Tab")</f>
        <v/>
      </c>
      <c r="L15" s="6" t="str">
        <f>IF(OR('A créer'!D15="Oui",LEN('A créer'!D15)=0),"",'A créer'!K15)</f>
        <v/>
      </c>
      <c r="M15" s="6" t="str">
        <f>IF(OR('A créer'!D15="Oui",LEN('A créer'!D15)=0),"",'A créer'!L15)</f>
        <v/>
      </c>
      <c r="N15" s="2" t="str">
        <f>IF(OR('A créer'!D15="Oui",LEN('A créer'!D15)=0),"","Tab")</f>
        <v/>
      </c>
      <c r="O15" s="2" t="str">
        <f>IF(OR('A créer'!D15="Oui",LEN('A créer'!D15)=0),"","ENT")</f>
        <v/>
      </c>
      <c r="P15" s="2" t="str">
        <f>IF(OR('A créer'!D15="Oui",LEN('A créer'!D15)=0),"","*SAVE")</f>
        <v/>
      </c>
      <c r="Q15" s="2" t="str">
        <f>IF(LEN('A créer'!D15)=0,"","*FN")</f>
        <v/>
      </c>
      <c r="R15" s="2" t="str">
        <f>IF(LEN('A créer'!D15)=0,"","Tab")</f>
        <v/>
      </c>
      <c r="S15" s="6" t="str">
        <f>IF(LEN('A créer'!D15)=0,"",CONCATENATE('A créer'!B15,'A créer'!A15))</f>
        <v/>
      </c>
      <c r="T15" s="2" t="s">
        <v>4</v>
      </c>
      <c r="U15" s="6" t="str">
        <f>IF('A créer'!F15="Oui",'A créer'!C15,IF(LEN('A créer'!F15)=0,"",CONCATENATE('A créer'!C15," (",'A créer'!M15,")")))</f>
        <v/>
      </c>
      <c r="V15" s="2" t="str">
        <f>IF(LEN('A créer'!D15)=0,"","Tab")</f>
        <v/>
      </c>
      <c r="W15" s="2" t="str">
        <f>IF(LEN('A créer'!D15)=0,"","Tab")</f>
        <v/>
      </c>
      <c r="X15" s="2" t="str">
        <f>IF(LEN('A créer'!D15)=0,"","Tab")</f>
        <v/>
      </c>
      <c r="Y15" s="6" t="str">
        <f>IF('A créer'!F15="Oui",'A créer'!J15,IF(LEN('A créer'!F15)=0,"",'A créer'!N15))</f>
        <v/>
      </c>
      <c r="Z15" s="2" t="str">
        <f>IF(LEN('A créer'!D15)=0,"","Tab")</f>
        <v/>
      </c>
      <c r="AA15" s="4" t="str">
        <f>IF('A créer'!F15="Oui","",IF(LEN('A créer'!F15)=0,"",'A créer'!O15))</f>
        <v/>
      </c>
      <c r="AB15" s="2" t="str">
        <f>IF(LEN('A créer'!D15)=0,"","Tab")</f>
        <v/>
      </c>
      <c r="AC15" s="4" t="str">
        <f>IF('A créer'!F15="Oui","",IF(LEN('A créer'!F15)=0,"","contactfournisseur@csp.dalkia.fr"))</f>
        <v/>
      </c>
      <c r="AD15" s="2" t="str">
        <f>IF(LEN('A créer'!D15)=0,"","Tab")</f>
        <v/>
      </c>
      <c r="AE15" s="2" t="str">
        <f>IF(LEN('A créer'!D15)=0,"","Tab")</f>
        <v/>
      </c>
      <c r="AF15" s="6" t="str">
        <f>IF('A créer'!F15="Oui","",IF(LEN('A créer'!F15)=0,"","ATTENTION adresse UNIQUEMENT pour la comptabilité fournisseurs"))</f>
        <v/>
      </c>
      <c r="AG15" s="2" t="str">
        <f>IF(LEN('A créer'!D15)=0,"","Tab")</f>
        <v/>
      </c>
      <c r="AH15" s="4" t="str">
        <f>IF('A créer'!F15="Oui",'A créer'!K15,IF(LEN('A créer'!F15)=0,"",""))</f>
        <v/>
      </c>
      <c r="AI15" s="2" t="str">
        <f>IF(OR(LEN('A créer'!D15)=0,LEN(AH15)&gt;0),"","Tab")</f>
        <v/>
      </c>
      <c r="AJ15" s="6" t="str">
        <f>IF('A créer'!F15="Oui",'A créer'!L15,IF(LEN('A créer'!F15)=0,"","NOUVELLE ADRESSE FACTURATION"))</f>
        <v/>
      </c>
      <c r="AK15" s="2" t="str">
        <f>IF(LEN('A créer'!D15)=0,"","Tab")</f>
        <v/>
      </c>
      <c r="AL15" s="2" t="str">
        <f>IF(LEN('A créer'!D15)=0,"","ENT")</f>
        <v/>
      </c>
      <c r="AM15" s="2" t="str">
        <f>IF(LEN('A créer'!D15)=0,"","Tab 4")</f>
        <v/>
      </c>
      <c r="AN15" s="2" t="str">
        <f>IF(LEN('A créer'!D15)=0,"","Tab 4")</f>
        <v/>
      </c>
      <c r="AO15" s="2" t="str">
        <f>IF(LEN('A créer'!D15)=0,"","Tab")</f>
        <v/>
      </c>
      <c r="AP15" s="2" t="str">
        <f>IF(LEN('A créer'!D15)=0,"","Tab")</f>
        <v/>
      </c>
      <c r="AQ15" s="2" t="str">
        <f>IF(LEN('A créer'!D15)=0,"","Tab")</f>
        <v/>
      </c>
      <c r="AR15" s="4" t="str">
        <f>IF(OR('A créer'!D15="Oui",LEN('A créer'!D15)=0),"",IF(LEN('A créer'!F15)=0,"",'A créer'!B15))</f>
        <v/>
      </c>
      <c r="AS15" s="2" t="str">
        <f>IF(LEN('A créer'!D15)=0,"","Tab")</f>
        <v/>
      </c>
      <c r="AT15" s="2" t="str">
        <f>IF(LEN('A créer'!D15)=0,"","ENT")</f>
        <v/>
      </c>
      <c r="AU15" s="2" t="str">
        <f>IF(LEN('A créer'!D15)=0,"","*SAVE")</f>
        <v/>
      </c>
    </row>
    <row r="16" spans="1:47" x14ac:dyDescent="0.35">
      <c r="A16" s="2" t="str">
        <f>IF(OR('A créer'!D16="Oui",LEN('A créer'!D16)=0),"","*FN")</f>
        <v/>
      </c>
      <c r="B16" s="2" t="str">
        <f>IF(OR('A créer'!D16="Oui",LEN('A créer'!D16)=0),"","Tab")</f>
        <v/>
      </c>
      <c r="C16" s="6" t="str">
        <f>IF(OR('A créer'!D16="Oui",LEN('A créer'!D16)=0),"",'A créer'!I16)</f>
        <v/>
      </c>
      <c r="D16" s="2" t="str">
        <f>IF(OR('A créer'!D16="Oui",LEN('A créer'!D16)=0),"","Tab")</f>
        <v/>
      </c>
      <c r="E16" s="6" t="str">
        <f>IF(OR('A créer'!D16="Oui",LEN('A créer'!D16)=0),"",'A créer'!C16)</f>
        <v/>
      </c>
      <c r="F16" s="2" t="str">
        <f>IF(OR('A créer'!D16="Oui",LEN('A créer'!D16)=0),"","Tab")</f>
        <v/>
      </c>
      <c r="G16" s="2" t="str">
        <f>IF(OR('A créer'!D16="Oui",LEN('A créer'!D16)=0),"","Tab")</f>
        <v/>
      </c>
      <c r="H16" s="2" t="str">
        <f>IF(OR('A créer'!D16="Oui",LEN('A créer'!D16)=0),"","Tab")</f>
        <v/>
      </c>
      <c r="I16" s="6" t="str">
        <f>IF(OR('A créer'!D16="Oui",LEN('A créer'!D16)=0),"",'A créer'!J16)</f>
        <v/>
      </c>
      <c r="J16" s="2" t="str">
        <f>IF(OR('A créer'!D16="Oui",LEN('A créer'!D16)=0),"","Tab 4")</f>
        <v/>
      </c>
      <c r="K16" s="2" t="str">
        <f>IF(OR('A créer'!D16="Oui",LEN('A créer'!D16)=0),"","Tab")</f>
        <v/>
      </c>
      <c r="L16" s="6" t="str">
        <f>IF(OR('A créer'!D16="Oui",LEN('A créer'!D16)=0),"",'A créer'!K16)</f>
        <v/>
      </c>
      <c r="M16" s="6" t="str">
        <f>IF(OR('A créer'!D16="Oui",LEN('A créer'!D16)=0),"",'A créer'!L16)</f>
        <v/>
      </c>
      <c r="N16" s="2" t="str">
        <f>IF(OR('A créer'!D16="Oui",LEN('A créer'!D16)=0),"","Tab")</f>
        <v/>
      </c>
      <c r="O16" s="2" t="str">
        <f>IF(OR('A créer'!D16="Oui",LEN('A créer'!D16)=0),"","ENT")</f>
        <v/>
      </c>
      <c r="P16" s="2" t="str">
        <f>IF(OR('A créer'!D16="Oui",LEN('A créer'!D16)=0),"","*SAVE")</f>
        <v/>
      </c>
      <c r="Q16" s="2" t="str">
        <f>IF(LEN('A créer'!D16)=0,"","*FN")</f>
        <v/>
      </c>
      <c r="R16" s="2" t="str">
        <f>IF(LEN('A créer'!D16)=0,"","Tab")</f>
        <v/>
      </c>
      <c r="S16" s="6" t="str">
        <f>IF(LEN('A créer'!D16)=0,"",CONCATENATE('A créer'!B16,'A créer'!A16))</f>
        <v/>
      </c>
      <c r="T16" s="2" t="s">
        <v>4</v>
      </c>
      <c r="U16" s="6" t="str">
        <f>IF('A créer'!F16="Oui",'A créer'!C16,IF(LEN('A créer'!F16)=0,"",CONCATENATE('A créer'!C16," (",'A créer'!M16,")")))</f>
        <v/>
      </c>
      <c r="V16" s="2" t="str">
        <f>IF(LEN('A créer'!D16)=0,"","Tab")</f>
        <v/>
      </c>
      <c r="W16" s="2" t="str">
        <f>IF(LEN('A créer'!D16)=0,"","Tab")</f>
        <v/>
      </c>
      <c r="X16" s="2" t="str">
        <f>IF(LEN('A créer'!D16)=0,"","Tab")</f>
        <v/>
      </c>
      <c r="Y16" s="6" t="str">
        <f>IF('A créer'!F16="Oui",'A créer'!J16,IF(LEN('A créer'!F16)=0,"",'A créer'!N16))</f>
        <v/>
      </c>
      <c r="Z16" s="2" t="str">
        <f>IF(LEN('A créer'!D16)=0,"","Tab")</f>
        <v/>
      </c>
      <c r="AA16" s="4" t="str">
        <f>IF('A créer'!F16="Oui","",IF(LEN('A créer'!F16)=0,"",'A créer'!O16))</f>
        <v/>
      </c>
      <c r="AB16" s="2" t="str">
        <f>IF(LEN('A créer'!D16)=0,"","Tab")</f>
        <v/>
      </c>
      <c r="AC16" s="4" t="str">
        <f>IF('A créer'!F16="Oui","",IF(LEN('A créer'!F16)=0,"","contactfournisseur@csp.dalkia.fr"))</f>
        <v/>
      </c>
      <c r="AD16" s="2" t="str">
        <f>IF(LEN('A créer'!D16)=0,"","Tab")</f>
        <v/>
      </c>
      <c r="AE16" s="2" t="str">
        <f>IF(LEN('A créer'!D16)=0,"","Tab")</f>
        <v/>
      </c>
      <c r="AF16" s="6" t="str">
        <f>IF('A créer'!F16="Oui","",IF(LEN('A créer'!F16)=0,"","ATTENTION adresse UNIQUEMENT pour la comptabilité fournisseurs"))</f>
        <v/>
      </c>
      <c r="AG16" s="2" t="str">
        <f>IF(LEN('A créer'!D16)=0,"","Tab")</f>
        <v/>
      </c>
      <c r="AH16" s="4" t="str">
        <f>IF('A créer'!F16="Oui",'A créer'!K16,IF(LEN('A créer'!F16)=0,"",""))</f>
        <v/>
      </c>
      <c r="AI16" s="2" t="str">
        <f>IF(OR(LEN('A créer'!D16)=0,LEN(AH16)&gt;0),"","Tab")</f>
        <v/>
      </c>
      <c r="AJ16" s="6" t="str">
        <f>IF('A créer'!F16="Oui",'A créer'!L16,IF(LEN('A créer'!F16)=0,"","NOUVELLE ADRESSE FACTURATION"))</f>
        <v/>
      </c>
      <c r="AK16" s="2" t="str">
        <f>IF(LEN('A créer'!D16)=0,"","Tab")</f>
        <v/>
      </c>
      <c r="AL16" s="2" t="str">
        <f>IF(LEN('A créer'!D16)=0,"","ENT")</f>
        <v/>
      </c>
      <c r="AM16" s="2" t="str">
        <f>IF(LEN('A créer'!D16)=0,"","Tab 4")</f>
        <v/>
      </c>
      <c r="AN16" s="2" t="str">
        <f>IF(LEN('A créer'!D16)=0,"","Tab 4")</f>
        <v/>
      </c>
      <c r="AO16" s="2" t="str">
        <f>IF(LEN('A créer'!D16)=0,"","Tab")</f>
        <v/>
      </c>
      <c r="AP16" s="2" t="str">
        <f>IF(LEN('A créer'!D16)=0,"","Tab")</f>
        <v/>
      </c>
      <c r="AQ16" s="2" t="str">
        <f>IF(LEN('A créer'!D16)=0,"","Tab")</f>
        <v/>
      </c>
      <c r="AR16" s="4" t="str">
        <f>IF(OR('A créer'!D16="Oui",LEN('A créer'!D16)=0),"",IF(LEN('A créer'!F16)=0,"",'A créer'!B16))</f>
        <v/>
      </c>
      <c r="AS16" s="2" t="str">
        <f>IF(LEN('A créer'!D16)=0,"","Tab")</f>
        <v/>
      </c>
      <c r="AT16" s="2" t="str">
        <f>IF(LEN('A créer'!D16)=0,"","ENT")</f>
        <v/>
      </c>
      <c r="AU16" s="2" t="str">
        <f>IF(LEN('A créer'!D16)=0,"","*SAVE")</f>
        <v/>
      </c>
    </row>
    <row r="17" spans="1:47" x14ac:dyDescent="0.35">
      <c r="A17" s="2" t="str">
        <f>IF(OR('A créer'!D17="Oui",LEN('A créer'!D17)=0),"","*FN")</f>
        <v/>
      </c>
      <c r="B17" s="2" t="str">
        <f>IF(OR('A créer'!D17="Oui",LEN('A créer'!D17)=0),"","Tab")</f>
        <v/>
      </c>
      <c r="C17" s="6" t="str">
        <f>IF(OR('A créer'!D17="Oui",LEN('A créer'!D17)=0),"",'A créer'!I17)</f>
        <v/>
      </c>
      <c r="D17" s="2" t="str">
        <f>IF(OR('A créer'!D17="Oui",LEN('A créer'!D17)=0),"","Tab")</f>
        <v/>
      </c>
      <c r="E17" s="6" t="str">
        <f>IF(OR('A créer'!D17="Oui",LEN('A créer'!D17)=0),"",'A créer'!C17)</f>
        <v/>
      </c>
      <c r="F17" s="2" t="str">
        <f>IF(OR('A créer'!D17="Oui",LEN('A créer'!D17)=0),"","Tab")</f>
        <v/>
      </c>
      <c r="G17" s="2" t="str">
        <f>IF(OR('A créer'!D17="Oui",LEN('A créer'!D17)=0),"","Tab")</f>
        <v/>
      </c>
      <c r="H17" s="2" t="str">
        <f>IF(OR('A créer'!D17="Oui",LEN('A créer'!D17)=0),"","Tab")</f>
        <v/>
      </c>
      <c r="I17" s="6" t="str">
        <f>IF(OR('A créer'!D17="Oui",LEN('A créer'!D17)=0),"",'A créer'!J17)</f>
        <v/>
      </c>
      <c r="J17" s="2" t="str">
        <f>IF(OR('A créer'!D17="Oui",LEN('A créer'!D17)=0),"","Tab 4")</f>
        <v/>
      </c>
      <c r="K17" s="2" t="str">
        <f>IF(OR('A créer'!D17="Oui",LEN('A créer'!D17)=0),"","Tab")</f>
        <v/>
      </c>
      <c r="L17" s="6" t="str">
        <f>IF(OR('A créer'!D17="Oui",LEN('A créer'!D17)=0),"",'A créer'!K17)</f>
        <v/>
      </c>
      <c r="M17" s="6" t="str">
        <f>IF(OR('A créer'!D17="Oui",LEN('A créer'!D17)=0),"",'A créer'!L17)</f>
        <v/>
      </c>
      <c r="N17" s="2" t="str">
        <f>IF(OR('A créer'!D17="Oui",LEN('A créer'!D17)=0),"","Tab")</f>
        <v/>
      </c>
      <c r="O17" s="2" t="str">
        <f>IF(OR('A créer'!D17="Oui",LEN('A créer'!D17)=0),"","ENT")</f>
        <v/>
      </c>
      <c r="P17" s="2" t="str">
        <f>IF(OR('A créer'!D17="Oui",LEN('A créer'!D17)=0),"","*SAVE")</f>
        <v/>
      </c>
      <c r="Q17" s="2" t="str">
        <f>IF(LEN('A créer'!D17)=0,"","*FN")</f>
        <v/>
      </c>
      <c r="R17" s="2" t="str">
        <f>IF(LEN('A créer'!D17)=0,"","Tab")</f>
        <v/>
      </c>
      <c r="S17" s="6" t="str">
        <f>IF(LEN('A créer'!D17)=0,"",CONCATENATE('A créer'!B17,'A créer'!A17))</f>
        <v/>
      </c>
      <c r="T17" s="2" t="s">
        <v>4</v>
      </c>
      <c r="U17" s="6" t="str">
        <f>IF('A créer'!F17="Oui",'A créer'!C17,IF(LEN('A créer'!F17)=0,"",CONCATENATE('A créer'!C17," (",'A créer'!M17,")")))</f>
        <v/>
      </c>
      <c r="V17" s="2" t="str">
        <f>IF(LEN('A créer'!D17)=0,"","Tab")</f>
        <v/>
      </c>
      <c r="W17" s="2" t="str">
        <f>IF(LEN('A créer'!D17)=0,"","Tab")</f>
        <v/>
      </c>
      <c r="X17" s="2" t="str">
        <f>IF(LEN('A créer'!D17)=0,"","Tab")</f>
        <v/>
      </c>
      <c r="Y17" s="6" t="str">
        <f>IF('A créer'!F17="Oui",'A créer'!J17,IF(LEN('A créer'!F17)=0,"",'A créer'!N17))</f>
        <v/>
      </c>
      <c r="Z17" s="2" t="str">
        <f>IF(LEN('A créer'!D17)=0,"","Tab")</f>
        <v/>
      </c>
      <c r="AA17" s="4" t="str">
        <f>IF('A créer'!F17="Oui","",IF(LEN('A créer'!F17)=0,"",'A créer'!O17))</f>
        <v/>
      </c>
      <c r="AB17" s="2" t="str">
        <f>IF(LEN('A créer'!D17)=0,"","Tab")</f>
        <v/>
      </c>
      <c r="AC17" s="4" t="str">
        <f>IF('A créer'!F17="Oui","",IF(LEN('A créer'!F17)=0,"","contactfournisseur@csp.dalkia.fr"))</f>
        <v/>
      </c>
      <c r="AD17" s="2" t="str">
        <f>IF(LEN('A créer'!D17)=0,"","Tab")</f>
        <v/>
      </c>
      <c r="AE17" s="2" t="str">
        <f>IF(LEN('A créer'!D17)=0,"","Tab")</f>
        <v/>
      </c>
      <c r="AF17" s="6" t="str">
        <f>IF('A créer'!F17="Oui","",IF(LEN('A créer'!F17)=0,"","ATTENTION adresse UNIQUEMENT pour la comptabilité fournisseurs"))</f>
        <v/>
      </c>
      <c r="AG17" s="2" t="str">
        <f>IF(LEN('A créer'!D17)=0,"","Tab")</f>
        <v/>
      </c>
      <c r="AH17" s="4" t="str">
        <f>IF('A créer'!F17="Oui",'A créer'!K17,IF(LEN('A créer'!F17)=0,"",""))</f>
        <v/>
      </c>
      <c r="AI17" s="2" t="str">
        <f>IF(OR(LEN('A créer'!D17)=0,LEN(AH17)&gt;0),"","Tab")</f>
        <v/>
      </c>
      <c r="AJ17" s="6" t="str">
        <f>IF('A créer'!F17="Oui",'A créer'!L17,IF(LEN('A créer'!F17)=0,"","NOUVELLE ADRESSE FACTURATION"))</f>
        <v/>
      </c>
      <c r="AK17" s="2" t="str">
        <f>IF(LEN('A créer'!D17)=0,"","Tab")</f>
        <v/>
      </c>
      <c r="AL17" s="2" t="str">
        <f>IF(LEN('A créer'!D17)=0,"","ENT")</f>
        <v/>
      </c>
      <c r="AM17" s="2" t="str">
        <f>IF(LEN('A créer'!D17)=0,"","Tab 4")</f>
        <v/>
      </c>
      <c r="AN17" s="2" t="str">
        <f>IF(LEN('A créer'!D17)=0,"","Tab 4")</f>
        <v/>
      </c>
      <c r="AO17" s="2" t="str">
        <f>IF(LEN('A créer'!D17)=0,"","Tab")</f>
        <v/>
      </c>
      <c r="AP17" s="2" t="str">
        <f>IF(LEN('A créer'!D17)=0,"","Tab")</f>
        <v/>
      </c>
      <c r="AQ17" s="2" t="str">
        <f>IF(LEN('A créer'!D17)=0,"","Tab")</f>
        <v/>
      </c>
      <c r="AR17" s="4" t="str">
        <f>IF(OR('A créer'!D17="Oui",LEN('A créer'!D17)=0),"",IF(LEN('A créer'!F17)=0,"",'A créer'!B17))</f>
        <v/>
      </c>
      <c r="AS17" s="2" t="str">
        <f>IF(LEN('A créer'!D17)=0,"","Tab")</f>
        <v/>
      </c>
      <c r="AT17" s="2" t="str">
        <f>IF(LEN('A créer'!D17)=0,"","ENT")</f>
        <v/>
      </c>
      <c r="AU17" s="2" t="str">
        <f>IF(LEN('A créer'!D17)=0,"","*SAVE")</f>
        <v/>
      </c>
    </row>
    <row r="18" spans="1:47" x14ac:dyDescent="0.35">
      <c r="A18" s="2" t="str">
        <f>IF(OR('A créer'!D18="Oui",LEN('A créer'!D18)=0),"","*FN")</f>
        <v/>
      </c>
      <c r="B18" s="2" t="str">
        <f>IF(OR('A créer'!D18="Oui",LEN('A créer'!D18)=0),"","Tab")</f>
        <v/>
      </c>
      <c r="C18" s="6" t="str">
        <f>IF(OR('A créer'!D18="Oui",LEN('A créer'!D18)=0),"",'A créer'!I18)</f>
        <v/>
      </c>
      <c r="D18" s="2" t="str">
        <f>IF(OR('A créer'!D18="Oui",LEN('A créer'!D18)=0),"","Tab")</f>
        <v/>
      </c>
      <c r="E18" s="6" t="str">
        <f>IF(OR('A créer'!D18="Oui",LEN('A créer'!D18)=0),"",'A créer'!C18)</f>
        <v/>
      </c>
      <c r="F18" s="2" t="str">
        <f>IF(OR('A créer'!D18="Oui",LEN('A créer'!D18)=0),"","Tab")</f>
        <v/>
      </c>
      <c r="G18" s="2" t="str">
        <f>IF(OR('A créer'!D18="Oui",LEN('A créer'!D18)=0),"","Tab")</f>
        <v/>
      </c>
      <c r="H18" s="2" t="str">
        <f>IF(OR('A créer'!D18="Oui",LEN('A créer'!D18)=0),"","Tab")</f>
        <v/>
      </c>
      <c r="I18" s="6" t="str">
        <f>IF(OR('A créer'!D18="Oui",LEN('A créer'!D18)=0),"",'A créer'!J18)</f>
        <v/>
      </c>
      <c r="J18" s="2" t="str">
        <f>IF(OR('A créer'!D18="Oui",LEN('A créer'!D18)=0),"","Tab 4")</f>
        <v/>
      </c>
      <c r="K18" s="2" t="str">
        <f>IF(OR('A créer'!D18="Oui",LEN('A créer'!D18)=0),"","Tab")</f>
        <v/>
      </c>
      <c r="L18" s="6" t="str">
        <f>IF(OR('A créer'!D18="Oui",LEN('A créer'!D18)=0),"",'A créer'!K18)</f>
        <v/>
      </c>
      <c r="M18" s="6" t="str">
        <f>IF(OR('A créer'!D18="Oui",LEN('A créer'!D18)=0),"",'A créer'!L18)</f>
        <v/>
      </c>
      <c r="N18" s="2" t="str">
        <f>IF(OR('A créer'!D18="Oui",LEN('A créer'!D18)=0),"","Tab")</f>
        <v/>
      </c>
      <c r="O18" s="2" t="str">
        <f>IF(OR('A créer'!D18="Oui",LEN('A créer'!D18)=0),"","ENT")</f>
        <v/>
      </c>
      <c r="P18" s="2" t="str">
        <f>IF(OR('A créer'!D18="Oui",LEN('A créer'!D18)=0),"","*SAVE")</f>
        <v/>
      </c>
      <c r="Q18" s="2" t="str">
        <f>IF(LEN('A créer'!D18)=0,"","*FN")</f>
        <v/>
      </c>
      <c r="R18" s="2" t="str">
        <f>IF(LEN('A créer'!D18)=0,"","Tab")</f>
        <v/>
      </c>
      <c r="S18" s="6" t="str">
        <f>IF(LEN('A créer'!D18)=0,"",CONCATENATE('A créer'!B18,'A créer'!A18))</f>
        <v/>
      </c>
      <c r="T18" s="2" t="s">
        <v>4</v>
      </c>
      <c r="U18" s="6" t="str">
        <f>IF('A créer'!F18="Oui",'A créer'!C18,IF(LEN('A créer'!F18)=0,"",CONCATENATE('A créer'!C18," (",'A créer'!M18,")")))</f>
        <v/>
      </c>
      <c r="V18" s="2" t="str">
        <f>IF(LEN('A créer'!D18)=0,"","Tab")</f>
        <v/>
      </c>
      <c r="W18" s="2" t="str">
        <f>IF(LEN('A créer'!D18)=0,"","Tab")</f>
        <v/>
      </c>
      <c r="X18" s="2" t="str">
        <f>IF(LEN('A créer'!D18)=0,"","Tab")</f>
        <v/>
      </c>
      <c r="Y18" s="6" t="str">
        <f>IF('A créer'!F18="Oui",'A créer'!J18,IF(LEN('A créer'!F18)=0,"",'A créer'!N18))</f>
        <v/>
      </c>
      <c r="Z18" s="2" t="str">
        <f>IF(LEN('A créer'!D18)=0,"","Tab")</f>
        <v/>
      </c>
      <c r="AA18" s="4" t="str">
        <f>IF('A créer'!F18="Oui","",IF(LEN('A créer'!F18)=0,"",'A créer'!O18))</f>
        <v/>
      </c>
      <c r="AB18" s="2" t="str">
        <f>IF(LEN('A créer'!D18)=0,"","Tab")</f>
        <v/>
      </c>
      <c r="AC18" s="4" t="str">
        <f>IF('A créer'!F18="Oui","",IF(LEN('A créer'!F18)=0,"","contactfournisseur@csp.dalkia.fr"))</f>
        <v/>
      </c>
      <c r="AD18" s="2" t="str">
        <f>IF(LEN('A créer'!D18)=0,"","Tab")</f>
        <v/>
      </c>
      <c r="AE18" s="2" t="str">
        <f>IF(LEN('A créer'!D18)=0,"","Tab")</f>
        <v/>
      </c>
      <c r="AF18" s="6" t="str">
        <f>IF('A créer'!F18="Oui","",IF(LEN('A créer'!F18)=0,"","ATTENTION adresse UNIQUEMENT pour la comptabilité fournisseurs"))</f>
        <v/>
      </c>
      <c r="AG18" s="2" t="str">
        <f>IF(LEN('A créer'!D18)=0,"","Tab")</f>
        <v/>
      </c>
      <c r="AH18" s="4" t="str">
        <f>IF('A créer'!F18="Oui",'A créer'!K18,IF(LEN('A créer'!F18)=0,"",""))</f>
        <v/>
      </c>
      <c r="AI18" s="2" t="str">
        <f>IF(OR(LEN('A créer'!D18)=0,LEN(AH18)&gt;0),"","Tab")</f>
        <v/>
      </c>
      <c r="AJ18" s="6" t="str">
        <f>IF('A créer'!F18="Oui",'A créer'!L18,IF(LEN('A créer'!F18)=0,"","NOUVELLE ADRESSE FACTURATION"))</f>
        <v/>
      </c>
      <c r="AK18" s="2" t="str">
        <f>IF(LEN('A créer'!D18)=0,"","Tab")</f>
        <v/>
      </c>
      <c r="AL18" s="2" t="str">
        <f>IF(LEN('A créer'!D18)=0,"","ENT")</f>
        <v/>
      </c>
      <c r="AM18" s="2" t="str">
        <f>IF(LEN('A créer'!D18)=0,"","Tab 4")</f>
        <v/>
      </c>
      <c r="AN18" s="2" t="str">
        <f>IF(LEN('A créer'!D18)=0,"","Tab 4")</f>
        <v/>
      </c>
      <c r="AO18" s="2" t="str">
        <f>IF(LEN('A créer'!D18)=0,"","Tab")</f>
        <v/>
      </c>
      <c r="AP18" s="2" t="str">
        <f>IF(LEN('A créer'!D18)=0,"","Tab")</f>
        <v/>
      </c>
      <c r="AQ18" s="2" t="str">
        <f>IF(LEN('A créer'!D18)=0,"","Tab")</f>
        <v/>
      </c>
      <c r="AR18" s="4" t="str">
        <f>IF(OR('A créer'!D18="Oui",LEN('A créer'!D18)=0),"",IF(LEN('A créer'!F18)=0,"",'A créer'!B18))</f>
        <v/>
      </c>
      <c r="AS18" s="2" t="str">
        <f>IF(LEN('A créer'!D18)=0,"","Tab")</f>
        <v/>
      </c>
      <c r="AT18" s="2" t="str">
        <f>IF(LEN('A créer'!D18)=0,"","ENT")</f>
        <v/>
      </c>
      <c r="AU18" s="2" t="str">
        <f>IF(LEN('A créer'!D18)=0,"","*SAVE")</f>
        <v/>
      </c>
    </row>
    <row r="19" spans="1:47" x14ac:dyDescent="0.35">
      <c r="A19" s="2" t="str">
        <f>IF(OR('A créer'!D19="Oui",LEN('A créer'!D19)=0),"","*FN")</f>
        <v/>
      </c>
      <c r="B19" s="2" t="str">
        <f>IF(OR('A créer'!D19="Oui",LEN('A créer'!D19)=0),"","Tab")</f>
        <v/>
      </c>
      <c r="C19" s="6" t="str">
        <f>IF(OR('A créer'!D19="Oui",LEN('A créer'!D19)=0),"",'A créer'!I19)</f>
        <v/>
      </c>
      <c r="D19" s="2" t="str">
        <f>IF(OR('A créer'!D19="Oui",LEN('A créer'!D19)=0),"","Tab")</f>
        <v/>
      </c>
      <c r="E19" s="6" t="str">
        <f>IF(OR('A créer'!D19="Oui",LEN('A créer'!D19)=0),"",'A créer'!C19)</f>
        <v/>
      </c>
      <c r="F19" s="2" t="str">
        <f>IF(OR('A créer'!D19="Oui",LEN('A créer'!D19)=0),"","Tab")</f>
        <v/>
      </c>
      <c r="G19" s="2" t="str">
        <f>IF(OR('A créer'!D19="Oui",LEN('A créer'!D19)=0),"","Tab")</f>
        <v/>
      </c>
      <c r="H19" s="2" t="str">
        <f>IF(OR('A créer'!D19="Oui",LEN('A créer'!D19)=0),"","Tab")</f>
        <v/>
      </c>
      <c r="I19" s="6" t="str">
        <f>IF(OR('A créer'!D19="Oui",LEN('A créer'!D19)=0),"",'A créer'!J19)</f>
        <v/>
      </c>
      <c r="J19" s="2" t="str">
        <f>IF(OR('A créer'!D19="Oui",LEN('A créer'!D19)=0),"","Tab 4")</f>
        <v/>
      </c>
      <c r="K19" s="2" t="str">
        <f>IF(OR('A créer'!D19="Oui",LEN('A créer'!D19)=0),"","Tab")</f>
        <v/>
      </c>
      <c r="L19" s="6" t="str">
        <f>IF(OR('A créer'!D19="Oui",LEN('A créer'!D19)=0),"",'A créer'!K19)</f>
        <v/>
      </c>
      <c r="M19" s="6" t="str">
        <f>IF(OR('A créer'!D19="Oui",LEN('A créer'!D19)=0),"",'A créer'!L19)</f>
        <v/>
      </c>
      <c r="N19" s="2" t="str">
        <f>IF(OR('A créer'!D19="Oui",LEN('A créer'!D19)=0),"","Tab")</f>
        <v/>
      </c>
      <c r="O19" s="2" t="str">
        <f>IF(OR('A créer'!D19="Oui",LEN('A créer'!D19)=0),"","ENT")</f>
        <v/>
      </c>
      <c r="P19" s="2" t="str">
        <f>IF(OR('A créer'!D19="Oui",LEN('A créer'!D19)=0),"","*SAVE")</f>
        <v/>
      </c>
      <c r="Q19" s="2" t="str">
        <f>IF(LEN('A créer'!D19)=0,"","*FN")</f>
        <v/>
      </c>
      <c r="R19" s="2" t="str">
        <f>IF(LEN('A créer'!D19)=0,"","Tab")</f>
        <v/>
      </c>
      <c r="S19" s="6" t="str">
        <f>IF(LEN('A créer'!D19)=0,"",CONCATENATE('A créer'!B19,'A créer'!A19))</f>
        <v/>
      </c>
      <c r="T19" s="2" t="s">
        <v>4</v>
      </c>
      <c r="U19" s="6" t="str">
        <f>IF('A créer'!F19="Oui",'A créer'!C19,IF(LEN('A créer'!F19)=0,"",CONCATENATE('A créer'!C19," (",'A créer'!M19,")")))</f>
        <v/>
      </c>
      <c r="V19" s="2" t="str">
        <f>IF(LEN('A créer'!D19)=0,"","Tab")</f>
        <v/>
      </c>
      <c r="W19" s="2" t="str">
        <f>IF(LEN('A créer'!D19)=0,"","Tab")</f>
        <v/>
      </c>
      <c r="X19" s="2" t="str">
        <f>IF(LEN('A créer'!D19)=0,"","Tab")</f>
        <v/>
      </c>
      <c r="Y19" s="6" t="str">
        <f>IF('A créer'!F19="Oui",'A créer'!J19,IF(LEN('A créer'!F19)=0,"",'A créer'!N19))</f>
        <v/>
      </c>
      <c r="Z19" s="2" t="str">
        <f>IF(LEN('A créer'!D19)=0,"","Tab")</f>
        <v/>
      </c>
      <c r="AA19" s="4" t="str">
        <f>IF('A créer'!F19="Oui","",IF(LEN('A créer'!F19)=0,"",'A créer'!O19))</f>
        <v/>
      </c>
      <c r="AB19" s="2" t="str">
        <f>IF(LEN('A créer'!D19)=0,"","Tab")</f>
        <v/>
      </c>
      <c r="AC19" s="4" t="str">
        <f>IF('A créer'!F19="Oui","",IF(LEN('A créer'!F19)=0,"","contactfournisseur@csp.dalkia.fr"))</f>
        <v/>
      </c>
      <c r="AD19" s="2" t="str">
        <f>IF(LEN('A créer'!D19)=0,"","Tab")</f>
        <v/>
      </c>
      <c r="AE19" s="2" t="str">
        <f>IF(LEN('A créer'!D19)=0,"","Tab")</f>
        <v/>
      </c>
      <c r="AF19" s="6" t="str">
        <f>IF('A créer'!F19="Oui","",IF(LEN('A créer'!F19)=0,"","ATTENTION adresse UNIQUEMENT pour la comptabilité fournisseurs"))</f>
        <v/>
      </c>
      <c r="AG19" s="2" t="str">
        <f>IF(LEN('A créer'!D19)=0,"","Tab")</f>
        <v/>
      </c>
      <c r="AH19" s="4" t="str">
        <f>IF('A créer'!F19="Oui",'A créer'!K19,IF(LEN('A créer'!F19)=0,"",""))</f>
        <v/>
      </c>
      <c r="AI19" s="2" t="str">
        <f>IF(OR(LEN('A créer'!D19)=0,LEN(AH19)&gt;0),"","Tab")</f>
        <v/>
      </c>
      <c r="AJ19" s="6" t="str">
        <f>IF('A créer'!F19="Oui",'A créer'!L19,IF(LEN('A créer'!F19)=0,"","NOUVELLE ADRESSE FACTURATION"))</f>
        <v/>
      </c>
      <c r="AK19" s="2" t="str">
        <f>IF(LEN('A créer'!D19)=0,"","Tab")</f>
        <v/>
      </c>
      <c r="AL19" s="2" t="str">
        <f>IF(LEN('A créer'!D19)=0,"","ENT")</f>
        <v/>
      </c>
      <c r="AM19" s="2" t="str">
        <f>IF(LEN('A créer'!D19)=0,"","Tab 4")</f>
        <v/>
      </c>
      <c r="AN19" s="2" t="str">
        <f>IF(LEN('A créer'!D19)=0,"","Tab 4")</f>
        <v/>
      </c>
      <c r="AO19" s="2" t="str">
        <f>IF(LEN('A créer'!D19)=0,"","Tab")</f>
        <v/>
      </c>
      <c r="AP19" s="2" t="str">
        <f>IF(LEN('A créer'!D19)=0,"","Tab")</f>
        <v/>
      </c>
      <c r="AQ19" s="2" t="str">
        <f>IF(LEN('A créer'!D19)=0,"","Tab")</f>
        <v/>
      </c>
      <c r="AR19" s="4" t="str">
        <f>IF(OR('A créer'!D19="Oui",LEN('A créer'!D19)=0),"",IF(LEN('A créer'!F19)=0,"",'A créer'!B19))</f>
        <v/>
      </c>
      <c r="AS19" s="2" t="str">
        <f>IF(LEN('A créer'!D19)=0,"","Tab")</f>
        <v/>
      </c>
      <c r="AT19" s="2" t="str">
        <f>IF(LEN('A créer'!D19)=0,"","ENT")</f>
        <v/>
      </c>
      <c r="AU19" s="2" t="str">
        <f>IF(LEN('A créer'!D19)=0,"","*SAVE")</f>
        <v/>
      </c>
    </row>
    <row r="20" spans="1:47" x14ac:dyDescent="0.35">
      <c r="A20" s="2" t="str">
        <f>IF(OR('A créer'!D20="Oui",LEN('A créer'!D20)=0),"","*FN")</f>
        <v/>
      </c>
      <c r="B20" s="2" t="str">
        <f>IF(OR('A créer'!D20="Oui",LEN('A créer'!D20)=0),"","Tab")</f>
        <v/>
      </c>
      <c r="C20" s="6" t="str">
        <f>IF(OR('A créer'!D20="Oui",LEN('A créer'!D20)=0),"",'A créer'!I20)</f>
        <v/>
      </c>
      <c r="D20" s="2" t="str">
        <f>IF(OR('A créer'!D20="Oui",LEN('A créer'!D20)=0),"","Tab")</f>
        <v/>
      </c>
      <c r="E20" s="6" t="str">
        <f>IF(OR('A créer'!D20="Oui",LEN('A créer'!D20)=0),"",'A créer'!C20)</f>
        <v/>
      </c>
      <c r="F20" s="2" t="str">
        <f>IF(OR('A créer'!D20="Oui",LEN('A créer'!D20)=0),"","Tab")</f>
        <v/>
      </c>
      <c r="G20" s="2" t="str">
        <f>IF(OR('A créer'!D20="Oui",LEN('A créer'!D20)=0),"","Tab")</f>
        <v/>
      </c>
      <c r="H20" s="2" t="str">
        <f>IF(OR('A créer'!D20="Oui",LEN('A créer'!D20)=0),"","Tab")</f>
        <v/>
      </c>
      <c r="I20" s="6" t="str">
        <f>IF(OR('A créer'!D20="Oui",LEN('A créer'!D20)=0),"",'A créer'!J20)</f>
        <v/>
      </c>
      <c r="J20" s="2" t="str">
        <f>IF(OR('A créer'!D20="Oui",LEN('A créer'!D20)=0),"","Tab 4")</f>
        <v/>
      </c>
      <c r="K20" s="2" t="str">
        <f>IF(OR('A créer'!D20="Oui",LEN('A créer'!D20)=0),"","Tab")</f>
        <v/>
      </c>
      <c r="L20" s="6" t="str">
        <f>IF(OR('A créer'!D20="Oui",LEN('A créer'!D20)=0),"",'A créer'!K20)</f>
        <v/>
      </c>
      <c r="M20" s="6" t="str">
        <f>IF(OR('A créer'!D20="Oui",LEN('A créer'!D20)=0),"",'A créer'!L20)</f>
        <v/>
      </c>
      <c r="N20" s="2" t="str">
        <f>IF(OR('A créer'!D20="Oui",LEN('A créer'!D20)=0),"","Tab")</f>
        <v/>
      </c>
      <c r="O20" s="2" t="str">
        <f>IF(OR('A créer'!D20="Oui",LEN('A créer'!D20)=0),"","ENT")</f>
        <v/>
      </c>
      <c r="P20" s="2" t="str">
        <f>IF(OR('A créer'!D20="Oui",LEN('A créer'!D20)=0),"","*SAVE")</f>
        <v/>
      </c>
      <c r="Q20" s="2" t="str">
        <f>IF(LEN('A créer'!D20)=0,"","*FN")</f>
        <v/>
      </c>
      <c r="R20" s="2" t="str">
        <f>IF(LEN('A créer'!D20)=0,"","Tab")</f>
        <v/>
      </c>
      <c r="S20" s="6" t="str">
        <f>IF(LEN('A créer'!D20)=0,"",CONCATENATE('A créer'!B20,'A créer'!A20))</f>
        <v/>
      </c>
      <c r="T20" s="2" t="s">
        <v>4</v>
      </c>
      <c r="U20" s="6" t="str">
        <f>IF('A créer'!F20="Oui",'A créer'!C20,IF(LEN('A créer'!F20)=0,"",CONCATENATE('A créer'!C20," (",'A créer'!M20,")")))</f>
        <v/>
      </c>
      <c r="V20" s="2" t="str">
        <f>IF(LEN('A créer'!D20)=0,"","Tab")</f>
        <v/>
      </c>
      <c r="W20" s="2" t="str">
        <f>IF(LEN('A créer'!D20)=0,"","Tab")</f>
        <v/>
      </c>
      <c r="X20" s="2" t="str">
        <f>IF(LEN('A créer'!D20)=0,"","Tab")</f>
        <v/>
      </c>
      <c r="Y20" s="6" t="str">
        <f>IF('A créer'!F20="Oui",'A créer'!J20,IF(LEN('A créer'!F20)=0,"",'A créer'!N20))</f>
        <v/>
      </c>
      <c r="Z20" s="2" t="str">
        <f>IF(LEN('A créer'!D20)=0,"","Tab")</f>
        <v/>
      </c>
      <c r="AA20" s="4" t="str">
        <f>IF('A créer'!F20="Oui","",IF(LEN('A créer'!F20)=0,"",'A créer'!O20))</f>
        <v/>
      </c>
      <c r="AB20" s="2" t="str">
        <f>IF(LEN('A créer'!D20)=0,"","Tab")</f>
        <v/>
      </c>
      <c r="AC20" s="4" t="str">
        <f>IF('A créer'!F20="Oui","",IF(LEN('A créer'!F20)=0,"","contactfournisseur@csp.dalkia.fr"))</f>
        <v/>
      </c>
      <c r="AD20" s="2" t="str">
        <f>IF(LEN('A créer'!D20)=0,"","Tab")</f>
        <v/>
      </c>
      <c r="AE20" s="2" t="str">
        <f>IF(LEN('A créer'!D20)=0,"","Tab")</f>
        <v/>
      </c>
      <c r="AF20" s="6" t="str">
        <f>IF('A créer'!F20="Oui","",IF(LEN('A créer'!F20)=0,"","ATTENTION adresse UNIQUEMENT pour la comptabilité fournisseurs"))</f>
        <v/>
      </c>
      <c r="AG20" s="2" t="str">
        <f>IF(LEN('A créer'!D20)=0,"","Tab")</f>
        <v/>
      </c>
      <c r="AH20" s="4" t="str">
        <f>IF('A créer'!F20="Oui",'A créer'!K20,IF(LEN('A créer'!F20)=0,"",""))</f>
        <v/>
      </c>
      <c r="AI20" s="2" t="str">
        <f>IF(OR(LEN('A créer'!D20)=0,LEN(AH20)&gt;0),"","Tab")</f>
        <v/>
      </c>
      <c r="AJ20" s="6" t="str">
        <f>IF('A créer'!F20="Oui",'A créer'!L20,IF(LEN('A créer'!F20)=0,"","NOUVELLE ADRESSE FACTURATION"))</f>
        <v/>
      </c>
      <c r="AK20" s="2" t="str">
        <f>IF(LEN('A créer'!D20)=0,"","Tab")</f>
        <v/>
      </c>
      <c r="AL20" s="2" t="str">
        <f>IF(LEN('A créer'!D20)=0,"","ENT")</f>
        <v/>
      </c>
      <c r="AM20" s="2" t="str">
        <f>IF(LEN('A créer'!D20)=0,"","Tab 4")</f>
        <v/>
      </c>
      <c r="AN20" s="2" t="str">
        <f>IF(LEN('A créer'!D20)=0,"","Tab 4")</f>
        <v/>
      </c>
      <c r="AO20" s="2" t="str">
        <f>IF(LEN('A créer'!D20)=0,"","Tab")</f>
        <v/>
      </c>
      <c r="AP20" s="2" t="str">
        <f>IF(LEN('A créer'!D20)=0,"","Tab")</f>
        <v/>
      </c>
      <c r="AQ20" s="2" t="str">
        <f>IF(LEN('A créer'!D20)=0,"","Tab")</f>
        <v/>
      </c>
      <c r="AR20" s="4" t="str">
        <f>IF(OR('A créer'!D20="Oui",LEN('A créer'!D20)=0),"",IF(LEN('A créer'!F20)=0,"",'A créer'!B20))</f>
        <v/>
      </c>
      <c r="AS20" s="2" t="str">
        <f>IF(LEN('A créer'!D20)=0,"","Tab")</f>
        <v/>
      </c>
      <c r="AT20" s="2" t="str">
        <f>IF(LEN('A créer'!D20)=0,"","ENT")</f>
        <v/>
      </c>
      <c r="AU20" s="2" t="str">
        <f>IF(LEN('A créer'!D20)=0,"","*SAVE")</f>
        <v/>
      </c>
    </row>
    <row r="21" spans="1:47" x14ac:dyDescent="0.35">
      <c r="A21" s="2" t="str">
        <f>IF(OR('A créer'!D21="Oui",LEN('A créer'!D21)=0),"","*FN")</f>
        <v/>
      </c>
      <c r="B21" s="2" t="str">
        <f>IF(OR('A créer'!D21="Oui",LEN('A créer'!D21)=0),"","Tab")</f>
        <v/>
      </c>
      <c r="C21" s="6" t="str">
        <f>IF(OR('A créer'!D21="Oui",LEN('A créer'!D21)=0),"",'A créer'!I21)</f>
        <v/>
      </c>
      <c r="D21" s="2" t="str">
        <f>IF(OR('A créer'!D21="Oui",LEN('A créer'!D21)=0),"","Tab")</f>
        <v/>
      </c>
      <c r="E21" s="6" t="str">
        <f>IF(OR('A créer'!D21="Oui",LEN('A créer'!D21)=0),"",'A créer'!C21)</f>
        <v/>
      </c>
      <c r="F21" s="2" t="str">
        <f>IF(OR('A créer'!D21="Oui",LEN('A créer'!D21)=0),"","Tab")</f>
        <v/>
      </c>
      <c r="G21" s="2" t="str">
        <f>IF(OR('A créer'!D21="Oui",LEN('A créer'!D21)=0),"","Tab")</f>
        <v/>
      </c>
      <c r="H21" s="2" t="str">
        <f>IF(OR('A créer'!D21="Oui",LEN('A créer'!D21)=0),"","Tab")</f>
        <v/>
      </c>
      <c r="I21" s="6" t="str">
        <f>IF(OR('A créer'!D21="Oui",LEN('A créer'!D21)=0),"",'A créer'!J21)</f>
        <v/>
      </c>
      <c r="J21" s="2" t="str">
        <f>IF(OR('A créer'!D21="Oui",LEN('A créer'!D21)=0),"","Tab 4")</f>
        <v/>
      </c>
      <c r="K21" s="2" t="str">
        <f>IF(OR('A créer'!D21="Oui",LEN('A créer'!D21)=0),"","Tab")</f>
        <v/>
      </c>
      <c r="L21" s="6" t="str">
        <f>IF(OR('A créer'!D21="Oui",LEN('A créer'!D21)=0),"",'A créer'!K21)</f>
        <v/>
      </c>
      <c r="M21" s="6" t="str">
        <f>IF(OR('A créer'!D21="Oui",LEN('A créer'!D21)=0),"",'A créer'!L21)</f>
        <v/>
      </c>
      <c r="N21" s="2" t="str">
        <f>IF(OR('A créer'!D21="Oui",LEN('A créer'!D21)=0),"","Tab")</f>
        <v/>
      </c>
      <c r="O21" s="2" t="str">
        <f>IF(OR('A créer'!D21="Oui",LEN('A créer'!D21)=0),"","ENT")</f>
        <v/>
      </c>
      <c r="P21" s="2" t="str">
        <f>IF(OR('A créer'!D21="Oui",LEN('A créer'!D21)=0),"","*SAVE")</f>
        <v/>
      </c>
      <c r="Q21" s="2" t="str">
        <f>IF(LEN('A créer'!D21)=0,"","*FN")</f>
        <v/>
      </c>
      <c r="R21" s="2" t="str">
        <f>IF(LEN('A créer'!D21)=0,"","Tab")</f>
        <v/>
      </c>
      <c r="S21" s="6" t="str">
        <f>IF(LEN('A créer'!D21)=0,"",CONCATENATE('A créer'!B21,'A créer'!A21))</f>
        <v/>
      </c>
      <c r="T21" s="2" t="s">
        <v>4</v>
      </c>
      <c r="U21" s="6" t="str">
        <f>IF('A créer'!F21="Oui",'A créer'!C21,IF(LEN('A créer'!F21)=0,"",CONCATENATE('A créer'!C21," (",'A créer'!M21,")")))</f>
        <v/>
      </c>
      <c r="V21" s="2" t="str">
        <f>IF(LEN('A créer'!D21)=0,"","Tab")</f>
        <v/>
      </c>
      <c r="W21" s="2" t="str">
        <f>IF(LEN('A créer'!D21)=0,"","Tab")</f>
        <v/>
      </c>
      <c r="X21" s="2" t="str">
        <f>IF(LEN('A créer'!D21)=0,"","Tab")</f>
        <v/>
      </c>
      <c r="Y21" s="6" t="str">
        <f>IF('A créer'!F21="Oui",'A créer'!J21,IF(LEN('A créer'!F21)=0,"",'A créer'!N21))</f>
        <v/>
      </c>
      <c r="Z21" s="2" t="str">
        <f>IF(LEN('A créer'!D21)=0,"","Tab")</f>
        <v/>
      </c>
      <c r="AA21" s="4" t="str">
        <f>IF('A créer'!F21="Oui","",IF(LEN('A créer'!F21)=0,"",'A créer'!O21))</f>
        <v/>
      </c>
      <c r="AB21" s="2" t="str">
        <f>IF(LEN('A créer'!D21)=0,"","Tab")</f>
        <v/>
      </c>
      <c r="AC21" s="4" t="str">
        <f>IF('A créer'!F21="Oui","",IF(LEN('A créer'!F21)=0,"","contactfournisseur@csp.dalkia.fr"))</f>
        <v/>
      </c>
      <c r="AD21" s="2" t="str">
        <f>IF(LEN('A créer'!D21)=0,"","Tab")</f>
        <v/>
      </c>
      <c r="AE21" s="2" t="str">
        <f>IF(LEN('A créer'!D21)=0,"","Tab")</f>
        <v/>
      </c>
      <c r="AF21" s="6" t="str">
        <f>IF('A créer'!F21="Oui","",IF(LEN('A créer'!F21)=0,"","ATTENTION adresse UNIQUEMENT pour la comptabilité fournisseurs"))</f>
        <v/>
      </c>
      <c r="AG21" s="2" t="str">
        <f>IF(LEN('A créer'!D21)=0,"","Tab")</f>
        <v/>
      </c>
      <c r="AH21" s="4" t="str">
        <f>IF('A créer'!F21="Oui",'A créer'!K21,IF(LEN('A créer'!F21)=0,"",""))</f>
        <v/>
      </c>
      <c r="AI21" s="2" t="str">
        <f>IF(OR(LEN('A créer'!D21)=0,LEN(AH21)&gt;0),"","Tab")</f>
        <v/>
      </c>
      <c r="AJ21" s="6" t="str">
        <f>IF('A créer'!F21="Oui",'A créer'!L21,IF(LEN('A créer'!F21)=0,"","NOUVELLE ADRESSE FACTURATION"))</f>
        <v/>
      </c>
      <c r="AK21" s="2" t="str">
        <f>IF(LEN('A créer'!D21)=0,"","Tab")</f>
        <v/>
      </c>
      <c r="AL21" s="2" t="str">
        <f>IF(LEN('A créer'!D21)=0,"","ENT")</f>
        <v/>
      </c>
      <c r="AM21" s="2" t="str">
        <f>IF(LEN('A créer'!D21)=0,"","Tab 4")</f>
        <v/>
      </c>
      <c r="AN21" s="2" t="str">
        <f>IF(LEN('A créer'!D21)=0,"","Tab 4")</f>
        <v/>
      </c>
      <c r="AO21" s="2" t="str">
        <f>IF(LEN('A créer'!D21)=0,"","Tab")</f>
        <v/>
      </c>
      <c r="AP21" s="2" t="str">
        <f>IF(LEN('A créer'!D21)=0,"","Tab")</f>
        <v/>
      </c>
      <c r="AQ21" s="2" t="str">
        <f>IF(LEN('A créer'!D21)=0,"","Tab")</f>
        <v/>
      </c>
      <c r="AR21" s="4" t="str">
        <f>IF(OR('A créer'!D21="Oui",LEN('A créer'!D21)=0),"",IF(LEN('A créer'!F21)=0,"",'A créer'!B21))</f>
        <v/>
      </c>
      <c r="AS21" s="2" t="str">
        <f>IF(LEN('A créer'!D21)=0,"","Tab")</f>
        <v/>
      </c>
      <c r="AT21" s="2" t="str">
        <f>IF(LEN('A créer'!D21)=0,"","ENT")</f>
        <v/>
      </c>
      <c r="AU21" s="2" t="str">
        <f>IF(LEN('A créer'!D21)=0,"","*SAVE")</f>
        <v/>
      </c>
    </row>
    <row r="22" spans="1:47" x14ac:dyDescent="0.35">
      <c r="A22" s="2" t="str">
        <f>IF(OR('A créer'!D22="Oui",LEN('A créer'!D22)=0),"","*FN")</f>
        <v/>
      </c>
      <c r="B22" s="2" t="str">
        <f>IF(OR('A créer'!D22="Oui",LEN('A créer'!D22)=0),"","Tab")</f>
        <v/>
      </c>
      <c r="C22" s="6" t="str">
        <f>IF(OR('A créer'!D22="Oui",LEN('A créer'!D22)=0),"",'A créer'!I22)</f>
        <v/>
      </c>
      <c r="D22" s="2" t="str">
        <f>IF(OR('A créer'!D22="Oui",LEN('A créer'!D22)=0),"","Tab")</f>
        <v/>
      </c>
      <c r="E22" s="6" t="str">
        <f>IF(OR('A créer'!D22="Oui",LEN('A créer'!D22)=0),"",'A créer'!C22)</f>
        <v/>
      </c>
      <c r="F22" s="2" t="str">
        <f>IF(OR('A créer'!D22="Oui",LEN('A créer'!D22)=0),"","Tab")</f>
        <v/>
      </c>
      <c r="G22" s="2" t="str">
        <f>IF(OR('A créer'!D22="Oui",LEN('A créer'!D22)=0),"","Tab")</f>
        <v/>
      </c>
      <c r="H22" s="2" t="str">
        <f>IF(OR('A créer'!D22="Oui",LEN('A créer'!D22)=0),"","Tab")</f>
        <v/>
      </c>
      <c r="I22" s="6" t="str">
        <f>IF(OR('A créer'!D22="Oui",LEN('A créer'!D22)=0),"",'A créer'!J22)</f>
        <v/>
      </c>
      <c r="J22" s="2" t="str">
        <f>IF(OR('A créer'!D22="Oui",LEN('A créer'!D22)=0),"","Tab 4")</f>
        <v/>
      </c>
      <c r="K22" s="2" t="str">
        <f>IF(OR('A créer'!D22="Oui",LEN('A créer'!D22)=0),"","Tab")</f>
        <v/>
      </c>
      <c r="L22" s="6" t="str">
        <f>IF(OR('A créer'!D22="Oui",LEN('A créer'!D22)=0),"",'A créer'!K22)</f>
        <v/>
      </c>
      <c r="M22" s="6" t="str">
        <f>IF(OR('A créer'!D22="Oui",LEN('A créer'!D22)=0),"",'A créer'!L22)</f>
        <v/>
      </c>
      <c r="N22" s="2" t="str">
        <f>IF(OR('A créer'!D22="Oui",LEN('A créer'!D22)=0),"","Tab")</f>
        <v/>
      </c>
      <c r="O22" s="2" t="str">
        <f>IF(OR('A créer'!D22="Oui",LEN('A créer'!D22)=0),"","ENT")</f>
        <v/>
      </c>
      <c r="P22" s="2" t="str">
        <f>IF(OR('A créer'!D22="Oui",LEN('A créer'!D22)=0),"","*SAVE")</f>
        <v/>
      </c>
      <c r="Q22" s="2" t="str">
        <f>IF(LEN('A créer'!D22)=0,"","*FN")</f>
        <v/>
      </c>
      <c r="R22" s="2" t="str">
        <f>IF(LEN('A créer'!D22)=0,"","Tab")</f>
        <v/>
      </c>
      <c r="S22" s="6" t="str">
        <f>IF(LEN('A créer'!D22)=0,"",CONCATENATE('A créer'!B22,'A créer'!A22))</f>
        <v/>
      </c>
      <c r="T22" s="2" t="s">
        <v>4</v>
      </c>
      <c r="U22" s="6" t="str">
        <f>IF('A créer'!F22="Oui",'A créer'!C22,IF(LEN('A créer'!F22)=0,"",CONCATENATE('A créer'!C22," (",'A créer'!M22,")")))</f>
        <v/>
      </c>
      <c r="V22" s="2" t="str">
        <f>IF(LEN('A créer'!D22)=0,"","Tab")</f>
        <v/>
      </c>
      <c r="W22" s="2" t="str">
        <f>IF(LEN('A créer'!D22)=0,"","Tab")</f>
        <v/>
      </c>
      <c r="X22" s="2" t="str">
        <f>IF(LEN('A créer'!D22)=0,"","Tab")</f>
        <v/>
      </c>
      <c r="Y22" s="6" t="str">
        <f>IF('A créer'!F22="Oui",'A créer'!J22,IF(LEN('A créer'!F22)=0,"",'A créer'!N22))</f>
        <v/>
      </c>
      <c r="Z22" s="2" t="str">
        <f>IF(LEN('A créer'!D22)=0,"","Tab")</f>
        <v/>
      </c>
      <c r="AA22" s="4" t="str">
        <f>IF('A créer'!F22="Oui","",IF(LEN('A créer'!F22)=0,"",'A créer'!O22))</f>
        <v/>
      </c>
      <c r="AB22" s="2" t="str">
        <f>IF(LEN('A créer'!D22)=0,"","Tab")</f>
        <v/>
      </c>
      <c r="AC22" s="4" t="str">
        <f>IF('A créer'!F22="Oui","",IF(LEN('A créer'!F22)=0,"","contactfournisseur@csp.dalkia.fr"))</f>
        <v/>
      </c>
      <c r="AD22" s="2" t="str">
        <f>IF(LEN('A créer'!D22)=0,"","Tab")</f>
        <v/>
      </c>
      <c r="AE22" s="2" t="str">
        <f>IF(LEN('A créer'!D22)=0,"","Tab")</f>
        <v/>
      </c>
      <c r="AF22" s="6" t="str">
        <f>IF('A créer'!F22="Oui","",IF(LEN('A créer'!F22)=0,"","ATTENTION adresse UNIQUEMENT pour la comptabilité fournisseurs"))</f>
        <v/>
      </c>
      <c r="AG22" s="2" t="str">
        <f>IF(LEN('A créer'!D22)=0,"","Tab")</f>
        <v/>
      </c>
      <c r="AH22" s="4" t="str">
        <f>IF('A créer'!F22="Oui",'A créer'!K22,IF(LEN('A créer'!F22)=0,"",""))</f>
        <v/>
      </c>
      <c r="AI22" s="2" t="str">
        <f>IF(OR(LEN('A créer'!D22)=0,LEN(AH22)&gt;0),"","Tab")</f>
        <v/>
      </c>
      <c r="AJ22" s="6" t="str">
        <f>IF('A créer'!F22="Oui",'A créer'!L22,IF(LEN('A créer'!F22)=0,"","NOUVELLE ADRESSE FACTURATION"))</f>
        <v/>
      </c>
      <c r="AK22" s="2" t="str">
        <f>IF(LEN('A créer'!D22)=0,"","Tab")</f>
        <v/>
      </c>
      <c r="AL22" s="2" t="str">
        <f>IF(LEN('A créer'!D22)=0,"","ENT")</f>
        <v/>
      </c>
      <c r="AM22" s="2" t="str">
        <f>IF(LEN('A créer'!D22)=0,"","Tab 4")</f>
        <v/>
      </c>
      <c r="AN22" s="2" t="str">
        <f>IF(LEN('A créer'!D22)=0,"","Tab 4")</f>
        <v/>
      </c>
      <c r="AO22" s="2" t="str">
        <f>IF(LEN('A créer'!D22)=0,"","Tab")</f>
        <v/>
      </c>
      <c r="AP22" s="2" t="str">
        <f>IF(LEN('A créer'!D22)=0,"","Tab")</f>
        <v/>
      </c>
      <c r="AQ22" s="2" t="str">
        <f>IF(LEN('A créer'!D22)=0,"","Tab")</f>
        <v/>
      </c>
      <c r="AR22" s="4" t="str">
        <f>IF(OR('A créer'!D22="Oui",LEN('A créer'!D22)=0),"",IF(LEN('A créer'!F22)=0,"",'A créer'!B22))</f>
        <v/>
      </c>
      <c r="AS22" s="2" t="str">
        <f>IF(LEN('A créer'!D22)=0,"","Tab")</f>
        <v/>
      </c>
      <c r="AT22" s="2" t="str">
        <f>IF(LEN('A créer'!D22)=0,"","ENT")</f>
        <v/>
      </c>
      <c r="AU22" s="2" t="str">
        <f>IF(LEN('A créer'!D22)=0,"","*SAVE")</f>
        <v/>
      </c>
    </row>
    <row r="23" spans="1:47" x14ac:dyDescent="0.35">
      <c r="A23" s="2" t="str">
        <f>IF(OR('A créer'!D23="Oui",LEN('A créer'!D23)=0),"","*FN")</f>
        <v/>
      </c>
      <c r="B23" s="2" t="str">
        <f>IF(OR('A créer'!D23="Oui",LEN('A créer'!D23)=0),"","Tab")</f>
        <v/>
      </c>
      <c r="C23" s="6" t="str">
        <f>IF(OR('A créer'!D23="Oui",LEN('A créer'!D23)=0),"",'A créer'!I23)</f>
        <v/>
      </c>
      <c r="D23" s="2" t="str">
        <f>IF(OR('A créer'!D23="Oui",LEN('A créer'!D23)=0),"","Tab")</f>
        <v/>
      </c>
      <c r="E23" s="6" t="str">
        <f>IF(OR('A créer'!D23="Oui",LEN('A créer'!D23)=0),"",'A créer'!C23)</f>
        <v/>
      </c>
      <c r="F23" s="2" t="str">
        <f>IF(OR('A créer'!D23="Oui",LEN('A créer'!D23)=0),"","Tab")</f>
        <v/>
      </c>
      <c r="G23" s="2" t="str">
        <f>IF(OR('A créer'!D23="Oui",LEN('A créer'!D23)=0),"","Tab")</f>
        <v/>
      </c>
      <c r="H23" s="2" t="str">
        <f>IF(OR('A créer'!D23="Oui",LEN('A créer'!D23)=0),"","Tab")</f>
        <v/>
      </c>
      <c r="I23" s="6" t="str">
        <f>IF(OR('A créer'!D23="Oui",LEN('A créer'!D23)=0),"",'A créer'!J23)</f>
        <v/>
      </c>
      <c r="J23" s="2" t="str">
        <f>IF(OR('A créer'!D23="Oui",LEN('A créer'!D23)=0),"","Tab 4")</f>
        <v/>
      </c>
      <c r="K23" s="2" t="str">
        <f>IF(OR('A créer'!D23="Oui",LEN('A créer'!D23)=0),"","Tab")</f>
        <v/>
      </c>
      <c r="L23" s="6" t="str">
        <f>IF(OR('A créer'!D23="Oui",LEN('A créer'!D23)=0),"",'A créer'!K23)</f>
        <v/>
      </c>
      <c r="M23" s="6" t="str">
        <f>IF(OR('A créer'!D23="Oui",LEN('A créer'!D23)=0),"",'A créer'!L23)</f>
        <v/>
      </c>
      <c r="N23" s="2" t="str">
        <f>IF(OR('A créer'!D23="Oui",LEN('A créer'!D23)=0),"","Tab")</f>
        <v/>
      </c>
      <c r="O23" s="2" t="str">
        <f>IF(OR('A créer'!D23="Oui",LEN('A créer'!D23)=0),"","ENT")</f>
        <v/>
      </c>
      <c r="P23" s="2" t="str">
        <f>IF(OR('A créer'!D23="Oui",LEN('A créer'!D23)=0),"","*SAVE")</f>
        <v/>
      </c>
      <c r="Q23" s="2" t="str">
        <f>IF(LEN('A créer'!D23)=0,"","*FN")</f>
        <v/>
      </c>
      <c r="R23" s="2" t="str">
        <f>IF(LEN('A créer'!D23)=0,"","Tab")</f>
        <v/>
      </c>
      <c r="S23" s="6" t="str">
        <f>IF(LEN('A créer'!D23)=0,"",CONCATENATE('A créer'!B23,'A créer'!A23))</f>
        <v/>
      </c>
      <c r="T23" s="2" t="s">
        <v>4</v>
      </c>
      <c r="U23" s="6" t="str">
        <f>IF('A créer'!F23="Oui",'A créer'!C23,IF(LEN('A créer'!F23)=0,"",CONCATENATE('A créer'!C23," (",'A créer'!M23,")")))</f>
        <v/>
      </c>
      <c r="V23" s="2" t="str">
        <f>IF(LEN('A créer'!D23)=0,"","Tab")</f>
        <v/>
      </c>
      <c r="W23" s="2" t="str">
        <f>IF(LEN('A créer'!D23)=0,"","Tab")</f>
        <v/>
      </c>
      <c r="X23" s="2" t="str">
        <f>IF(LEN('A créer'!D23)=0,"","Tab")</f>
        <v/>
      </c>
      <c r="Y23" s="6" t="str">
        <f>IF('A créer'!F23="Oui",'A créer'!J23,IF(LEN('A créer'!F23)=0,"",'A créer'!N23))</f>
        <v/>
      </c>
      <c r="Z23" s="2" t="str">
        <f>IF(LEN('A créer'!D23)=0,"","Tab")</f>
        <v/>
      </c>
      <c r="AA23" s="4" t="str">
        <f>IF('A créer'!F23="Oui","",IF(LEN('A créer'!F23)=0,"",'A créer'!O23))</f>
        <v/>
      </c>
      <c r="AB23" s="2" t="str">
        <f>IF(LEN('A créer'!D23)=0,"","Tab")</f>
        <v/>
      </c>
      <c r="AC23" s="4" t="str">
        <f>IF('A créer'!F23="Oui","",IF(LEN('A créer'!F23)=0,"","contactfournisseur@csp.dalkia.fr"))</f>
        <v/>
      </c>
      <c r="AD23" s="2" t="str">
        <f>IF(LEN('A créer'!D23)=0,"","Tab")</f>
        <v/>
      </c>
      <c r="AE23" s="2" t="str">
        <f>IF(LEN('A créer'!D23)=0,"","Tab")</f>
        <v/>
      </c>
      <c r="AF23" s="6" t="str">
        <f>IF('A créer'!F23="Oui","",IF(LEN('A créer'!F23)=0,"","ATTENTION adresse UNIQUEMENT pour la comptabilité fournisseurs"))</f>
        <v/>
      </c>
      <c r="AG23" s="2" t="str">
        <f>IF(LEN('A créer'!D23)=0,"","Tab")</f>
        <v/>
      </c>
      <c r="AH23" s="4" t="str">
        <f>IF('A créer'!F23="Oui",'A créer'!K23,IF(LEN('A créer'!F23)=0,"",""))</f>
        <v/>
      </c>
      <c r="AI23" s="2" t="str">
        <f>IF(OR(LEN('A créer'!D23)=0,LEN(AH23)&gt;0),"","Tab")</f>
        <v/>
      </c>
      <c r="AJ23" s="6" t="str">
        <f>IF('A créer'!F23="Oui",'A créer'!L23,IF(LEN('A créer'!F23)=0,"","NOUVELLE ADRESSE FACTURATION"))</f>
        <v/>
      </c>
      <c r="AK23" s="2" t="str">
        <f>IF(LEN('A créer'!D23)=0,"","Tab")</f>
        <v/>
      </c>
      <c r="AL23" s="2" t="str">
        <f>IF(LEN('A créer'!D23)=0,"","ENT")</f>
        <v/>
      </c>
      <c r="AM23" s="2" t="str">
        <f>IF(LEN('A créer'!D23)=0,"","Tab 4")</f>
        <v/>
      </c>
      <c r="AN23" s="2" t="str">
        <f>IF(LEN('A créer'!D23)=0,"","Tab 4")</f>
        <v/>
      </c>
      <c r="AO23" s="2" t="str">
        <f>IF(LEN('A créer'!D23)=0,"","Tab")</f>
        <v/>
      </c>
      <c r="AP23" s="2" t="str">
        <f>IF(LEN('A créer'!D23)=0,"","Tab")</f>
        <v/>
      </c>
      <c r="AQ23" s="2" t="str">
        <f>IF(LEN('A créer'!D23)=0,"","Tab")</f>
        <v/>
      </c>
      <c r="AR23" s="4" t="str">
        <f>IF(OR('A créer'!D23="Oui",LEN('A créer'!D23)=0),"",IF(LEN('A créer'!F23)=0,"",'A créer'!B23))</f>
        <v/>
      </c>
      <c r="AS23" s="2" t="str">
        <f>IF(LEN('A créer'!D23)=0,"","Tab")</f>
        <v/>
      </c>
      <c r="AT23" s="2" t="str">
        <f>IF(LEN('A créer'!D23)=0,"","ENT")</f>
        <v/>
      </c>
      <c r="AU23" s="2" t="str">
        <f>IF(LEN('A créer'!D23)=0,"","*SAVE")</f>
        <v/>
      </c>
    </row>
    <row r="24" spans="1:47" x14ac:dyDescent="0.35">
      <c r="A24" s="2" t="str">
        <f>IF(OR('A créer'!D24="Oui",LEN('A créer'!D24)=0),"","*FN")</f>
        <v/>
      </c>
      <c r="B24" s="2" t="str">
        <f>IF(OR('A créer'!D24="Oui",LEN('A créer'!D24)=0),"","Tab")</f>
        <v/>
      </c>
      <c r="C24" s="6" t="str">
        <f>IF(OR('A créer'!D24="Oui",LEN('A créer'!D24)=0),"",'A créer'!I24)</f>
        <v/>
      </c>
      <c r="D24" s="2" t="str">
        <f>IF(OR('A créer'!D24="Oui",LEN('A créer'!D24)=0),"","Tab")</f>
        <v/>
      </c>
      <c r="E24" s="6" t="str">
        <f>IF(OR('A créer'!D24="Oui",LEN('A créer'!D24)=0),"",'A créer'!C24)</f>
        <v/>
      </c>
      <c r="F24" s="2" t="str">
        <f>IF(OR('A créer'!D24="Oui",LEN('A créer'!D24)=0),"","Tab")</f>
        <v/>
      </c>
      <c r="G24" s="2" t="str">
        <f>IF(OR('A créer'!D24="Oui",LEN('A créer'!D24)=0),"","Tab")</f>
        <v/>
      </c>
      <c r="H24" s="2" t="str">
        <f>IF(OR('A créer'!D24="Oui",LEN('A créer'!D24)=0),"","Tab")</f>
        <v/>
      </c>
      <c r="I24" s="6" t="str">
        <f>IF(OR('A créer'!D24="Oui",LEN('A créer'!D24)=0),"",'A créer'!J24)</f>
        <v/>
      </c>
      <c r="J24" s="2" t="str">
        <f>IF(OR('A créer'!D24="Oui",LEN('A créer'!D24)=0),"","Tab 4")</f>
        <v/>
      </c>
      <c r="K24" s="2" t="str">
        <f>IF(OR('A créer'!D24="Oui",LEN('A créer'!D24)=0),"","Tab")</f>
        <v/>
      </c>
      <c r="L24" s="6" t="str">
        <f>IF(OR('A créer'!D24="Oui",LEN('A créer'!D24)=0),"",'A créer'!K24)</f>
        <v/>
      </c>
      <c r="M24" s="6" t="str">
        <f>IF(OR('A créer'!D24="Oui",LEN('A créer'!D24)=0),"",'A créer'!L24)</f>
        <v/>
      </c>
      <c r="N24" s="2" t="str">
        <f>IF(OR('A créer'!D24="Oui",LEN('A créer'!D24)=0),"","Tab")</f>
        <v/>
      </c>
      <c r="O24" s="2" t="str">
        <f>IF(OR('A créer'!D24="Oui",LEN('A créer'!D24)=0),"","ENT")</f>
        <v/>
      </c>
      <c r="P24" s="2" t="str">
        <f>IF(OR('A créer'!D24="Oui",LEN('A créer'!D24)=0),"","*SAVE")</f>
        <v/>
      </c>
      <c r="Q24" s="2" t="str">
        <f>IF(LEN('A créer'!D24)=0,"","*FN")</f>
        <v/>
      </c>
      <c r="R24" s="2" t="str">
        <f>IF(LEN('A créer'!D24)=0,"","Tab")</f>
        <v/>
      </c>
      <c r="S24" s="6" t="str">
        <f>IF(LEN('A créer'!D24)=0,"",CONCATENATE('A créer'!B24,'A créer'!A24))</f>
        <v/>
      </c>
      <c r="T24" s="2" t="s">
        <v>4</v>
      </c>
      <c r="U24" s="6" t="str">
        <f>IF('A créer'!F24="Oui",'A créer'!C24,IF(LEN('A créer'!F24)=0,"",CONCATENATE('A créer'!C24," (",'A créer'!M24,")")))</f>
        <v/>
      </c>
      <c r="V24" s="2" t="str">
        <f>IF(LEN('A créer'!D24)=0,"","Tab")</f>
        <v/>
      </c>
      <c r="W24" s="2" t="str">
        <f>IF(LEN('A créer'!D24)=0,"","Tab")</f>
        <v/>
      </c>
      <c r="X24" s="2" t="str">
        <f>IF(LEN('A créer'!D24)=0,"","Tab")</f>
        <v/>
      </c>
      <c r="Y24" s="6" t="str">
        <f>IF('A créer'!F24="Oui",'A créer'!J24,IF(LEN('A créer'!F24)=0,"",'A créer'!N24))</f>
        <v/>
      </c>
      <c r="Z24" s="2" t="str">
        <f>IF(LEN('A créer'!D24)=0,"","Tab")</f>
        <v/>
      </c>
      <c r="AA24" s="4" t="str">
        <f>IF('A créer'!F24="Oui","",IF(LEN('A créer'!F24)=0,"",'A créer'!O24))</f>
        <v/>
      </c>
      <c r="AB24" s="2" t="str">
        <f>IF(LEN('A créer'!D24)=0,"","Tab")</f>
        <v/>
      </c>
      <c r="AC24" s="4" t="str">
        <f>IF('A créer'!F24="Oui","",IF(LEN('A créer'!F24)=0,"","contactfournisseur@csp.dalkia.fr"))</f>
        <v/>
      </c>
      <c r="AD24" s="2" t="str">
        <f>IF(LEN('A créer'!D24)=0,"","Tab")</f>
        <v/>
      </c>
      <c r="AE24" s="2" t="str">
        <f>IF(LEN('A créer'!D24)=0,"","Tab")</f>
        <v/>
      </c>
      <c r="AF24" s="6" t="str">
        <f>IF('A créer'!F24="Oui","",IF(LEN('A créer'!F24)=0,"","ATTENTION adresse UNIQUEMENT pour la comptabilité fournisseurs"))</f>
        <v/>
      </c>
      <c r="AG24" s="2" t="str">
        <f>IF(LEN('A créer'!D24)=0,"","Tab")</f>
        <v/>
      </c>
      <c r="AH24" s="4" t="str">
        <f>IF('A créer'!F24="Oui",'A créer'!K24,IF(LEN('A créer'!F24)=0,"",""))</f>
        <v/>
      </c>
      <c r="AI24" s="2" t="str">
        <f>IF(OR(LEN('A créer'!D24)=0,LEN(AH24)&gt;0),"","Tab")</f>
        <v/>
      </c>
      <c r="AJ24" s="6" t="str">
        <f>IF('A créer'!F24="Oui",'A créer'!L24,IF(LEN('A créer'!F24)=0,"","NOUVELLE ADRESSE FACTURATION"))</f>
        <v/>
      </c>
      <c r="AK24" s="2" t="str">
        <f>IF(LEN('A créer'!D24)=0,"","Tab")</f>
        <v/>
      </c>
      <c r="AL24" s="2" t="str">
        <f>IF(LEN('A créer'!D24)=0,"","ENT")</f>
        <v/>
      </c>
      <c r="AM24" s="2" t="str">
        <f>IF(LEN('A créer'!D24)=0,"","Tab 4")</f>
        <v/>
      </c>
      <c r="AN24" s="2" t="str">
        <f>IF(LEN('A créer'!D24)=0,"","Tab 4")</f>
        <v/>
      </c>
      <c r="AO24" s="2" t="str">
        <f>IF(LEN('A créer'!D24)=0,"","Tab")</f>
        <v/>
      </c>
      <c r="AP24" s="2" t="str">
        <f>IF(LEN('A créer'!D24)=0,"","Tab")</f>
        <v/>
      </c>
      <c r="AQ24" s="2" t="str">
        <f>IF(LEN('A créer'!D24)=0,"","Tab")</f>
        <v/>
      </c>
      <c r="AR24" s="4" t="str">
        <f>IF(OR('A créer'!D24="Oui",LEN('A créer'!D24)=0),"",IF(LEN('A créer'!F24)=0,"",'A créer'!B24))</f>
        <v/>
      </c>
      <c r="AS24" s="2" t="str">
        <f>IF(LEN('A créer'!D24)=0,"","Tab")</f>
        <v/>
      </c>
      <c r="AT24" s="2" t="str">
        <f>IF(LEN('A créer'!D24)=0,"","ENT")</f>
        <v/>
      </c>
      <c r="AU24" s="2" t="str">
        <f>IF(LEN('A créer'!D24)=0,"","*SAVE")</f>
        <v/>
      </c>
    </row>
    <row r="25" spans="1:47" x14ac:dyDescent="0.35">
      <c r="A25" s="2" t="str">
        <f>IF(OR('A créer'!D25="Oui",LEN('A créer'!D25)=0),"","*FN")</f>
        <v/>
      </c>
      <c r="B25" s="2" t="str">
        <f>IF(OR('A créer'!D25="Oui",LEN('A créer'!D25)=0),"","Tab")</f>
        <v/>
      </c>
      <c r="C25" s="6" t="str">
        <f>IF(OR('A créer'!D25="Oui",LEN('A créer'!D25)=0),"",'A créer'!I25)</f>
        <v/>
      </c>
      <c r="D25" s="2" t="str">
        <f>IF(OR('A créer'!D25="Oui",LEN('A créer'!D25)=0),"","Tab")</f>
        <v/>
      </c>
      <c r="E25" s="6" t="str">
        <f>IF(OR('A créer'!D25="Oui",LEN('A créer'!D25)=0),"",'A créer'!C25)</f>
        <v/>
      </c>
      <c r="F25" s="2" t="str">
        <f>IF(OR('A créer'!D25="Oui",LEN('A créer'!D25)=0),"","Tab")</f>
        <v/>
      </c>
      <c r="G25" s="2" t="str">
        <f>IF(OR('A créer'!D25="Oui",LEN('A créer'!D25)=0),"","Tab")</f>
        <v/>
      </c>
      <c r="H25" s="2" t="str">
        <f>IF(OR('A créer'!D25="Oui",LEN('A créer'!D25)=0),"","Tab")</f>
        <v/>
      </c>
      <c r="I25" s="6" t="str">
        <f>IF(OR('A créer'!D25="Oui",LEN('A créer'!D25)=0),"",'A créer'!J25)</f>
        <v/>
      </c>
      <c r="J25" s="2" t="str">
        <f>IF(OR('A créer'!D25="Oui",LEN('A créer'!D25)=0),"","Tab 4")</f>
        <v/>
      </c>
      <c r="K25" s="2" t="str">
        <f>IF(OR('A créer'!D25="Oui",LEN('A créer'!D25)=0),"","Tab")</f>
        <v/>
      </c>
      <c r="L25" s="6" t="str">
        <f>IF(OR('A créer'!D25="Oui",LEN('A créer'!D25)=0),"",'A créer'!K25)</f>
        <v/>
      </c>
      <c r="M25" s="6" t="str">
        <f>IF(OR('A créer'!D25="Oui",LEN('A créer'!D25)=0),"",'A créer'!L25)</f>
        <v/>
      </c>
      <c r="N25" s="2" t="str">
        <f>IF(OR('A créer'!D25="Oui",LEN('A créer'!D25)=0),"","Tab")</f>
        <v/>
      </c>
      <c r="O25" s="2" t="str">
        <f>IF(OR('A créer'!D25="Oui",LEN('A créer'!D25)=0),"","ENT")</f>
        <v/>
      </c>
      <c r="P25" s="2" t="str">
        <f>IF(OR('A créer'!D25="Oui",LEN('A créer'!D25)=0),"","*SAVE")</f>
        <v/>
      </c>
      <c r="Q25" s="2" t="str">
        <f>IF(LEN('A créer'!D25)=0,"","*FN")</f>
        <v/>
      </c>
      <c r="R25" s="2" t="str">
        <f>IF(LEN('A créer'!D25)=0,"","Tab")</f>
        <v/>
      </c>
      <c r="S25" s="6" t="str">
        <f>IF(LEN('A créer'!D25)=0,"",CONCATENATE('A créer'!B25,'A créer'!A25))</f>
        <v/>
      </c>
      <c r="T25" s="2" t="s">
        <v>4</v>
      </c>
      <c r="U25" s="6" t="str">
        <f>IF('A créer'!F25="Oui",'A créer'!C25,IF(LEN('A créer'!F25)=0,"",CONCATENATE('A créer'!C25," (",'A créer'!M25,")")))</f>
        <v/>
      </c>
      <c r="V25" s="2" t="str">
        <f>IF(LEN('A créer'!D25)=0,"","Tab")</f>
        <v/>
      </c>
      <c r="W25" s="2" t="str">
        <f>IF(LEN('A créer'!D25)=0,"","Tab")</f>
        <v/>
      </c>
      <c r="X25" s="2" t="str">
        <f>IF(LEN('A créer'!D25)=0,"","Tab")</f>
        <v/>
      </c>
      <c r="Y25" s="6" t="str">
        <f>IF('A créer'!F25="Oui",'A créer'!J25,IF(LEN('A créer'!F25)=0,"",'A créer'!N25))</f>
        <v/>
      </c>
      <c r="Z25" s="2" t="str">
        <f>IF(LEN('A créer'!D25)=0,"","Tab")</f>
        <v/>
      </c>
      <c r="AA25" s="4" t="str">
        <f>IF('A créer'!F25="Oui","",IF(LEN('A créer'!F25)=0,"",'A créer'!O25))</f>
        <v/>
      </c>
      <c r="AB25" s="2" t="str">
        <f>IF(LEN('A créer'!D25)=0,"","Tab")</f>
        <v/>
      </c>
      <c r="AC25" s="4" t="str">
        <f>IF('A créer'!F25="Oui","",IF(LEN('A créer'!F25)=0,"","contactfournisseur@csp.dalkia.fr"))</f>
        <v/>
      </c>
      <c r="AD25" s="2" t="str">
        <f>IF(LEN('A créer'!D25)=0,"","Tab")</f>
        <v/>
      </c>
      <c r="AE25" s="2" t="str">
        <f>IF(LEN('A créer'!D25)=0,"","Tab")</f>
        <v/>
      </c>
      <c r="AF25" s="6" t="str">
        <f>IF('A créer'!F25="Oui","",IF(LEN('A créer'!F25)=0,"","ATTENTION adresse UNIQUEMENT pour la comptabilité fournisseurs"))</f>
        <v/>
      </c>
      <c r="AG25" s="2" t="str">
        <f>IF(LEN('A créer'!D25)=0,"","Tab")</f>
        <v/>
      </c>
      <c r="AH25" s="4" t="str">
        <f>IF('A créer'!F25="Oui",'A créer'!K25,IF(LEN('A créer'!F25)=0,"",""))</f>
        <v/>
      </c>
      <c r="AI25" s="2" t="str">
        <f>IF(OR(LEN('A créer'!D25)=0,LEN(AH25)&gt;0),"","Tab")</f>
        <v/>
      </c>
      <c r="AJ25" s="6" t="str">
        <f>IF('A créer'!F25="Oui",'A créer'!L25,IF(LEN('A créer'!F25)=0,"","NOUVELLE ADRESSE FACTURATION"))</f>
        <v/>
      </c>
      <c r="AK25" s="2" t="str">
        <f>IF(LEN('A créer'!D25)=0,"","Tab")</f>
        <v/>
      </c>
      <c r="AL25" s="2" t="str">
        <f>IF(LEN('A créer'!D25)=0,"","ENT")</f>
        <v/>
      </c>
      <c r="AM25" s="2" t="str">
        <f>IF(LEN('A créer'!D25)=0,"","Tab 4")</f>
        <v/>
      </c>
      <c r="AN25" s="2" t="str">
        <f>IF(LEN('A créer'!D25)=0,"","Tab 4")</f>
        <v/>
      </c>
      <c r="AO25" s="2" t="str">
        <f>IF(LEN('A créer'!D25)=0,"","Tab")</f>
        <v/>
      </c>
      <c r="AP25" s="2" t="str">
        <f>IF(LEN('A créer'!D25)=0,"","Tab")</f>
        <v/>
      </c>
      <c r="AQ25" s="2" t="str">
        <f>IF(LEN('A créer'!D25)=0,"","Tab")</f>
        <v/>
      </c>
      <c r="AR25" s="4" t="str">
        <f>IF(OR('A créer'!D25="Oui",LEN('A créer'!D25)=0),"",IF(LEN('A créer'!F25)=0,"",'A créer'!B25))</f>
        <v/>
      </c>
      <c r="AS25" s="2" t="str">
        <f>IF(LEN('A créer'!D25)=0,"","Tab")</f>
        <v/>
      </c>
      <c r="AT25" s="2" t="str">
        <f>IF(LEN('A créer'!D25)=0,"","ENT")</f>
        <v/>
      </c>
      <c r="AU25" s="2" t="str">
        <f>IF(LEN('A créer'!D25)=0,"","*SAVE")</f>
        <v/>
      </c>
    </row>
    <row r="26" spans="1:47" x14ac:dyDescent="0.35">
      <c r="A26" s="2" t="str">
        <f>IF(OR('A créer'!D26="Oui",LEN('A créer'!D26)=0),"","*FN")</f>
        <v/>
      </c>
      <c r="B26" s="2" t="str">
        <f>IF(OR('A créer'!D26="Oui",LEN('A créer'!D26)=0),"","Tab")</f>
        <v/>
      </c>
      <c r="C26" s="6" t="str">
        <f>IF(OR('A créer'!D26="Oui",LEN('A créer'!D26)=0),"",'A créer'!I26)</f>
        <v/>
      </c>
      <c r="D26" s="2" t="str">
        <f>IF(OR('A créer'!D26="Oui",LEN('A créer'!D26)=0),"","Tab")</f>
        <v/>
      </c>
      <c r="E26" s="6" t="str">
        <f>IF(OR('A créer'!D26="Oui",LEN('A créer'!D26)=0),"",'A créer'!C26)</f>
        <v/>
      </c>
      <c r="F26" s="2" t="str">
        <f>IF(OR('A créer'!D26="Oui",LEN('A créer'!D26)=0),"","Tab")</f>
        <v/>
      </c>
      <c r="G26" s="2" t="str">
        <f>IF(OR('A créer'!D26="Oui",LEN('A créer'!D26)=0),"","Tab")</f>
        <v/>
      </c>
      <c r="H26" s="2" t="str">
        <f>IF(OR('A créer'!D26="Oui",LEN('A créer'!D26)=0),"","Tab")</f>
        <v/>
      </c>
      <c r="I26" s="6" t="str">
        <f>IF(OR('A créer'!D26="Oui",LEN('A créer'!D26)=0),"",'A créer'!J26)</f>
        <v/>
      </c>
      <c r="J26" s="2" t="str">
        <f>IF(OR('A créer'!D26="Oui",LEN('A créer'!D26)=0),"","Tab 4")</f>
        <v/>
      </c>
      <c r="K26" s="2" t="str">
        <f>IF(OR('A créer'!D26="Oui",LEN('A créer'!D26)=0),"","Tab")</f>
        <v/>
      </c>
      <c r="L26" s="6" t="str">
        <f>IF(OR('A créer'!D26="Oui",LEN('A créer'!D26)=0),"",'A créer'!K26)</f>
        <v/>
      </c>
      <c r="M26" s="6" t="str">
        <f>IF(OR('A créer'!D26="Oui",LEN('A créer'!D26)=0),"",'A créer'!L26)</f>
        <v/>
      </c>
      <c r="N26" s="2" t="str">
        <f>IF(OR('A créer'!D26="Oui",LEN('A créer'!D26)=0),"","Tab")</f>
        <v/>
      </c>
      <c r="O26" s="2" t="str">
        <f>IF(OR('A créer'!D26="Oui",LEN('A créer'!D26)=0),"","ENT")</f>
        <v/>
      </c>
      <c r="P26" s="2" t="str">
        <f>IF(OR('A créer'!D26="Oui",LEN('A créer'!D26)=0),"","*SAVE")</f>
        <v/>
      </c>
      <c r="Q26" s="2" t="str">
        <f>IF(LEN('A créer'!D26)=0,"","*FN")</f>
        <v/>
      </c>
      <c r="R26" s="2" t="str">
        <f>IF(LEN('A créer'!D26)=0,"","Tab")</f>
        <v/>
      </c>
      <c r="S26" s="6" t="str">
        <f>IF(LEN('A créer'!D26)=0,"",CONCATENATE('A créer'!B26,'A créer'!A26))</f>
        <v/>
      </c>
      <c r="T26" s="2" t="s">
        <v>4</v>
      </c>
      <c r="U26" s="6" t="str">
        <f>IF('A créer'!F26="Oui",'A créer'!C26,IF(LEN('A créer'!F26)=0,"",CONCATENATE('A créer'!C26," (",'A créer'!M26,")")))</f>
        <v/>
      </c>
      <c r="V26" s="2" t="str">
        <f>IF(LEN('A créer'!D26)=0,"","Tab")</f>
        <v/>
      </c>
      <c r="W26" s="2" t="str">
        <f>IF(LEN('A créer'!D26)=0,"","Tab")</f>
        <v/>
      </c>
      <c r="X26" s="2" t="str">
        <f>IF(LEN('A créer'!D26)=0,"","Tab")</f>
        <v/>
      </c>
      <c r="Y26" s="6" t="str">
        <f>IF('A créer'!F26="Oui",'A créer'!J26,IF(LEN('A créer'!F26)=0,"",'A créer'!N26))</f>
        <v/>
      </c>
      <c r="Z26" s="2" t="str">
        <f>IF(LEN('A créer'!D26)=0,"","Tab")</f>
        <v/>
      </c>
      <c r="AA26" s="4" t="str">
        <f>IF('A créer'!F26="Oui","",IF(LEN('A créer'!F26)=0,"",'A créer'!O26))</f>
        <v/>
      </c>
      <c r="AB26" s="2" t="str">
        <f>IF(LEN('A créer'!D26)=0,"","Tab")</f>
        <v/>
      </c>
      <c r="AC26" s="4" t="str">
        <f>IF('A créer'!F26="Oui","",IF(LEN('A créer'!F26)=0,"","contactfournisseur@csp.dalkia.fr"))</f>
        <v/>
      </c>
      <c r="AD26" s="2" t="str">
        <f>IF(LEN('A créer'!D26)=0,"","Tab")</f>
        <v/>
      </c>
      <c r="AE26" s="2" t="str">
        <f>IF(LEN('A créer'!D26)=0,"","Tab")</f>
        <v/>
      </c>
      <c r="AF26" s="6" t="str">
        <f>IF('A créer'!F26="Oui","",IF(LEN('A créer'!F26)=0,"","ATTENTION adresse UNIQUEMENT pour la comptabilité fournisseurs"))</f>
        <v/>
      </c>
      <c r="AG26" s="2" t="str">
        <f>IF(LEN('A créer'!D26)=0,"","Tab")</f>
        <v/>
      </c>
      <c r="AH26" s="4" t="str">
        <f>IF('A créer'!F26="Oui",'A créer'!K26,IF(LEN('A créer'!F26)=0,"",""))</f>
        <v/>
      </c>
      <c r="AI26" s="2" t="str">
        <f>IF(OR(LEN('A créer'!D26)=0,LEN(AH26)&gt;0),"","Tab")</f>
        <v/>
      </c>
      <c r="AJ26" s="6" t="str">
        <f>IF('A créer'!F26="Oui",'A créer'!L26,IF(LEN('A créer'!F26)=0,"","NOUVELLE ADRESSE FACTURATION"))</f>
        <v/>
      </c>
      <c r="AK26" s="2" t="str">
        <f>IF(LEN('A créer'!D26)=0,"","Tab")</f>
        <v/>
      </c>
      <c r="AL26" s="2" t="str">
        <f>IF(LEN('A créer'!D26)=0,"","ENT")</f>
        <v/>
      </c>
      <c r="AM26" s="2" t="str">
        <f>IF(LEN('A créer'!D26)=0,"","Tab 4")</f>
        <v/>
      </c>
      <c r="AN26" s="2" t="str">
        <f>IF(LEN('A créer'!D26)=0,"","Tab 4")</f>
        <v/>
      </c>
      <c r="AO26" s="2" t="str">
        <f>IF(LEN('A créer'!D26)=0,"","Tab")</f>
        <v/>
      </c>
      <c r="AP26" s="2" t="str">
        <f>IF(LEN('A créer'!D26)=0,"","Tab")</f>
        <v/>
      </c>
      <c r="AQ26" s="2" t="str">
        <f>IF(LEN('A créer'!D26)=0,"","Tab")</f>
        <v/>
      </c>
      <c r="AR26" s="4" t="str">
        <f>IF(OR('A créer'!D26="Oui",LEN('A créer'!D26)=0),"",IF(LEN('A créer'!F26)=0,"",'A créer'!B26))</f>
        <v/>
      </c>
      <c r="AS26" s="2" t="str">
        <f>IF(LEN('A créer'!D26)=0,"","Tab")</f>
        <v/>
      </c>
      <c r="AT26" s="2" t="str">
        <f>IF(LEN('A créer'!D26)=0,"","ENT")</f>
        <v/>
      </c>
      <c r="AU26" s="2" t="str">
        <f>IF(LEN('A créer'!D26)=0,"","*SAVE")</f>
        <v/>
      </c>
    </row>
    <row r="27" spans="1:47" x14ac:dyDescent="0.35">
      <c r="A27" s="2" t="str">
        <f>IF(OR('A créer'!D27="Oui",LEN('A créer'!D27)=0),"","*FN")</f>
        <v/>
      </c>
      <c r="B27" s="2" t="str">
        <f>IF(OR('A créer'!D27="Oui",LEN('A créer'!D27)=0),"","Tab")</f>
        <v/>
      </c>
      <c r="C27" s="6" t="str">
        <f>IF(OR('A créer'!D27="Oui",LEN('A créer'!D27)=0),"",'A créer'!I27)</f>
        <v/>
      </c>
      <c r="D27" s="2" t="str">
        <f>IF(OR('A créer'!D27="Oui",LEN('A créer'!D27)=0),"","Tab")</f>
        <v/>
      </c>
      <c r="E27" s="6" t="str">
        <f>IF(OR('A créer'!D27="Oui",LEN('A créer'!D27)=0),"",'A créer'!C27)</f>
        <v/>
      </c>
      <c r="F27" s="2" t="str">
        <f>IF(OR('A créer'!D27="Oui",LEN('A créer'!D27)=0),"","Tab")</f>
        <v/>
      </c>
      <c r="G27" s="2" t="str">
        <f>IF(OR('A créer'!D27="Oui",LEN('A créer'!D27)=0),"","Tab")</f>
        <v/>
      </c>
      <c r="H27" s="2" t="str">
        <f>IF(OR('A créer'!D27="Oui",LEN('A créer'!D27)=0),"","Tab")</f>
        <v/>
      </c>
      <c r="I27" s="6" t="str">
        <f>IF(OR('A créer'!D27="Oui",LEN('A créer'!D27)=0),"",'A créer'!J27)</f>
        <v/>
      </c>
      <c r="J27" s="2" t="str">
        <f>IF(OR('A créer'!D27="Oui",LEN('A créer'!D27)=0),"","Tab 4")</f>
        <v/>
      </c>
      <c r="K27" s="2" t="str">
        <f>IF(OR('A créer'!D27="Oui",LEN('A créer'!D27)=0),"","Tab")</f>
        <v/>
      </c>
      <c r="L27" s="6" t="str">
        <f>IF(OR('A créer'!D27="Oui",LEN('A créer'!D27)=0),"",'A créer'!K27)</f>
        <v/>
      </c>
      <c r="M27" s="6" t="str">
        <f>IF(OR('A créer'!D27="Oui",LEN('A créer'!D27)=0),"",'A créer'!L27)</f>
        <v/>
      </c>
      <c r="N27" s="2" t="str">
        <f>IF(OR('A créer'!D27="Oui",LEN('A créer'!D27)=0),"","Tab")</f>
        <v/>
      </c>
      <c r="O27" s="2" t="str">
        <f>IF(OR('A créer'!D27="Oui",LEN('A créer'!D27)=0),"","ENT")</f>
        <v/>
      </c>
      <c r="P27" s="2" t="str">
        <f>IF(OR('A créer'!D27="Oui",LEN('A créer'!D27)=0),"","*SAVE")</f>
        <v/>
      </c>
      <c r="Q27" s="2" t="str">
        <f>IF(LEN('A créer'!D27)=0,"","*FN")</f>
        <v/>
      </c>
      <c r="R27" s="2" t="str">
        <f>IF(LEN('A créer'!D27)=0,"","Tab")</f>
        <v/>
      </c>
      <c r="S27" s="6" t="str">
        <f>IF(LEN('A créer'!D27)=0,"",CONCATENATE('A créer'!B27,'A créer'!A27))</f>
        <v/>
      </c>
      <c r="T27" s="2" t="s">
        <v>4</v>
      </c>
      <c r="U27" s="6" t="str">
        <f>IF('A créer'!F27="Oui",'A créer'!C27,IF(LEN('A créer'!F27)=0,"",CONCATENATE('A créer'!C27," (",'A créer'!M27,")")))</f>
        <v/>
      </c>
      <c r="V27" s="2" t="str">
        <f>IF(LEN('A créer'!D27)=0,"","Tab")</f>
        <v/>
      </c>
      <c r="W27" s="2" t="str">
        <f>IF(LEN('A créer'!D27)=0,"","Tab")</f>
        <v/>
      </c>
      <c r="X27" s="2" t="str">
        <f>IF(LEN('A créer'!D27)=0,"","Tab")</f>
        <v/>
      </c>
      <c r="Y27" s="6" t="str">
        <f>IF('A créer'!F27="Oui",'A créer'!J27,IF(LEN('A créer'!F27)=0,"",'A créer'!N27))</f>
        <v/>
      </c>
      <c r="Z27" s="2" t="str">
        <f>IF(LEN('A créer'!D27)=0,"","Tab")</f>
        <v/>
      </c>
      <c r="AA27" s="4" t="str">
        <f>IF('A créer'!F27="Oui","",IF(LEN('A créer'!F27)=0,"",'A créer'!O27))</f>
        <v/>
      </c>
      <c r="AB27" s="2" t="str">
        <f>IF(LEN('A créer'!D27)=0,"","Tab")</f>
        <v/>
      </c>
      <c r="AC27" s="4" t="str">
        <f>IF('A créer'!F27="Oui","",IF(LEN('A créer'!F27)=0,"","contactfournisseur@csp.dalkia.fr"))</f>
        <v/>
      </c>
      <c r="AD27" s="2" t="str">
        <f>IF(LEN('A créer'!D27)=0,"","Tab")</f>
        <v/>
      </c>
      <c r="AE27" s="2" t="str">
        <f>IF(LEN('A créer'!D27)=0,"","Tab")</f>
        <v/>
      </c>
      <c r="AF27" s="6" t="str">
        <f>IF('A créer'!F27="Oui","",IF(LEN('A créer'!F27)=0,"","ATTENTION adresse UNIQUEMENT pour la comptabilité fournisseurs"))</f>
        <v/>
      </c>
      <c r="AG27" s="2" t="str">
        <f>IF(LEN('A créer'!D27)=0,"","Tab")</f>
        <v/>
      </c>
      <c r="AH27" s="4" t="str">
        <f>IF('A créer'!F27="Oui",'A créer'!K27,IF(LEN('A créer'!F27)=0,"",""))</f>
        <v/>
      </c>
      <c r="AI27" s="2" t="str">
        <f>IF(OR(LEN('A créer'!D27)=0,LEN(AH27)&gt;0),"","Tab")</f>
        <v/>
      </c>
      <c r="AJ27" s="6" t="str">
        <f>IF('A créer'!F27="Oui",'A créer'!L27,IF(LEN('A créer'!F27)=0,"","NOUVELLE ADRESSE FACTURATION"))</f>
        <v/>
      </c>
      <c r="AK27" s="2" t="str">
        <f>IF(LEN('A créer'!D27)=0,"","Tab")</f>
        <v/>
      </c>
      <c r="AL27" s="2" t="str">
        <f>IF(LEN('A créer'!D27)=0,"","ENT")</f>
        <v/>
      </c>
      <c r="AM27" s="2" t="str">
        <f>IF(LEN('A créer'!D27)=0,"","Tab 4")</f>
        <v/>
      </c>
      <c r="AN27" s="2" t="str">
        <f>IF(LEN('A créer'!D27)=0,"","Tab 4")</f>
        <v/>
      </c>
      <c r="AO27" s="2" t="str">
        <f>IF(LEN('A créer'!D27)=0,"","Tab")</f>
        <v/>
      </c>
      <c r="AP27" s="2" t="str">
        <f>IF(LEN('A créer'!D27)=0,"","Tab")</f>
        <v/>
      </c>
      <c r="AQ27" s="2" t="str">
        <f>IF(LEN('A créer'!D27)=0,"","Tab")</f>
        <v/>
      </c>
      <c r="AR27" s="4" t="str">
        <f>IF(OR('A créer'!D27="Oui",LEN('A créer'!D27)=0),"",IF(LEN('A créer'!F27)=0,"",'A créer'!B27))</f>
        <v/>
      </c>
      <c r="AS27" s="2" t="str">
        <f>IF(LEN('A créer'!D27)=0,"","Tab")</f>
        <v/>
      </c>
      <c r="AT27" s="2" t="str">
        <f>IF(LEN('A créer'!D27)=0,"","ENT")</f>
        <v/>
      </c>
      <c r="AU27" s="2" t="str">
        <f>IF(LEN('A créer'!D27)=0,"","*SAVE")</f>
        <v/>
      </c>
    </row>
    <row r="28" spans="1:47" x14ac:dyDescent="0.35">
      <c r="A28" s="2" t="str">
        <f>IF(OR('A créer'!D28="Oui",LEN('A créer'!D28)=0),"","*FN")</f>
        <v/>
      </c>
      <c r="B28" s="2" t="str">
        <f>IF(OR('A créer'!D28="Oui",LEN('A créer'!D28)=0),"","Tab")</f>
        <v/>
      </c>
      <c r="C28" s="6" t="str">
        <f>IF(OR('A créer'!D28="Oui",LEN('A créer'!D28)=0),"",'A créer'!I28)</f>
        <v/>
      </c>
      <c r="D28" s="2" t="str">
        <f>IF(OR('A créer'!D28="Oui",LEN('A créer'!D28)=0),"","Tab")</f>
        <v/>
      </c>
      <c r="E28" s="6" t="str">
        <f>IF(OR('A créer'!D28="Oui",LEN('A créer'!D28)=0),"",'A créer'!C28)</f>
        <v/>
      </c>
      <c r="F28" s="2" t="str">
        <f>IF(OR('A créer'!D28="Oui",LEN('A créer'!D28)=0),"","Tab")</f>
        <v/>
      </c>
      <c r="G28" s="2" t="str">
        <f>IF(OR('A créer'!D28="Oui",LEN('A créer'!D28)=0),"","Tab")</f>
        <v/>
      </c>
      <c r="H28" s="2" t="str">
        <f>IF(OR('A créer'!D28="Oui",LEN('A créer'!D28)=0),"","Tab")</f>
        <v/>
      </c>
      <c r="I28" s="6" t="str">
        <f>IF(OR('A créer'!D28="Oui",LEN('A créer'!D28)=0),"",'A créer'!J28)</f>
        <v/>
      </c>
      <c r="J28" s="2" t="str">
        <f>IF(OR('A créer'!D28="Oui",LEN('A créer'!D28)=0),"","Tab 4")</f>
        <v/>
      </c>
      <c r="K28" s="2" t="str">
        <f>IF(OR('A créer'!D28="Oui",LEN('A créer'!D28)=0),"","Tab")</f>
        <v/>
      </c>
      <c r="L28" s="6" t="str">
        <f>IF(OR('A créer'!D28="Oui",LEN('A créer'!D28)=0),"",'A créer'!K28)</f>
        <v/>
      </c>
      <c r="M28" s="6" t="str">
        <f>IF(OR('A créer'!D28="Oui",LEN('A créer'!D28)=0),"",'A créer'!L28)</f>
        <v/>
      </c>
      <c r="N28" s="2" t="str">
        <f>IF(OR('A créer'!D28="Oui",LEN('A créer'!D28)=0),"","Tab")</f>
        <v/>
      </c>
      <c r="O28" s="2" t="str">
        <f>IF(OR('A créer'!D28="Oui",LEN('A créer'!D28)=0),"","ENT")</f>
        <v/>
      </c>
      <c r="P28" s="2" t="str">
        <f>IF(OR('A créer'!D28="Oui",LEN('A créer'!D28)=0),"","*SAVE")</f>
        <v/>
      </c>
      <c r="Q28" s="2" t="str">
        <f>IF(LEN('A créer'!D28)=0,"","*FN")</f>
        <v/>
      </c>
      <c r="R28" s="2" t="str">
        <f>IF(LEN('A créer'!D28)=0,"","Tab")</f>
        <v/>
      </c>
      <c r="S28" s="6" t="str">
        <f>IF(LEN('A créer'!D28)=0,"",CONCATENATE('A créer'!B28,'A créer'!A28))</f>
        <v/>
      </c>
      <c r="T28" s="2" t="s">
        <v>4</v>
      </c>
      <c r="U28" s="6" t="str">
        <f>IF('A créer'!F28="Oui",'A créer'!C28,IF(LEN('A créer'!F28)=0,"",CONCATENATE('A créer'!C28," (",'A créer'!M28,")")))</f>
        <v/>
      </c>
      <c r="V28" s="2" t="str">
        <f>IF(LEN('A créer'!D28)=0,"","Tab")</f>
        <v/>
      </c>
      <c r="W28" s="2" t="str">
        <f>IF(LEN('A créer'!D28)=0,"","Tab")</f>
        <v/>
      </c>
      <c r="X28" s="2" t="str">
        <f>IF(LEN('A créer'!D28)=0,"","Tab")</f>
        <v/>
      </c>
      <c r="Y28" s="6" t="str">
        <f>IF('A créer'!F28="Oui",'A créer'!J28,IF(LEN('A créer'!F28)=0,"",'A créer'!N28))</f>
        <v/>
      </c>
      <c r="Z28" s="2" t="str">
        <f>IF(LEN('A créer'!D28)=0,"","Tab")</f>
        <v/>
      </c>
      <c r="AA28" s="4" t="str">
        <f>IF('A créer'!F28="Oui","",IF(LEN('A créer'!F28)=0,"",'A créer'!O28))</f>
        <v/>
      </c>
      <c r="AB28" s="2" t="str">
        <f>IF(LEN('A créer'!D28)=0,"","Tab")</f>
        <v/>
      </c>
      <c r="AC28" s="4" t="str">
        <f>IF('A créer'!F28="Oui","",IF(LEN('A créer'!F28)=0,"","contactfournisseur@csp.dalkia.fr"))</f>
        <v/>
      </c>
      <c r="AD28" s="2" t="str">
        <f>IF(LEN('A créer'!D28)=0,"","Tab")</f>
        <v/>
      </c>
      <c r="AE28" s="2" t="str">
        <f>IF(LEN('A créer'!D28)=0,"","Tab")</f>
        <v/>
      </c>
      <c r="AF28" s="6" t="str">
        <f>IF('A créer'!F28="Oui","",IF(LEN('A créer'!F28)=0,"","ATTENTION adresse UNIQUEMENT pour la comptabilité fournisseurs"))</f>
        <v/>
      </c>
      <c r="AG28" s="2" t="str">
        <f>IF(LEN('A créer'!D28)=0,"","Tab")</f>
        <v/>
      </c>
      <c r="AH28" s="4" t="str">
        <f>IF('A créer'!F28="Oui",'A créer'!K28,IF(LEN('A créer'!F28)=0,"",""))</f>
        <v/>
      </c>
      <c r="AI28" s="2" t="str">
        <f>IF(OR(LEN('A créer'!D28)=0,LEN(AH28)&gt;0),"","Tab")</f>
        <v/>
      </c>
      <c r="AJ28" s="6" t="str">
        <f>IF('A créer'!F28="Oui",'A créer'!L28,IF(LEN('A créer'!F28)=0,"","NOUVELLE ADRESSE FACTURATION"))</f>
        <v/>
      </c>
      <c r="AK28" s="2" t="str">
        <f>IF(LEN('A créer'!D28)=0,"","Tab")</f>
        <v/>
      </c>
      <c r="AL28" s="2" t="str">
        <f>IF(LEN('A créer'!D28)=0,"","ENT")</f>
        <v/>
      </c>
      <c r="AM28" s="2" t="str">
        <f>IF(LEN('A créer'!D28)=0,"","Tab 4")</f>
        <v/>
      </c>
      <c r="AN28" s="2" t="str">
        <f>IF(LEN('A créer'!D28)=0,"","Tab 4")</f>
        <v/>
      </c>
      <c r="AO28" s="2" t="str">
        <f>IF(LEN('A créer'!D28)=0,"","Tab")</f>
        <v/>
      </c>
      <c r="AP28" s="2" t="str">
        <f>IF(LEN('A créer'!D28)=0,"","Tab")</f>
        <v/>
      </c>
      <c r="AQ28" s="2" t="str">
        <f>IF(LEN('A créer'!D28)=0,"","Tab")</f>
        <v/>
      </c>
      <c r="AR28" s="4" t="str">
        <f>IF(OR('A créer'!D28="Oui",LEN('A créer'!D28)=0),"",IF(LEN('A créer'!F28)=0,"",'A créer'!B28))</f>
        <v/>
      </c>
      <c r="AS28" s="2" t="str">
        <f>IF(LEN('A créer'!D28)=0,"","Tab")</f>
        <v/>
      </c>
      <c r="AT28" s="2" t="str">
        <f>IF(LEN('A créer'!D28)=0,"","ENT")</f>
        <v/>
      </c>
      <c r="AU28" s="2" t="str">
        <f>IF(LEN('A créer'!D28)=0,"","*SAVE")</f>
        <v/>
      </c>
    </row>
    <row r="29" spans="1:47" x14ac:dyDescent="0.35">
      <c r="A29" s="2" t="str">
        <f>IF(OR('A créer'!D29="Oui",LEN('A créer'!D29)=0),"","*FN")</f>
        <v/>
      </c>
      <c r="B29" s="2" t="str">
        <f>IF(OR('A créer'!D29="Oui",LEN('A créer'!D29)=0),"","Tab")</f>
        <v/>
      </c>
      <c r="C29" s="6" t="str">
        <f>IF(OR('A créer'!D29="Oui",LEN('A créer'!D29)=0),"",'A créer'!I29)</f>
        <v/>
      </c>
      <c r="D29" s="2" t="str">
        <f>IF(OR('A créer'!D29="Oui",LEN('A créer'!D29)=0),"","Tab")</f>
        <v/>
      </c>
      <c r="E29" s="6" t="str">
        <f>IF(OR('A créer'!D29="Oui",LEN('A créer'!D29)=0),"",'A créer'!C29)</f>
        <v/>
      </c>
      <c r="F29" s="2" t="str">
        <f>IF(OR('A créer'!D29="Oui",LEN('A créer'!D29)=0),"","Tab")</f>
        <v/>
      </c>
      <c r="G29" s="2" t="str">
        <f>IF(OR('A créer'!D29="Oui",LEN('A créer'!D29)=0),"","Tab")</f>
        <v/>
      </c>
      <c r="H29" s="2" t="str">
        <f>IF(OR('A créer'!D29="Oui",LEN('A créer'!D29)=0),"","Tab")</f>
        <v/>
      </c>
      <c r="I29" s="6" t="str">
        <f>IF(OR('A créer'!D29="Oui",LEN('A créer'!D29)=0),"",'A créer'!J29)</f>
        <v/>
      </c>
      <c r="J29" s="2" t="str">
        <f>IF(OR('A créer'!D29="Oui",LEN('A créer'!D29)=0),"","Tab 4")</f>
        <v/>
      </c>
      <c r="K29" s="2" t="str">
        <f>IF(OR('A créer'!D29="Oui",LEN('A créer'!D29)=0),"","Tab")</f>
        <v/>
      </c>
      <c r="L29" s="6" t="str">
        <f>IF(OR('A créer'!D29="Oui",LEN('A créer'!D29)=0),"",'A créer'!K29)</f>
        <v/>
      </c>
      <c r="M29" s="6" t="str">
        <f>IF(OR('A créer'!D29="Oui",LEN('A créer'!D29)=0),"",'A créer'!L29)</f>
        <v/>
      </c>
      <c r="N29" s="2" t="str">
        <f>IF(OR('A créer'!D29="Oui",LEN('A créer'!D29)=0),"","Tab")</f>
        <v/>
      </c>
      <c r="O29" s="2" t="str">
        <f>IF(OR('A créer'!D29="Oui",LEN('A créer'!D29)=0),"","ENT")</f>
        <v/>
      </c>
      <c r="P29" s="2" t="str">
        <f>IF(OR('A créer'!D29="Oui",LEN('A créer'!D29)=0),"","*SAVE")</f>
        <v/>
      </c>
      <c r="Q29" s="2" t="str">
        <f>IF(LEN('A créer'!D29)=0,"","*FN")</f>
        <v/>
      </c>
      <c r="R29" s="2" t="str">
        <f>IF(LEN('A créer'!D29)=0,"","Tab")</f>
        <v/>
      </c>
      <c r="S29" s="6" t="str">
        <f>IF(LEN('A créer'!D29)=0,"",CONCATENATE('A créer'!B29,'A créer'!A29))</f>
        <v/>
      </c>
      <c r="T29" s="2" t="s">
        <v>4</v>
      </c>
      <c r="U29" s="6" t="str">
        <f>IF('A créer'!F29="Oui",'A créer'!C29,IF(LEN('A créer'!F29)=0,"",CONCATENATE('A créer'!C29," (",'A créer'!M29,")")))</f>
        <v/>
      </c>
      <c r="V29" s="2" t="str">
        <f>IF(LEN('A créer'!D29)=0,"","Tab")</f>
        <v/>
      </c>
      <c r="W29" s="2" t="str">
        <f>IF(LEN('A créer'!D29)=0,"","Tab")</f>
        <v/>
      </c>
      <c r="X29" s="2" t="str">
        <f>IF(LEN('A créer'!D29)=0,"","Tab")</f>
        <v/>
      </c>
      <c r="Y29" s="6" t="str">
        <f>IF('A créer'!F29="Oui",'A créer'!J29,IF(LEN('A créer'!F29)=0,"",'A créer'!N29))</f>
        <v/>
      </c>
      <c r="Z29" s="2" t="str">
        <f>IF(LEN('A créer'!D29)=0,"","Tab")</f>
        <v/>
      </c>
      <c r="AA29" s="4" t="str">
        <f>IF('A créer'!F29="Oui","",IF(LEN('A créer'!F29)=0,"",'A créer'!O29))</f>
        <v/>
      </c>
      <c r="AB29" s="2" t="str">
        <f>IF(LEN('A créer'!D29)=0,"","Tab")</f>
        <v/>
      </c>
      <c r="AC29" s="4" t="str">
        <f>IF('A créer'!F29="Oui","",IF(LEN('A créer'!F29)=0,"","contactfournisseur@csp.dalkia.fr"))</f>
        <v/>
      </c>
      <c r="AD29" s="2" t="str">
        <f>IF(LEN('A créer'!D29)=0,"","Tab")</f>
        <v/>
      </c>
      <c r="AE29" s="2" t="str">
        <f>IF(LEN('A créer'!D29)=0,"","Tab")</f>
        <v/>
      </c>
      <c r="AF29" s="6" t="str">
        <f>IF('A créer'!F29="Oui","",IF(LEN('A créer'!F29)=0,"","ATTENTION adresse UNIQUEMENT pour la comptabilité fournisseurs"))</f>
        <v/>
      </c>
      <c r="AG29" s="2" t="str">
        <f>IF(LEN('A créer'!D29)=0,"","Tab")</f>
        <v/>
      </c>
      <c r="AH29" s="4" t="str">
        <f>IF('A créer'!F29="Oui",'A créer'!K29,IF(LEN('A créer'!F29)=0,"",""))</f>
        <v/>
      </c>
      <c r="AI29" s="2" t="str">
        <f>IF(OR(LEN('A créer'!D29)=0,LEN(AH29)&gt;0),"","Tab")</f>
        <v/>
      </c>
      <c r="AJ29" s="6" t="str">
        <f>IF('A créer'!F29="Oui",'A créer'!L29,IF(LEN('A créer'!F29)=0,"","NOUVELLE ADRESSE FACTURATION"))</f>
        <v/>
      </c>
      <c r="AK29" s="2" t="str">
        <f>IF(LEN('A créer'!D29)=0,"","Tab")</f>
        <v/>
      </c>
      <c r="AL29" s="2" t="str">
        <f>IF(LEN('A créer'!D29)=0,"","ENT")</f>
        <v/>
      </c>
      <c r="AM29" s="2" t="str">
        <f>IF(LEN('A créer'!D29)=0,"","Tab 4")</f>
        <v/>
      </c>
      <c r="AN29" s="2" t="str">
        <f>IF(LEN('A créer'!D29)=0,"","Tab 4")</f>
        <v/>
      </c>
      <c r="AO29" s="2" t="str">
        <f>IF(LEN('A créer'!D29)=0,"","Tab")</f>
        <v/>
      </c>
      <c r="AP29" s="2" t="str">
        <f>IF(LEN('A créer'!D29)=0,"","Tab")</f>
        <v/>
      </c>
      <c r="AQ29" s="2" t="str">
        <f>IF(LEN('A créer'!D29)=0,"","Tab")</f>
        <v/>
      </c>
      <c r="AR29" s="4" t="str">
        <f>IF(OR('A créer'!D29="Oui",LEN('A créer'!D29)=0),"",IF(LEN('A créer'!F29)=0,"",'A créer'!B29))</f>
        <v/>
      </c>
      <c r="AS29" s="2" t="str">
        <f>IF(LEN('A créer'!D29)=0,"","Tab")</f>
        <v/>
      </c>
      <c r="AT29" s="2" t="str">
        <f>IF(LEN('A créer'!D29)=0,"","ENT")</f>
        <v/>
      </c>
      <c r="AU29" s="2" t="str">
        <f>IF(LEN('A créer'!D29)=0,"","*SAVE")</f>
        <v/>
      </c>
    </row>
    <row r="30" spans="1:47" x14ac:dyDescent="0.35">
      <c r="A30" s="2" t="str">
        <f>IF(OR('A créer'!D30="Oui",LEN('A créer'!D30)=0),"","*FN")</f>
        <v/>
      </c>
      <c r="B30" s="2" t="str">
        <f>IF(OR('A créer'!D30="Oui",LEN('A créer'!D30)=0),"","Tab")</f>
        <v/>
      </c>
      <c r="C30" s="6" t="str">
        <f>IF(OR('A créer'!D30="Oui",LEN('A créer'!D30)=0),"",'A créer'!I30)</f>
        <v/>
      </c>
      <c r="D30" s="2" t="str">
        <f>IF(OR('A créer'!D30="Oui",LEN('A créer'!D30)=0),"","Tab")</f>
        <v/>
      </c>
      <c r="E30" s="6" t="str">
        <f>IF(OR('A créer'!D30="Oui",LEN('A créer'!D30)=0),"",'A créer'!C30)</f>
        <v/>
      </c>
      <c r="F30" s="2" t="str">
        <f>IF(OR('A créer'!D30="Oui",LEN('A créer'!D30)=0),"","Tab")</f>
        <v/>
      </c>
      <c r="G30" s="2" t="str">
        <f>IF(OR('A créer'!D30="Oui",LEN('A créer'!D30)=0),"","Tab")</f>
        <v/>
      </c>
      <c r="H30" s="2" t="str">
        <f>IF(OR('A créer'!D30="Oui",LEN('A créer'!D30)=0),"","Tab")</f>
        <v/>
      </c>
      <c r="I30" s="6" t="str">
        <f>IF(OR('A créer'!D30="Oui",LEN('A créer'!D30)=0),"",'A créer'!J30)</f>
        <v/>
      </c>
      <c r="J30" s="2" t="str">
        <f>IF(OR('A créer'!D30="Oui",LEN('A créer'!D30)=0),"","Tab 4")</f>
        <v/>
      </c>
      <c r="K30" s="2" t="str">
        <f>IF(OR('A créer'!D30="Oui",LEN('A créer'!D30)=0),"","Tab")</f>
        <v/>
      </c>
      <c r="L30" s="6" t="str">
        <f>IF(OR('A créer'!D30="Oui",LEN('A créer'!D30)=0),"",'A créer'!K30)</f>
        <v/>
      </c>
      <c r="M30" s="6" t="str">
        <f>IF(OR('A créer'!D30="Oui",LEN('A créer'!D30)=0),"",'A créer'!L30)</f>
        <v/>
      </c>
      <c r="N30" s="2" t="str">
        <f>IF(OR('A créer'!D30="Oui",LEN('A créer'!D30)=0),"","Tab")</f>
        <v/>
      </c>
      <c r="O30" s="2" t="str">
        <f>IF(OR('A créer'!D30="Oui",LEN('A créer'!D30)=0),"","ENT")</f>
        <v/>
      </c>
      <c r="P30" s="2" t="str">
        <f>IF(OR('A créer'!D30="Oui",LEN('A créer'!D30)=0),"","*SAVE")</f>
        <v/>
      </c>
      <c r="Q30" s="2" t="str">
        <f>IF(LEN('A créer'!D30)=0,"","*FN")</f>
        <v/>
      </c>
      <c r="R30" s="2" t="str">
        <f>IF(LEN('A créer'!D30)=0,"","Tab")</f>
        <v/>
      </c>
      <c r="S30" s="6" t="str">
        <f>IF(LEN('A créer'!D30)=0,"",CONCATENATE('A créer'!B30,'A créer'!A30))</f>
        <v/>
      </c>
      <c r="T30" s="2" t="s">
        <v>4</v>
      </c>
      <c r="U30" s="6" t="str">
        <f>IF('A créer'!F30="Oui",'A créer'!C30,IF(LEN('A créer'!F30)=0,"",CONCATENATE('A créer'!C30," (",'A créer'!M30,")")))</f>
        <v/>
      </c>
      <c r="V30" s="2" t="str">
        <f>IF(LEN('A créer'!D30)=0,"","Tab")</f>
        <v/>
      </c>
      <c r="W30" s="2" t="str">
        <f>IF(LEN('A créer'!D30)=0,"","Tab")</f>
        <v/>
      </c>
      <c r="X30" s="2" t="str">
        <f>IF(LEN('A créer'!D30)=0,"","Tab")</f>
        <v/>
      </c>
      <c r="Y30" s="6" t="str">
        <f>IF('A créer'!F30="Oui",'A créer'!J30,IF(LEN('A créer'!F30)=0,"",'A créer'!N30))</f>
        <v/>
      </c>
      <c r="Z30" s="2" t="str">
        <f>IF(LEN('A créer'!D30)=0,"","Tab")</f>
        <v/>
      </c>
      <c r="AA30" s="4" t="str">
        <f>IF('A créer'!F30="Oui","",IF(LEN('A créer'!F30)=0,"",'A créer'!O30))</f>
        <v/>
      </c>
      <c r="AB30" s="2" t="str">
        <f>IF(LEN('A créer'!D30)=0,"","Tab")</f>
        <v/>
      </c>
      <c r="AC30" s="4" t="str">
        <f>IF('A créer'!F30="Oui","",IF(LEN('A créer'!F30)=0,"","contactfournisseur@csp.dalkia.fr"))</f>
        <v/>
      </c>
      <c r="AD30" s="2" t="str">
        <f>IF(LEN('A créer'!D30)=0,"","Tab")</f>
        <v/>
      </c>
      <c r="AE30" s="2" t="str">
        <f>IF(LEN('A créer'!D30)=0,"","Tab")</f>
        <v/>
      </c>
      <c r="AF30" s="6" t="str">
        <f>IF('A créer'!F30="Oui","",IF(LEN('A créer'!F30)=0,"","ATTENTION adresse UNIQUEMENT pour la comptabilité fournisseurs"))</f>
        <v/>
      </c>
      <c r="AG30" s="2" t="str">
        <f>IF(LEN('A créer'!D30)=0,"","Tab")</f>
        <v/>
      </c>
      <c r="AH30" s="4" t="str">
        <f>IF('A créer'!F30="Oui",'A créer'!K30,IF(LEN('A créer'!F30)=0,"",""))</f>
        <v/>
      </c>
      <c r="AI30" s="2" t="str">
        <f>IF(OR(LEN('A créer'!D30)=0,LEN(AH30)&gt;0),"","Tab")</f>
        <v/>
      </c>
      <c r="AJ30" s="6" t="str">
        <f>IF('A créer'!F30="Oui",'A créer'!L30,IF(LEN('A créer'!F30)=0,"","NOUVELLE ADRESSE FACTURATION"))</f>
        <v/>
      </c>
      <c r="AK30" s="2" t="str">
        <f>IF(LEN('A créer'!D30)=0,"","Tab")</f>
        <v/>
      </c>
      <c r="AL30" s="2" t="str">
        <f>IF(LEN('A créer'!D30)=0,"","ENT")</f>
        <v/>
      </c>
      <c r="AM30" s="2" t="str">
        <f>IF(LEN('A créer'!D30)=0,"","Tab 4")</f>
        <v/>
      </c>
      <c r="AN30" s="2" t="str">
        <f>IF(LEN('A créer'!D30)=0,"","Tab 4")</f>
        <v/>
      </c>
      <c r="AO30" s="2" t="str">
        <f>IF(LEN('A créer'!D30)=0,"","Tab")</f>
        <v/>
      </c>
      <c r="AP30" s="2" t="str">
        <f>IF(LEN('A créer'!D30)=0,"","Tab")</f>
        <v/>
      </c>
      <c r="AQ30" s="2" t="str">
        <f>IF(LEN('A créer'!D30)=0,"","Tab")</f>
        <v/>
      </c>
      <c r="AR30" s="4" t="str">
        <f>IF(OR('A créer'!D30="Oui",LEN('A créer'!D30)=0),"",IF(LEN('A créer'!F30)=0,"",'A créer'!B30))</f>
        <v/>
      </c>
      <c r="AS30" s="2" t="str">
        <f>IF(LEN('A créer'!D30)=0,"","Tab")</f>
        <v/>
      </c>
      <c r="AT30" s="2" t="str">
        <f>IF(LEN('A créer'!D30)=0,"","ENT")</f>
        <v/>
      </c>
      <c r="AU30" s="2" t="str">
        <f>IF(LEN('A créer'!D30)=0,"","*SAVE")</f>
        <v/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I30"/>
  <sheetViews>
    <sheetView workbookViewId="0">
      <pane ySplit="1" topLeftCell="A2" activePane="bottomLeft" state="frozenSplit"/>
      <selection activeCell="G4" sqref="G4"/>
      <selection pane="bottomLeft" activeCell="G4" sqref="G4"/>
    </sheetView>
  </sheetViews>
  <sheetFormatPr baseColWidth="10" defaultRowHeight="14.5" x14ac:dyDescent="0.35"/>
  <cols>
    <col min="1" max="1" width="4.26953125" bestFit="1" customWidth="1"/>
    <col min="2" max="2" width="4" bestFit="1" customWidth="1"/>
    <col min="3" max="3" width="5.26953125" bestFit="1" customWidth="1"/>
    <col min="4" max="4" width="4" bestFit="1" customWidth="1"/>
    <col min="6" max="6" width="4" bestFit="1" customWidth="1"/>
    <col min="8" max="8" width="4.54296875" bestFit="1" customWidth="1"/>
    <col min="9" max="9" width="6.1796875" bestFit="1" customWidth="1"/>
  </cols>
  <sheetData>
    <row r="1" spans="1:9" x14ac:dyDescent="0.35">
      <c r="A1" s="2" t="s">
        <v>18</v>
      </c>
      <c r="B1" s="2" t="s">
        <v>4</v>
      </c>
      <c r="C1" t="s">
        <v>35</v>
      </c>
      <c r="D1" s="2" t="s">
        <v>4</v>
      </c>
      <c r="E1" t="s">
        <v>21</v>
      </c>
      <c r="F1" s="2" t="s">
        <v>4</v>
      </c>
      <c r="H1" s="2" t="s">
        <v>4</v>
      </c>
      <c r="I1" s="2" t="s">
        <v>16</v>
      </c>
    </row>
    <row r="2" spans="1:9" x14ac:dyDescent="0.35">
      <c r="A2" s="2" t="str">
        <f>IF(LEN('A créer'!C2)=0,"","*FN")</f>
        <v>*FN</v>
      </c>
      <c r="B2" s="2" t="str">
        <f>IF(LEN('A créer'!A2)=0,"","Tab")</f>
        <v>Tab</v>
      </c>
      <c r="C2" t="str">
        <f>IF(LEN('A créer'!C2)=0,"",'A créer'!A2)</f>
        <v>0535</v>
      </c>
      <c r="D2" s="2" t="str">
        <f>IF(LEN('A créer'!C2)=0,"","Tab")</f>
        <v>Tab</v>
      </c>
      <c r="E2" t="str">
        <f>IF(LEN('A créer'!C2)=0,"",'A créer'!B2)</f>
        <v>DCW</v>
      </c>
      <c r="F2" s="2" t="str">
        <f>IF(LEN('A créer'!C2)=0,"","Tab")</f>
        <v>Tab</v>
      </c>
      <c r="G2" t="str">
        <f>IF(LEN('A créer'!C2)=0,"",'A créer'!G2)</f>
        <v>S2301</v>
      </c>
      <c r="H2" s="2" t="str">
        <f>IF(LEN('A créer'!C2)=0,"","Tab")</f>
        <v>Tab</v>
      </c>
      <c r="I2" s="2" t="str">
        <f>IF(LEN('A créer'!C2)=0,"","*SAVE")</f>
        <v>*SAVE</v>
      </c>
    </row>
    <row r="3" spans="1:9" x14ac:dyDescent="0.35">
      <c r="A3" s="2" t="str">
        <f>IF(LEN('A créer'!C3)=0,"","*FN")</f>
        <v/>
      </c>
      <c r="B3" s="2" t="str">
        <f>IF(LEN('A créer'!A3)=0,"","Tab")</f>
        <v/>
      </c>
      <c r="C3" t="str">
        <f>IF(LEN('A créer'!C3)=0,"",'A créer'!A3)</f>
        <v/>
      </c>
      <c r="D3" s="2" t="str">
        <f>IF(LEN('A créer'!C3)=0,"","Tab")</f>
        <v/>
      </c>
      <c r="E3" t="str">
        <f>IF(LEN('A créer'!C3)=0,"",'A créer'!B3)</f>
        <v/>
      </c>
      <c r="F3" s="2" t="str">
        <f>IF(LEN('A créer'!C3)=0,"","Tab")</f>
        <v/>
      </c>
      <c r="G3" t="str">
        <f>IF(LEN('A créer'!C3)=0,"",'A créer'!G3)</f>
        <v/>
      </c>
      <c r="H3" s="2" t="str">
        <f>IF(LEN('A créer'!C3)=0,"","Tab")</f>
        <v/>
      </c>
      <c r="I3" s="2" t="str">
        <f>IF(LEN('A créer'!C3)=0,"","*SAVE")</f>
        <v/>
      </c>
    </row>
    <row r="4" spans="1:9" x14ac:dyDescent="0.35">
      <c r="A4" s="2" t="str">
        <f>IF(LEN('A créer'!C4)=0,"","*FN")</f>
        <v>*FN</v>
      </c>
      <c r="B4" s="2" t="str">
        <f>IF(LEN('A créer'!A4)=0,"","Tab")</f>
        <v>Tab</v>
      </c>
      <c r="C4" t="str">
        <f>IF(LEN('A créer'!C4)=0,"",'A créer'!A4)</f>
        <v>0595</v>
      </c>
      <c r="D4" s="2" t="str">
        <f>IF(LEN('A créer'!C4)=0,"","Tab")</f>
        <v>Tab</v>
      </c>
      <c r="E4" t="str">
        <f>IF(LEN('A créer'!C4)=0,"",'A créer'!B4)</f>
        <v>DCW</v>
      </c>
      <c r="F4" s="2" t="str">
        <f>IF(LEN('A créer'!C4)=0,"","Tab")</f>
        <v>Tab</v>
      </c>
      <c r="G4" t="str">
        <f>IF(LEN('A créer'!C4)=0,"",'A créer'!G4)</f>
        <v>S2070</v>
      </c>
      <c r="H4" s="2" t="str">
        <f>IF(LEN('A créer'!C4)=0,"","Tab")</f>
        <v>Tab</v>
      </c>
      <c r="I4" s="2" t="str">
        <f>IF(LEN('A créer'!C4)=0,"","*SAVE")</f>
        <v>*SAVE</v>
      </c>
    </row>
    <row r="5" spans="1:9" x14ac:dyDescent="0.35">
      <c r="A5" s="2" t="str">
        <f>IF(LEN('A créer'!C5)=0,"","*FN")</f>
        <v/>
      </c>
      <c r="B5" s="2" t="str">
        <f>IF(LEN('A créer'!A5)=0,"","Tab")</f>
        <v/>
      </c>
      <c r="C5" t="str">
        <f>IF(LEN('A créer'!C5)=0,"",'A créer'!A5)</f>
        <v/>
      </c>
      <c r="D5" s="2" t="str">
        <f>IF(LEN('A créer'!C5)=0,"","Tab")</f>
        <v/>
      </c>
      <c r="E5" t="str">
        <f>IF(LEN('A créer'!C5)=0,"",'A créer'!B5)</f>
        <v/>
      </c>
      <c r="F5" s="2" t="str">
        <f>IF(LEN('A créer'!C5)=0,"","Tab")</f>
        <v/>
      </c>
      <c r="G5" t="str">
        <f>IF(LEN('A créer'!C5)=0,"",'A créer'!G5)</f>
        <v/>
      </c>
      <c r="H5" s="2" t="str">
        <f>IF(LEN('A créer'!C5)=0,"","Tab")</f>
        <v/>
      </c>
      <c r="I5" s="2" t="str">
        <f>IF(LEN('A créer'!C5)=0,"","*SAVE")</f>
        <v/>
      </c>
    </row>
    <row r="6" spans="1:9" x14ac:dyDescent="0.35">
      <c r="A6" s="2" t="str">
        <f>IF(LEN('A créer'!C6)=0,"","*FN")</f>
        <v/>
      </c>
      <c r="B6" s="2" t="str">
        <f>IF(LEN('A créer'!A6)=0,"","Tab")</f>
        <v/>
      </c>
      <c r="C6" t="str">
        <f>IF(LEN('A créer'!C6)=0,"",'A créer'!A6)</f>
        <v/>
      </c>
      <c r="D6" s="2" t="str">
        <f>IF(LEN('A créer'!C6)=0,"","Tab")</f>
        <v/>
      </c>
      <c r="E6" t="str">
        <f>IF(LEN('A créer'!C6)=0,"",'A créer'!B6)</f>
        <v/>
      </c>
      <c r="F6" s="2" t="str">
        <f>IF(LEN('A créer'!C6)=0,"","Tab")</f>
        <v/>
      </c>
      <c r="G6" t="str">
        <f>IF(LEN('A créer'!C6)=0,"",'A créer'!G6)</f>
        <v/>
      </c>
      <c r="H6" s="2" t="str">
        <f>IF(LEN('A créer'!C6)=0,"","Tab")</f>
        <v/>
      </c>
      <c r="I6" s="2" t="str">
        <f>IF(LEN('A créer'!C6)=0,"","*SAVE")</f>
        <v/>
      </c>
    </row>
    <row r="7" spans="1:9" x14ac:dyDescent="0.35">
      <c r="A7" s="2" t="str">
        <f>IF(LEN('A créer'!C7)=0,"","*FN")</f>
        <v/>
      </c>
      <c r="B7" s="2" t="str">
        <f>IF(LEN('A créer'!A7)=0,"","Tab")</f>
        <v/>
      </c>
      <c r="C7" t="str">
        <f>IF(LEN('A créer'!C7)=0,"",'A créer'!A7)</f>
        <v/>
      </c>
      <c r="D7" s="2" t="str">
        <f>IF(LEN('A créer'!C7)=0,"","Tab")</f>
        <v/>
      </c>
      <c r="E7" t="str">
        <f>IF(LEN('A créer'!C7)=0,"",'A créer'!B7)</f>
        <v/>
      </c>
      <c r="F7" s="2" t="str">
        <f>IF(LEN('A créer'!C7)=0,"","Tab")</f>
        <v/>
      </c>
      <c r="G7" t="str">
        <f>IF(LEN('A créer'!C7)=0,"",'A créer'!G7)</f>
        <v/>
      </c>
      <c r="H7" s="2" t="str">
        <f>IF(LEN('A créer'!C7)=0,"","Tab")</f>
        <v/>
      </c>
      <c r="I7" s="2" t="str">
        <f>IF(LEN('A créer'!C7)=0,"","*SAVE")</f>
        <v/>
      </c>
    </row>
    <row r="8" spans="1:9" x14ac:dyDescent="0.35">
      <c r="A8" s="2" t="str">
        <f>IF(LEN('A créer'!C8)=0,"","*FN")</f>
        <v/>
      </c>
      <c r="B8" s="2" t="str">
        <f>IF(LEN('A créer'!A8)=0,"","Tab")</f>
        <v/>
      </c>
      <c r="C8" t="str">
        <f>IF(LEN('A créer'!C8)=0,"",'A créer'!A8)</f>
        <v/>
      </c>
      <c r="D8" s="2" t="str">
        <f>IF(LEN('A créer'!C8)=0,"","Tab")</f>
        <v/>
      </c>
      <c r="E8" t="str">
        <f>IF(LEN('A créer'!C8)=0,"",'A créer'!B8)</f>
        <v/>
      </c>
      <c r="F8" s="2" t="str">
        <f>IF(LEN('A créer'!C8)=0,"","Tab")</f>
        <v/>
      </c>
      <c r="G8" t="str">
        <f>IF(LEN('A créer'!C8)=0,"",'A créer'!G8)</f>
        <v/>
      </c>
      <c r="H8" s="2" t="str">
        <f>IF(LEN('A créer'!C8)=0,"","Tab")</f>
        <v/>
      </c>
      <c r="I8" s="2" t="str">
        <f>IF(LEN('A créer'!C8)=0,"","*SAVE")</f>
        <v/>
      </c>
    </row>
    <row r="9" spans="1:9" x14ac:dyDescent="0.35">
      <c r="A9" s="2" t="str">
        <f>IF(LEN('A créer'!C9)=0,"","*FN")</f>
        <v/>
      </c>
      <c r="B9" s="2" t="str">
        <f>IF(LEN('A créer'!A9)=0,"","Tab")</f>
        <v/>
      </c>
      <c r="C9" t="str">
        <f>IF(LEN('A créer'!C9)=0,"",'A créer'!A9)</f>
        <v/>
      </c>
      <c r="D9" s="2" t="str">
        <f>IF(LEN('A créer'!C9)=0,"","Tab")</f>
        <v/>
      </c>
      <c r="E9" t="str">
        <f>IF(LEN('A créer'!C9)=0,"",'A créer'!B9)</f>
        <v/>
      </c>
      <c r="F9" s="2" t="str">
        <f>IF(LEN('A créer'!C9)=0,"","Tab")</f>
        <v/>
      </c>
      <c r="G9" t="str">
        <f>IF(LEN('A créer'!C9)=0,"",'A créer'!G9)</f>
        <v/>
      </c>
      <c r="H9" s="2" t="str">
        <f>IF(LEN('A créer'!C9)=0,"","Tab")</f>
        <v/>
      </c>
      <c r="I9" s="2" t="str">
        <f>IF(LEN('A créer'!C9)=0,"","*SAVE")</f>
        <v/>
      </c>
    </row>
    <row r="10" spans="1:9" x14ac:dyDescent="0.35">
      <c r="A10" s="2" t="str">
        <f>IF(LEN('A créer'!C10)=0,"","*FN")</f>
        <v/>
      </c>
      <c r="B10" s="2" t="str">
        <f>IF(LEN('A créer'!A10)=0,"","Tab")</f>
        <v/>
      </c>
      <c r="C10" t="str">
        <f>IF(LEN('A créer'!C10)=0,"",'A créer'!A10)</f>
        <v/>
      </c>
      <c r="D10" s="2" t="str">
        <f>IF(LEN('A créer'!C10)=0,"","Tab")</f>
        <v/>
      </c>
      <c r="E10" t="str">
        <f>IF(LEN('A créer'!C10)=0,"",'A créer'!B10)</f>
        <v/>
      </c>
      <c r="F10" s="2" t="str">
        <f>IF(LEN('A créer'!C10)=0,"","Tab")</f>
        <v/>
      </c>
      <c r="G10" t="str">
        <f>IF(LEN('A créer'!C10)=0,"",'A créer'!G10)</f>
        <v/>
      </c>
      <c r="H10" s="2" t="str">
        <f>IF(LEN('A créer'!C10)=0,"","Tab")</f>
        <v/>
      </c>
      <c r="I10" s="2" t="str">
        <f>IF(LEN('A créer'!C10)=0,"","*SAVE")</f>
        <v/>
      </c>
    </row>
    <row r="11" spans="1:9" x14ac:dyDescent="0.35">
      <c r="A11" s="2" t="str">
        <f>IF(LEN('A créer'!C11)=0,"","*FN")</f>
        <v/>
      </c>
      <c r="B11" s="2" t="str">
        <f>IF(LEN('A créer'!A11)=0,"","Tab")</f>
        <v/>
      </c>
      <c r="C11" t="str">
        <f>IF(LEN('A créer'!C11)=0,"",'A créer'!A11)</f>
        <v/>
      </c>
      <c r="D11" s="2" t="str">
        <f>IF(LEN('A créer'!C11)=0,"","Tab")</f>
        <v/>
      </c>
      <c r="E11" t="str">
        <f>IF(LEN('A créer'!C11)=0,"",'A créer'!B11)</f>
        <v/>
      </c>
      <c r="F11" s="2" t="str">
        <f>IF(LEN('A créer'!C11)=0,"","Tab")</f>
        <v/>
      </c>
      <c r="G11" t="str">
        <f>IF(LEN('A créer'!C11)=0,"",'A créer'!G11)</f>
        <v/>
      </c>
      <c r="H11" s="2" t="str">
        <f>IF(LEN('A créer'!C11)=0,"","Tab")</f>
        <v/>
      </c>
      <c r="I11" s="2" t="str">
        <f>IF(LEN('A créer'!C11)=0,"","*SAVE")</f>
        <v/>
      </c>
    </row>
    <row r="12" spans="1:9" x14ac:dyDescent="0.35">
      <c r="A12" s="2" t="str">
        <f>IF(LEN('A créer'!C12)=0,"","*FN")</f>
        <v/>
      </c>
      <c r="B12" s="2" t="str">
        <f>IF(LEN('A créer'!A12)=0,"","Tab")</f>
        <v/>
      </c>
      <c r="C12" t="str">
        <f>IF(LEN('A créer'!C12)=0,"",'A créer'!A12)</f>
        <v/>
      </c>
      <c r="D12" s="2" t="str">
        <f>IF(LEN('A créer'!C12)=0,"","Tab")</f>
        <v/>
      </c>
      <c r="E12" t="str">
        <f>IF(LEN('A créer'!C12)=0,"",'A créer'!B12)</f>
        <v/>
      </c>
      <c r="F12" s="2" t="str">
        <f>IF(LEN('A créer'!C12)=0,"","Tab")</f>
        <v/>
      </c>
      <c r="G12" t="str">
        <f>IF(LEN('A créer'!C12)=0,"",'A créer'!G12)</f>
        <v/>
      </c>
      <c r="H12" s="2" t="str">
        <f>IF(LEN('A créer'!C12)=0,"","Tab")</f>
        <v/>
      </c>
      <c r="I12" s="2" t="str">
        <f>IF(LEN('A créer'!C12)=0,"","*SAVE")</f>
        <v/>
      </c>
    </row>
    <row r="13" spans="1:9" x14ac:dyDescent="0.35">
      <c r="A13" s="2" t="str">
        <f>IF(LEN('A créer'!C13)=0,"","*FN")</f>
        <v/>
      </c>
      <c r="B13" s="2" t="str">
        <f>IF(LEN('A créer'!A13)=0,"","Tab")</f>
        <v/>
      </c>
      <c r="C13" t="str">
        <f>IF(LEN('A créer'!C13)=0,"",'A créer'!A13)</f>
        <v/>
      </c>
      <c r="D13" s="2" t="str">
        <f>IF(LEN('A créer'!C13)=0,"","Tab")</f>
        <v/>
      </c>
      <c r="E13" t="str">
        <f>IF(LEN('A créer'!C13)=0,"",'A créer'!B13)</f>
        <v/>
      </c>
      <c r="F13" s="2" t="str">
        <f>IF(LEN('A créer'!C13)=0,"","Tab")</f>
        <v/>
      </c>
      <c r="G13" t="str">
        <f>IF(LEN('A créer'!C13)=0,"",'A créer'!G13)</f>
        <v/>
      </c>
      <c r="H13" s="2" t="str">
        <f>IF(LEN('A créer'!C13)=0,"","Tab")</f>
        <v/>
      </c>
      <c r="I13" s="2" t="str">
        <f>IF(LEN('A créer'!C13)=0,"","*SAVE")</f>
        <v/>
      </c>
    </row>
    <row r="14" spans="1:9" x14ac:dyDescent="0.35">
      <c r="A14" s="2" t="str">
        <f>IF(LEN('A créer'!C14)=0,"","*FN")</f>
        <v/>
      </c>
      <c r="B14" s="2" t="str">
        <f>IF(LEN('A créer'!A14)=0,"","Tab")</f>
        <v/>
      </c>
      <c r="C14" t="str">
        <f>IF(LEN('A créer'!C14)=0,"",'A créer'!A14)</f>
        <v/>
      </c>
      <c r="D14" s="2" t="str">
        <f>IF(LEN('A créer'!C14)=0,"","Tab")</f>
        <v/>
      </c>
      <c r="E14" t="str">
        <f>IF(LEN('A créer'!C14)=0,"",'A créer'!B14)</f>
        <v/>
      </c>
      <c r="F14" s="2" t="str">
        <f>IF(LEN('A créer'!C14)=0,"","Tab")</f>
        <v/>
      </c>
      <c r="G14" t="str">
        <f>IF(LEN('A créer'!C14)=0,"",'A créer'!G14)</f>
        <v/>
      </c>
      <c r="H14" s="2" t="str">
        <f>IF(LEN('A créer'!C14)=0,"","Tab")</f>
        <v/>
      </c>
      <c r="I14" s="2" t="str">
        <f>IF(LEN('A créer'!C14)=0,"","*SAVE")</f>
        <v/>
      </c>
    </row>
    <row r="15" spans="1:9" x14ac:dyDescent="0.35">
      <c r="A15" s="2" t="str">
        <f>IF(LEN('A créer'!C15)=0,"","*FN")</f>
        <v/>
      </c>
      <c r="B15" s="2" t="str">
        <f>IF(LEN('A créer'!A15)=0,"","Tab")</f>
        <v/>
      </c>
      <c r="C15" t="str">
        <f>IF(LEN('A créer'!C15)=0,"",'A créer'!A15)</f>
        <v/>
      </c>
      <c r="D15" s="2" t="str">
        <f>IF(LEN('A créer'!C15)=0,"","Tab")</f>
        <v/>
      </c>
      <c r="E15" t="str">
        <f>IF(LEN('A créer'!C15)=0,"",'A créer'!B15)</f>
        <v/>
      </c>
      <c r="F15" s="2" t="str">
        <f>IF(LEN('A créer'!C15)=0,"","Tab")</f>
        <v/>
      </c>
      <c r="G15" t="str">
        <f>IF(LEN('A créer'!C15)=0,"",'A créer'!G15)</f>
        <v/>
      </c>
      <c r="H15" s="2" t="str">
        <f>IF(LEN('A créer'!C15)=0,"","Tab")</f>
        <v/>
      </c>
      <c r="I15" s="2" t="str">
        <f>IF(LEN('A créer'!C15)=0,"","*SAVE")</f>
        <v/>
      </c>
    </row>
    <row r="16" spans="1:9" x14ac:dyDescent="0.35">
      <c r="A16" s="2" t="str">
        <f>IF(LEN('A créer'!C16)=0,"","*FN")</f>
        <v/>
      </c>
      <c r="B16" s="2" t="str">
        <f>IF(LEN('A créer'!A16)=0,"","Tab")</f>
        <v/>
      </c>
      <c r="C16" t="str">
        <f>IF(LEN('A créer'!C16)=0,"",'A créer'!A16)</f>
        <v/>
      </c>
      <c r="D16" s="2" t="str">
        <f>IF(LEN('A créer'!C16)=0,"","Tab")</f>
        <v/>
      </c>
      <c r="E16" t="str">
        <f>IF(LEN('A créer'!C16)=0,"",'A créer'!B16)</f>
        <v/>
      </c>
      <c r="F16" s="2" t="str">
        <f>IF(LEN('A créer'!C16)=0,"","Tab")</f>
        <v/>
      </c>
      <c r="G16" t="str">
        <f>IF(LEN('A créer'!C16)=0,"",'A créer'!G16)</f>
        <v/>
      </c>
      <c r="H16" s="2" t="str">
        <f>IF(LEN('A créer'!C16)=0,"","Tab")</f>
        <v/>
      </c>
      <c r="I16" s="2" t="str">
        <f>IF(LEN('A créer'!C16)=0,"","*SAVE")</f>
        <v/>
      </c>
    </row>
    <row r="17" spans="1:9" x14ac:dyDescent="0.35">
      <c r="A17" s="2" t="str">
        <f>IF(LEN('A créer'!C17)=0,"","*FN")</f>
        <v/>
      </c>
      <c r="B17" s="2" t="str">
        <f>IF(LEN('A créer'!A17)=0,"","Tab")</f>
        <v/>
      </c>
      <c r="C17" t="str">
        <f>IF(LEN('A créer'!C17)=0,"",'A créer'!A17)</f>
        <v/>
      </c>
      <c r="D17" s="2" t="str">
        <f>IF(LEN('A créer'!C17)=0,"","Tab")</f>
        <v/>
      </c>
      <c r="E17" t="str">
        <f>IF(LEN('A créer'!C17)=0,"",'A créer'!B17)</f>
        <v/>
      </c>
      <c r="F17" s="2" t="str">
        <f>IF(LEN('A créer'!C17)=0,"","Tab")</f>
        <v/>
      </c>
      <c r="G17" t="str">
        <f>IF(LEN('A créer'!C17)=0,"",'A créer'!G17)</f>
        <v/>
      </c>
      <c r="H17" s="2" t="str">
        <f>IF(LEN('A créer'!C17)=0,"","Tab")</f>
        <v/>
      </c>
      <c r="I17" s="2" t="str">
        <f>IF(LEN('A créer'!C17)=0,"","*SAVE")</f>
        <v/>
      </c>
    </row>
    <row r="18" spans="1:9" x14ac:dyDescent="0.35">
      <c r="A18" s="2" t="str">
        <f>IF(LEN('A créer'!C18)=0,"","*FN")</f>
        <v/>
      </c>
      <c r="B18" s="2" t="str">
        <f>IF(LEN('A créer'!A18)=0,"","Tab")</f>
        <v/>
      </c>
      <c r="C18" t="str">
        <f>IF(LEN('A créer'!C18)=0,"",'A créer'!A18)</f>
        <v/>
      </c>
      <c r="D18" s="2" t="str">
        <f>IF(LEN('A créer'!C18)=0,"","Tab")</f>
        <v/>
      </c>
      <c r="E18" t="str">
        <f>IF(LEN('A créer'!C18)=0,"",'A créer'!B18)</f>
        <v/>
      </c>
      <c r="F18" s="2" t="str">
        <f>IF(LEN('A créer'!C18)=0,"","Tab")</f>
        <v/>
      </c>
      <c r="G18" t="str">
        <f>IF(LEN('A créer'!C18)=0,"",'A créer'!G18)</f>
        <v/>
      </c>
      <c r="H18" s="2" t="str">
        <f>IF(LEN('A créer'!C18)=0,"","Tab")</f>
        <v/>
      </c>
      <c r="I18" s="2" t="str">
        <f>IF(LEN('A créer'!C18)=0,"","*SAVE")</f>
        <v/>
      </c>
    </row>
    <row r="19" spans="1:9" x14ac:dyDescent="0.35">
      <c r="A19" s="2" t="str">
        <f>IF(LEN('A créer'!C19)=0,"","*FN")</f>
        <v/>
      </c>
      <c r="B19" s="2" t="str">
        <f>IF(LEN('A créer'!A19)=0,"","Tab")</f>
        <v/>
      </c>
      <c r="C19" t="str">
        <f>IF(LEN('A créer'!C19)=0,"",'A créer'!A19)</f>
        <v/>
      </c>
      <c r="D19" s="2" t="str">
        <f>IF(LEN('A créer'!C19)=0,"","Tab")</f>
        <v/>
      </c>
      <c r="E19" t="str">
        <f>IF(LEN('A créer'!C19)=0,"",'A créer'!B19)</f>
        <v/>
      </c>
      <c r="F19" s="2" t="str">
        <f>IF(LEN('A créer'!C19)=0,"","Tab")</f>
        <v/>
      </c>
      <c r="G19" t="str">
        <f>IF(LEN('A créer'!C19)=0,"",'A créer'!G19)</f>
        <v/>
      </c>
      <c r="H19" s="2" t="str">
        <f>IF(LEN('A créer'!C19)=0,"","Tab")</f>
        <v/>
      </c>
      <c r="I19" s="2" t="str">
        <f>IF(LEN('A créer'!C19)=0,"","*SAVE")</f>
        <v/>
      </c>
    </row>
    <row r="20" spans="1:9" x14ac:dyDescent="0.35">
      <c r="A20" s="2" t="str">
        <f>IF(LEN('A créer'!C20)=0,"","*FN")</f>
        <v/>
      </c>
      <c r="B20" s="2" t="str">
        <f>IF(LEN('A créer'!A20)=0,"","Tab")</f>
        <v/>
      </c>
      <c r="C20" t="str">
        <f>IF(LEN('A créer'!C20)=0,"",'A créer'!A20)</f>
        <v/>
      </c>
      <c r="D20" s="2" t="str">
        <f>IF(LEN('A créer'!C20)=0,"","Tab")</f>
        <v/>
      </c>
      <c r="E20" t="str">
        <f>IF(LEN('A créer'!C20)=0,"",'A créer'!B20)</f>
        <v/>
      </c>
      <c r="F20" s="2" t="str">
        <f>IF(LEN('A créer'!C20)=0,"","Tab")</f>
        <v/>
      </c>
      <c r="G20" t="str">
        <f>IF(LEN('A créer'!C20)=0,"",'A créer'!G20)</f>
        <v/>
      </c>
      <c r="H20" s="2" t="str">
        <f>IF(LEN('A créer'!C20)=0,"","Tab")</f>
        <v/>
      </c>
      <c r="I20" s="2" t="str">
        <f>IF(LEN('A créer'!C20)=0,"","*SAVE")</f>
        <v/>
      </c>
    </row>
    <row r="21" spans="1:9" x14ac:dyDescent="0.35">
      <c r="A21" s="2" t="str">
        <f>IF(LEN('A créer'!C21)=0,"","*FN")</f>
        <v/>
      </c>
      <c r="B21" s="2" t="str">
        <f>IF(LEN('A créer'!A21)=0,"","Tab")</f>
        <v/>
      </c>
      <c r="C21" t="str">
        <f>IF(LEN('A créer'!C21)=0,"",'A créer'!A21)</f>
        <v/>
      </c>
      <c r="D21" s="2" t="str">
        <f>IF(LEN('A créer'!C21)=0,"","Tab")</f>
        <v/>
      </c>
      <c r="E21" t="str">
        <f>IF(LEN('A créer'!C21)=0,"",'A créer'!B21)</f>
        <v/>
      </c>
      <c r="F21" s="2" t="str">
        <f>IF(LEN('A créer'!C21)=0,"","Tab")</f>
        <v/>
      </c>
      <c r="G21" t="str">
        <f>IF(LEN('A créer'!C21)=0,"",'A créer'!G21)</f>
        <v/>
      </c>
      <c r="H21" s="2" t="str">
        <f>IF(LEN('A créer'!C21)=0,"","Tab")</f>
        <v/>
      </c>
      <c r="I21" s="2" t="str">
        <f>IF(LEN('A créer'!C21)=0,"","*SAVE")</f>
        <v/>
      </c>
    </row>
    <row r="22" spans="1:9" x14ac:dyDescent="0.35">
      <c r="A22" s="2" t="str">
        <f>IF(LEN('A créer'!C22)=0,"","*FN")</f>
        <v/>
      </c>
      <c r="B22" s="2" t="str">
        <f>IF(LEN('A créer'!A22)=0,"","Tab")</f>
        <v/>
      </c>
      <c r="C22" t="str">
        <f>IF(LEN('A créer'!C22)=0,"",'A créer'!A22)</f>
        <v/>
      </c>
      <c r="D22" s="2" t="str">
        <f>IF(LEN('A créer'!C22)=0,"","Tab")</f>
        <v/>
      </c>
      <c r="E22" t="str">
        <f>IF(LEN('A créer'!C22)=0,"",'A créer'!B22)</f>
        <v/>
      </c>
      <c r="F22" s="2" t="str">
        <f>IF(LEN('A créer'!C22)=0,"","Tab")</f>
        <v/>
      </c>
      <c r="G22" t="str">
        <f>IF(LEN('A créer'!C22)=0,"",'A créer'!G22)</f>
        <v/>
      </c>
      <c r="H22" s="2" t="str">
        <f>IF(LEN('A créer'!C22)=0,"","Tab")</f>
        <v/>
      </c>
      <c r="I22" s="2" t="str">
        <f>IF(LEN('A créer'!C22)=0,"","*SAVE")</f>
        <v/>
      </c>
    </row>
    <row r="23" spans="1:9" x14ac:dyDescent="0.35">
      <c r="A23" s="2" t="str">
        <f>IF(LEN('A créer'!C23)=0,"","*FN")</f>
        <v/>
      </c>
      <c r="B23" s="2" t="str">
        <f>IF(LEN('A créer'!A23)=0,"","Tab")</f>
        <v/>
      </c>
      <c r="C23" t="str">
        <f>IF(LEN('A créer'!C23)=0,"",'A créer'!A23)</f>
        <v/>
      </c>
      <c r="D23" s="2" t="str">
        <f>IF(LEN('A créer'!C23)=0,"","Tab")</f>
        <v/>
      </c>
      <c r="E23" t="str">
        <f>IF(LEN('A créer'!C23)=0,"",'A créer'!B23)</f>
        <v/>
      </c>
      <c r="F23" s="2" t="str">
        <f>IF(LEN('A créer'!C23)=0,"","Tab")</f>
        <v/>
      </c>
      <c r="G23" t="str">
        <f>IF(LEN('A créer'!C23)=0,"",'A créer'!G23)</f>
        <v/>
      </c>
      <c r="H23" s="2" t="str">
        <f>IF(LEN('A créer'!C23)=0,"","Tab")</f>
        <v/>
      </c>
      <c r="I23" s="2" t="str">
        <f>IF(LEN('A créer'!C23)=0,"","*SAVE")</f>
        <v/>
      </c>
    </row>
    <row r="24" spans="1:9" x14ac:dyDescent="0.35">
      <c r="A24" s="2" t="str">
        <f>IF(LEN('A créer'!C24)=0,"","*FN")</f>
        <v/>
      </c>
      <c r="B24" s="2" t="str">
        <f>IF(LEN('A créer'!A24)=0,"","Tab")</f>
        <v/>
      </c>
      <c r="C24" t="str">
        <f>IF(LEN('A créer'!C24)=0,"",'A créer'!A24)</f>
        <v/>
      </c>
      <c r="D24" s="2" t="str">
        <f>IF(LEN('A créer'!C24)=0,"","Tab")</f>
        <v/>
      </c>
      <c r="E24" t="str">
        <f>IF(LEN('A créer'!C24)=0,"",'A créer'!B24)</f>
        <v/>
      </c>
      <c r="F24" s="2" t="str">
        <f>IF(LEN('A créer'!C24)=0,"","Tab")</f>
        <v/>
      </c>
      <c r="G24" t="str">
        <f>IF(LEN('A créer'!C24)=0,"",'A créer'!G24)</f>
        <v/>
      </c>
      <c r="H24" s="2" t="str">
        <f>IF(LEN('A créer'!C24)=0,"","Tab")</f>
        <v/>
      </c>
      <c r="I24" s="2" t="str">
        <f>IF(LEN('A créer'!C24)=0,"","*SAVE")</f>
        <v/>
      </c>
    </row>
    <row r="25" spans="1:9" x14ac:dyDescent="0.35">
      <c r="A25" s="2" t="str">
        <f>IF(LEN('A créer'!C25)=0,"","*FN")</f>
        <v/>
      </c>
      <c r="B25" s="2" t="str">
        <f>IF(LEN('A créer'!A25)=0,"","Tab")</f>
        <v/>
      </c>
      <c r="C25" t="str">
        <f>IF(LEN('A créer'!C25)=0,"",'A créer'!A25)</f>
        <v/>
      </c>
      <c r="D25" s="2" t="str">
        <f>IF(LEN('A créer'!C25)=0,"","Tab")</f>
        <v/>
      </c>
      <c r="E25" t="str">
        <f>IF(LEN('A créer'!C25)=0,"",'A créer'!B25)</f>
        <v/>
      </c>
      <c r="F25" s="2" t="str">
        <f>IF(LEN('A créer'!C25)=0,"","Tab")</f>
        <v/>
      </c>
      <c r="G25" t="str">
        <f>IF(LEN('A créer'!C25)=0,"",'A créer'!G25)</f>
        <v/>
      </c>
      <c r="H25" s="2" t="str">
        <f>IF(LEN('A créer'!C25)=0,"","Tab")</f>
        <v/>
      </c>
      <c r="I25" s="2" t="str">
        <f>IF(LEN('A créer'!C25)=0,"","*SAVE")</f>
        <v/>
      </c>
    </row>
    <row r="26" spans="1:9" x14ac:dyDescent="0.35">
      <c r="A26" s="2" t="str">
        <f>IF(LEN('A créer'!C26)=0,"","*FN")</f>
        <v/>
      </c>
      <c r="B26" s="2" t="str">
        <f>IF(LEN('A créer'!A26)=0,"","Tab")</f>
        <v/>
      </c>
      <c r="C26" t="str">
        <f>IF(LEN('A créer'!C26)=0,"",'A créer'!A26)</f>
        <v/>
      </c>
      <c r="D26" s="2" t="str">
        <f>IF(LEN('A créer'!C26)=0,"","Tab")</f>
        <v/>
      </c>
      <c r="E26" t="str">
        <f>IF(LEN('A créer'!C26)=0,"",'A créer'!B26)</f>
        <v/>
      </c>
      <c r="F26" s="2" t="str">
        <f>IF(LEN('A créer'!C26)=0,"","Tab")</f>
        <v/>
      </c>
      <c r="G26" t="str">
        <f>IF(LEN('A créer'!C26)=0,"",'A créer'!G26)</f>
        <v/>
      </c>
      <c r="H26" s="2" t="str">
        <f>IF(LEN('A créer'!C26)=0,"","Tab")</f>
        <v/>
      </c>
      <c r="I26" s="2" t="str">
        <f>IF(LEN('A créer'!C26)=0,"","*SAVE")</f>
        <v/>
      </c>
    </row>
    <row r="27" spans="1:9" x14ac:dyDescent="0.35">
      <c r="A27" s="2" t="str">
        <f>IF(LEN('A créer'!C27)=0,"","*FN")</f>
        <v/>
      </c>
      <c r="B27" s="2" t="str">
        <f>IF(LEN('A créer'!A27)=0,"","Tab")</f>
        <v/>
      </c>
      <c r="C27" t="str">
        <f>IF(LEN('A créer'!C27)=0,"",'A créer'!A27)</f>
        <v/>
      </c>
      <c r="D27" s="2" t="str">
        <f>IF(LEN('A créer'!C27)=0,"","Tab")</f>
        <v/>
      </c>
      <c r="E27" t="str">
        <f>IF(LEN('A créer'!C27)=0,"",'A créer'!B27)</f>
        <v/>
      </c>
      <c r="F27" s="2" t="str">
        <f>IF(LEN('A créer'!C27)=0,"","Tab")</f>
        <v/>
      </c>
      <c r="G27" t="str">
        <f>IF(LEN('A créer'!C27)=0,"",'A créer'!G27)</f>
        <v/>
      </c>
      <c r="H27" s="2" t="str">
        <f>IF(LEN('A créer'!C27)=0,"","Tab")</f>
        <v/>
      </c>
      <c r="I27" s="2" t="str">
        <f>IF(LEN('A créer'!C27)=0,"","*SAVE")</f>
        <v/>
      </c>
    </row>
    <row r="28" spans="1:9" x14ac:dyDescent="0.35">
      <c r="A28" s="2" t="str">
        <f>IF(LEN('A créer'!C28)=0,"","*FN")</f>
        <v/>
      </c>
      <c r="B28" s="2" t="str">
        <f>IF(LEN('A créer'!A28)=0,"","Tab")</f>
        <v/>
      </c>
      <c r="C28" t="str">
        <f>IF(LEN('A créer'!C28)=0,"",'A créer'!A28)</f>
        <v/>
      </c>
      <c r="D28" s="2" t="str">
        <f>IF(LEN('A créer'!C28)=0,"","Tab")</f>
        <v/>
      </c>
      <c r="E28" t="str">
        <f>IF(LEN('A créer'!C28)=0,"",'A créer'!B28)</f>
        <v/>
      </c>
      <c r="F28" s="2" t="str">
        <f>IF(LEN('A créer'!C28)=0,"","Tab")</f>
        <v/>
      </c>
      <c r="G28" t="str">
        <f>IF(LEN('A créer'!C28)=0,"",'A créer'!G28)</f>
        <v/>
      </c>
      <c r="H28" s="2" t="str">
        <f>IF(LEN('A créer'!C28)=0,"","Tab")</f>
        <v/>
      </c>
      <c r="I28" s="2" t="str">
        <f>IF(LEN('A créer'!C28)=0,"","*SAVE")</f>
        <v/>
      </c>
    </row>
    <row r="29" spans="1:9" x14ac:dyDescent="0.35">
      <c r="A29" s="2" t="str">
        <f>IF(LEN('A créer'!C29)=0,"","*FN")</f>
        <v/>
      </c>
      <c r="B29" s="2" t="str">
        <f>IF(LEN('A créer'!A29)=0,"","Tab")</f>
        <v/>
      </c>
      <c r="C29" t="str">
        <f>IF(LEN('A créer'!C29)=0,"",'A créer'!A29)</f>
        <v/>
      </c>
      <c r="D29" s="2" t="str">
        <f>IF(LEN('A créer'!C29)=0,"","Tab")</f>
        <v/>
      </c>
      <c r="E29" t="str">
        <f>IF(LEN('A créer'!C29)=0,"",'A créer'!B29)</f>
        <v/>
      </c>
      <c r="F29" s="2" t="str">
        <f>IF(LEN('A créer'!C29)=0,"","Tab")</f>
        <v/>
      </c>
      <c r="G29" t="str">
        <f>IF(LEN('A créer'!C29)=0,"",'A créer'!G29)</f>
        <v/>
      </c>
      <c r="H29" s="2" t="str">
        <f>IF(LEN('A créer'!C29)=0,"","Tab")</f>
        <v/>
      </c>
      <c r="I29" s="2" t="str">
        <f>IF(LEN('A créer'!C29)=0,"","*SAVE")</f>
        <v/>
      </c>
    </row>
    <row r="30" spans="1:9" x14ac:dyDescent="0.35">
      <c r="A30" s="2" t="str">
        <f>IF(LEN('A créer'!C30)=0,"","*FN")</f>
        <v/>
      </c>
      <c r="B30" s="2" t="str">
        <f>IF(LEN('A créer'!A30)=0,"","Tab")</f>
        <v/>
      </c>
      <c r="C30" t="str">
        <f>IF(LEN('A créer'!C30)=0,"",'A créer'!A30)</f>
        <v/>
      </c>
      <c r="D30" s="2" t="str">
        <f>IF(LEN('A créer'!C30)=0,"","Tab")</f>
        <v/>
      </c>
      <c r="E30" t="str">
        <f>IF(LEN('A créer'!C30)=0,"",'A créer'!B30)</f>
        <v/>
      </c>
      <c r="F30" s="2" t="str">
        <f>IF(LEN('A créer'!C30)=0,"","Tab")</f>
        <v/>
      </c>
      <c r="G30" t="str">
        <f>IF(LEN('A créer'!C30)=0,"",'A créer'!G30)</f>
        <v/>
      </c>
      <c r="H30" s="2" t="str">
        <f>IF(LEN('A créer'!C30)=0,"","Tab")</f>
        <v/>
      </c>
      <c r="I30" s="2" t="str">
        <f>IF(LEN('A créer'!C30)=0,"","*SAVE")</f>
        <v/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H24"/>
  <sheetViews>
    <sheetView workbookViewId="0">
      <pane ySplit="1" topLeftCell="A2" activePane="bottomLeft" state="frozenSplit"/>
      <selection activeCell="G4" sqref="G4"/>
      <selection pane="bottomLeft" activeCell="G4" sqref="G4"/>
    </sheetView>
  </sheetViews>
  <sheetFormatPr baseColWidth="10" defaultRowHeight="14.5" x14ac:dyDescent="0.35"/>
  <cols>
    <col min="1" max="1" width="4.26953125" bestFit="1" customWidth="1"/>
    <col min="2" max="2" width="4" bestFit="1" customWidth="1"/>
    <col min="3" max="3" width="9" customWidth="1"/>
    <col min="4" max="4" width="4" bestFit="1" customWidth="1"/>
    <col min="5" max="5" width="10.26953125" bestFit="1" customWidth="1"/>
    <col min="6" max="6" width="4" bestFit="1" customWidth="1"/>
    <col min="7" max="7" width="10.26953125" bestFit="1" customWidth="1"/>
    <col min="8" max="8" width="6.1796875" bestFit="1" customWidth="1"/>
  </cols>
  <sheetData>
    <row r="1" spans="1:8" x14ac:dyDescent="0.35">
      <c r="A1" s="2" t="s">
        <v>18</v>
      </c>
      <c r="B1" s="2" t="s">
        <v>4</v>
      </c>
      <c r="C1" t="s">
        <v>35</v>
      </c>
      <c r="D1" s="2" t="s">
        <v>4</v>
      </c>
      <c r="E1" t="s">
        <v>65</v>
      </c>
      <c r="F1" s="2" t="s">
        <v>4</v>
      </c>
      <c r="G1" t="s">
        <v>65</v>
      </c>
      <c r="H1" s="2" t="s">
        <v>16</v>
      </c>
    </row>
    <row r="2" spans="1:8" x14ac:dyDescent="0.35">
      <c r="A2" s="2" t="str">
        <f>IF(LEN('A créer'!C2)=0,"","*FN")</f>
        <v>*FN</v>
      </c>
      <c r="B2" s="2" t="str">
        <f>IF(LEN('A créer'!A2)=0,"","Tab")</f>
        <v>Tab</v>
      </c>
      <c r="C2">
        <f>IF(LEN('A créer'!P2)=0,"",'A créer'!P2)</f>
        <v>513578</v>
      </c>
      <c r="D2" s="2" t="str">
        <f>IF(LEN('A créer'!C2)=0,"","Tab")</f>
        <v>Tab</v>
      </c>
      <c r="E2" t="str">
        <f>IF(LEN('A créer'!P2)=0,"","17060")</f>
        <v>17060</v>
      </c>
      <c r="F2" s="2" t="str">
        <f>IF(LEN('A créer'!C2)=0,"","Tab")</f>
        <v>Tab</v>
      </c>
      <c r="G2" t="str">
        <f>IF(LEN('A créer'!P2)=0,"","01/01/2002")</f>
        <v>01/01/2002</v>
      </c>
      <c r="H2" s="2" t="str">
        <f>IF(LEN('A créer'!C2)=0,"","*SAVE")</f>
        <v>*SAVE</v>
      </c>
    </row>
    <row r="3" spans="1:8" x14ac:dyDescent="0.35">
      <c r="A3" s="2" t="str">
        <f>IF(LEN('A créer'!C3)=0,"","*FN")</f>
        <v/>
      </c>
      <c r="B3" s="2" t="str">
        <f>IF(LEN('A créer'!A3)=0,"","Tab")</f>
        <v/>
      </c>
      <c r="C3" t="str">
        <f>IF(LEN('A créer'!P3)=0,"",'A créer'!P3)</f>
        <v/>
      </c>
      <c r="D3" s="2" t="str">
        <f>IF(LEN('A créer'!C3)=0,"","Tab")</f>
        <v/>
      </c>
      <c r="E3" t="str">
        <f>IF(LEN('A créer'!P3)=0,"","17060")</f>
        <v/>
      </c>
      <c r="F3" s="2" t="str">
        <f>IF(LEN('A créer'!C3)=0,"","Tab")</f>
        <v/>
      </c>
      <c r="G3" t="str">
        <f>IF(LEN('A créer'!P3)=0,"","01/01/2002")</f>
        <v/>
      </c>
      <c r="H3" s="2" t="str">
        <f>IF(LEN('A créer'!C3)=0,"","*SAVE")</f>
        <v/>
      </c>
    </row>
    <row r="4" spans="1:8" x14ac:dyDescent="0.35">
      <c r="A4" s="2" t="str">
        <f>IF(LEN('A créer'!C4)=0,"","*FN")</f>
        <v>*FN</v>
      </c>
      <c r="B4" s="2" t="str">
        <f>IF(LEN('A créer'!A4)=0,"","Tab")</f>
        <v>Tab</v>
      </c>
      <c r="C4">
        <f>IF(LEN('A créer'!P4)=0,"",'A créer'!P4)</f>
        <v>513619</v>
      </c>
      <c r="D4" s="2" t="str">
        <f>IF(LEN('A créer'!C4)=0,"","Tab")</f>
        <v>Tab</v>
      </c>
      <c r="E4" t="str">
        <f>IF(LEN('A créer'!P4)=0,"","17060")</f>
        <v>17060</v>
      </c>
      <c r="F4" s="2" t="str">
        <f>IF(LEN('A créer'!C4)=0,"","Tab")</f>
        <v>Tab</v>
      </c>
      <c r="G4" t="str">
        <f>IF(LEN('A créer'!P4)=0,"","01/01/2002")</f>
        <v>01/01/2002</v>
      </c>
      <c r="H4" s="2" t="str">
        <f>IF(LEN('A créer'!C4)=0,"","*SAVE")</f>
        <v>*SAVE</v>
      </c>
    </row>
    <row r="5" spans="1:8" x14ac:dyDescent="0.35">
      <c r="A5" s="2" t="str">
        <f>IF(LEN('A créer'!C5)=0,"","*FN")</f>
        <v/>
      </c>
      <c r="B5" s="2" t="str">
        <f>IF(LEN('A créer'!A5)=0,"","Tab")</f>
        <v/>
      </c>
      <c r="C5" t="str">
        <f>IF(LEN('A créer'!P5)=0,"",'A créer'!P5)</f>
        <v/>
      </c>
      <c r="D5" s="2" t="str">
        <f>IF(LEN('A créer'!C5)=0,"","Tab")</f>
        <v/>
      </c>
      <c r="E5" t="str">
        <f>IF(LEN('A créer'!P5)=0,"","17060")</f>
        <v/>
      </c>
      <c r="F5" s="2" t="str">
        <f>IF(LEN('A créer'!C5)=0,"","Tab")</f>
        <v/>
      </c>
      <c r="G5" t="str">
        <f>IF(LEN('A créer'!P5)=0,"","01/01/2002")</f>
        <v/>
      </c>
      <c r="H5" s="2" t="str">
        <f>IF(LEN('A créer'!C5)=0,"","*SAVE")</f>
        <v/>
      </c>
    </row>
    <row r="6" spans="1:8" x14ac:dyDescent="0.35">
      <c r="A6" s="2" t="str">
        <f>IF(LEN('A créer'!C6)=0,"","*FN")</f>
        <v/>
      </c>
      <c r="B6" s="2" t="str">
        <f>IF(LEN('A créer'!A6)=0,"","Tab")</f>
        <v/>
      </c>
      <c r="C6" t="str">
        <f>IF(LEN('A créer'!P6)=0,"",'A créer'!P6)</f>
        <v/>
      </c>
      <c r="D6" s="2" t="str">
        <f>IF(LEN('A créer'!C6)=0,"","Tab")</f>
        <v/>
      </c>
      <c r="E6" t="str">
        <f>IF(LEN('A créer'!P6)=0,"","17060")</f>
        <v/>
      </c>
      <c r="F6" s="2" t="str">
        <f>IF(LEN('A créer'!C6)=0,"","Tab")</f>
        <v/>
      </c>
      <c r="G6" t="str">
        <f>IF(LEN('A créer'!P6)=0,"","01/01/2002")</f>
        <v/>
      </c>
      <c r="H6" s="2" t="str">
        <f>IF(LEN('A créer'!C6)=0,"","*SAVE")</f>
        <v/>
      </c>
    </row>
    <row r="7" spans="1:8" x14ac:dyDescent="0.35">
      <c r="A7" s="2" t="str">
        <f>IF(LEN('A créer'!C7)=0,"","*FN")</f>
        <v/>
      </c>
      <c r="B7" s="2" t="str">
        <f>IF(LEN('A créer'!A7)=0,"","Tab")</f>
        <v/>
      </c>
      <c r="C7" t="str">
        <f>IF(LEN('A créer'!P7)=0,"",'A créer'!P7)</f>
        <v/>
      </c>
      <c r="D7" s="2" t="str">
        <f>IF(LEN('A créer'!C7)=0,"","Tab")</f>
        <v/>
      </c>
      <c r="E7" t="str">
        <f>IF(LEN('A créer'!P7)=0,"","17060")</f>
        <v/>
      </c>
      <c r="F7" s="2" t="str">
        <f>IF(LEN('A créer'!C7)=0,"","Tab")</f>
        <v/>
      </c>
      <c r="G7" t="str">
        <f>IF(LEN('A créer'!P7)=0,"","01/01/2002")</f>
        <v/>
      </c>
      <c r="H7" s="2" t="str">
        <f>IF(LEN('A créer'!C7)=0,"","*SAVE")</f>
        <v/>
      </c>
    </row>
    <row r="8" spans="1:8" x14ac:dyDescent="0.35">
      <c r="A8" s="2" t="str">
        <f>IF(LEN('A créer'!C8)=0,"","*FN")</f>
        <v/>
      </c>
      <c r="B8" s="2" t="str">
        <f>IF(LEN('A créer'!A8)=0,"","Tab")</f>
        <v/>
      </c>
      <c r="C8" t="str">
        <f>IF(LEN('A créer'!P8)=0,"",'A créer'!P8)</f>
        <v/>
      </c>
      <c r="D8" s="2" t="str">
        <f>IF(LEN('A créer'!C8)=0,"","Tab")</f>
        <v/>
      </c>
      <c r="E8" t="str">
        <f>IF(LEN('A créer'!P8)=0,"","17060")</f>
        <v/>
      </c>
      <c r="F8" s="2" t="str">
        <f>IF(LEN('A créer'!C8)=0,"","Tab")</f>
        <v/>
      </c>
      <c r="G8" t="str">
        <f>IF(LEN('A créer'!P8)=0,"","01/01/2002")</f>
        <v/>
      </c>
      <c r="H8" s="2" t="str">
        <f>IF(LEN('A créer'!C8)=0,"","*SAVE")</f>
        <v/>
      </c>
    </row>
    <row r="9" spans="1:8" x14ac:dyDescent="0.35">
      <c r="A9" s="2" t="str">
        <f>IF(LEN('A créer'!C9)=0,"","*FN")</f>
        <v/>
      </c>
      <c r="B9" s="2" t="str">
        <f>IF(LEN('A créer'!A9)=0,"","Tab")</f>
        <v/>
      </c>
      <c r="C9" t="str">
        <f>IF(LEN('A créer'!P9)=0,"",'A créer'!P9)</f>
        <v/>
      </c>
      <c r="D9" s="2" t="str">
        <f>IF(LEN('A créer'!C9)=0,"","Tab")</f>
        <v/>
      </c>
      <c r="E9" t="str">
        <f>IF(LEN('A créer'!P9)=0,"","17060")</f>
        <v/>
      </c>
      <c r="F9" s="2" t="str">
        <f>IF(LEN('A créer'!C9)=0,"","Tab")</f>
        <v/>
      </c>
      <c r="G9" t="str">
        <f>IF(LEN('A créer'!P9)=0,"","01/01/2002")</f>
        <v/>
      </c>
      <c r="H9" s="2" t="str">
        <f>IF(LEN('A créer'!C9)=0,"","*SAVE")</f>
        <v/>
      </c>
    </row>
    <row r="10" spans="1:8" x14ac:dyDescent="0.35">
      <c r="A10" s="2" t="str">
        <f>IF(LEN('A créer'!C10)=0,"","*FN")</f>
        <v/>
      </c>
      <c r="B10" s="2" t="str">
        <f>IF(LEN('A créer'!A10)=0,"","Tab")</f>
        <v/>
      </c>
      <c r="C10" t="str">
        <f>IF(LEN('A créer'!P10)=0,"",'A créer'!P10)</f>
        <v/>
      </c>
      <c r="D10" s="2" t="str">
        <f>IF(LEN('A créer'!C10)=0,"","Tab")</f>
        <v/>
      </c>
      <c r="E10" t="str">
        <f>IF(LEN('A créer'!P10)=0,"","17060")</f>
        <v/>
      </c>
      <c r="F10" s="2" t="str">
        <f>IF(LEN('A créer'!C10)=0,"","Tab")</f>
        <v/>
      </c>
      <c r="G10" t="str">
        <f>IF(LEN('A créer'!P10)=0,"","01/01/2002")</f>
        <v/>
      </c>
      <c r="H10" s="2" t="str">
        <f>IF(LEN('A créer'!C10)=0,"","*SAVE")</f>
        <v/>
      </c>
    </row>
    <row r="11" spans="1:8" x14ac:dyDescent="0.35">
      <c r="A11" s="2" t="str">
        <f>IF(LEN('A créer'!C11)=0,"","*FN")</f>
        <v/>
      </c>
      <c r="B11" s="2" t="str">
        <f>IF(LEN('A créer'!A11)=0,"","Tab")</f>
        <v/>
      </c>
      <c r="C11" t="str">
        <f>IF(LEN('A créer'!P11)=0,"",'A créer'!P11)</f>
        <v/>
      </c>
      <c r="D11" s="2" t="str">
        <f>IF(LEN('A créer'!C11)=0,"","Tab")</f>
        <v/>
      </c>
      <c r="E11" t="str">
        <f>IF(LEN('A créer'!P11)=0,"","17060")</f>
        <v/>
      </c>
      <c r="F11" s="2" t="str">
        <f>IF(LEN('A créer'!C11)=0,"","Tab")</f>
        <v/>
      </c>
      <c r="G11" t="str">
        <f>IF(LEN('A créer'!P11)=0,"","01/01/2002")</f>
        <v/>
      </c>
      <c r="H11" s="2" t="str">
        <f>IF(LEN('A créer'!C11)=0,"","*SAVE")</f>
        <v/>
      </c>
    </row>
    <row r="12" spans="1:8" x14ac:dyDescent="0.35">
      <c r="A12" s="2" t="str">
        <f>IF(LEN('A créer'!C12)=0,"","*FN")</f>
        <v/>
      </c>
      <c r="B12" s="2" t="str">
        <f>IF(LEN('A créer'!A12)=0,"","Tab")</f>
        <v/>
      </c>
      <c r="C12" t="str">
        <f>IF(LEN('A créer'!P12)=0,"",'A créer'!P12)</f>
        <v/>
      </c>
      <c r="D12" s="2" t="str">
        <f>IF(LEN('A créer'!C12)=0,"","Tab")</f>
        <v/>
      </c>
      <c r="E12" t="str">
        <f>IF(LEN('A créer'!P12)=0,"","17060")</f>
        <v/>
      </c>
      <c r="F12" s="2" t="str">
        <f>IF(LEN('A créer'!C12)=0,"","Tab")</f>
        <v/>
      </c>
      <c r="G12" t="str">
        <f>IF(LEN('A créer'!P12)=0,"","01/01/2002")</f>
        <v/>
      </c>
      <c r="H12" s="2" t="str">
        <f>IF(LEN('A créer'!C12)=0,"","*SAVE")</f>
        <v/>
      </c>
    </row>
    <row r="13" spans="1:8" x14ac:dyDescent="0.35">
      <c r="A13" s="2" t="str">
        <f>IF(LEN('A créer'!C13)=0,"","*FN")</f>
        <v/>
      </c>
      <c r="B13" s="2" t="str">
        <f>IF(LEN('A créer'!A13)=0,"","Tab")</f>
        <v/>
      </c>
      <c r="C13" t="str">
        <f>IF(LEN('A créer'!P13)=0,"",'A créer'!P13)</f>
        <v/>
      </c>
      <c r="D13" s="2" t="str">
        <f>IF(LEN('A créer'!C13)=0,"","Tab")</f>
        <v/>
      </c>
      <c r="E13" t="str">
        <f>IF(LEN('A créer'!P13)=0,"","17060")</f>
        <v/>
      </c>
      <c r="F13" s="2" t="str">
        <f>IF(LEN('A créer'!C13)=0,"","Tab")</f>
        <v/>
      </c>
      <c r="G13" t="str">
        <f>IF(LEN('A créer'!P13)=0,"","01/01/2002")</f>
        <v/>
      </c>
      <c r="H13" s="2" t="str">
        <f>IF(LEN('A créer'!C13)=0,"","*SAVE")</f>
        <v/>
      </c>
    </row>
    <row r="14" spans="1:8" x14ac:dyDescent="0.35">
      <c r="A14" s="2" t="str">
        <f>IF(LEN('A créer'!C14)=0,"","*FN")</f>
        <v/>
      </c>
      <c r="B14" s="2" t="str">
        <f>IF(LEN('A créer'!A14)=0,"","Tab")</f>
        <v/>
      </c>
      <c r="C14" t="str">
        <f>IF(LEN('A créer'!P14)=0,"",'A créer'!P14)</f>
        <v/>
      </c>
      <c r="D14" s="2" t="str">
        <f>IF(LEN('A créer'!C14)=0,"","Tab")</f>
        <v/>
      </c>
      <c r="E14" t="str">
        <f>IF(LEN('A créer'!P14)=0,"","17060")</f>
        <v/>
      </c>
      <c r="F14" s="2" t="str">
        <f>IF(LEN('A créer'!C14)=0,"","Tab")</f>
        <v/>
      </c>
      <c r="G14" t="str">
        <f>IF(LEN('A créer'!P14)=0,"","01/01/2002")</f>
        <v/>
      </c>
      <c r="H14" s="2" t="str">
        <f>IF(LEN('A créer'!C14)=0,"","*SAVE")</f>
        <v/>
      </c>
    </row>
    <row r="15" spans="1:8" x14ac:dyDescent="0.35">
      <c r="A15" s="2" t="str">
        <f>IF(LEN('A créer'!C15)=0,"","*FN")</f>
        <v/>
      </c>
      <c r="B15" s="2" t="str">
        <f>IF(LEN('A créer'!A15)=0,"","Tab")</f>
        <v/>
      </c>
      <c r="C15" t="str">
        <f>IF(LEN('A créer'!P15)=0,"",'A créer'!P15)</f>
        <v/>
      </c>
      <c r="D15" s="2" t="str">
        <f>IF(LEN('A créer'!C15)=0,"","Tab")</f>
        <v/>
      </c>
      <c r="E15" t="str">
        <f>IF(LEN('A créer'!P15)=0,"","17060")</f>
        <v/>
      </c>
      <c r="F15" s="2" t="str">
        <f>IF(LEN('A créer'!C15)=0,"","Tab")</f>
        <v/>
      </c>
      <c r="G15" t="str">
        <f>IF(LEN('A créer'!P15)=0,"","01/01/2002")</f>
        <v/>
      </c>
      <c r="H15" s="2" t="str">
        <f>IF(LEN('A créer'!C15)=0,"","*SAVE")</f>
        <v/>
      </c>
    </row>
    <row r="16" spans="1:8" x14ac:dyDescent="0.35">
      <c r="A16" s="2" t="str">
        <f>IF(LEN('A créer'!C16)=0,"","*FN")</f>
        <v/>
      </c>
      <c r="B16" s="2" t="str">
        <f>IF(LEN('A créer'!A16)=0,"","Tab")</f>
        <v/>
      </c>
      <c r="C16" t="str">
        <f>IF(LEN('A créer'!P16)=0,"",'A créer'!P16)</f>
        <v/>
      </c>
      <c r="D16" s="2" t="str">
        <f>IF(LEN('A créer'!C16)=0,"","Tab")</f>
        <v/>
      </c>
      <c r="E16" t="str">
        <f>IF(LEN('A créer'!P16)=0,"","17060")</f>
        <v/>
      </c>
      <c r="F16" s="2" t="str">
        <f>IF(LEN('A créer'!C16)=0,"","Tab")</f>
        <v/>
      </c>
      <c r="G16" t="str">
        <f>IF(LEN('A créer'!P16)=0,"","01/01/2002")</f>
        <v/>
      </c>
      <c r="H16" s="2" t="str">
        <f>IF(LEN('A créer'!C16)=0,"","*SAVE")</f>
        <v/>
      </c>
    </row>
    <row r="17" spans="1:8" x14ac:dyDescent="0.35">
      <c r="A17" s="2" t="str">
        <f>IF(LEN('A créer'!C17)=0,"","*FN")</f>
        <v/>
      </c>
      <c r="B17" s="2" t="str">
        <f>IF(LEN('A créer'!A17)=0,"","Tab")</f>
        <v/>
      </c>
      <c r="C17" t="str">
        <f>IF(LEN('A créer'!P17)=0,"",'A créer'!P17)</f>
        <v/>
      </c>
      <c r="D17" s="2" t="str">
        <f>IF(LEN('A créer'!C17)=0,"","Tab")</f>
        <v/>
      </c>
      <c r="E17" t="str">
        <f>IF(LEN('A créer'!P17)=0,"","17060")</f>
        <v/>
      </c>
      <c r="F17" s="2" t="str">
        <f>IF(LEN('A créer'!C17)=0,"","Tab")</f>
        <v/>
      </c>
      <c r="G17" t="str">
        <f>IF(LEN('A créer'!P17)=0,"","01/01/2002")</f>
        <v/>
      </c>
      <c r="H17" s="2" t="str">
        <f>IF(LEN('A créer'!C17)=0,"","*SAVE")</f>
        <v/>
      </c>
    </row>
    <row r="18" spans="1:8" x14ac:dyDescent="0.35">
      <c r="A18" s="2" t="str">
        <f>IF(LEN('A créer'!C18)=0,"","*FN")</f>
        <v/>
      </c>
      <c r="B18" s="2" t="str">
        <f>IF(LEN('A créer'!A18)=0,"","Tab")</f>
        <v/>
      </c>
      <c r="C18" t="str">
        <f>IF(LEN('A créer'!P18)=0,"",'A créer'!P18)</f>
        <v/>
      </c>
      <c r="D18" s="2" t="str">
        <f>IF(LEN('A créer'!C18)=0,"","Tab")</f>
        <v/>
      </c>
      <c r="E18" t="str">
        <f>IF(LEN('A créer'!P18)=0,"","17060")</f>
        <v/>
      </c>
      <c r="F18" s="2" t="str">
        <f>IF(LEN('A créer'!C18)=0,"","Tab")</f>
        <v/>
      </c>
      <c r="G18" t="str">
        <f>IF(LEN('A créer'!P18)=0,"","01/01/2002")</f>
        <v/>
      </c>
      <c r="H18" s="2" t="str">
        <f>IF(LEN('A créer'!C18)=0,"","*SAVE")</f>
        <v/>
      </c>
    </row>
    <row r="19" spans="1:8" x14ac:dyDescent="0.35">
      <c r="A19" s="2" t="str">
        <f>IF(LEN('A créer'!C19)=0,"","*FN")</f>
        <v/>
      </c>
      <c r="B19" s="2" t="str">
        <f>IF(LEN('A créer'!A19)=0,"","Tab")</f>
        <v/>
      </c>
      <c r="C19" t="str">
        <f>IF(LEN('A créer'!P19)=0,"",'A créer'!P19)</f>
        <v/>
      </c>
      <c r="D19" s="2" t="str">
        <f>IF(LEN('A créer'!C19)=0,"","Tab")</f>
        <v/>
      </c>
      <c r="E19" t="str">
        <f>IF(LEN('A créer'!P19)=0,"","17060")</f>
        <v/>
      </c>
      <c r="F19" s="2" t="str">
        <f>IF(LEN('A créer'!C19)=0,"","Tab")</f>
        <v/>
      </c>
      <c r="G19" t="str">
        <f>IF(LEN('A créer'!P19)=0,"","01/01/2002")</f>
        <v/>
      </c>
      <c r="H19" s="2" t="str">
        <f>IF(LEN('A créer'!C19)=0,"","*SAVE")</f>
        <v/>
      </c>
    </row>
    <row r="20" spans="1:8" x14ac:dyDescent="0.35">
      <c r="A20" s="2" t="str">
        <f>IF(LEN('A créer'!C20)=0,"","*FN")</f>
        <v/>
      </c>
      <c r="B20" s="2" t="str">
        <f>IF(LEN('A créer'!A20)=0,"","Tab")</f>
        <v/>
      </c>
      <c r="C20" t="str">
        <f>IF(LEN('A créer'!P20)=0,"",'A créer'!P20)</f>
        <v/>
      </c>
      <c r="D20" s="2" t="str">
        <f>IF(LEN('A créer'!C20)=0,"","Tab")</f>
        <v/>
      </c>
      <c r="E20" t="str">
        <f>IF(LEN('A créer'!P20)=0,"","17060")</f>
        <v/>
      </c>
      <c r="F20" s="2" t="str">
        <f>IF(LEN('A créer'!C20)=0,"","Tab")</f>
        <v/>
      </c>
      <c r="G20" t="str">
        <f>IF(LEN('A créer'!P20)=0,"","01/01/2002")</f>
        <v/>
      </c>
      <c r="H20" s="2" t="str">
        <f>IF(LEN('A créer'!C20)=0,"","*SAVE")</f>
        <v/>
      </c>
    </row>
    <row r="21" spans="1:8" x14ac:dyDescent="0.35">
      <c r="A21" s="2" t="str">
        <f>IF(LEN('A créer'!C21)=0,"","*FN")</f>
        <v/>
      </c>
      <c r="B21" s="2" t="str">
        <f>IF(LEN('A créer'!A21)=0,"","Tab")</f>
        <v/>
      </c>
      <c r="C21" t="str">
        <f>IF(LEN('A créer'!P21)=0,"",'A créer'!P21)</f>
        <v/>
      </c>
      <c r="D21" s="2" t="str">
        <f>IF(LEN('A créer'!C21)=0,"","Tab")</f>
        <v/>
      </c>
      <c r="E21" t="str">
        <f>IF(LEN('A créer'!P21)=0,"","17060")</f>
        <v/>
      </c>
      <c r="F21" s="2" t="str">
        <f>IF(LEN('A créer'!C21)=0,"","Tab")</f>
        <v/>
      </c>
      <c r="G21" t="str">
        <f>IF(LEN('A créer'!P21)=0,"","01/01/2002")</f>
        <v/>
      </c>
      <c r="H21" s="2" t="str">
        <f>IF(LEN('A créer'!C21)=0,"","*SAVE")</f>
        <v/>
      </c>
    </row>
    <row r="22" spans="1:8" x14ac:dyDescent="0.35">
      <c r="A22" s="2" t="str">
        <f>IF(LEN('A créer'!C22)=0,"","*FN")</f>
        <v/>
      </c>
      <c r="B22" s="2" t="str">
        <f>IF(LEN('A créer'!A22)=0,"","Tab")</f>
        <v/>
      </c>
      <c r="C22" t="str">
        <f>IF(LEN('A créer'!P22)=0,"",'A créer'!P22)</f>
        <v/>
      </c>
      <c r="D22" s="2" t="str">
        <f>IF(LEN('A créer'!C22)=0,"","Tab")</f>
        <v/>
      </c>
      <c r="E22" t="str">
        <f>IF(LEN('A créer'!P22)=0,"","17060")</f>
        <v/>
      </c>
      <c r="F22" s="2" t="str">
        <f>IF(LEN('A créer'!C22)=0,"","Tab")</f>
        <v/>
      </c>
      <c r="G22" t="str">
        <f>IF(LEN('A créer'!P22)=0,"","01/01/2002")</f>
        <v/>
      </c>
      <c r="H22" s="2" t="str">
        <f>IF(LEN('A créer'!C22)=0,"","*SAVE")</f>
        <v/>
      </c>
    </row>
    <row r="23" spans="1:8" x14ac:dyDescent="0.35">
      <c r="A23" s="2" t="str">
        <f>IF(LEN('A créer'!C23)=0,"","*FN")</f>
        <v/>
      </c>
      <c r="B23" s="2" t="str">
        <f>IF(LEN('A créer'!A23)=0,"","Tab")</f>
        <v/>
      </c>
      <c r="C23" t="str">
        <f>IF(LEN('A créer'!P23)=0,"",'A créer'!P23)</f>
        <v/>
      </c>
      <c r="D23" s="2" t="str">
        <f>IF(LEN('A créer'!C23)=0,"","Tab")</f>
        <v/>
      </c>
      <c r="E23" t="str">
        <f>IF(LEN('A créer'!P23)=0,"","17060")</f>
        <v/>
      </c>
      <c r="F23" s="2" t="str">
        <f>IF(LEN('A créer'!C23)=0,"","Tab")</f>
        <v/>
      </c>
      <c r="G23" t="str">
        <f>IF(LEN('A créer'!P23)=0,"","01/01/2002")</f>
        <v/>
      </c>
      <c r="H23" s="2" t="str">
        <f>IF(LEN('A créer'!C23)=0,"","*SAVE")</f>
        <v/>
      </c>
    </row>
    <row r="24" spans="1:8" x14ac:dyDescent="0.35">
      <c r="A24" s="2" t="str">
        <f>IF(LEN('A créer'!C24)=0,"","*FN")</f>
        <v/>
      </c>
      <c r="B24" s="2" t="str">
        <f>IF(LEN('A créer'!A24)=0,"","Tab")</f>
        <v/>
      </c>
      <c r="C24" t="str">
        <f>IF(LEN('A créer'!P24)=0,"",'A créer'!P24)</f>
        <v/>
      </c>
      <c r="D24" s="2" t="str">
        <f>IF(LEN('A créer'!C24)=0,"","Tab")</f>
        <v/>
      </c>
      <c r="E24" t="str">
        <f>IF(LEN('A créer'!P24)=0,"","17060")</f>
        <v/>
      </c>
      <c r="F24" s="2" t="str">
        <f>IF(LEN('A créer'!C24)=0,"","Tab")</f>
        <v/>
      </c>
      <c r="G24" t="str">
        <f>IF(LEN('A créer'!P24)=0,"","01/01/2002")</f>
        <v/>
      </c>
      <c r="H24" s="2" t="str">
        <f>IF(LEN('A créer'!C24)=0,"","*SAVE")</f>
        <v/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tabSelected="1" workbookViewId="0">
      <pane ySplit="1" topLeftCell="A2" activePane="bottomLeft" state="frozenSplit"/>
      <selection activeCell="G30" sqref="G30"/>
      <selection pane="bottomLeft" activeCell="G30" sqref="G30"/>
    </sheetView>
  </sheetViews>
  <sheetFormatPr baseColWidth="10" defaultRowHeight="14.5" x14ac:dyDescent="0.35"/>
  <cols>
    <col min="1" max="1" width="4.26953125" bestFit="1" customWidth="1"/>
    <col min="3" max="8" width="4.26953125" bestFit="1" customWidth="1"/>
  </cols>
  <sheetData>
    <row r="1" spans="1:8" x14ac:dyDescent="0.35">
      <c r="A1" s="2" t="s">
        <v>67</v>
      </c>
      <c r="B1" s="6" t="s">
        <v>71</v>
      </c>
      <c r="C1" s="2" t="s">
        <v>67</v>
      </c>
      <c r="D1" s="2" t="s">
        <v>15</v>
      </c>
      <c r="E1" s="2" t="s">
        <v>67</v>
      </c>
      <c r="F1" s="2" t="s">
        <v>67</v>
      </c>
      <c r="G1" s="2" t="s">
        <v>15</v>
      </c>
      <c r="H1" s="2" t="s">
        <v>15</v>
      </c>
    </row>
    <row r="2" spans="1:8" x14ac:dyDescent="0.35">
      <c r="A2" s="2" t="str">
        <f>IF(LEN('A créer'!$C2)=0,"","TAB")</f>
        <v>TAB</v>
      </c>
      <c r="B2" s="6" t="str">
        <f>CONCATENATE('A créer'!B2,'A créer'!A2)</f>
        <v>DCW0535</v>
      </c>
      <c r="C2" s="2" t="str">
        <f>IF(LEN('A créer'!$C2)=0,"","TAB")</f>
        <v>TAB</v>
      </c>
      <c r="D2" s="2" t="str">
        <f>IF(LEN('A créer'!$C2)=0,"","ENT")</f>
        <v>ENT</v>
      </c>
      <c r="E2" s="2" t="str">
        <f>IF(LEN('A créer'!$C2)=0,"","TAB")</f>
        <v>TAB</v>
      </c>
      <c r="F2" s="2" t="str">
        <f>IF(LEN('A créer'!$C2)=0,"","TAB")</f>
        <v>TAB</v>
      </c>
      <c r="G2" s="2" t="str">
        <f>IF(LEN('A créer'!$C2)=0,"","ENT")</f>
        <v>ENT</v>
      </c>
      <c r="H2" s="2" t="str">
        <f>IF(LEN('A créer'!$C2)=0,"","ENT")</f>
        <v>ENT</v>
      </c>
    </row>
    <row r="3" spans="1:8" x14ac:dyDescent="0.35">
      <c r="A3" s="2" t="str">
        <f>IF(LEN('A créer'!$C3)=0,"","TAB")</f>
        <v/>
      </c>
      <c r="B3" s="6" t="str">
        <f>CONCATENATE('A créer'!B3,'A créer'!A3)</f>
        <v/>
      </c>
      <c r="C3" s="2" t="str">
        <f>IF(LEN('A créer'!$C3)=0,"","TAB")</f>
        <v/>
      </c>
      <c r="D3" s="2" t="str">
        <f>IF(LEN('A créer'!$C3)=0,"","ENT")</f>
        <v/>
      </c>
      <c r="E3" s="2" t="str">
        <f>IF(LEN('A créer'!$C3)=0,"","TAB")</f>
        <v/>
      </c>
      <c r="F3" s="2" t="str">
        <f>IF(LEN('A créer'!$C3)=0,"","TAB")</f>
        <v/>
      </c>
      <c r="G3" s="2" t="str">
        <f>IF(LEN('A créer'!$C3)=0,"","ENT")</f>
        <v/>
      </c>
      <c r="H3" s="2" t="str">
        <f>IF(LEN('A créer'!$C3)=0,"","ENT")</f>
        <v/>
      </c>
    </row>
    <row r="4" spans="1:8" x14ac:dyDescent="0.35">
      <c r="A4" s="2" t="str">
        <f>IF(LEN('A créer'!$C4)=0,"","TAB")</f>
        <v>TAB</v>
      </c>
      <c r="B4" s="6" t="str">
        <f>CONCATENATE('A créer'!B4,'A créer'!A4)</f>
        <v>DCW0595</v>
      </c>
      <c r="C4" s="2" t="str">
        <f>IF(LEN('A créer'!$C4)=0,"","TAB")</f>
        <v>TAB</v>
      </c>
      <c r="D4" s="2" t="str">
        <f>IF(LEN('A créer'!$C4)=0,"","ENT")</f>
        <v>ENT</v>
      </c>
      <c r="E4" s="2" t="str">
        <f>IF(LEN('A créer'!$C4)=0,"","TAB")</f>
        <v>TAB</v>
      </c>
      <c r="F4" s="2" t="str">
        <f>IF(LEN('A créer'!$C4)=0,"","TAB")</f>
        <v>TAB</v>
      </c>
      <c r="G4" s="2" t="str">
        <f>IF(LEN('A créer'!$C4)=0,"","ENT")</f>
        <v>ENT</v>
      </c>
      <c r="H4" s="2" t="str">
        <f>IF(LEN('A créer'!$C4)=0,"","ENT")</f>
        <v>ENT</v>
      </c>
    </row>
    <row r="5" spans="1:8" x14ac:dyDescent="0.35">
      <c r="A5" s="2" t="str">
        <f>IF(LEN('A créer'!$C5)=0,"","TAB")</f>
        <v/>
      </c>
      <c r="B5" s="6" t="str">
        <f>CONCATENATE('A créer'!B5,'A créer'!A5)</f>
        <v/>
      </c>
      <c r="C5" s="2" t="str">
        <f>IF(LEN('A créer'!$C5)=0,"","TAB")</f>
        <v/>
      </c>
      <c r="D5" s="2" t="str">
        <f>IF(LEN('A créer'!$C5)=0,"","ENT")</f>
        <v/>
      </c>
      <c r="E5" s="2" t="str">
        <f>IF(LEN('A créer'!$C5)=0,"","TAB")</f>
        <v/>
      </c>
      <c r="F5" s="2" t="str">
        <f>IF(LEN('A créer'!$C5)=0,"","TAB")</f>
        <v/>
      </c>
      <c r="G5" s="2" t="str">
        <f>IF(LEN('A créer'!$C5)=0,"","ENT")</f>
        <v/>
      </c>
      <c r="H5" s="2" t="str">
        <f>IF(LEN('A créer'!$C5)=0,"","ENT")</f>
        <v/>
      </c>
    </row>
    <row r="6" spans="1:8" x14ac:dyDescent="0.35">
      <c r="A6" s="2" t="str">
        <f>IF(LEN('A créer'!$C6)=0,"","TAB")</f>
        <v/>
      </c>
      <c r="B6" s="6" t="str">
        <f>CONCATENATE('A créer'!B6,'A créer'!A6)</f>
        <v/>
      </c>
      <c r="C6" s="2" t="str">
        <f>IF(LEN('A créer'!$C6)=0,"","TAB")</f>
        <v/>
      </c>
      <c r="D6" s="2" t="str">
        <f>IF(LEN('A créer'!$C6)=0,"","ENT")</f>
        <v/>
      </c>
      <c r="E6" s="2" t="str">
        <f>IF(LEN('A créer'!$C6)=0,"","TAB")</f>
        <v/>
      </c>
      <c r="F6" s="2" t="str">
        <f>IF(LEN('A créer'!$C6)=0,"","TAB")</f>
        <v/>
      </c>
      <c r="G6" s="2" t="str">
        <f>IF(LEN('A créer'!$C6)=0,"","ENT")</f>
        <v/>
      </c>
      <c r="H6" s="2" t="str">
        <f>IF(LEN('A créer'!$C6)=0,"","ENT")</f>
        <v/>
      </c>
    </row>
    <row r="7" spans="1:8" x14ac:dyDescent="0.35">
      <c r="A7" s="2" t="str">
        <f>IF(LEN('A créer'!$C7)=0,"","TAB")</f>
        <v/>
      </c>
      <c r="B7" s="6" t="str">
        <f>CONCATENATE('A créer'!B7,'A créer'!A7)</f>
        <v/>
      </c>
      <c r="C7" s="2" t="str">
        <f>IF(LEN('A créer'!$C7)=0,"","TAB")</f>
        <v/>
      </c>
      <c r="D7" s="2" t="str">
        <f>IF(LEN('A créer'!$C7)=0,"","ENT")</f>
        <v/>
      </c>
      <c r="E7" s="2" t="str">
        <f>IF(LEN('A créer'!$C7)=0,"","TAB")</f>
        <v/>
      </c>
      <c r="F7" s="2" t="str">
        <f>IF(LEN('A créer'!$C7)=0,"","TAB")</f>
        <v/>
      </c>
      <c r="G7" s="2" t="str">
        <f>IF(LEN('A créer'!$C7)=0,"","ENT")</f>
        <v/>
      </c>
      <c r="H7" s="2" t="str">
        <f>IF(LEN('A créer'!$C7)=0,"","ENT")</f>
        <v/>
      </c>
    </row>
    <row r="8" spans="1:8" x14ac:dyDescent="0.35">
      <c r="A8" s="2" t="str">
        <f>IF(LEN('A créer'!$C8)=0,"","TAB")</f>
        <v/>
      </c>
      <c r="B8" s="6" t="str">
        <f>CONCATENATE('A créer'!B8,'A créer'!A8)</f>
        <v/>
      </c>
      <c r="C8" s="2" t="str">
        <f>IF(LEN('A créer'!$C8)=0,"","TAB")</f>
        <v/>
      </c>
      <c r="D8" s="2" t="str">
        <f>IF(LEN('A créer'!$C8)=0,"","ENT")</f>
        <v/>
      </c>
      <c r="E8" s="2" t="str">
        <f>IF(LEN('A créer'!$C8)=0,"","TAB")</f>
        <v/>
      </c>
      <c r="F8" s="2" t="str">
        <f>IF(LEN('A créer'!$C8)=0,"","TAB")</f>
        <v/>
      </c>
      <c r="G8" s="2" t="str">
        <f>IF(LEN('A créer'!$C8)=0,"","ENT")</f>
        <v/>
      </c>
      <c r="H8" s="2" t="str">
        <f>IF(LEN('A créer'!$C8)=0,"","ENT")</f>
        <v/>
      </c>
    </row>
    <row r="9" spans="1:8" x14ac:dyDescent="0.35">
      <c r="A9" s="2" t="str">
        <f>IF(LEN('A créer'!$C9)=0,"","TAB")</f>
        <v/>
      </c>
      <c r="B9" s="6" t="str">
        <f>CONCATENATE('A créer'!B9,'A créer'!A9)</f>
        <v/>
      </c>
      <c r="C9" s="2" t="str">
        <f>IF(LEN('A créer'!$C9)=0,"","TAB")</f>
        <v/>
      </c>
      <c r="D9" s="2" t="str">
        <f>IF(LEN('A créer'!$C9)=0,"","ENT")</f>
        <v/>
      </c>
      <c r="E9" s="2" t="str">
        <f>IF(LEN('A créer'!$C9)=0,"","TAB")</f>
        <v/>
      </c>
      <c r="F9" s="2" t="str">
        <f>IF(LEN('A créer'!$C9)=0,"","TAB")</f>
        <v/>
      </c>
      <c r="G9" s="2" t="str">
        <f>IF(LEN('A créer'!$C9)=0,"","ENT")</f>
        <v/>
      </c>
      <c r="H9" s="2" t="str">
        <f>IF(LEN('A créer'!$C9)=0,"","ENT")</f>
        <v/>
      </c>
    </row>
    <row r="10" spans="1:8" x14ac:dyDescent="0.35">
      <c r="A10" s="2" t="str">
        <f>IF(LEN('A créer'!$C10)=0,"","TAB")</f>
        <v/>
      </c>
      <c r="B10" s="6" t="str">
        <f>CONCATENATE('A créer'!B10,'A créer'!A10)</f>
        <v/>
      </c>
      <c r="C10" s="2" t="str">
        <f>IF(LEN('A créer'!$C10)=0,"","TAB")</f>
        <v/>
      </c>
      <c r="D10" s="2" t="str">
        <f>IF(LEN('A créer'!$C10)=0,"","ENT")</f>
        <v/>
      </c>
      <c r="E10" s="2" t="str">
        <f>IF(LEN('A créer'!$C10)=0,"","TAB")</f>
        <v/>
      </c>
      <c r="F10" s="2" t="str">
        <f>IF(LEN('A créer'!$C10)=0,"","TAB")</f>
        <v/>
      </c>
      <c r="G10" s="2" t="str">
        <f>IF(LEN('A créer'!$C10)=0,"","ENT")</f>
        <v/>
      </c>
      <c r="H10" s="2" t="str">
        <f>IF(LEN('A créer'!$C10)=0,"","ENT")</f>
        <v/>
      </c>
    </row>
    <row r="11" spans="1:8" x14ac:dyDescent="0.35">
      <c r="A11" s="2" t="str">
        <f>IF(LEN('A créer'!$C11)=0,"","TAB")</f>
        <v/>
      </c>
      <c r="B11" s="6" t="str">
        <f>CONCATENATE('A créer'!B11,'A créer'!A11)</f>
        <v/>
      </c>
      <c r="C11" s="2" t="str">
        <f>IF(LEN('A créer'!$C11)=0,"","TAB")</f>
        <v/>
      </c>
      <c r="D11" s="2" t="str">
        <f>IF(LEN('A créer'!$C11)=0,"","ENT")</f>
        <v/>
      </c>
      <c r="E11" s="2" t="str">
        <f>IF(LEN('A créer'!$C11)=0,"","TAB")</f>
        <v/>
      </c>
      <c r="F11" s="2" t="str">
        <f>IF(LEN('A créer'!$C11)=0,"","TAB")</f>
        <v/>
      </c>
      <c r="G11" s="2" t="str">
        <f>IF(LEN('A créer'!$C11)=0,"","ENT")</f>
        <v/>
      </c>
      <c r="H11" s="2" t="str">
        <f>IF(LEN('A créer'!$C11)=0,"","ENT")</f>
        <v/>
      </c>
    </row>
    <row r="12" spans="1:8" x14ac:dyDescent="0.35">
      <c r="A12" s="2" t="str">
        <f>IF(LEN('A créer'!$C12)=0,"","TAB")</f>
        <v/>
      </c>
      <c r="B12" s="6" t="str">
        <f>CONCATENATE('A créer'!B12,'A créer'!A12)</f>
        <v/>
      </c>
      <c r="C12" s="2" t="str">
        <f>IF(LEN('A créer'!$C12)=0,"","TAB")</f>
        <v/>
      </c>
      <c r="D12" s="2" t="str">
        <f>IF(LEN('A créer'!$C12)=0,"","ENT")</f>
        <v/>
      </c>
      <c r="E12" s="2" t="str">
        <f>IF(LEN('A créer'!$C12)=0,"","TAB")</f>
        <v/>
      </c>
      <c r="F12" s="2" t="str">
        <f>IF(LEN('A créer'!$C12)=0,"","TAB")</f>
        <v/>
      </c>
      <c r="G12" s="2" t="str">
        <f>IF(LEN('A créer'!$C12)=0,"","ENT")</f>
        <v/>
      </c>
      <c r="H12" s="2" t="str">
        <f>IF(LEN('A créer'!$C12)=0,"","ENT")</f>
        <v/>
      </c>
    </row>
    <row r="13" spans="1:8" x14ac:dyDescent="0.35">
      <c r="A13" s="2" t="str">
        <f>IF(LEN('A créer'!$C13)=0,"","TAB")</f>
        <v/>
      </c>
      <c r="B13" s="6" t="str">
        <f>CONCATENATE('A créer'!B13,'A créer'!A13)</f>
        <v/>
      </c>
      <c r="C13" s="2" t="str">
        <f>IF(LEN('A créer'!$C13)=0,"","TAB")</f>
        <v/>
      </c>
      <c r="D13" s="2" t="str">
        <f>IF(LEN('A créer'!$C13)=0,"","ENT")</f>
        <v/>
      </c>
      <c r="E13" s="2" t="str">
        <f>IF(LEN('A créer'!$C13)=0,"","TAB")</f>
        <v/>
      </c>
      <c r="F13" s="2" t="str">
        <f>IF(LEN('A créer'!$C13)=0,"","TAB")</f>
        <v/>
      </c>
      <c r="G13" s="2" t="str">
        <f>IF(LEN('A créer'!$C13)=0,"","ENT")</f>
        <v/>
      </c>
      <c r="H13" s="2" t="str">
        <f>IF(LEN('A créer'!$C13)=0,"","ENT")</f>
        <v/>
      </c>
    </row>
    <row r="14" spans="1:8" x14ac:dyDescent="0.35">
      <c r="A14" s="2" t="str">
        <f>IF(LEN('A créer'!$C14)=0,"","TAB")</f>
        <v/>
      </c>
      <c r="B14" s="6" t="str">
        <f>CONCATENATE('A créer'!B14,'A créer'!A14)</f>
        <v/>
      </c>
      <c r="C14" s="2" t="str">
        <f>IF(LEN('A créer'!$C14)=0,"","TAB")</f>
        <v/>
      </c>
      <c r="D14" s="2" t="str">
        <f>IF(LEN('A créer'!$C14)=0,"","ENT")</f>
        <v/>
      </c>
      <c r="E14" s="2" t="str">
        <f>IF(LEN('A créer'!$C14)=0,"","TAB")</f>
        <v/>
      </c>
      <c r="F14" s="2" t="str">
        <f>IF(LEN('A créer'!$C14)=0,"","TAB")</f>
        <v/>
      </c>
      <c r="G14" s="2" t="str">
        <f>IF(LEN('A créer'!$C14)=0,"","ENT")</f>
        <v/>
      </c>
      <c r="H14" s="2" t="str">
        <f>IF(LEN('A créer'!$C14)=0,"","ENT")</f>
        <v/>
      </c>
    </row>
    <row r="15" spans="1:8" x14ac:dyDescent="0.35">
      <c r="A15" s="2" t="str">
        <f>IF(LEN('A créer'!$C15)=0,"","TAB")</f>
        <v/>
      </c>
      <c r="B15" s="6" t="str">
        <f>CONCATENATE('A créer'!B15,'A créer'!A15)</f>
        <v/>
      </c>
      <c r="C15" s="2" t="str">
        <f>IF(LEN('A créer'!$C15)=0,"","TAB")</f>
        <v/>
      </c>
      <c r="D15" s="2" t="str">
        <f>IF(LEN('A créer'!$C15)=0,"","ENT")</f>
        <v/>
      </c>
      <c r="E15" s="2" t="str">
        <f>IF(LEN('A créer'!$C15)=0,"","TAB")</f>
        <v/>
      </c>
      <c r="F15" s="2" t="str">
        <f>IF(LEN('A créer'!$C15)=0,"","TAB")</f>
        <v/>
      </c>
      <c r="G15" s="2" t="str">
        <f>IF(LEN('A créer'!$C15)=0,"","ENT")</f>
        <v/>
      </c>
      <c r="H15" s="2" t="str">
        <f>IF(LEN('A créer'!$C15)=0,"","ENT")</f>
        <v/>
      </c>
    </row>
    <row r="16" spans="1:8" x14ac:dyDescent="0.35">
      <c r="A16" s="2" t="str">
        <f>IF(LEN('A créer'!$C16)=0,"","TAB")</f>
        <v/>
      </c>
      <c r="B16" s="6" t="str">
        <f>CONCATENATE('A créer'!B16,'A créer'!A16)</f>
        <v/>
      </c>
      <c r="C16" s="2" t="str">
        <f>IF(LEN('A créer'!$C16)=0,"","TAB")</f>
        <v/>
      </c>
      <c r="D16" s="2" t="str">
        <f>IF(LEN('A créer'!$C16)=0,"","ENT")</f>
        <v/>
      </c>
      <c r="E16" s="2" t="str">
        <f>IF(LEN('A créer'!$C16)=0,"","TAB")</f>
        <v/>
      </c>
      <c r="F16" s="2" t="str">
        <f>IF(LEN('A créer'!$C16)=0,"","TAB")</f>
        <v/>
      </c>
      <c r="G16" s="2" t="str">
        <f>IF(LEN('A créer'!$C16)=0,"","ENT")</f>
        <v/>
      </c>
      <c r="H16" s="2" t="str">
        <f>IF(LEN('A créer'!$C16)=0,"","ENT")</f>
        <v/>
      </c>
    </row>
    <row r="17" spans="1:8" x14ac:dyDescent="0.35">
      <c r="A17" s="2" t="str">
        <f>IF(LEN('A créer'!$C17)=0,"","TAB")</f>
        <v/>
      </c>
      <c r="B17" s="6" t="str">
        <f>CONCATENATE('A créer'!B17,'A créer'!A17)</f>
        <v/>
      </c>
      <c r="C17" s="2" t="str">
        <f>IF(LEN('A créer'!$C17)=0,"","TAB")</f>
        <v/>
      </c>
      <c r="D17" s="2" t="str">
        <f>IF(LEN('A créer'!$C17)=0,"","ENT")</f>
        <v/>
      </c>
      <c r="E17" s="2" t="str">
        <f>IF(LEN('A créer'!$C17)=0,"","TAB")</f>
        <v/>
      </c>
      <c r="F17" s="2" t="str">
        <f>IF(LEN('A créer'!$C17)=0,"","TAB")</f>
        <v/>
      </c>
      <c r="G17" s="2" t="str">
        <f>IF(LEN('A créer'!$C17)=0,"","ENT")</f>
        <v/>
      </c>
      <c r="H17" s="2" t="str">
        <f>IF(LEN('A créer'!$C17)=0,"","ENT")</f>
        <v/>
      </c>
    </row>
    <row r="18" spans="1:8" x14ac:dyDescent="0.35">
      <c r="A18" s="2" t="str">
        <f>IF(LEN('A créer'!$C18)=0,"","TAB")</f>
        <v/>
      </c>
      <c r="B18" s="6" t="str">
        <f>CONCATENATE('A créer'!B18,'A créer'!A18)</f>
        <v/>
      </c>
      <c r="C18" s="2" t="str">
        <f>IF(LEN('A créer'!$C18)=0,"","TAB")</f>
        <v/>
      </c>
      <c r="D18" s="2" t="str">
        <f>IF(LEN('A créer'!$C18)=0,"","ENT")</f>
        <v/>
      </c>
      <c r="E18" s="2" t="str">
        <f>IF(LEN('A créer'!$C18)=0,"","TAB")</f>
        <v/>
      </c>
      <c r="F18" s="2" t="str">
        <f>IF(LEN('A créer'!$C18)=0,"","TAB")</f>
        <v/>
      </c>
      <c r="G18" s="2" t="str">
        <f>IF(LEN('A créer'!$C18)=0,"","ENT")</f>
        <v/>
      </c>
      <c r="H18" s="2" t="str">
        <f>IF(LEN('A créer'!$C18)=0,"","ENT")</f>
        <v/>
      </c>
    </row>
    <row r="19" spans="1:8" x14ac:dyDescent="0.35">
      <c r="A19" s="2" t="str">
        <f>IF(LEN('A créer'!$C19)=0,"","TAB")</f>
        <v/>
      </c>
      <c r="B19" s="6" t="str">
        <f>CONCATENATE('A créer'!B19,'A créer'!A19)</f>
        <v/>
      </c>
      <c r="C19" s="2" t="str">
        <f>IF(LEN('A créer'!$C19)=0,"","TAB")</f>
        <v/>
      </c>
      <c r="D19" s="2" t="str">
        <f>IF(LEN('A créer'!$C19)=0,"","ENT")</f>
        <v/>
      </c>
      <c r="E19" s="2" t="str">
        <f>IF(LEN('A créer'!$C19)=0,"","TAB")</f>
        <v/>
      </c>
      <c r="F19" s="2" t="str">
        <f>IF(LEN('A créer'!$C19)=0,"","TAB")</f>
        <v/>
      </c>
      <c r="G19" s="2" t="str">
        <f>IF(LEN('A créer'!$C19)=0,"","ENT")</f>
        <v/>
      </c>
      <c r="H19" s="2" t="str">
        <f>IF(LEN('A créer'!$C19)=0,"","ENT")</f>
        <v/>
      </c>
    </row>
    <row r="20" spans="1:8" x14ac:dyDescent="0.35">
      <c r="A20" s="2" t="str">
        <f>IF(LEN('A créer'!$C20)=0,"","TAB")</f>
        <v/>
      </c>
      <c r="B20" s="6" t="str">
        <f>CONCATENATE('A créer'!B20,'A créer'!A20)</f>
        <v/>
      </c>
      <c r="C20" s="2" t="str">
        <f>IF(LEN('A créer'!$C20)=0,"","TAB")</f>
        <v/>
      </c>
      <c r="D20" s="2" t="str">
        <f>IF(LEN('A créer'!$C20)=0,"","ENT")</f>
        <v/>
      </c>
      <c r="E20" s="2" t="str">
        <f>IF(LEN('A créer'!$C20)=0,"","TAB")</f>
        <v/>
      </c>
      <c r="F20" s="2" t="str">
        <f>IF(LEN('A créer'!$C20)=0,"","TAB")</f>
        <v/>
      </c>
      <c r="G20" s="2" t="str">
        <f>IF(LEN('A créer'!$C20)=0,"","ENT")</f>
        <v/>
      </c>
      <c r="H20" s="2" t="str">
        <f>IF(LEN('A créer'!$C20)=0,"","ENT")</f>
        <v/>
      </c>
    </row>
    <row r="21" spans="1:8" x14ac:dyDescent="0.35">
      <c r="A21" s="2" t="str">
        <f>IF(LEN('A créer'!$C21)=0,"","TAB")</f>
        <v/>
      </c>
      <c r="B21" s="6" t="str">
        <f>CONCATENATE('A créer'!B21,'A créer'!A21)</f>
        <v/>
      </c>
      <c r="C21" s="2" t="str">
        <f>IF(LEN('A créer'!$C21)=0,"","TAB")</f>
        <v/>
      </c>
      <c r="D21" s="2" t="str">
        <f>IF(LEN('A créer'!$C21)=0,"","ENT")</f>
        <v/>
      </c>
      <c r="E21" s="2" t="str">
        <f>IF(LEN('A créer'!$C21)=0,"","TAB")</f>
        <v/>
      </c>
      <c r="F21" s="2" t="str">
        <f>IF(LEN('A créer'!$C21)=0,"","TAB")</f>
        <v/>
      </c>
      <c r="G21" s="2" t="str">
        <f>IF(LEN('A créer'!$C21)=0,"","ENT")</f>
        <v/>
      </c>
      <c r="H21" s="2" t="str">
        <f>IF(LEN('A créer'!$C21)=0,"","ENT")</f>
        <v/>
      </c>
    </row>
    <row r="22" spans="1:8" x14ac:dyDescent="0.35">
      <c r="A22" s="2" t="str">
        <f>IF(LEN('A créer'!$C22)=0,"","TAB")</f>
        <v/>
      </c>
      <c r="B22" s="6" t="str">
        <f>CONCATENATE('A créer'!B22,'A créer'!A22)</f>
        <v/>
      </c>
      <c r="C22" s="2" t="str">
        <f>IF(LEN('A créer'!$C22)=0,"","TAB")</f>
        <v/>
      </c>
      <c r="D22" s="2" t="str">
        <f>IF(LEN('A créer'!$C22)=0,"","ENT")</f>
        <v/>
      </c>
      <c r="E22" s="2" t="str">
        <f>IF(LEN('A créer'!$C22)=0,"","TAB")</f>
        <v/>
      </c>
      <c r="F22" s="2" t="str">
        <f>IF(LEN('A créer'!$C22)=0,"","TAB")</f>
        <v/>
      </c>
      <c r="G22" s="2" t="str">
        <f>IF(LEN('A créer'!$C22)=0,"","ENT")</f>
        <v/>
      </c>
      <c r="H22" s="2" t="str">
        <f>IF(LEN('A créer'!$C22)=0,"","ENT")</f>
        <v/>
      </c>
    </row>
    <row r="23" spans="1:8" x14ac:dyDescent="0.35">
      <c r="A23" s="2" t="str">
        <f>IF(LEN('A créer'!$C23)=0,"","TAB")</f>
        <v/>
      </c>
      <c r="B23" s="6" t="str">
        <f>CONCATENATE('A créer'!B23,'A créer'!A23)</f>
        <v/>
      </c>
      <c r="C23" s="2" t="str">
        <f>IF(LEN('A créer'!$C23)=0,"","TAB")</f>
        <v/>
      </c>
      <c r="D23" s="2" t="str">
        <f>IF(LEN('A créer'!$C23)=0,"","ENT")</f>
        <v/>
      </c>
      <c r="E23" s="2" t="str">
        <f>IF(LEN('A créer'!$C23)=0,"","TAB")</f>
        <v/>
      </c>
      <c r="F23" s="2" t="str">
        <f>IF(LEN('A créer'!$C23)=0,"","TAB")</f>
        <v/>
      </c>
      <c r="G23" s="2" t="str">
        <f>IF(LEN('A créer'!$C23)=0,"","ENT")</f>
        <v/>
      </c>
      <c r="H23" s="2" t="str">
        <f>IF(LEN('A créer'!$C23)=0,"","ENT")</f>
        <v/>
      </c>
    </row>
    <row r="24" spans="1:8" x14ac:dyDescent="0.35">
      <c r="A24" s="2" t="str">
        <f>IF(LEN('A créer'!$C24)=0,"","TAB")</f>
        <v/>
      </c>
      <c r="B24" s="6" t="str">
        <f>CONCATENATE('A créer'!B24,'A créer'!A24)</f>
        <v/>
      </c>
      <c r="C24" s="2" t="str">
        <f>IF(LEN('A créer'!$C24)=0,"","TAB")</f>
        <v/>
      </c>
      <c r="D24" s="2" t="str">
        <f>IF(LEN('A créer'!$C24)=0,"","ENT")</f>
        <v/>
      </c>
      <c r="E24" s="2" t="str">
        <f>IF(LEN('A créer'!$C24)=0,"","TAB")</f>
        <v/>
      </c>
      <c r="F24" s="2" t="str">
        <f>IF(LEN('A créer'!$C24)=0,"","TAB")</f>
        <v/>
      </c>
      <c r="G24" s="2" t="str">
        <f>IF(LEN('A créer'!$C24)=0,"","ENT")</f>
        <v/>
      </c>
      <c r="H24" s="2" t="str">
        <f>IF(LEN('A créer'!$C24)=0,"","ENT")</f>
        <v/>
      </c>
    </row>
    <row r="25" spans="1:8" x14ac:dyDescent="0.35">
      <c r="A25" s="2" t="str">
        <f>IF(LEN('A créer'!$C25)=0,"","TAB")</f>
        <v/>
      </c>
      <c r="B25" s="6" t="str">
        <f>CONCATENATE('A créer'!B25,'A créer'!A25)</f>
        <v/>
      </c>
      <c r="C25" s="2" t="str">
        <f>IF(LEN('A créer'!$C25)=0,"","TAB")</f>
        <v/>
      </c>
      <c r="D25" s="2" t="str">
        <f>IF(LEN('A créer'!$C25)=0,"","ENT")</f>
        <v/>
      </c>
      <c r="E25" s="2" t="str">
        <f>IF(LEN('A créer'!$C25)=0,"","TAB")</f>
        <v/>
      </c>
      <c r="F25" s="2" t="str">
        <f>IF(LEN('A créer'!$C25)=0,"","TAB")</f>
        <v/>
      </c>
      <c r="G25" s="2" t="str">
        <f>IF(LEN('A créer'!$C25)=0,"","ENT")</f>
        <v/>
      </c>
      <c r="H25" s="2" t="str">
        <f>IF(LEN('A créer'!$C25)=0,"","ENT")</f>
        <v/>
      </c>
    </row>
    <row r="26" spans="1:8" x14ac:dyDescent="0.35">
      <c r="A26" s="2" t="str">
        <f>IF(LEN('A créer'!$C26)=0,"","TAB")</f>
        <v/>
      </c>
      <c r="B26" s="6" t="str">
        <f>CONCATENATE('A créer'!B26,'A créer'!A26)</f>
        <v/>
      </c>
      <c r="C26" s="2" t="str">
        <f>IF(LEN('A créer'!$C26)=0,"","TAB")</f>
        <v/>
      </c>
      <c r="D26" s="2" t="str">
        <f>IF(LEN('A créer'!$C26)=0,"","ENT")</f>
        <v/>
      </c>
      <c r="E26" s="2" t="str">
        <f>IF(LEN('A créer'!$C26)=0,"","TAB")</f>
        <v/>
      </c>
      <c r="F26" s="2" t="str">
        <f>IF(LEN('A créer'!$C26)=0,"","TAB")</f>
        <v/>
      </c>
      <c r="G26" s="2" t="str">
        <f>IF(LEN('A créer'!$C26)=0,"","ENT")</f>
        <v/>
      </c>
      <c r="H26" s="2" t="str">
        <f>IF(LEN('A créer'!$C26)=0,"","ENT")</f>
        <v/>
      </c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zoomScale="80" zoomScaleNormal="80" workbookViewId="0">
      <pane ySplit="1" topLeftCell="A2" activePane="bottomLeft" state="frozenSplit"/>
      <selection activeCell="G30" sqref="G30"/>
      <selection pane="bottomLeft" activeCell="G30" sqref="G30"/>
    </sheetView>
  </sheetViews>
  <sheetFormatPr baseColWidth="10" defaultRowHeight="14.5" x14ac:dyDescent="0.35"/>
  <cols>
    <col min="1" max="1" width="4.26953125" bestFit="1" customWidth="1"/>
    <col min="2" max="2" width="4" bestFit="1" customWidth="1"/>
    <col min="4" max="4" width="4" bestFit="1" customWidth="1"/>
  </cols>
  <sheetData>
    <row r="1" spans="1:5" x14ac:dyDescent="0.35">
      <c r="A1" s="2" t="s">
        <v>18</v>
      </c>
      <c r="B1" s="2" t="s">
        <v>4</v>
      </c>
      <c r="C1" s="7" t="s">
        <v>66</v>
      </c>
      <c r="D1" s="2" t="s">
        <v>4</v>
      </c>
      <c r="E1" s="2" t="s">
        <v>16</v>
      </c>
    </row>
    <row r="2" spans="1:5" x14ac:dyDescent="0.35">
      <c r="A2" s="2" t="str">
        <f>IF(LEN('A créer'!C2)=0,"","*FN")</f>
        <v>*FN</v>
      </c>
      <c r="B2" s="2" t="str">
        <f>IF(LEN('A créer'!C2)=0,"","Tab")</f>
        <v>Tab</v>
      </c>
      <c r="C2" s="8" t="str">
        <f>CONCATENATE('A créer'!B2,'A créer'!A2)</f>
        <v>DCW0535</v>
      </c>
      <c r="D2" s="2" t="str">
        <f>IF(LEN('A créer'!C2)=0,"","Tab")</f>
        <v>Tab</v>
      </c>
      <c r="E2" s="2" t="str">
        <f>IF(LEN('A créer'!C2)=0,"","*SAVE")</f>
        <v>*SAVE</v>
      </c>
    </row>
    <row r="3" spans="1:5" x14ac:dyDescent="0.35">
      <c r="A3" s="2" t="str">
        <f>IF(LEN('A créer'!C3)=0,"","*FN")</f>
        <v/>
      </c>
      <c r="B3" s="2" t="str">
        <f>IF(LEN('A créer'!C3)=0,"","Tab")</f>
        <v/>
      </c>
      <c r="C3" s="8" t="str">
        <f>CONCATENATE('A créer'!B3,'A créer'!A3)</f>
        <v/>
      </c>
      <c r="D3" s="2" t="str">
        <f>IF(LEN('A créer'!C3)=0,"","Tab")</f>
        <v/>
      </c>
      <c r="E3" s="2" t="str">
        <f>IF(LEN('A créer'!C3)=0,"","*SAVE")</f>
        <v/>
      </c>
    </row>
    <row r="4" spans="1:5" x14ac:dyDescent="0.35">
      <c r="A4" s="2" t="str">
        <f>IF(LEN('A créer'!C4)=0,"","*FN")</f>
        <v>*FN</v>
      </c>
      <c r="B4" s="2" t="str">
        <f>IF(LEN('A créer'!C4)=0,"","Tab")</f>
        <v>Tab</v>
      </c>
      <c r="C4" s="8" t="str">
        <f>CONCATENATE('A créer'!B4,'A créer'!A4)</f>
        <v>DCW0595</v>
      </c>
      <c r="D4" s="2" t="str">
        <f>IF(LEN('A créer'!C4)=0,"","Tab")</f>
        <v>Tab</v>
      </c>
      <c r="E4" s="2" t="str">
        <f>IF(LEN('A créer'!C4)=0,"","*SAVE")</f>
        <v>*SAVE</v>
      </c>
    </row>
    <row r="5" spans="1:5" x14ac:dyDescent="0.35">
      <c r="A5" s="2" t="str">
        <f>IF(LEN('A créer'!C5)=0,"","*FN")</f>
        <v/>
      </c>
      <c r="B5" s="2" t="str">
        <f>IF(LEN('A créer'!C5)=0,"","Tab")</f>
        <v/>
      </c>
      <c r="C5" s="8" t="str">
        <f>CONCATENATE('A créer'!B5,'A créer'!A5)</f>
        <v/>
      </c>
      <c r="D5" s="2" t="str">
        <f>IF(LEN('A créer'!C5)=0,"","Tab")</f>
        <v/>
      </c>
      <c r="E5" s="2" t="str">
        <f>IF(LEN('A créer'!C5)=0,"","*SAVE")</f>
        <v/>
      </c>
    </row>
    <row r="6" spans="1:5" x14ac:dyDescent="0.35">
      <c r="A6" s="2" t="str">
        <f>IF(LEN('A créer'!C6)=0,"","*FN")</f>
        <v/>
      </c>
      <c r="B6" s="2" t="str">
        <f>IF(LEN('A créer'!C6)=0,"","Tab")</f>
        <v/>
      </c>
      <c r="C6" s="8" t="str">
        <f>CONCATENATE('A créer'!B6,'A créer'!A6)</f>
        <v/>
      </c>
      <c r="D6" s="2" t="str">
        <f>IF(LEN('A créer'!C6)=0,"","Tab")</f>
        <v/>
      </c>
      <c r="E6" s="2" t="str">
        <f>IF(LEN('A créer'!C6)=0,"","*SAVE")</f>
        <v/>
      </c>
    </row>
    <row r="7" spans="1:5" x14ac:dyDescent="0.35">
      <c r="A7" s="2" t="str">
        <f>IF(LEN('A créer'!C7)=0,"","*FN")</f>
        <v/>
      </c>
      <c r="B7" s="2" t="str">
        <f>IF(LEN('A créer'!C7)=0,"","Tab")</f>
        <v/>
      </c>
      <c r="C7" s="8" t="str">
        <f>CONCATENATE('A créer'!B7,'A créer'!A7)</f>
        <v/>
      </c>
      <c r="D7" s="2" t="str">
        <f>IF(LEN('A créer'!C7)=0,"","Tab")</f>
        <v/>
      </c>
      <c r="E7" s="2" t="str">
        <f>IF(LEN('A créer'!C7)=0,"","*SAVE")</f>
        <v/>
      </c>
    </row>
    <row r="8" spans="1:5" x14ac:dyDescent="0.35">
      <c r="A8" s="2" t="str">
        <f>IF(LEN('A créer'!C8)=0,"","*FN")</f>
        <v/>
      </c>
      <c r="B8" s="2" t="str">
        <f>IF(LEN('A créer'!C8)=0,"","Tab")</f>
        <v/>
      </c>
      <c r="C8" s="8" t="str">
        <f>CONCATENATE('A créer'!B8,'A créer'!A8)</f>
        <v/>
      </c>
      <c r="D8" s="2" t="str">
        <f>IF(LEN('A créer'!C8)=0,"","Tab")</f>
        <v/>
      </c>
      <c r="E8" s="2" t="str">
        <f>IF(LEN('A créer'!C8)=0,"","*SAVE")</f>
        <v/>
      </c>
    </row>
    <row r="9" spans="1:5" x14ac:dyDescent="0.35">
      <c r="A9" s="2" t="str">
        <f>IF(LEN('A créer'!C9)=0,"","*FN")</f>
        <v/>
      </c>
      <c r="B9" s="2" t="str">
        <f>IF(LEN('A créer'!C9)=0,"","Tab")</f>
        <v/>
      </c>
      <c r="C9" s="8" t="str">
        <f>CONCATENATE('A créer'!B9,'A créer'!A9)</f>
        <v/>
      </c>
      <c r="D9" s="2" t="str">
        <f>IF(LEN('A créer'!C9)=0,"","Tab")</f>
        <v/>
      </c>
      <c r="E9" s="2" t="str">
        <f>IF(LEN('A créer'!C9)=0,"","*SAVE")</f>
        <v/>
      </c>
    </row>
    <row r="10" spans="1:5" x14ac:dyDescent="0.35">
      <c r="A10" s="2" t="str">
        <f>IF(LEN('A créer'!C10)=0,"","*FN")</f>
        <v/>
      </c>
      <c r="B10" s="2" t="str">
        <f>IF(LEN('A créer'!C10)=0,"","Tab")</f>
        <v/>
      </c>
      <c r="C10" s="8" t="str">
        <f>CONCATENATE('A créer'!B10,'A créer'!A10)</f>
        <v/>
      </c>
      <c r="D10" s="2" t="str">
        <f>IF(LEN('A créer'!C10)=0,"","Tab")</f>
        <v/>
      </c>
      <c r="E10" s="2" t="str">
        <f>IF(LEN('A créer'!C10)=0,"","*SAVE")</f>
        <v/>
      </c>
    </row>
    <row r="11" spans="1:5" x14ac:dyDescent="0.35">
      <c r="A11" s="2" t="str">
        <f>IF(LEN('A créer'!C11)=0,"","*FN")</f>
        <v/>
      </c>
      <c r="B11" s="2" t="str">
        <f>IF(LEN('A créer'!C11)=0,"","Tab")</f>
        <v/>
      </c>
      <c r="C11" s="8" t="str">
        <f>CONCATENATE('A créer'!B11,'A créer'!A11)</f>
        <v/>
      </c>
      <c r="D11" s="2" t="str">
        <f>IF(LEN('A créer'!C11)=0,"","Tab")</f>
        <v/>
      </c>
      <c r="E11" s="2" t="str">
        <f>IF(LEN('A créer'!C11)=0,"","*SAVE")</f>
        <v/>
      </c>
    </row>
    <row r="12" spans="1:5" x14ac:dyDescent="0.35">
      <c r="A12" s="2" t="str">
        <f>IF(LEN('A créer'!C12)=0,"","*FN")</f>
        <v/>
      </c>
      <c r="B12" s="2" t="str">
        <f>IF(LEN('A créer'!C12)=0,"","Tab")</f>
        <v/>
      </c>
      <c r="C12" s="8" t="str">
        <f>CONCATENATE('A créer'!B12,'A créer'!A12)</f>
        <v/>
      </c>
      <c r="D12" s="2" t="str">
        <f>IF(LEN('A créer'!C12)=0,"","Tab")</f>
        <v/>
      </c>
      <c r="E12" s="2" t="str">
        <f>IF(LEN('A créer'!C12)=0,"","*SAVE")</f>
        <v/>
      </c>
    </row>
    <row r="13" spans="1:5" x14ac:dyDescent="0.35">
      <c r="A13" s="2" t="str">
        <f>IF(LEN('A créer'!C13)=0,"","*FN")</f>
        <v/>
      </c>
      <c r="B13" s="2" t="str">
        <f>IF(LEN('A créer'!C13)=0,"","Tab")</f>
        <v/>
      </c>
      <c r="C13" s="8" t="str">
        <f>CONCATENATE('A créer'!B13,'A créer'!A13)</f>
        <v/>
      </c>
      <c r="D13" s="2" t="str">
        <f>IF(LEN('A créer'!C13)=0,"","Tab")</f>
        <v/>
      </c>
      <c r="E13" s="2" t="str">
        <f>IF(LEN('A créer'!C13)=0,"","*SAVE")</f>
        <v/>
      </c>
    </row>
    <row r="14" spans="1:5" x14ac:dyDescent="0.35">
      <c r="A14" s="2" t="str">
        <f>IF(LEN('A créer'!C14)=0,"","*FN")</f>
        <v/>
      </c>
      <c r="B14" s="2" t="str">
        <f>IF(LEN('A créer'!C14)=0,"","Tab")</f>
        <v/>
      </c>
      <c r="C14" s="8" t="str">
        <f>CONCATENATE('A créer'!B14,'A créer'!A14)</f>
        <v/>
      </c>
      <c r="D14" s="2" t="str">
        <f>IF(LEN('A créer'!C14)=0,"","Tab")</f>
        <v/>
      </c>
      <c r="E14" s="2" t="str">
        <f>IF(LEN('A créer'!C14)=0,"","*SAVE")</f>
        <v/>
      </c>
    </row>
    <row r="15" spans="1:5" x14ac:dyDescent="0.35">
      <c r="A15" s="2" t="str">
        <f>IF(LEN('A créer'!C15)=0,"","*FN")</f>
        <v/>
      </c>
      <c r="B15" s="2" t="str">
        <f>IF(LEN('A créer'!C15)=0,"","Tab")</f>
        <v/>
      </c>
      <c r="C15" s="8" t="str">
        <f>CONCATENATE('A créer'!B15,'A créer'!A15)</f>
        <v/>
      </c>
      <c r="D15" s="2" t="str">
        <f>IF(LEN('A créer'!C15)=0,"","Tab")</f>
        <v/>
      </c>
      <c r="E15" s="2" t="str">
        <f>IF(LEN('A créer'!C15)=0,"","*SAVE")</f>
        <v/>
      </c>
    </row>
    <row r="16" spans="1:5" x14ac:dyDescent="0.35">
      <c r="A16" s="2" t="str">
        <f>IF(LEN('A créer'!C16)=0,"","*FN")</f>
        <v/>
      </c>
      <c r="B16" s="2" t="str">
        <f>IF(LEN('A créer'!C16)=0,"","Tab")</f>
        <v/>
      </c>
      <c r="C16" s="8" t="str">
        <f>CONCATENATE('A créer'!B16,'A créer'!A16)</f>
        <v/>
      </c>
      <c r="D16" s="2" t="str">
        <f>IF(LEN('A créer'!C16)=0,"","Tab")</f>
        <v/>
      </c>
      <c r="E16" s="2" t="str">
        <f>IF(LEN('A créer'!C16)=0,"","*SAVE")</f>
        <v/>
      </c>
    </row>
    <row r="17" spans="1:5" x14ac:dyDescent="0.35">
      <c r="A17" s="2" t="str">
        <f>IF(LEN('A créer'!C17)=0,"","*FN")</f>
        <v/>
      </c>
      <c r="B17" s="2" t="str">
        <f>IF(LEN('A créer'!C17)=0,"","Tab")</f>
        <v/>
      </c>
      <c r="C17" s="8" t="str">
        <f>CONCATENATE('A créer'!B17,'A créer'!A17)</f>
        <v/>
      </c>
      <c r="D17" s="2" t="str">
        <f>IF(LEN('A créer'!C17)=0,"","Tab")</f>
        <v/>
      </c>
      <c r="E17" s="2" t="str">
        <f>IF(LEN('A créer'!C17)=0,"","*SAVE")</f>
        <v/>
      </c>
    </row>
    <row r="18" spans="1:5" x14ac:dyDescent="0.35">
      <c r="A18" s="2" t="str">
        <f>IF(LEN('A créer'!C18)=0,"","*FN")</f>
        <v/>
      </c>
      <c r="B18" s="2" t="str">
        <f>IF(LEN('A créer'!C18)=0,"","Tab")</f>
        <v/>
      </c>
      <c r="C18" s="8" t="str">
        <f>CONCATENATE('A créer'!B18,'A créer'!A18)</f>
        <v/>
      </c>
      <c r="D18" s="2" t="str">
        <f>IF(LEN('A créer'!C18)=0,"","Tab")</f>
        <v/>
      </c>
      <c r="E18" s="2" t="str">
        <f>IF(LEN('A créer'!C18)=0,"","*SAVE")</f>
        <v/>
      </c>
    </row>
    <row r="19" spans="1:5" x14ac:dyDescent="0.35">
      <c r="A19" s="2" t="str">
        <f>IF(LEN('A créer'!C19)=0,"","*FN")</f>
        <v/>
      </c>
      <c r="B19" s="2" t="str">
        <f>IF(LEN('A créer'!C19)=0,"","Tab")</f>
        <v/>
      </c>
      <c r="C19" s="8" t="str">
        <f>CONCATENATE('A créer'!B19,'A créer'!A19)</f>
        <v/>
      </c>
      <c r="D19" s="2" t="str">
        <f>IF(LEN('A créer'!C19)=0,"","Tab")</f>
        <v/>
      </c>
      <c r="E19" s="2" t="str">
        <f>IF(LEN('A créer'!C19)=0,"","*SAVE")</f>
        <v/>
      </c>
    </row>
    <row r="20" spans="1:5" x14ac:dyDescent="0.35">
      <c r="A20" s="2" t="str">
        <f>IF(LEN('A créer'!C20)=0,"","*FN")</f>
        <v/>
      </c>
      <c r="B20" s="2" t="str">
        <f>IF(LEN('A créer'!C20)=0,"","Tab")</f>
        <v/>
      </c>
      <c r="C20" s="8" t="str">
        <f>CONCATENATE('A créer'!B20,'A créer'!A20)</f>
        <v/>
      </c>
      <c r="D20" s="2" t="str">
        <f>IF(LEN('A créer'!C20)=0,"","Tab")</f>
        <v/>
      </c>
      <c r="E20" s="2" t="str">
        <f>IF(LEN('A créer'!C20)=0,"","*SAVE")</f>
        <v/>
      </c>
    </row>
    <row r="21" spans="1:5" x14ac:dyDescent="0.35">
      <c r="A21" s="2" t="str">
        <f>IF(LEN('A créer'!C21)=0,"","*FN")</f>
        <v/>
      </c>
      <c r="B21" s="2" t="str">
        <f>IF(LEN('A créer'!C21)=0,"","Tab")</f>
        <v/>
      </c>
      <c r="C21" s="8" t="str">
        <f>CONCATENATE('A créer'!B21,'A créer'!A21)</f>
        <v/>
      </c>
      <c r="D21" s="2" t="str">
        <f>IF(LEN('A créer'!C21)=0,"","Tab")</f>
        <v/>
      </c>
      <c r="E21" s="2" t="str">
        <f>IF(LEN('A créer'!C21)=0,"","*SAVE")</f>
        <v/>
      </c>
    </row>
    <row r="22" spans="1:5" x14ac:dyDescent="0.35">
      <c r="A22" s="2" t="str">
        <f>IF(LEN('A créer'!C22)=0,"","*FN")</f>
        <v/>
      </c>
      <c r="B22" s="2" t="str">
        <f>IF(LEN('A créer'!C22)=0,"","Tab")</f>
        <v/>
      </c>
      <c r="C22" s="8" t="str">
        <f>CONCATENATE('A créer'!B22,'A créer'!A22)</f>
        <v/>
      </c>
      <c r="D22" s="2" t="str">
        <f>IF(LEN('A créer'!C22)=0,"","Tab")</f>
        <v/>
      </c>
      <c r="E22" s="2" t="str">
        <f>IF(LEN('A créer'!C22)=0,"","*SAVE")</f>
        <v/>
      </c>
    </row>
    <row r="23" spans="1:5" x14ac:dyDescent="0.35">
      <c r="A23" s="2" t="str">
        <f>IF(LEN('A créer'!C23)=0,"","*FN")</f>
        <v/>
      </c>
      <c r="B23" s="2" t="str">
        <f>IF(LEN('A créer'!C23)=0,"","Tab")</f>
        <v/>
      </c>
      <c r="C23" s="8" t="str">
        <f>CONCATENATE('A créer'!B23,'A créer'!A23)</f>
        <v/>
      </c>
      <c r="D23" s="2" t="str">
        <f>IF(LEN('A créer'!C23)=0,"","Tab")</f>
        <v/>
      </c>
      <c r="E23" s="2" t="str">
        <f>IF(LEN('A créer'!C23)=0,"","*SAVE")</f>
        <v/>
      </c>
    </row>
    <row r="24" spans="1:5" x14ac:dyDescent="0.35">
      <c r="A24" s="2" t="str">
        <f>IF(LEN('A créer'!C24)=0,"","*FN")</f>
        <v/>
      </c>
      <c r="B24" s="2" t="str">
        <f>IF(LEN('A créer'!C24)=0,"","Tab")</f>
        <v/>
      </c>
      <c r="C24" s="8" t="str">
        <f>CONCATENATE('A créer'!B24,'A créer'!A24)</f>
        <v/>
      </c>
      <c r="D24" s="2" t="str">
        <f>IF(LEN('A créer'!C24)=0,"","Tab")</f>
        <v/>
      </c>
      <c r="E24" s="2" t="str">
        <f>IF(LEN('A créer'!C24)=0,"","*SAVE")</f>
        <v/>
      </c>
    </row>
    <row r="25" spans="1:5" x14ac:dyDescent="0.35">
      <c r="A25" s="2" t="str">
        <f>IF(LEN('A créer'!C25)=0,"","*FN")</f>
        <v/>
      </c>
      <c r="B25" s="2" t="str">
        <f>IF(LEN('A créer'!C25)=0,"","Tab")</f>
        <v/>
      </c>
      <c r="C25" s="8" t="str">
        <f>CONCATENATE('A créer'!B25,'A créer'!A25)</f>
        <v/>
      </c>
      <c r="D25" s="2" t="str">
        <f>IF(LEN('A créer'!C25)=0,"","Tab")</f>
        <v/>
      </c>
      <c r="E25" s="2" t="str">
        <f>IF(LEN('A créer'!C25)=0,"","*SAVE")</f>
        <v/>
      </c>
    </row>
    <row r="26" spans="1:5" x14ac:dyDescent="0.35">
      <c r="A26" s="2" t="str">
        <f>IF(LEN('A créer'!C26)=0,"","*FN")</f>
        <v/>
      </c>
      <c r="B26" s="2" t="str">
        <f>IF(LEN('A créer'!C26)=0,"","Tab")</f>
        <v/>
      </c>
      <c r="C26" s="8" t="str">
        <f>CONCATENATE('A créer'!B26,'A créer'!A26)</f>
        <v/>
      </c>
      <c r="D26" s="2" t="str">
        <f>IF(LEN('A créer'!C26)=0,"","Tab")</f>
        <v/>
      </c>
      <c r="E26" s="2" t="str">
        <f>IF(LEN('A créer'!C26)=0,"","*SAVE")</f>
        <v/>
      </c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0"/>
  <sheetViews>
    <sheetView zoomScale="80" zoomScaleNormal="80" workbookViewId="0">
      <pane xSplit="1" ySplit="1" topLeftCell="B2" activePane="bottomRight" state="frozenSplit"/>
      <selection activeCell="G30" sqref="G30"/>
      <selection pane="topRight" activeCell="G30" sqref="G30"/>
      <selection pane="bottomLeft" activeCell="G30" sqref="G30"/>
      <selection pane="bottomRight" activeCell="G30" sqref="G30"/>
    </sheetView>
  </sheetViews>
  <sheetFormatPr baseColWidth="10" defaultRowHeight="14.5" x14ac:dyDescent="0.35"/>
  <cols>
    <col min="1" max="1" width="4.26953125" bestFit="1" customWidth="1"/>
    <col min="3" max="3" width="4.26953125" bestFit="1" customWidth="1"/>
    <col min="4" max="4" width="18.453125" bestFit="1" customWidth="1"/>
    <col min="5" max="5" width="5.26953125" style="6" bestFit="1" customWidth="1"/>
    <col min="6" max="6" width="5.7265625" bestFit="1" customWidth="1"/>
    <col min="7" max="7" width="4.26953125" style="6" bestFit="1" customWidth="1"/>
    <col min="8" max="9" width="4.26953125" bestFit="1" customWidth="1"/>
    <col min="10" max="10" width="35.26953125" bestFit="1" customWidth="1"/>
    <col min="11" max="11" width="5.7265625" bestFit="1" customWidth="1"/>
    <col min="13" max="13" width="4.26953125" style="6" bestFit="1" customWidth="1"/>
    <col min="14" max="14" width="6.1796875" bestFit="1" customWidth="1"/>
    <col min="15" max="15" width="11.54296875" style="6"/>
    <col min="16" max="16" width="4.26953125" bestFit="1" customWidth="1"/>
    <col min="17" max="17" width="5" bestFit="1" customWidth="1"/>
    <col min="18" max="18" width="4.26953125" bestFit="1" customWidth="1"/>
    <col min="20" max="21" width="5.7265625" bestFit="1" customWidth="1"/>
    <col min="22" max="24" width="4.26953125" bestFit="1" customWidth="1"/>
    <col min="26" max="26" width="5.7265625" bestFit="1" customWidth="1"/>
    <col min="28" max="28" width="4.26953125" bestFit="1" customWidth="1"/>
    <col min="29" max="29" width="6.1796875" bestFit="1" customWidth="1"/>
    <col min="30" max="30" width="13.453125" style="6" bestFit="1" customWidth="1"/>
  </cols>
  <sheetData>
    <row r="1" spans="1:30" x14ac:dyDescent="0.35">
      <c r="A1" s="2" t="s">
        <v>18</v>
      </c>
      <c r="C1" s="2" t="s">
        <v>67</v>
      </c>
      <c r="E1" s="2" t="s">
        <v>68</v>
      </c>
      <c r="F1" s="2" t="s">
        <v>68</v>
      </c>
      <c r="G1" s="2" t="s">
        <v>67</v>
      </c>
      <c r="H1" s="2" t="s">
        <v>67</v>
      </c>
      <c r="I1" s="2" t="s">
        <v>67</v>
      </c>
      <c r="J1" s="6" t="s">
        <v>69</v>
      </c>
      <c r="K1" s="2" t="s">
        <v>68</v>
      </c>
      <c r="M1" s="2" t="s">
        <v>67</v>
      </c>
      <c r="N1" s="2" t="s">
        <v>16</v>
      </c>
      <c r="O1" s="2"/>
      <c r="P1" s="2" t="s">
        <v>18</v>
      </c>
      <c r="Q1" s="6"/>
      <c r="R1" s="2" t="s">
        <v>67</v>
      </c>
      <c r="S1" s="6"/>
      <c r="T1" s="2" t="s">
        <v>68</v>
      </c>
      <c r="U1" s="2" t="s">
        <v>68</v>
      </c>
      <c r="V1" s="2" t="s">
        <v>67</v>
      </c>
      <c r="W1" s="2" t="s">
        <v>67</v>
      </c>
      <c r="X1" s="2" t="s">
        <v>67</v>
      </c>
      <c r="Y1" s="6" t="s">
        <v>69</v>
      </c>
      <c r="Z1" s="2" t="s">
        <v>68</v>
      </c>
      <c r="AA1" s="6"/>
      <c r="AB1" s="2" t="s">
        <v>67</v>
      </c>
      <c r="AC1" s="2" t="s">
        <v>16</v>
      </c>
      <c r="AD1" s="2"/>
    </row>
    <row r="2" spans="1:30" x14ac:dyDescent="0.35">
      <c r="A2" s="2" t="str">
        <f>IF(AND(LEN('A créer'!$C2)=0,LEN('A créer'!$E2&gt;0)),"","*FN")</f>
        <v>*FN</v>
      </c>
      <c r="B2" s="6" t="str">
        <f>IF(AND(LEN('A créer'!$C2)=0,LEN('A créer'!$E2&gt;0)),"",CONCATENATE('A créer'!B2,'A créer'!A2))</f>
        <v>DCW0535</v>
      </c>
      <c r="C2" s="2" t="str">
        <f>IF(AND(LEN('A créer'!$C2)=0,LEN('A créer'!$E2&gt;0)),"","TAB")</f>
        <v>TAB</v>
      </c>
      <c r="D2" s="6" t="str">
        <f>IF(AND(LEN('A créer'!$C2)=0,LEN('A créer'!$E2&gt;0)),"","Setup Business Group")</f>
        <v>Setup Business Group</v>
      </c>
      <c r="E2" s="2" t="str">
        <f>IF(AND(LEN('A créer'!$C2)=0,LEN('A créer'!$E2&gt;0)),"","TAB 4")</f>
        <v>TAB 4</v>
      </c>
      <c r="F2" s="2" t="str">
        <f>IF(AND(LEN('A créer'!$C2)=0,LEN('A créer'!$E2&gt;0)),"","TAB 4")</f>
        <v>TAB 4</v>
      </c>
      <c r="G2" s="2" t="str">
        <f>IF(AND(LEN('A créer'!$C2)=0,LEN('A créer'!$E2&gt;0)),"","TAB")</f>
        <v>TAB</v>
      </c>
      <c r="H2" s="2" t="str">
        <f>IF(AND(LEN('A créer'!$C2)=0,LEN('A créer'!$E2&gt;0)),"","TAB")</f>
        <v>TAB</v>
      </c>
      <c r="I2" s="2" t="str">
        <f>IF(AND(LEN('A créer'!$C2)=0,LEN('A créer'!$E2&gt;0)),"","TAB")</f>
        <v>TAB</v>
      </c>
      <c r="J2" s="6" t="str">
        <f>IF(AND(LEN('A créer'!$C2)=0,LEN('A créer'!$E2&gt;0)),"","\Sécuriser les organisations par hiérarchie")</f>
        <v>\Sécuriser les organisations par hiérarchie</v>
      </c>
      <c r="K2" s="2" t="str">
        <f>IF(AND(LEN('A créer'!$C2)=0,LEN('A créer'!$E2&gt;0)),"","TAB 4")</f>
        <v>TAB 4</v>
      </c>
      <c r="L2" s="6" t="str">
        <f>IF(AND(LEN('A créer'!$C2)=0,LEN('A créer'!$E2&gt;0)),"",CONCATENATE('A créer'!B2,'A créer'!A2))</f>
        <v>DCW0535</v>
      </c>
      <c r="M2" s="2" t="str">
        <f>IF(AND(LEN('A créer'!$C2)=0,LEN('A créer'!$E2&gt;0)),"","TAB")</f>
        <v>TAB</v>
      </c>
      <c r="N2" s="2" t="str">
        <f>IF(AND(LEN('A créer'!$C2)=0,LEN('A créer'!$E2&gt;0)),"","*SAVE")</f>
        <v>*SAVE</v>
      </c>
      <c r="O2" s="2" t="str">
        <f>IF(AND(LEN('A créer'!$C2)=0,LEN('A créer'!$E2&gt;0)),"","*ML(103,118)")</f>
        <v>*ML(103,118)</v>
      </c>
      <c r="P2" s="2" t="str">
        <f>IF(OR(LEN('A créer'!$C2)=0,'A créer'!$E2="Oui"),"","*FN")</f>
        <v>*FN</v>
      </c>
      <c r="Q2" s="6" t="str">
        <f>IF(OR(LEN('A créer'!$C2)=0,'A créer'!$E2="Oui"),"",'A créer'!A2)</f>
        <v>0535</v>
      </c>
      <c r="R2" s="2" t="str">
        <f>IF(OR(LEN('A créer'!$C2)=0,'A créer'!$E2="Oui"),"","TAB")</f>
        <v>TAB</v>
      </c>
      <c r="S2" s="6" t="str">
        <f>IF(OR(LEN('A créer'!$C2)=0,'A créer'!$E2="Oui"),"","Setup Business Group")</f>
        <v>Setup Business Group</v>
      </c>
      <c r="T2" s="2" t="str">
        <f>IF(OR(LEN('A créer'!$C2)=0,'A créer'!$E2="Oui"),"","TAB 4")</f>
        <v>TAB 4</v>
      </c>
      <c r="U2" s="2" t="str">
        <f>IF(OR(LEN('A créer'!$C2)=0,'A créer'!$E2="Oui"),"","TAB 4")</f>
        <v>TAB 4</v>
      </c>
      <c r="V2" s="2" t="str">
        <f>IF(OR(LEN('A créer'!$C2)=0,'A créer'!$E2="Oui"),"","TAB")</f>
        <v>TAB</v>
      </c>
      <c r="W2" s="2" t="str">
        <f>IF(OR(LEN('A créer'!$C2)=0,'A créer'!$E2="Oui"),"","TAB")</f>
        <v>TAB</v>
      </c>
      <c r="X2" s="2" t="str">
        <f>IF(OR(LEN('A créer'!$C2)=0,'A créer'!$E2="Oui"),"","TAB")</f>
        <v>TAB</v>
      </c>
      <c r="Y2" s="6" t="str">
        <f>IF(OR(LEN('A créer'!$C2)=0,'A créer'!$E2="Oui"),"","\Sécuriser les organisations par hiérarchie")</f>
        <v>\Sécuriser les organisations par hiérarchie</v>
      </c>
      <c r="Z2" s="2" t="str">
        <f>IF(OR(LEN('A créer'!$C2)=0,'A créer'!$E2="Oui"),"","TAB 4")</f>
        <v>TAB 4</v>
      </c>
      <c r="AA2" s="6" t="str">
        <f>IF(OR(LEN('A créer'!$C2)=0,'A créer'!$E2="Oui"),"",CONCATENATE('A créer'!B2,'A créer'!A2))</f>
        <v>DCW0535</v>
      </c>
      <c r="AB2" s="2" t="str">
        <f>IF(OR(LEN('A créer'!$C2)=0,'A créer'!$E2="Oui"),"","TAB")</f>
        <v>TAB</v>
      </c>
      <c r="AC2" s="2" t="str">
        <f>IF(OR(LEN('A créer'!$C2)=0,'A créer'!$E2="Oui"),"","*SAVE")</f>
        <v>*SAVE</v>
      </c>
      <c r="AD2" s="2" t="str">
        <f>IF(OR(LEN('A créer'!$C2)=0,'A créer'!$E2="Oui"),"","*ML(103,118)")</f>
        <v>*ML(103,118)</v>
      </c>
    </row>
    <row r="3" spans="1:30" x14ac:dyDescent="0.35">
      <c r="A3" s="2" t="str">
        <f>IF(AND(LEN('A créer'!$C3)=0,LEN('A créer'!$E3&gt;0)),"","*FN")</f>
        <v/>
      </c>
      <c r="B3" s="24" t="str">
        <f>IF(AND(LEN('A créer'!$C3)=0,LEN('A créer'!$E3&gt;0)),"",CONCATENATE('A créer'!B3,'A créer'!A3))</f>
        <v/>
      </c>
      <c r="C3" s="2" t="str">
        <f>IF(AND(LEN('A créer'!$C3)=0,LEN('A créer'!$E3&gt;0)),"","TAB")</f>
        <v/>
      </c>
      <c r="D3" s="6" t="str">
        <f>IF(AND(LEN('A créer'!$C3)=0,LEN('A créer'!$E3&gt;0)),"","Setup Business Group")</f>
        <v/>
      </c>
      <c r="E3" s="2" t="str">
        <f>IF(AND(LEN('A créer'!$C3)=0,LEN('A créer'!$E3&gt;0)),"","TAB 4")</f>
        <v/>
      </c>
      <c r="F3" s="2" t="str">
        <f>IF(AND(LEN('A créer'!$C3)=0,LEN('A créer'!$E3&gt;0)),"","TAB 4")</f>
        <v/>
      </c>
      <c r="G3" s="2" t="str">
        <f>IF(AND(LEN('A créer'!$C3)=0,LEN('A créer'!$E3&gt;0)),"","TAB")</f>
        <v/>
      </c>
      <c r="H3" s="2" t="str">
        <f>IF(AND(LEN('A créer'!$C3)=0,LEN('A créer'!$E3&gt;0)),"","TAB")</f>
        <v/>
      </c>
      <c r="I3" s="2" t="str">
        <f>IF(AND(LEN('A créer'!$C3)=0,LEN('A créer'!$E3&gt;0)),"","TAB")</f>
        <v/>
      </c>
      <c r="J3" s="6" t="str">
        <f>IF(AND(LEN('A créer'!$C3)=0,LEN('A créer'!$E3&gt;0)),"","\Sécuriser les organisations par hiérarchie")</f>
        <v/>
      </c>
      <c r="K3" s="2" t="str">
        <f>IF(AND(LEN('A créer'!$C3)=0,LEN('A créer'!$E3&gt;0)),"","TAB 4")</f>
        <v/>
      </c>
      <c r="L3" s="6" t="str">
        <f>IF(AND(LEN('A créer'!$C3)=0,LEN('A créer'!$E3&gt;0)),"",CONCATENATE('A créer'!B3,'A créer'!A3))</f>
        <v/>
      </c>
      <c r="M3" s="2" t="str">
        <f>IF(AND(LEN('A créer'!$C3)=0,LEN('A créer'!$E3&gt;0)),"","TAB")</f>
        <v/>
      </c>
      <c r="N3" s="2" t="str">
        <f>IF(AND(LEN('A créer'!$C3)=0,LEN('A créer'!$E3&gt;0)),"","*SAVE")</f>
        <v/>
      </c>
      <c r="O3" s="2" t="str">
        <f>IF(AND(LEN('A créer'!$C3)=0,LEN('A créer'!$E3&gt;0)),"","*ML(103,118)")</f>
        <v/>
      </c>
      <c r="P3" s="2" t="str">
        <f>IF(OR(LEN('A créer'!$C3)=0,'A créer'!$E3="Oui"),"","*FN")</f>
        <v/>
      </c>
      <c r="Q3" s="6" t="str">
        <f>IF(OR(LEN('A créer'!$C3)=0,'A créer'!$E3="Oui"),"",'A créer'!A3)</f>
        <v/>
      </c>
      <c r="R3" s="2" t="str">
        <f>IF(OR(LEN('A créer'!$C3)=0,'A créer'!$E3="Oui"),"","TAB")</f>
        <v/>
      </c>
      <c r="S3" s="6" t="str">
        <f>IF(OR(LEN('A créer'!$C3)=0,'A créer'!$E3="Oui"),"","Setup Business Group")</f>
        <v/>
      </c>
      <c r="T3" s="2" t="str">
        <f>IF(OR(LEN('A créer'!$C3)=0,'A créer'!$E3="Oui"),"","TAB 4")</f>
        <v/>
      </c>
      <c r="U3" s="2" t="str">
        <f>IF(OR(LEN('A créer'!$C3)=0,'A créer'!$E3="Oui"),"","TAB 4")</f>
        <v/>
      </c>
      <c r="V3" s="2" t="str">
        <f>IF(OR(LEN('A créer'!$C3)=0,'A créer'!$E3="Oui"),"","TAB")</f>
        <v/>
      </c>
      <c r="W3" s="2" t="str">
        <f>IF(OR(LEN('A créer'!$C3)=0,'A créer'!$E3="Oui"),"","TAB")</f>
        <v/>
      </c>
      <c r="X3" s="2" t="str">
        <f>IF(OR(LEN('A créer'!$C3)=0,'A créer'!$E3="Oui"),"","TAB")</f>
        <v/>
      </c>
      <c r="Y3" s="6" t="str">
        <f>IF(OR(LEN('A créer'!$C3)=0,'A créer'!$E3="Oui"),"","\Sécuriser les organisations par hiérarchie")</f>
        <v/>
      </c>
      <c r="Z3" s="2" t="str">
        <f>IF(OR(LEN('A créer'!$C3)=0,'A créer'!$E3="Oui"),"","TAB 4")</f>
        <v/>
      </c>
      <c r="AA3" s="6" t="str">
        <f>IF(OR(LEN('A créer'!$C3)=0,'A créer'!$E3="Oui"),"",CONCATENATE('A créer'!B3,'A créer'!A3))</f>
        <v/>
      </c>
      <c r="AB3" s="2" t="str">
        <f>IF(OR(LEN('A créer'!$C3)=0,'A créer'!$E3="Oui"),"","TAB")</f>
        <v/>
      </c>
      <c r="AC3" s="2" t="str">
        <f>IF(OR(LEN('A créer'!$C3)=0,'A créer'!$E3="Oui"),"","*SAVE")</f>
        <v/>
      </c>
      <c r="AD3" s="2" t="str">
        <f>IF(OR(LEN('A créer'!$C3)=0,'A créer'!$E3="Oui"),"","*ML(103,118)")</f>
        <v/>
      </c>
    </row>
    <row r="4" spans="1:30" x14ac:dyDescent="0.35">
      <c r="A4" s="2" t="str">
        <f>IF(AND(LEN('A créer'!$C4)=0,LEN('A créer'!$E4&gt;0)),"","*FN")</f>
        <v>*FN</v>
      </c>
      <c r="B4" s="24" t="str">
        <f>IF(AND(LEN('A créer'!$C4)=0,LEN('A créer'!$E4&gt;0)),"",CONCATENATE('A créer'!B4,'A créer'!A4))</f>
        <v>DCW0595</v>
      </c>
      <c r="C4" s="2" t="str">
        <f>IF(AND(LEN('A créer'!$C4)=0,LEN('A créer'!$E4&gt;0)),"","TAB")</f>
        <v>TAB</v>
      </c>
      <c r="D4" s="6" t="str">
        <f>IF(AND(LEN('A créer'!$C4)=0,LEN('A créer'!$E4&gt;0)),"","Setup Business Group")</f>
        <v>Setup Business Group</v>
      </c>
      <c r="E4" s="2" t="str">
        <f>IF(AND(LEN('A créer'!$C4)=0,LEN('A créer'!$E4&gt;0)),"","TAB 4")</f>
        <v>TAB 4</v>
      </c>
      <c r="F4" s="2" t="str">
        <f>IF(AND(LEN('A créer'!$C4)=0,LEN('A créer'!$E4&gt;0)),"","TAB 4")</f>
        <v>TAB 4</v>
      </c>
      <c r="G4" s="2" t="str">
        <f>IF(AND(LEN('A créer'!$C4)=0,LEN('A créer'!$E4&gt;0)),"","TAB")</f>
        <v>TAB</v>
      </c>
      <c r="H4" s="2" t="str">
        <f>IF(AND(LEN('A créer'!$C4)=0,LEN('A créer'!$E4&gt;0)),"","TAB")</f>
        <v>TAB</v>
      </c>
      <c r="I4" s="2" t="str">
        <f>IF(AND(LEN('A créer'!$C4)=0,LEN('A créer'!$E4&gt;0)),"","TAB")</f>
        <v>TAB</v>
      </c>
      <c r="J4" s="6" t="str">
        <f>IF(AND(LEN('A créer'!$C4)=0,LEN('A créer'!$E4&gt;0)),"","\Sécuriser les organisations par hiérarchie")</f>
        <v>\Sécuriser les organisations par hiérarchie</v>
      </c>
      <c r="K4" s="2" t="str">
        <f>IF(AND(LEN('A créer'!$C4)=0,LEN('A créer'!$E4&gt;0)),"","TAB 4")</f>
        <v>TAB 4</v>
      </c>
      <c r="L4" s="6" t="str">
        <f>IF(AND(LEN('A créer'!$C4)=0,LEN('A créer'!$E4&gt;0)),"",CONCATENATE('A créer'!B4,'A créer'!A4))</f>
        <v>DCW0595</v>
      </c>
      <c r="M4" s="2" t="str">
        <f>IF(AND(LEN('A créer'!$C4)=0,LEN('A créer'!$E4&gt;0)),"","TAB")</f>
        <v>TAB</v>
      </c>
      <c r="N4" s="2" t="str">
        <f>IF(AND(LEN('A créer'!$C4)=0,LEN('A créer'!$E4&gt;0)),"","*SAVE")</f>
        <v>*SAVE</v>
      </c>
      <c r="O4" s="2" t="str">
        <f>IF(AND(LEN('A créer'!$C4)=0,LEN('A créer'!$E4&gt;0)),"","*ML(103,118)")</f>
        <v>*ML(103,118)</v>
      </c>
      <c r="P4" s="2" t="str">
        <f>IF(OR(LEN('A créer'!$C4)=0,'A créer'!$E4="Oui"),"","*FN")</f>
        <v>*FN</v>
      </c>
      <c r="Q4" s="6" t="str">
        <f>IF(OR(LEN('A créer'!$C4)=0,'A créer'!$E4="Oui"),"",'A créer'!A4)</f>
        <v>0595</v>
      </c>
      <c r="R4" s="2" t="str">
        <f>IF(OR(LEN('A créer'!$C4)=0,'A créer'!$E4="Oui"),"","TAB")</f>
        <v>TAB</v>
      </c>
      <c r="S4" s="6" t="str">
        <f>IF(OR(LEN('A créer'!$C4)=0,'A créer'!$E4="Oui"),"","Setup Business Group")</f>
        <v>Setup Business Group</v>
      </c>
      <c r="T4" s="2" t="str">
        <f>IF(OR(LEN('A créer'!$C4)=0,'A créer'!$E4="Oui"),"","TAB 4")</f>
        <v>TAB 4</v>
      </c>
      <c r="U4" s="2" t="str">
        <f>IF(OR(LEN('A créer'!$C4)=0,'A créer'!$E4="Oui"),"","TAB 4")</f>
        <v>TAB 4</v>
      </c>
      <c r="V4" s="2" t="str">
        <f>IF(OR(LEN('A créer'!$C4)=0,'A créer'!$E4="Oui"),"","TAB")</f>
        <v>TAB</v>
      </c>
      <c r="W4" s="2" t="str">
        <f>IF(OR(LEN('A créer'!$C4)=0,'A créer'!$E4="Oui"),"","TAB")</f>
        <v>TAB</v>
      </c>
      <c r="X4" s="2" t="str">
        <f>IF(OR(LEN('A créer'!$C4)=0,'A créer'!$E4="Oui"),"","TAB")</f>
        <v>TAB</v>
      </c>
      <c r="Y4" s="6" t="str">
        <f>IF(OR(LEN('A créer'!$C4)=0,'A créer'!$E4="Oui"),"","\Sécuriser les organisations par hiérarchie")</f>
        <v>\Sécuriser les organisations par hiérarchie</v>
      </c>
      <c r="Z4" s="2" t="str">
        <f>IF(OR(LEN('A créer'!$C4)=0,'A créer'!$E4="Oui"),"","TAB 4")</f>
        <v>TAB 4</v>
      </c>
      <c r="AA4" s="6" t="str">
        <f>IF(OR(LEN('A créer'!$C4)=0,'A créer'!$E4="Oui"),"",CONCATENATE('A créer'!B4,'A créer'!A4))</f>
        <v>DCW0595</v>
      </c>
      <c r="AB4" s="2" t="str">
        <f>IF(OR(LEN('A créer'!$C4)=0,'A créer'!$E4="Oui"),"","TAB")</f>
        <v>TAB</v>
      </c>
      <c r="AC4" s="2" t="str">
        <f>IF(OR(LEN('A créer'!$C4)=0,'A créer'!$E4="Oui"),"","*SAVE")</f>
        <v>*SAVE</v>
      </c>
      <c r="AD4" s="2" t="str">
        <f>IF(OR(LEN('A créer'!$C4)=0,'A créer'!$E4="Oui"),"","*ML(103,118)")</f>
        <v>*ML(103,118)</v>
      </c>
    </row>
    <row r="5" spans="1:30" x14ac:dyDescent="0.35">
      <c r="A5" s="2" t="str">
        <f>IF(AND(LEN('A créer'!$C5)=0,LEN('A créer'!$E5&gt;0)),"","*FN")</f>
        <v/>
      </c>
      <c r="B5" s="3" t="str">
        <f>IF(AND(LEN('A créer'!$C5)=0,LEN('A créer'!$E5&gt;0)),"",CONCATENATE('A créer'!B5,'A créer'!A5))</f>
        <v/>
      </c>
      <c r="C5" s="2" t="str">
        <f>IF(AND(LEN('A créer'!$C5)=0,LEN('A créer'!$E5&gt;0)),"","TAB")</f>
        <v/>
      </c>
      <c r="D5" s="6" t="str">
        <f>IF(AND(LEN('A créer'!$C5)=0,LEN('A créer'!$E5&gt;0)),"","Setup Business Group")</f>
        <v/>
      </c>
      <c r="E5" s="2" t="str">
        <f>IF(AND(LEN('A créer'!$C5)=0,LEN('A créer'!$E5&gt;0)),"","TAB 4")</f>
        <v/>
      </c>
      <c r="F5" s="2" t="str">
        <f>IF(AND(LEN('A créer'!$C5)=0,LEN('A créer'!$E5&gt;0)),"","TAB 4")</f>
        <v/>
      </c>
      <c r="G5" s="2" t="str">
        <f>IF(AND(LEN('A créer'!$C5)=0,LEN('A créer'!$E5&gt;0)),"","TAB")</f>
        <v/>
      </c>
      <c r="H5" s="2" t="str">
        <f>IF(AND(LEN('A créer'!$C5)=0,LEN('A créer'!$E5&gt;0)),"","TAB")</f>
        <v/>
      </c>
      <c r="I5" s="2" t="str">
        <f>IF(AND(LEN('A créer'!$C5)=0,LEN('A créer'!$E5&gt;0)),"","TAB")</f>
        <v/>
      </c>
      <c r="J5" s="6" t="str">
        <f>IF(AND(LEN('A créer'!$C5)=0,LEN('A créer'!$E5&gt;0)),"","\Sécuriser les organisations par hiérarchie")</f>
        <v/>
      </c>
      <c r="K5" s="2" t="str">
        <f>IF(AND(LEN('A créer'!$C5)=0,LEN('A créer'!$E5&gt;0)),"","TAB 4")</f>
        <v/>
      </c>
      <c r="L5" s="6" t="str">
        <f>IF(AND(LEN('A créer'!$C5)=0,LEN('A créer'!$E5&gt;0)),"",CONCATENATE('A créer'!B5,'A créer'!A5))</f>
        <v/>
      </c>
      <c r="M5" s="2" t="str">
        <f>IF(AND(LEN('A créer'!$C5)=0,LEN('A créer'!$E5&gt;0)),"","TAB")</f>
        <v/>
      </c>
      <c r="N5" s="2" t="str">
        <f>IF(AND(LEN('A créer'!$C5)=0,LEN('A créer'!$E5&gt;0)),"","*SAVE")</f>
        <v/>
      </c>
      <c r="O5" s="2" t="str">
        <f>IF(AND(LEN('A créer'!$C5)=0,LEN('A créer'!$E5&gt;0)),"","*ML(103,118)")</f>
        <v/>
      </c>
      <c r="P5" s="2" t="str">
        <f>IF(OR(LEN('A créer'!$C5)=0,'A créer'!$E5="Oui"),"","*FN")</f>
        <v/>
      </c>
      <c r="Q5" s="6" t="str">
        <f>IF(OR(LEN('A créer'!$C5)=0,'A créer'!$E5="Oui"),"",'A créer'!A5)</f>
        <v/>
      </c>
      <c r="R5" s="2" t="str">
        <f>IF(OR(LEN('A créer'!$C5)=0,'A créer'!$E5="Oui"),"","TAB")</f>
        <v/>
      </c>
      <c r="S5" s="6" t="str">
        <f>IF(OR(LEN('A créer'!$C5)=0,'A créer'!$E5="Oui"),"","Setup Business Group")</f>
        <v/>
      </c>
      <c r="T5" s="2" t="str">
        <f>IF(OR(LEN('A créer'!$C5)=0,'A créer'!$E5="Oui"),"","TAB 4")</f>
        <v/>
      </c>
      <c r="U5" s="2" t="str">
        <f>IF(OR(LEN('A créer'!$C5)=0,'A créer'!$E5="Oui"),"","TAB 4")</f>
        <v/>
      </c>
      <c r="V5" s="2" t="str">
        <f>IF(OR(LEN('A créer'!$C5)=0,'A créer'!$E5="Oui"),"","TAB")</f>
        <v/>
      </c>
      <c r="W5" s="2" t="str">
        <f>IF(OR(LEN('A créer'!$C5)=0,'A créer'!$E5="Oui"),"","TAB")</f>
        <v/>
      </c>
      <c r="X5" s="2" t="str">
        <f>IF(OR(LEN('A créer'!$C5)=0,'A créer'!$E5="Oui"),"","TAB")</f>
        <v/>
      </c>
      <c r="Y5" s="6" t="str">
        <f>IF(OR(LEN('A créer'!$C5)=0,'A créer'!$E5="Oui"),"","\Sécuriser les organisations par hiérarchie")</f>
        <v/>
      </c>
      <c r="Z5" s="2" t="str">
        <f>IF(OR(LEN('A créer'!$C5)=0,'A créer'!$E5="Oui"),"","TAB 4")</f>
        <v/>
      </c>
      <c r="AA5" s="6" t="str">
        <f>IF(OR(LEN('A créer'!$C5)=0,'A créer'!$E5="Oui"),"",CONCATENATE('A créer'!B5,'A créer'!A5))</f>
        <v/>
      </c>
      <c r="AB5" s="2" t="str">
        <f>IF(OR(LEN('A créer'!$C5)=0,'A créer'!$E5="Oui"),"","TAB")</f>
        <v/>
      </c>
      <c r="AC5" s="2" t="str">
        <f>IF(OR(LEN('A créer'!$C5)=0,'A créer'!$E5="Oui"),"","*SAVE")</f>
        <v/>
      </c>
      <c r="AD5" s="2" t="str">
        <f>IF(OR(LEN('A créer'!$C5)=0,'A créer'!$E5="Oui"),"","*ML(103,118)")</f>
        <v/>
      </c>
    </row>
    <row r="6" spans="1:30" x14ac:dyDescent="0.35">
      <c r="A6" s="2" t="str">
        <f>IF(AND(LEN('A créer'!$C6)=0,LEN('A créer'!$E6&gt;0)),"","*FN")</f>
        <v/>
      </c>
      <c r="B6" s="3" t="str">
        <f>IF(AND(LEN('A créer'!$C6)=0,LEN('A créer'!$E6&gt;0)),"",CONCATENATE('A créer'!B6,'A créer'!A6))</f>
        <v/>
      </c>
      <c r="C6" s="2" t="str">
        <f>IF(AND(LEN('A créer'!$C6)=0,LEN('A créer'!$E6&gt;0)),"","TAB")</f>
        <v/>
      </c>
      <c r="D6" s="6" t="str">
        <f>IF(AND(LEN('A créer'!$C6)=0,LEN('A créer'!$E6&gt;0)),"","Setup Business Group")</f>
        <v/>
      </c>
      <c r="E6" s="2" t="str">
        <f>IF(AND(LEN('A créer'!$C6)=0,LEN('A créer'!$E6&gt;0)),"","TAB 4")</f>
        <v/>
      </c>
      <c r="F6" s="2" t="str">
        <f>IF(AND(LEN('A créer'!$C6)=0,LEN('A créer'!$E6&gt;0)),"","TAB 4")</f>
        <v/>
      </c>
      <c r="G6" s="2" t="str">
        <f>IF(AND(LEN('A créer'!$C6)=0,LEN('A créer'!$E6&gt;0)),"","TAB")</f>
        <v/>
      </c>
      <c r="H6" s="2" t="str">
        <f>IF(AND(LEN('A créer'!$C6)=0,LEN('A créer'!$E6&gt;0)),"","TAB")</f>
        <v/>
      </c>
      <c r="I6" s="2" t="str">
        <f>IF(AND(LEN('A créer'!$C6)=0,LEN('A créer'!$E6&gt;0)),"","TAB")</f>
        <v/>
      </c>
      <c r="J6" s="6" t="str">
        <f>IF(AND(LEN('A créer'!$C6)=0,LEN('A créer'!$E6&gt;0)),"","\Sécuriser les organisations par hiérarchie")</f>
        <v/>
      </c>
      <c r="K6" s="2" t="str">
        <f>IF(AND(LEN('A créer'!$C6)=0,LEN('A créer'!$E6&gt;0)),"","TAB 4")</f>
        <v/>
      </c>
      <c r="L6" s="6" t="str">
        <f>IF(AND(LEN('A créer'!$C6)=0,LEN('A créer'!$E6&gt;0)),"",CONCATENATE('A créer'!B6,'A créer'!A6))</f>
        <v/>
      </c>
      <c r="M6" s="2" t="str">
        <f>IF(AND(LEN('A créer'!$C6)=0,LEN('A créer'!$E6&gt;0)),"","TAB")</f>
        <v/>
      </c>
      <c r="N6" s="2" t="str">
        <f>IF(AND(LEN('A créer'!$C6)=0,LEN('A créer'!$E6&gt;0)),"","*SAVE")</f>
        <v/>
      </c>
      <c r="O6" s="2" t="str">
        <f>IF(AND(LEN('A créer'!$C6)=0,LEN('A créer'!$E6&gt;0)),"","*ML(103,118)")</f>
        <v/>
      </c>
      <c r="P6" s="2" t="str">
        <f>IF(OR(LEN('A créer'!$C6)=0,'A créer'!$E6="Oui"),"","*FN")</f>
        <v/>
      </c>
      <c r="Q6" s="6" t="str">
        <f>IF(OR(LEN('A créer'!$C6)=0,'A créer'!$E6="Oui"),"",'A créer'!A6)</f>
        <v/>
      </c>
      <c r="R6" s="2" t="str">
        <f>IF(OR(LEN('A créer'!$C6)=0,'A créer'!$E6="Oui"),"","TAB")</f>
        <v/>
      </c>
      <c r="S6" s="6" t="str">
        <f>IF(OR(LEN('A créer'!$C6)=0,'A créer'!$E6="Oui"),"","Setup Business Group")</f>
        <v/>
      </c>
      <c r="T6" s="2" t="str">
        <f>IF(OR(LEN('A créer'!$C6)=0,'A créer'!$E6="Oui"),"","TAB 4")</f>
        <v/>
      </c>
      <c r="U6" s="2" t="str">
        <f>IF(OR(LEN('A créer'!$C6)=0,'A créer'!$E6="Oui"),"","TAB 4")</f>
        <v/>
      </c>
      <c r="V6" s="2" t="str">
        <f>IF(OR(LEN('A créer'!$C6)=0,'A créer'!$E6="Oui"),"","TAB")</f>
        <v/>
      </c>
      <c r="W6" s="2" t="str">
        <f>IF(OR(LEN('A créer'!$C6)=0,'A créer'!$E6="Oui"),"","TAB")</f>
        <v/>
      </c>
      <c r="X6" s="2" t="str">
        <f>IF(OR(LEN('A créer'!$C6)=0,'A créer'!$E6="Oui"),"","TAB")</f>
        <v/>
      </c>
      <c r="Y6" s="6" t="str">
        <f>IF(OR(LEN('A créer'!$C6)=0,'A créer'!$E6="Oui"),"","\Sécuriser les organisations par hiérarchie")</f>
        <v/>
      </c>
      <c r="Z6" s="2" t="str">
        <f>IF(OR(LEN('A créer'!$C6)=0,'A créer'!$E6="Oui"),"","TAB 4")</f>
        <v/>
      </c>
      <c r="AA6" s="6" t="str">
        <f>IF(OR(LEN('A créer'!$C6)=0,'A créer'!$E6="Oui"),"",CONCATENATE('A créer'!B6,'A créer'!A6))</f>
        <v/>
      </c>
      <c r="AB6" s="2" t="str">
        <f>IF(OR(LEN('A créer'!$C6)=0,'A créer'!$E6="Oui"),"","TAB")</f>
        <v/>
      </c>
      <c r="AC6" s="2" t="str">
        <f>IF(OR(LEN('A créer'!$C6)=0,'A créer'!$E6="Oui"),"","*SAVE")</f>
        <v/>
      </c>
      <c r="AD6" s="2" t="str">
        <f>IF(OR(LEN('A créer'!$C6)=0,'A créer'!$E6="Oui"),"","*ML(118,110)")</f>
        <v/>
      </c>
    </row>
    <row r="7" spans="1:30" x14ac:dyDescent="0.35">
      <c r="A7" s="2" t="str">
        <f>IF(AND(LEN('A créer'!$C7)=0,LEN('A créer'!$E7&gt;0)),"","*FN")</f>
        <v/>
      </c>
      <c r="B7" s="24" t="str">
        <f>IF(AND(LEN('A créer'!$C7)=0,LEN('A créer'!$E7&gt;0)),"",CONCATENATE('A créer'!B7,'A créer'!A7))</f>
        <v/>
      </c>
      <c r="C7" s="2" t="str">
        <f>IF(AND(LEN('A créer'!$C7)=0,LEN('A créer'!$E7&gt;0)),"","TAB")</f>
        <v/>
      </c>
      <c r="D7" s="6" t="str">
        <f>IF(AND(LEN('A créer'!$C7)=0,LEN('A créer'!$E7&gt;0)),"","Setup Business Group")</f>
        <v/>
      </c>
      <c r="E7" s="2" t="str">
        <f>IF(AND(LEN('A créer'!$C7)=0,LEN('A créer'!$E7&gt;0)),"","TAB 4")</f>
        <v/>
      </c>
      <c r="F7" s="2" t="str">
        <f>IF(AND(LEN('A créer'!$C7)=0,LEN('A créer'!$E7&gt;0)),"","TAB 4")</f>
        <v/>
      </c>
      <c r="G7" s="2" t="str">
        <f>IF(AND(LEN('A créer'!$C7)=0,LEN('A créer'!$E7&gt;0)),"","TAB")</f>
        <v/>
      </c>
      <c r="H7" s="2" t="str">
        <f>IF(AND(LEN('A créer'!$C7)=0,LEN('A créer'!$E7&gt;0)),"","TAB")</f>
        <v/>
      </c>
      <c r="I7" s="2" t="str">
        <f>IF(AND(LEN('A créer'!$C7)=0,LEN('A créer'!$E7&gt;0)),"","TAB")</f>
        <v/>
      </c>
      <c r="J7" s="6" t="str">
        <f>IF(AND(LEN('A créer'!$C7)=0,LEN('A créer'!$E7&gt;0)),"","\Sécuriser les organisations par hiérarchie")</f>
        <v/>
      </c>
      <c r="K7" s="2" t="str">
        <f>IF(AND(LEN('A créer'!$C7)=0,LEN('A créer'!$E7&gt;0)),"","TAB 4")</f>
        <v/>
      </c>
      <c r="L7" s="6" t="str">
        <f>IF(AND(LEN('A créer'!$C7)=0,LEN('A créer'!$E7&gt;0)),"",CONCATENATE('A créer'!B7,'A créer'!A7))</f>
        <v/>
      </c>
      <c r="M7" s="2" t="str">
        <f>IF(AND(LEN('A créer'!$C7)=0,LEN('A créer'!$E7&gt;0)),"","TAB")</f>
        <v/>
      </c>
      <c r="N7" s="2" t="str">
        <f>IF(AND(LEN('A créer'!$C7)=0,LEN('A créer'!$E7&gt;0)),"","*SAVE")</f>
        <v/>
      </c>
      <c r="O7" s="2" t="str">
        <f>IF(AND(LEN('A créer'!$C7)=0,LEN('A créer'!$E7&gt;0)),"","*ML(103,118)")</f>
        <v/>
      </c>
      <c r="P7" s="2" t="str">
        <f>IF(OR(LEN('A créer'!$C7)=0,'A créer'!$E7="Oui"),"","*FN")</f>
        <v/>
      </c>
      <c r="Q7" s="6" t="str">
        <f>IF(OR(LEN('A créer'!$C7)=0,'A créer'!$E7="Oui"),"",'A créer'!A7)</f>
        <v/>
      </c>
      <c r="R7" s="2" t="str">
        <f>IF(OR(LEN('A créer'!$C7)=0,'A créer'!$E7="Oui"),"","TAB")</f>
        <v/>
      </c>
      <c r="S7" s="6" t="str">
        <f>IF(OR(LEN('A créer'!$C7)=0,'A créer'!$E7="Oui"),"","Setup Business Group")</f>
        <v/>
      </c>
      <c r="T7" s="2" t="str">
        <f>IF(OR(LEN('A créer'!$C7)=0,'A créer'!$E7="Oui"),"","TAB 4")</f>
        <v/>
      </c>
      <c r="U7" s="2" t="str">
        <f>IF(OR(LEN('A créer'!$C7)=0,'A créer'!$E7="Oui"),"","TAB 4")</f>
        <v/>
      </c>
      <c r="V7" s="2" t="str">
        <f>IF(OR(LEN('A créer'!$C7)=0,'A créer'!$E7="Oui"),"","TAB")</f>
        <v/>
      </c>
      <c r="W7" s="2" t="str">
        <f>IF(OR(LEN('A créer'!$C7)=0,'A créer'!$E7="Oui"),"","TAB")</f>
        <v/>
      </c>
      <c r="X7" s="2" t="str">
        <f>IF(OR(LEN('A créer'!$C7)=0,'A créer'!$E7="Oui"),"","TAB")</f>
        <v/>
      </c>
      <c r="Y7" s="6" t="str">
        <f>IF(OR(LEN('A créer'!$C7)=0,'A créer'!$E7="Oui"),"","\Sécuriser les organisations par hiérarchie")</f>
        <v/>
      </c>
      <c r="Z7" s="2" t="str">
        <f>IF(OR(LEN('A créer'!$C7)=0,'A créer'!$E7="Oui"),"","TAB 4")</f>
        <v/>
      </c>
      <c r="AA7" s="6" t="str">
        <f>IF(OR(LEN('A créer'!$C7)=0,'A créer'!$E7="Oui"),"",CONCATENATE('A créer'!B7,'A créer'!A7))</f>
        <v/>
      </c>
      <c r="AB7" s="2" t="str">
        <f>IF(OR(LEN('A créer'!$C7)=0,'A créer'!$E7="Oui"),"","TAB")</f>
        <v/>
      </c>
      <c r="AC7" s="2" t="str">
        <f>IF(OR(LEN('A créer'!$C7)=0,'A créer'!$E7="Oui"),"","*SAVE")</f>
        <v/>
      </c>
      <c r="AD7" s="2" t="str">
        <f>IF(OR(LEN('A créer'!$C7)=0,'A créer'!$E7="Oui"),"","*ML(118,110)")</f>
        <v/>
      </c>
    </row>
    <row r="8" spans="1:30" x14ac:dyDescent="0.35">
      <c r="A8" s="2" t="str">
        <f>IF(AND(LEN('A créer'!$C8)=0,LEN('A créer'!$E8&gt;0)),"","*FN")</f>
        <v/>
      </c>
      <c r="B8" s="24" t="str">
        <f>IF(AND(LEN('A créer'!$C8)=0,LEN('A créer'!$E8&gt;0)),"",CONCATENATE('A créer'!B8,'A créer'!A8))</f>
        <v/>
      </c>
      <c r="C8" s="2" t="str">
        <f>IF(AND(LEN('A créer'!$C8)=0,LEN('A créer'!$E8&gt;0)),"","TAB")</f>
        <v/>
      </c>
      <c r="D8" s="6" t="str">
        <f>IF(AND(LEN('A créer'!$C8)=0,LEN('A créer'!$E8&gt;0)),"","Setup Business Group")</f>
        <v/>
      </c>
      <c r="E8" s="2" t="str">
        <f>IF(AND(LEN('A créer'!$C8)=0,LEN('A créer'!$E8&gt;0)),"","TAB 4")</f>
        <v/>
      </c>
      <c r="F8" s="2" t="str">
        <f>IF(AND(LEN('A créer'!$C8)=0,LEN('A créer'!$E8&gt;0)),"","TAB 4")</f>
        <v/>
      </c>
      <c r="G8" s="2" t="str">
        <f>IF(AND(LEN('A créer'!$C8)=0,LEN('A créer'!$E8&gt;0)),"","TAB")</f>
        <v/>
      </c>
      <c r="H8" s="2" t="str">
        <f>IF(AND(LEN('A créer'!$C8)=0,LEN('A créer'!$E8&gt;0)),"","TAB")</f>
        <v/>
      </c>
      <c r="I8" s="2" t="str">
        <f>IF(AND(LEN('A créer'!$C8)=0,LEN('A créer'!$E8&gt;0)),"","TAB")</f>
        <v/>
      </c>
      <c r="J8" s="6" t="str">
        <f>IF(AND(LEN('A créer'!$C8)=0,LEN('A créer'!$E8&gt;0)),"","\Sécuriser les organisations par hiérarchie")</f>
        <v/>
      </c>
      <c r="K8" s="2" t="str">
        <f>IF(AND(LEN('A créer'!$C8)=0,LEN('A créer'!$E8&gt;0)),"","TAB 4")</f>
        <v/>
      </c>
      <c r="L8" s="6" t="str">
        <f>IF(AND(LEN('A créer'!$C8)=0,LEN('A créer'!$E8&gt;0)),"",CONCATENATE('A créer'!B8,'A créer'!A8))</f>
        <v/>
      </c>
      <c r="M8" s="2" t="str">
        <f>IF(AND(LEN('A créer'!$C8)=0,LEN('A créer'!$E8&gt;0)),"","TAB")</f>
        <v/>
      </c>
      <c r="N8" s="2" t="str">
        <f>IF(AND(LEN('A créer'!$C8)=0,LEN('A créer'!$E8&gt;0)),"","*SAVE")</f>
        <v/>
      </c>
      <c r="O8" s="2" t="str">
        <f>IF(AND(LEN('A créer'!$C8)=0,LEN('A créer'!$E8&gt;0)),"","*ML(103,118)")</f>
        <v/>
      </c>
      <c r="P8" s="2" t="str">
        <f>IF(OR(LEN('A créer'!$C8)=0,'A créer'!$E8="Oui"),"","*FN")</f>
        <v/>
      </c>
      <c r="Q8" s="6" t="str">
        <f>IF(OR(LEN('A créer'!$C8)=0,'A créer'!$E8="Oui"),"",'A créer'!A8)</f>
        <v/>
      </c>
      <c r="R8" s="2" t="str">
        <f>IF(OR(LEN('A créer'!$C8)=0,'A créer'!$E8="Oui"),"","TAB")</f>
        <v/>
      </c>
      <c r="S8" s="6" t="str">
        <f>IF(OR(LEN('A créer'!$C8)=0,'A créer'!$E8="Oui"),"","Setup Business Group")</f>
        <v/>
      </c>
      <c r="T8" s="2" t="str">
        <f>IF(OR(LEN('A créer'!$C8)=0,'A créer'!$E8="Oui"),"","TAB 4")</f>
        <v/>
      </c>
      <c r="U8" s="2" t="str">
        <f>IF(OR(LEN('A créer'!$C8)=0,'A créer'!$E8="Oui"),"","TAB 4")</f>
        <v/>
      </c>
      <c r="V8" s="2" t="str">
        <f>IF(OR(LEN('A créer'!$C8)=0,'A créer'!$E8="Oui"),"","TAB")</f>
        <v/>
      </c>
      <c r="W8" s="2" t="str">
        <f>IF(OR(LEN('A créer'!$C8)=0,'A créer'!$E8="Oui"),"","TAB")</f>
        <v/>
      </c>
      <c r="X8" s="2" t="str">
        <f>IF(OR(LEN('A créer'!$C8)=0,'A créer'!$E8="Oui"),"","TAB")</f>
        <v/>
      </c>
      <c r="Y8" s="6" t="str">
        <f>IF(OR(LEN('A créer'!$C8)=0,'A créer'!$E8="Oui"),"","\Sécuriser les organisations par hiérarchie")</f>
        <v/>
      </c>
      <c r="Z8" s="2" t="str">
        <f>IF(OR(LEN('A créer'!$C8)=0,'A créer'!$E8="Oui"),"","TAB 4")</f>
        <v/>
      </c>
      <c r="AA8" s="6" t="str">
        <f>IF(OR(LEN('A créer'!$C8)=0,'A créer'!$E8="Oui"),"",CONCATENATE('A créer'!B8,'A créer'!A8))</f>
        <v/>
      </c>
      <c r="AB8" s="2" t="str">
        <f>IF(OR(LEN('A créer'!$C8)=0,'A créer'!$E8="Oui"),"","TAB")</f>
        <v/>
      </c>
      <c r="AC8" s="2" t="str">
        <f>IF(OR(LEN('A créer'!$C8)=0,'A créer'!$E8="Oui"),"","*SAVE")</f>
        <v/>
      </c>
      <c r="AD8" s="2" t="str">
        <f>IF(OR(LEN('A créer'!$C8)=0,'A créer'!$E8="Oui"),"","*ML(118,110)")</f>
        <v/>
      </c>
    </row>
    <row r="9" spans="1:30" x14ac:dyDescent="0.35">
      <c r="A9" s="2" t="str">
        <f>IF(AND(LEN('A créer'!$C9)=0,LEN('A créer'!$E9&gt;0)),"","*FN")</f>
        <v/>
      </c>
      <c r="B9" s="6" t="str">
        <f>IF(AND(LEN('A créer'!$C9)=0,LEN('A créer'!$E9&gt;0)),"",CONCATENATE('A créer'!B9,'A créer'!A9))</f>
        <v/>
      </c>
      <c r="C9" s="2" t="str">
        <f>IF(AND(LEN('A créer'!$C9)=0,LEN('A créer'!$E9&gt;0)),"","TAB")</f>
        <v/>
      </c>
      <c r="D9" s="6" t="str">
        <f>IF(AND(LEN('A créer'!$C9)=0,LEN('A créer'!$E9&gt;0)),"","Setup Business Group")</f>
        <v/>
      </c>
      <c r="E9" s="2" t="str">
        <f>IF(AND(LEN('A créer'!$C9)=0,LEN('A créer'!$E9&gt;0)),"","TAB 4")</f>
        <v/>
      </c>
      <c r="F9" s="2" t="str">
        <f>IF(AND(LEN('A créer'!$C9)=0,LEN('A créer'!$E9&gt;0)),"","TAB 4")</f>
        <v/>
      </c>
      <c r="G9" s="2" t="str">
        <f>IF(AND(LEN('A créer'!$C9)=0,LEN('A créer'!$E9&gt;0)),"","TAB")</f>
        <v/>
      </c>
      <c r="H9" s="2" t="str">
        <f>IF(AND(LEN('A créer'!$C9)=0,LEN('A créer'!$E9&gt;0)),"","TAB")</f>
        <v/>
      </c>
      <c r="I9" s="2" t="str">
        <f>IF(AND(LEN('A créer'!$C9)=0,LEN('A créer'!$E9&gt;0)),"","TAB")</f>
        <v/>
      </c>
      <c r="J9" s="6" t="str">
        <f>IF(AND(LEN('A créer'!$C9)=0,LEN('A créer'!$E9&gt;0)),"","\Sécuriser les organisations par hiérarchie")</f>
        <v/>
      </c>
      <c r="K9" s="2" t="str">
        <f>IF(AND(LEN('A créer'!$C9)=0,LEN('A créer'!$E9&gt;0)),"","TAB 4")</f>
        <v/>
      </c>
      <c r="L9" s="6" t="str">
        <f>IF(AND(LEN('A créer'!$C9)=0,LEN('A créer'!$E9&gt;0)),"",CONCATENATE('A créer'!B9,'A créer'!A9))</f>
        <v/>
      </c>
      <c r="M9" s="2" t="str">
        <f>IF(AND(LEN('A créer'!$C9)=0,LEN('A créer'!$E9&gt;0)),"","TAB")</f>
        <v/>
      </c>
      <c r="N9" s="2" t="str">
        <f>IF(AND(LEN('A créer'!$C9)=0,LEN('A créer'!$E9&gt;0)),"","*SAVE")</f>
        <v/>
      </c>
      <c r="O9" s="2" t="str">
        <f>IF(AND(LEN('A créer'!$C9)=0,LEN('A créer'!$E9&gt;0)),"","*ML(103,118)")</f>
        <v/>
      </c>
      <c r="P9" s="2" t="str">
        <f>IF(OR(LEN('A créer'!$C9)=0,'A créer'!$E9="Oui"),"","*FN")</f>
        <v/>
      </c>
      <c r="Q9" s="6" t="str">
        <f>IF(OR(LEN('A créer'!$C9)=0,'A créer'!$E9="Oui"),"",'A créer'!A9)</f>
        <v/>
      </c>
      <c r="R9" s="2" t="str">
        <f>IF(OR(LEN('A créer'!$C9)=0,'A créer'!$E9="Oui"),"","TAB")</f>
        <v/>
      </c>
      <c r="S9" s="6" t="str">
        <f>IF(OR(LEN('A créer'!$C9)=0,'A créer'!$E9="Oui"),"","Setup Business Group")</f>
        <v/>
      </c>
      <c r="T9" s="2" t="str">
        <f>IF(OR(LEN('A créer'!$C9)=0,'A créer'!$E9="Oui"),"","TAB 4")</f>
        <v/>
      </c>
      <c r="U9" s="2" t="str">
        <f>IF(OR(LEN('A créer'!$C9)=0,'A créer'!$E9="Oui"),"","TAB 4")</f>
        <v/>
      </c>
      <c r="V9" s="2" t="str">
        <f>IF(OR(LEN('A créer'!$C9)=0,'A créer'!$E9="Oui"),"","TAB")</f>
        <v/>
      </c>
      <c r="W9" s="2" t="str">
        <f>IF(OR(LEN('A créer'!$C9)=0,'A créer'!$E9="Oui"),"","TAB")</f>
        <v/>
      </c>
      <c r="X9" s="2" t="str">
        <f>IF(OR(LEN('A créer'!$C9)=0,'A créer'!$E9="Oui"),"","TAB")</f>
        <v/>
      </c>
      <c r="Y9" s="6" t="str">
        <f>IF(OR(LEN('A créer'!$C9)=0,'A créer'!$E9="Oui"),"","\Sécuriser les organisations par hiérarchie")</f>
        <v/>
      </c>
      <c r="Z9" s="2" t="str">
        <f>IF(OR(LEN('A créer'!$C9)=0,'A créer'!$E9="Oui"),"","TAB 4")</f>
        <v/>
      </c>
      <c r="AA9" s="6" t="str">
        <f>IF(OR(LEN('A créer'!$C9)=0,'A créer'!$E9="Oui"),"",CONCATENATE('A créer'!B9,'A créer'!A9))</f>
        <v/>
      </c>
      <c r="AB9" s="2" t="str">
        <f>IF(OR(LEN('A créer'!$C9)=0,'A créer'!$E9="Oui"),"","TAB")</f>
        <v/>
      </c>
      <c r="AC9" s="2" t="str">
        <f>IF(OR(LEN('A créer'!$C9)=0,'A créer'!$E9="Oui"),"","*SAVE")</f>
        <v/>
      </c>
      <c r="AD9" s="2" t="str">
        <f>IF(OR(LEN('A créer'!$C9)=0,'A créer'!$E9="Oui"),"","*ML(237,126)")</f>
        <v/>
      </c>
    </row>
    <row r="10" spans="1:30" x14ac:dyDescent="0.35">
      <c r="A10" s="2" t="str">
        <f>IF(AND(LEN('A créer'!$C10)=0,LEN('A créer'!$E10&gt;0)),"","*FN")</f>
        <v/>
      </c>
      <c r="B10" s="6" t="str">
        <f>IF(AND(LEN('A créer'!$C10)=0,LEN('A créer'!$E10&gt;0)),"",CONCATENATE('A créer'!B10,'A créer'!A10))</f>
        <v/>
      </c>
      <c r="C10" s="2" t="str">
        <f>IF(AND(LEN('A créer'!$C10)=0,LEN('A créer'!$E10&gt;0)),"","TAB")</f>
        <v/>
      </c>
      <c r="D10" s="6" t="str">
        <f>IF(AND(LEN('A créer'!$C10)=0,LEN('A créer'!$E10&gt;0)),"","Setup Business Group")</f>
        <v/>
      </c>
      <c r="E10" s="2" t="str">
        <f>IF(AND(LEN('A créer'!$C10)=0,LEN('A créer'!$E10&gt;0)),"","TAB 4")</f>
        <v/>
      </c>
      <c r="F10" s="2" t="str">
        <f>IF(AND(LEN('A créer'!$C10)=0,LEN('A créer'!$E10&gt;0)),"","TAB 4")</f>
        <v/>
      </c>
      <c r="G10" s="2" t="str">
        <f>IF(AND(LEN('A créer'!$C10)=0,LEN('A créer'!$E10&gt;0)),"","TAB")</f>
        <v/>
      </c>
      <c r="H10" s="2" t="str">
        <f>IF(AND(LEN('A créer'!$C10)=0,LEN('A créer'!$E10&gt;0)),"","TAB")</f>
        <v/>
      </c>
      <c r="I10" s="2" t="str">
        <f>IF(AND(LEN('A créer'!$C10)=0,LEN('A créer'!$E10&gt;0)),"","TAB")</f>
        <v/>
      </c>
      <c r="J10" s="6" t="str">
        <f>IF(AND(LEN('A créer'!$C10)=0,LEN('A créer'!$E10&gt;0)),"","\Sécuriser les organisations par hiérarchie")</f>
        <v/>
      </c>
      <c r="K10" s="2" t="str">
        <f>IF(AND(LEN('A créer'!$C10)=0,LEN('A créer'!$E10&gt;0)),"","TAB 4")</f>
        <v/>
      </c>
      <c r="L10" s="6" t="str">
        <f>IF(AND(LEN('A créer'!$C10)=0,LEN('A créer'!$E10&gt;0)),"",CONCATENATE('A créer'!B10,'A créer'!A10))</f>
        <v/>
      </c>
      <c r="M10" s="2" t="str">
        <f>IF(AND(LEN('A créer'!$C10)=0,LEN('A créer'!$E10&gt;0)),"","TAB")</f>
        <v/>
      </c>
      <c r="N10" s="2" t="str">
        <f>IF(AND(LEN('A créer'!$C10)=0,LEN('A créer'!$E10&gt;0)),"","*SAVE")</f>
        <v/>
      </c>
      <c r="O10" s="2" t="str">
        <f>IF(AND(LEN('A créer'!$C10)=0,LEN('A créer'!$E10&gt;0)),"","*ML(103,118)")</f>
        <v/>
      </c>
      <c r="P10" s="2" t="str">
        <f>IF(OR(LEN('A créer'!$C10)=0,'A créer'!$E10="Oui"),"","*FN")</f>
        <v/>
      </c>
      <c r="Q10" s="6" t="str">
        <f>IF(OR(LEN('A créer'!$C10)=0,'A créer'!$E10="Oui"),"",'A créer'!A10)</f>
        <v/>
      </c>
      <c r="R10" s="2" t="str">
        <f>IF(OR(LEN('A créer'!$C10)=0,'A créer'!$E10="Oui"),"","TAB")</f>
        <v/>
      </c>
      <c r="S10" s="6" t="str">
        <f>IF(OR(LEN('A créer'!$C10)=0,'A créer'!$E10="Oui"),"","Setup Business Group")</f>
        <v/>
      </c>
      <c r="T10" s="2" t="str">
        <f>IF(OR(LEN('A créer'!$C10)=0,'A créer'!$E10="Oui"),"","TAB 4")</f>
        <v/>
      </c>
      <c r="U10" s="2" t="str">
        <f>IF(OR(LEN('A créer'!$C10)=0,'A créer'!$E10="Oui"),"","TAB 4")</f>
        <v/>
      </c>
      <c r="V10" s="2" t="str">
        <f>IF(OR(LEN('A créer'!$C10)=0,'A créer'!$E10="Oui"),"","TAB")</f>
        <v/>
      </c>
      <c r="W10" s="2" t="str">
        <f>IF(OR(LEN('A créer'!$C10)=0,'A créer'!$E10="Oui"),"","TAB")</f>
        <v/>
      </c>
      <c r="X10" s="2" t="str">
        <f>IF(OR(LEN('A créer'!$C10)=0,'A créer'!$E10="Oui"),"","TAB")</f>
        <v/>
      </c>
      <c r="Y10" s="6" t="str">
        <f>IF(OR(LEN('A créer'!$C10)=0,'A créer'!$E10="Oui"),"","\Sécuriser les organisations par hiérarchie")</f>
        <v/>
      </c>
      <c r="Z10" s="2" t="str">
        <f>IF(OR(LEN('A créer'!$C10)=0,'A créer'!$E10="Oui"),"","TAB 4")</f>
        <v/>
      </c>
      <c r="AA10" s="6" t="str">
        <f>IF(OR(LEN('A créer'!$C10)=0,'A créer'!$E10="Oui"),"",CONCATENATE('A créer'!B10,'A créer'!A10))</f>
        <v/>
      </c>
      <c r="AB10" s="2" t="str">
        <f>IF(OR(LEN('A créer'!$C10)=0,'A créer'!$E10="Oui"),"","TAB")</f>
        <v/>
      </c>
      <c r="AC10" s="2" t="str">
        <f>IF(OR(LEN('A créer'!$C10)=0,'A créer'!$E10="Oui"),"","*SAVE")</f>
        <v/>
      </c>
      <c r="AD10" s="2" t="str">
        <f>IF(OR(LEN('A créer'!$C10)=0,'A créer'!$E10="Oui"),"","*ML(237,126)")</f>
        <v/>
      </c>
    </row>
    <row r="11" spans="1:30" x14ac:dyDescent="0.35">
      <c r="A11" s="2" t="str">
        <f>IF(AND(LEN('A créer'!$C11)=0,LEN('A créer'!$E11&gt;0)),"","*FN")</f>
        <v/>
      </c>
      <c r="B11" s="6" t="str">
        <f>IF(AND(LEN('A créer'!$C11)=0,LEN('A créer'!$E11&gt;0)),"",CONCATENATE('A créer'!B11,'A créer'!A11))</f>
        <v/>
      </c>
      <c r="C11" s="2" t="str">
        <f>IF(AND(LEN('A créer'!$C11)=0,LEN('A créer'!$E11&gt;0)),"","TAB")</f>
        <v/>
      </c>
      <c r="D11" s="6" t="str">
        <f>IF(AND(LEN('A créer'!$C11)=0,LEN('A créer'!$E11&gt;0)),"","Setup Business Group")</f>
        <v/>
      </c>
      <c r="E11" s="2" t="str">
        <f>IF(AND(LEN('A créer'!$C11)=0,LEN('A créer'!$E11&gt;0)),"","TAB 4")</f>
        <v/>
      </c>
      <c r="F11" s="2" t="str">
        <f>IF(AND(LEN('A créer'!$C11)=0,LEN('A créer'!$E11&gt;0)),"","TAB 4")</f>
        <v/>
      </c>
      <c r="G11" s="2" t="str">
        <f>IF(AND(LEN('A créer'!$C11)=0,LEN('A créer'!$E11&gt;0)),"","TAB")</f>
        <v/>
      </c>
      <c r="H11" s="2" t="str">
        <f>IF(AND(LEN('A créer'!$C11)=0,LEN('A créer'!$E11&gt;0)),"","TAB")</f>
        <v/>
      </c>
      <c r="I11" s="2" t="str">
        <f>IF(AND(LEN('A créer'!$C11)=0,LEN('A créer'!$E11&gt;0)),"","TAB")</f>
        <v/>
      </c>
      <c r="J11" s="6" t="str">
        <f>IF(AND(LEN('A créer'!$C11)=0,LEN('A créer'!$E11&gt;0)),"","\Sécuriser les organisations par hiérarchie")</f>
        <v/>
      </c>
      <c r="K11" s="2" t="str">
        <f>IF(AND(LEN('A créer'!$C11)=0,LEN('A créer'!$E11&gt;0)),"","TAB 4")</f>
        <v/>
      </c>
      <c r="L11" s="6" t="str">
        <f>IF(AND(LEN('A créer'!$C11)=0,LEN('A créer'!$E11&gt;0)),"",CONCATENATE('A créer'!B11,'A créer'!A11))</f>
        <v/>
      </c>
      <c r="M11" s="2" t="str">
        <f>IF(AND(LEN('A créer'!$C11)=0,LEN('A créer'!$E11&gt;0)),"","TAB")</f>
        <v/>
      </c>
      <c r="N11" s="2" t="str">
        <f>IF(AND(LEN('A créer'!$C11)=0,LEN('A créer'!$E11&gt;0)),"","*SAVE")</f>
        <v/>
      </c>
      <c r="O11" s="2" t="str">
        <f>IF(AND(LEN('A créer'!$C11)=0,LEN('A créer'!$E11&gt;0)),"","*ML(103,118)")</f>
        <v/>
      </c>
      <c r="P11" s="2" t="str">
        <f>IF(OR(LEN('A créer'!$C11)=0,'A créer'!$E11="Oui"),"","*FN")</f>
        <v/>
      </c>
      <c r="Q11" s="6" t="str">
        <f>IF(OR(LEN('A créer'!$C11)=0,'A créer'!$E11="Oui"),"",'A créer'!A11)</f>
        <v/>
      </c>
      <c r="R11" s="2" t="str">
        <f>IF(OR(LEN('A créer'!$C11)=0,'A créer'!$E11="Oui"),"","TAB")</f>
        <v/>
      </c>
      <c r="S11" s="6" t="str">
        <f>IF(OR(LEN('A créer'!$C11)=0,'A créer'!$E11="Oui"),"","Setup Business Group")</f>
        <v/>
      </c>
      <c r="T11" s="2" t="str">
        <f>IF(OR(LEN('A créer'!$C11)=0,'A créer'!$E11="Oui"),"","TAB 4")</f>
        <v/>
      </c>
      <c r="U11" s="2" t="str">
        <f>IF(OR(LEN('A créer'!$C11)=0,'A créer'!$E11="Oui"),"","TAB 4")</f>
        <v/>
      </c>
      <c r="V11" s="2" t="str">
        <f>IF(OR(LEN('A créer'!$C11)=0,'A créer'!$E11="Oui"),"","TAB")</f>
        <v/>
      </c>
      <c r="W11" s="2" t="str">
        <f>IF(OR(LEN('A créer'!$C11)=0,'A créer'!$E11="Oui"),"","TAB")</f>
        <v/>
      </c>
      <c r="X11" s="2" t="str">
        <f>IF(OR(LEN('A créer'!$C11)=0,'A créer'!$E11="Oui"),"","TAB")</f>
        <v/>
      </c>
      <c r="Y11" s="6" t="str">
        <f>IF(OR(LEN('A créer'!$C11)=0,'A créer'!$E11="Oui"),"","\Sécuriser les organisations par hiérarchie")</f>
        <v/>
      </c>
      <c r="Z11" s="2" t="str">
        <f>IF(OR(LEN('A créer'!$C11)=0,'A créer'!$E11="Oui"),"","TAB 4")</f>
        <v/>
      </c>
      <c r="AA11" s="6" t="str">
        <f>IF(OR(LEN('A créer'!$C11)=0,'A créer'!$E11="Oui"),"",CONCATENATE('A créer'!B11,'A créer'!A11))</f>
        <v/>
      </c>
      <c r="AB11" s="2" t="str">
        <f>IF(OR(LEN('A créer'!$C11)=0,'A créer'!$E11="Oui"),"","TAB")</f>
        <v/>
      </c>
      <c r="AC11" s="2" t="str">
        <f>IF(OR(LEN('A créer'!$C11)=0,'A créer'!$E11="Oui"),"","*SAVE")</f>
        <v/>
      </c>
      <c r="AD11" s="2" t="str">
        <f>IF(OR(LEN('A créer'!$C11)=0,'A créer'!$E11="Oui"),"","*ML(237,126)")</f>
        <v/>
      </c>
    </row>
    <row r="12" spans="1:30" x14ac:dyDescent="0.35">
      <c r="A12" s="2" t="str">
        <f>IF(AND(LEN('A créer'!$C12)=0,LEN('A créer'!$E12&gt;0)),"","*FN")</f>
        <v/>
      </c>
      <c r="B12" s="6" t="str">
        <f>IF(AND(LEN('A créer'!$C12)=0,LEN('A créer'!$E12&gt;0)),"",CONCATENATE('A créer'!B12,'A créer'!A12))</f>
        <v/>
      </c>
      <c r="C12" s="2" t="str">
        <f>IF(AND(LEN('A créer'!$C12)=0,LEN('A créer'!$E12&gt;0)),"","TAB")</f>
        <v/>
      </c>
      <c r="D12" s="6" t="str">
        <f>IF(AND(LEN('A créer'!$C12)=0,LEN('A créer'!$E12&gt;0)),"","Setup Business Group")</f>
        <v/>
      </c>
      <c r="E12" s="2" t="str">
        <f>IF(AND(LEN('A créer'!$C12)=0,LEN('A créer'!$E12&gt;0)),"","TAB 4")</f>
        <v/>
      </c>
      <c r="F12" s="2" t="str">
        <f>IF(AND(LEN('A créer'!$C12)=0,LEN('A créer'!$E12&gt;0)),"","TAB 4")</f>
        <v/>
      </c>
      <c r="G12" s="2" t="str">
        <f>IF(AND(LEN('A créer'!$C12)=0,LEN('A créer'!$E12&gt;0)),"","TAB")</f>
        <v/>
      </c>
      <c r="H12" s="2" t="str">
        <f>IF(AND(LEN('A créer'!$C12)=0,LEN('A créer'!$E12&gt;0)),"","TAB")</f>
        <v/>
      </c>
      <c r="I12" s="2" t="str">
        <f>IF(AND(LEN('A créer'!$C12)=0,LEN('A créer'!$E12&gt;0)),"","TAB")</f>
        <v/>
      </c>
      <c r="J12" s="6" t="str">
        <f>IF(AND(LEN('A créer'!$C12)=0,LEN('A créer'!$E12&gt;0)),"","\Sécuriser les organisations par hiérarchie")</f>
        <v/>
      </c>
      <c r="K12" s="2" t="str">
        <f>IF(AND(LEN('A créer'!$C12)=0,LEN('A créer'!$E12&gt;0)),"","TAB 4")</f>
        <v/>
      </c>
      <c r="L12" s="6" t="str">
        <f>IF(AND(LEN('A créer'!$C12)=0,LEN('A créer'!$E12&gt;0)),"",CONCATENATE('A créer'!B12,'A créer'!A12))</f>
        <v/>
      </c>
      <c r="M12" s="2" t="str">
        <f>IF(AND(LEN('A créer'!$C12)=0,LEN('A créer'!$E12&gt;0)),"","TAB")</f>
        <v/>
      </c>
      <c r="N12" s="2" t="str">
        <f>IF(AND(LEN('A créer'!$C12)=0,LEN('A créer'!$E12&gt;0)),"","*SAVE")</f>
        <v/>
      </c>
      <c r="O12" s="2" t="str">
        <f>IF(AND(LEN('A créer'!$C12)=0,LEN('A créer'!$E12&gt;0)),"","*ML(103,118)")</f>
        <v/>
      </c>
      <c r="P12" s="2" t="str">
        <f>IF(OR(LEN('A créer'!$C12)=0,'A créer'!$E12="Oui"),"","*FN")</f>
        <v/>
      </c>
      <c r="Q12" s="6" t="str">
        <f>IF(OR(LEN('A créer'!$C12)=0,'A créer'!$E12="Oui"),"",'A créer'!A12)</f>
        <v/>
      </c>
      <c r="R12" s="2" t="str">
        <f>IF(OR(LEN('A créer'!$C12)=0,'A créer'!$E12="Oui"),"","TAB")</f>
        <v/>
      </c>
      <c r="S12" s="6" t="str">
        <f>IF(OR(LEN('A créer'!$C12)=0,'A créer'!$E12="Oui"),"","Setup Business Group")</f>
        <v/>
      </c>
      <c r="T12" s="2" t="str">
        <f>IF(OR(LEN('A créer'!$C12)=0,'A créer'!$E12="Oui"),"","TAB 4")</f>
        <v/>
      </c>
      <c r="U12" s="2" t="str">
        <f>IF(OR(LEN('A créer'!$C12)=0,'A créer'!$E12="Oui"),"","TAB 4")</f>
        <v/>
      </c>
      <c r="V12" s="2" t="str">
        <f>IF(OR(LEN('A créer'!$C12)=0,'A créer'!$E12="Oui"),"","TAB")</f>
        <v/>
      </c>
      <c r="W12" s="2" t="str">
        <f>IF(OR(LEN('A créer'!$C12)=0,'A créer'!$E12="Oui"),"","TAB")</f>
        <v/>
      </c>
      <c r="X12" s="2" t="str">
        <f>IF(OR(LEN('A créer'!$C12)=0,'A créer'!$E12="Oui"),"","TAB")</f>
        <v/>
      </c>
      <c r="Y12" s="6" t="str">
        <f>IF(OR(LEN('A créer'!$C12)=0,'A créer'!$E12="Oui"),"","\Sécuriser les organisations par hiérarchie")</f>
        <v/>
      </c>
      <c r="Z12" s="2" t="str">
        <f>IF(OR(LEN('A créer'!$C12)=0,'A créer'!$E12="Oui"),"","TAB 4")</f>
        <v/>
      </c>
      <c r="AA12" s="6" t="str">
        <f>IF(OR(LEN('A créer'!$C12)=0,'A créer'!$E12="Oui"),"",CONCATENATE('A créer'!B12,'A créer'!A12))</f>
        <v/>
      </c>
      <c r="AB12" s="2" t="str">
        <f>IF(OR(LEN('A créer'!$C12)=0,'A créer'!$E12="Oui"),"","TAB")</f>
        <v/>
      </c>
      <c r="AC12" s="2" t="str">
        <f>IF(OR(LEN('A créer'!$C12)=0,'A créer'!$E12="Oui"),"","*SAVE")</f>
        <v/>
      </c>
      <c r="AD12" s="2" t="str">
        <f>IF(OR(LEN('A créer'!$C12)=0,'A créer'!$E12="Oui"),"","*ML(237,126)")</f>
        <v/>
      </c>
    </row>
    <row r="13" spans="1:30" x14ac:dyDescent="0.35">
      <c r="A13" s="2" t="str">
        <f>IF(AND(LEN('A créer'!$C13)=0,LEN('A créer'!$E13&gt;0)),"","*FN")</f>
        <v/>
      </c>
      <c r="B13" s="6" t="str">
        <f>IF(AND(LEN('A créer'!$C13)=0,LEN('A créer'!$E13&gt;0)),"",CONCATENATE('A créer'!B13,'A créer'!A13))</f>
        <v/>
      </c>
      <c r="C13" s="2" t="str">
        <f>IF(AND(LEN('A créer'!$C13)=0,LEN('A créer'!$E13&gt;0)),"","TAB")</f>
        <v/>
      </c>
      <c r="D13" s="6" t="str">
        <f>IF(AND(LEN('A créer'!$C13)=0,LEN('A créer'!$E13&gt;0)),"","Setup Business Group")</f>
        <v/>
      </c>
      <c r="E13" s="2" t="str">
        <f>IF(AND(LEN('A créer'!$C13)=0,LEN('A créer'!$E13&gt;0)),"","TAB 4")</f>
        <v/>
      </c>
      <c r="F13" s="2" t="str">
        <f>IF(AND(LEN('A créer'!$C13)=0,LEN('A créer'!$E13&gt;0)),"","TAB 4")</f>
        <v/>
      </c>
      <c r="G13" s="2" t="str">
        <f>IF(AND(LEN('A créer'!$C13)=0,LEN('A créer'!$E13&gt;0)),"","TAB")</f>
        <v/>
      </c>
      <c r="H13" s="2" t="str">
        <f>IF(AND(LEN('A créer'!$C13)=0,LEN('A créer'!$E13&gt;0)),"","TAB")</f>
        <v/>
      </c>
      <c r="I13" s="2" t="str">
        <f>IF(AND(LEN('A créer'!$C13)=0,LEN('A créer'!$E13&gt;0)),"","TAB")</f>
        <v/>
      </c>
      <c r="J13" s="6" t="str">
        <f>IF(AND(LEN('A créer'!$C13)=0,LEN('A créer'!$E13&gt;0)),"","\Sécuriser les organisations par hiérarchie")</f>
        <v/>
      </c>
      <c r="K13" s="2" t="str">
        <f>IF(AND(LEN('A créer'!$C13)=0,LEN('A créer'!$E13&gt;0)),"","TAB 4")</f>
        <v/>
      </c>
      <c r="L13" s="6" t="str">
        <f>IF(AND(LEN('A créer'!$C13)=0,LEN('A créer'!$E13&gt;0)),"",CONCATENATE('A créer'!B13,'A créer'!A13))</f>
        <v/>
      </c>
      <c r="M13" s="2" t="str">
        <f>IF(AND(LEN('A créer'!$C13)=0,LEN('A créer'!$E13&gt;0)),"","TAB")</f>
        <v/>
      </c>
      <c r="N13" s="2" t="str">
        <f>IF(AND(LEN('A créer'!$C13)=0,LEN('A créer'!$E13&gt;0)),"","*SAVE")</f>
        <v/>
      </c>
      <c r="O13" s="2" t="str">
        <f>IF(AND(LEN('A créer'!$C13)=0,LEN('A créer'!$E13&gt;0)),"","*ML(103,118)")</f>
        <v/>
      </c>
      <c r="P13" s="2" t="str">
        <f>IF(OR(LEN('A créer'!$C13)=0,'A créer'!$E13="Oui"),"","*FN")</f>
        <v/>
      </c>
      <c r="Q13" s="6" t="str">
        <f>IF(OR(LEN('A créer'!$C13)=0,'A créer'!$E13="Oui"),"",'A créer'!A13)</f>
        <v/>
      </c>
      <c r="R13" s="2" t="str">
        <f>IF(OR(LEN('A créer'!$C13)=0,'A créer'!$E13="Oui"),"","TAB")</f>
        <v/>
      </c>
      <c r="S13" s="6" t="str">
        <f>IF(OR(LEN('A créer'!$C13)=0,'A créer'!$E13="Oui"),"","Setup Business Group")</f>
        <v/>
      </c>
      <c r="T13" s="2" t="str">
        <f>IF(OR(LEN('A créer'!$C13)=0,'A créer'!$E13="Oui"),"","TAB 4")</f>
        <v/>
      </c>
      <c r="U13" s="2" t="str">
        <f>IF(OR(LEN('A créer'!$C13)=0,'A créer'!$E13="Oui"),"","TAB 4")</f>
        <v/>
      </c>
      <c r="V13" s="2" t="str">
        <f>IF(OR(LEN('A créer'!$C13)=0,'A créer'!$E13="Oui"),"","TAB")</f>
        <v/>
      </c>
      <c r="W13" s="2" t="str">
        <f>IF(OR(LEN('A créer'!$C13)=0,'A créer'!$E13="Oui"),"","TAB")</f>
        <v/>
      </c>
      <c r="X13" s="2" t="str">
        <f>IF(OR(LEN('A créer'!$C13)=0,'A créer'!$E13="Oui"),"","TAB")</f>
        <v/>
      </c>
      <c r="Y13" s="6" t="str">
        <f>IF(OR(LEN('A créer'!$C13)=0,'A créer'!$E13="Oui"),"","\Sécuriser les organisations par hiérarchie")</f>
        <v/>
      </c>
      <c r="Z13" s="2" t="str">
        <f>IF(OR(LEN('A créer'!$C13)=0,'A créer'!$E13="Oui"),"","TAB 4")</f>
        <v/>
      </c>
      <c r="AA13" s="6" t="str">
        <f>IF(OR(LEN('A créer'!$C13)=0,'A créer'!$E13="Oui"),"",CONCATENATE('A créer'!B13,'A créer'!A13))</f>
        <v/>
      </c>
      <c r="AB13" s="2" t="str">
        <f>IF(OR(LEN('A créer'!$C13)=0,'A créer'!$E13="Oui"),"","TAB")</f>
        <v/>
      </c>
      <c r="AC13" s="2" t="str">
        <f>IF(OR(LEN('A créer'!$C13)=0,'A créer'!$E13="Oui"),"","*SAVE")</f>
        <v/>
      </c>
      <c r="AD13" s="2" t="str">
        <f>IF(OR(LEN('A créer'!$C13)=0,'A créer'!$E13="Oui"),"","*ML(237,126)")</f>
        <v/>
      </c>
    </row>
    <row r="14" spans="1:30" x14ac:dyDescent="0.35">
      <c r="A14" s="2" t="str">
        <f>IF(AND(LEN('A créer'!$C14)=0,LEN('A créer'!$E14&gt;0)),"","*FN")</f>
        <v/>
      </c>
      <c r="B14" s="3" t="s">
        <v>94</v>
      </c>
      <c r="C14" s="2" t="str">
        <f>IF(AND(LEN('A créer'!$C14)=0,LEN('A créer'!$E14&gt;0)),"","TAB")</f>
        <v/>
      </c>
      <c r="D14" s="6" t="str">
        <f>IF(AND(LEN('A créer'!$C14)=0,LEN('A créer'!$E14&gt;0)),"","Setup Business Group")</f>
        <v/>
      </c>
      <c r="E14" s="2" t="str">
        <f>IF(AND(LEN('A créer'!$C14)=0,LEN('A créer'!$E14&gt;0)),"","TAB 4")</f>
        <v/>
      </c>
      <c r="F14" s="2" t="str">
        <f>IF(AND(LEN('A créer'!$C14)=0,LEN('A créer'!$E14&gt;0)),"","TAB 4")</f>
        <v/>
      </c>
      <c r="G14" s="2" t="str">
        <f>IF(AND(LEN('A créer'!$C14)=0,LEN('A créer'!$E14&gt;0)),"","TAB")</f>
        <v/>
      </c>
      <c r="H14" s="2" t="str">
        <f>IF(AND(LEN('A créer'!$C14)=0,LEN('A créer'!$E14&gt;0)),"","TAB")</f>
        <v/>
      </c>
      <c r="I14" s="2" t="str">
        <f>IF(AND(LEN('A créer'!$C14)=0,LEN('A créer'!$E14&gt;0)),"","TAB")</f>
        <v/>
      </c>
      <c r="J14" s="6" t="str">
        <f>IF(AND(LEN('A créer'!$C14)=0,LEN('A créer'!$E14&gt;0)),"","\Sécuriser les organisations par hiérarchie")</f>
        <v/>
      </c>
      <c r="K14" s="2" t="str">
        <f>IF(AND(LEN('A créer'!$C14)=0,LEN('A créer'!$E14&gt;0)),"","TAB 4")</f>
        <v/>
      </c>
      <c r="L14" s="6" t="str">
        <f>IF(AND(LEN('A créer'!$C14)=0,LEN('A créer'!$E14&gt;0)),"",CONCATENATE('A créer'!B14,'A créer'!A14))</f>
        <v/>
      </c>
      <c r="M14" s="2" t="str">
        <f>IF(AND(LEN('A créer'!$C14)=0,LEN('A créer'!$E14&gt;0)),"","TAB")</f>
        <v/>
      </c>
      <c r="N14" s="2" t="str">
        <f>IF(AND(LEN('A créer'!$C14)=0,LEN('A créer'!$E14&gt;0)),"","*SAVE")</f>
        <v/>
      </c>
      <c r="O14" s="2" t="str">
        <f>IF(AND(LEN('A créer'!$C14)=0,LEN('A créer'!$E14&gt;0)),"","*ML(237,126)")</f>
        <v/>
      </c>
      <c r="P14" s="2" t="str">
        <f>IF(OR(LEN('A créer'!$C14)=0,'A créer'!$E14="Oui"),"","*FN")</f>
        <v/>
      </c>
      <c r="Q14" s="6" t="str">
        <f>IF(OR(LEN('A créer'!$C14)=0,'A créer'!$E14="Oui"),"",'A créer'!A14)</f>
        <v/>
      </c>
      <c r="R14" s="2" t="str">
        <f>IF(OR(LEN('A créer'!$C14)=0,'A créer'!$E14="Oui"),"","TAB")</f>
        <v/>
      </c>
      <c r="S14" s="6" t="str">
        <f>IF(OR(LEN('A créer'!$C14)=0,'A créer'!$E14="Oui"),"","Setup Business Group")</f>
        <v/>
      </c>
      <c r="T14" s="2" t="str">
        <f>IF(OR(LEN('A créer'!$C14)=0,'A créer'!$E14="Oui"),"","TAB 4")</f>
        <v/>
      </c>
      <c r="U14" s="2" t="str">
        <f>IF(OR(LEN('A créer'!$C14)=0,'A créer'!$E14="Oui"),"","TAB 4")</f>
        <v/>
      </c>
      <c r="V14" s="2" t="str">
        <f>IF(OR(LEN('A créer'!$C14)=0,'A créer'!$E14="Oui"),"","TAB")</f>
        <v/>
      </c>
      <c r="W14" s="2" t="str">
        <f>IF(OR(LEN('A créer'!$C14)=0,'A créer'!$E14="Oui"),"","TAB")</f>
        <v/>
      </c>
      <c r="X14" s="2" t="str">
        <f>IF(OR(LEN('A créer'!$C14)=0,'A créer'!$E14="Oui"),"","TAB")</f>
        <v/>
      </c>
      <c r="Y14" s="6" t="str">
        <f>IF(OR(LEN('A créer'!$C14)=0,'A créer'!$E14="Oui"),"","\Sécuriser les organisations par hiérarchie")</f>
        <v/>
      </c>
      <c r="Z14" s="2" t="str">
        <f>IF(OR(LEN('A créer'!$C14)=0,'A créer'!$E14="Oui"),"","TAB 4")</f>
        <v/>
      </c>
      <c r="AA14" s="6" t="str">
        <f>IF(OR(LEN('A créer'!$C14)=0,'A créer'!$E14="Oui"),"",CONCATENATE('A créer'!B14,'A créer'!A14))</f>
        <v/>
      </c>
      <c r="AB14" s="2" t="str">
        <f>IF(OR(LEN('A créer'!$C14)=0,'A créer'!$E14="Oui"),"","TAB")</f>
        <v/>
      </c>
      <c r="AC14" s="2" t="str">
        <f>IF(OR(LEN('A créer'!$C14)=0,'A créer'!$E14="Oui"),"","*SAVE")</f>
        <v/>
      </c>
      <c r="AD14" s="2" t="str">
        <f>IF(OR(LEN('A créer'!$C14)=0,'A créer'!$E14="Oui"),"","*ML(237,126)")</f>
        <v/>
      </c>
    </row>
    <row r="15" spans="1:30" x14ac:dyDescent="0.35">
      <c r="A15" s="2" t="str">
        <f>IF(AND(LEN('A créer'!$C15)=0,LEN('A créer'!$E15&gt;0)),"","*FN")</f>
        <v/>
      </c>
      <c r="B15" s="24" t="s">
        <v>95</v>
      </c>
      <c r="C15" s="2" t="str">
        <f>IF(AND(LEN('A créer'!$C15)=0,LEN('A créer'!$E15&gt;0)),"","TAB")</f>
        <v/>
      </c>
      <c r="D15" s="6" t="str">
        <f>IF(AND(LEN('A créer'!$C15)=0,LEN('A créer'!$E15&gt;0)),"","Setup Business Group")</f>
        <v/>
      </c>
      <c r="E15" s="2" t="str">
        <f>IF(AND(LEN('A créer'!$C15)=0,LEN('A créer'!$E15&gt;0)),"","TAB 4")</f>
        <v/>
      </c>
      <c r="F15" s="2" t="str">
        <f>IF(AND(LEN('A créer'!$C15)=0,LEN('A créer'!$E15&gt;0)),"","TAB 4")</f>
        <v/>
      </c>
      <c r="G15" s="2" t="str">
        <f>IF(AND(LEN('A créer'!$C15)=0,LEN('A créer'!$E15&gt;0)),"","TAB")</f>
        <v/>
      </c>
      <c r="H15" s="2" t="str">
        <f>IF(AND(LEN('A créer'!$C15)=0,LEN('A créer'!$E15&gt;0)),"","TAB")</f>
        <v/>
      </c>
      <c r="I15" s="2" t="str">
        <f>IF(AND(LEN('A créer'!$C15)=0,LEN('A créer'!$E15&gt;0)),"","TAB")</f>
        <v/>
      </c>
      <c r="J15" s="6" t="str">
        <f>IF(AND(LEN('A créer'!$C15)=0,LEN('A créer'!$E15&gt;0)),"","\Sécuriser les organisations par hiérarchie")</f>
        <v/>
      </c>
      <c r="K15" s="2" t="str">
        <f>IF(AND(LEN('A créer'!$C15)=0,LEN('A créer'!$E15&gt;0)),"","TAB 4")</f>
        <v/>
      </c>
      <c r="L15" s="6" t="str">
        <f>IF(AND(LEN('A créer'!$C15)=0,LEN('A créer'!$E15&gt;0)),"",CONCATENATE('A créer'!B15,'A créer'!A15))</f>
        <v/>
      </c>
      <c r="M15" s="2" t="str">
        <f>IF(AND(LEN('A créer'!$C15)=0,LEN('A créer'!$E15&gt;0)),"","TAB")</f>
        <v/>
      </c>
      <c r="N15" s="2" t="str">
        <f>IF(AND(LEN('A créer'!$C15)=0,LEN('A créer'!$E15&gt;0)),"","*SAVE")</f>
        <v/>
      </c>
      <c r="O15" s="2" t="str">
        <f>IF(AND(LEN('A créer'!$C15)=0,LEN('A créer'!$E15&gt;0)),"","*ML(237,126)")</f>
        <v/>
      </c>
      <c r="P15" s="2" t="str">
        <f>IF(OR(LEN('A créer'!$C15)=0,'A créer'!$E15="Oui"),"","*FN")</f>
        <v/>
      </c>
      <c r="Q15" s="6" t="str">
        <f>IF(OR(LEN('A créer'!$C15)=0,'A créer'!$E15="Oui"),"",'A créer'!A15)</f>
        <v/>
      </c>
      <c r="R15" s="2" t="str">
        <f>IF(OR(LEN('A créer'!$C15)=0,'A créer'!$E15="Oui"),"","TAB")</f>
        <v/>
      </c>
      <c r="S15" s="6" t="str">
        <f>IF(OR(LEN('A créer'!$C15)=0,'A créer'!$E15="Oui"),"","Setup Business Group")</f>
        <v/>
      </c>
      <c r="T15" s="2" t="str">
        <f>IF(OR(LEN('A créer'!$C15)=0,'A créer'!$E15="Oui"),"","TAB 4")</f>
        <v/>
      </c>
      <c r="U15" s="2" t="str">
        <f>IF(OR(LEN('A créer'!$C15)=0,'A créer'!$E15="Oui"),"","TAB 4")</f>
        <v/>
      </c>
      <c r="V15" s="2" t="str">
        <f>IF(OR(LEN('A créer'!$C15)=0,'A créer'!$E15="Oui"),"","TAB")</f>
        <v/>
      </c>
      <c r="W15" s="2" t="str">
        <f>IF(OR(LEN('A créer'!$C15)=0,'A créer'!$E15="Oui"),"","TAB")</f>
        <v/>
      </c>
      <c r="X15" s="2" t="str">
        <f>IF(OR(LEN('A créer'!$C15)=0,'A créer'!$E15="Oui"),"","TAB")</f>
        <v/>
      </c>
      <c r="Y15" s="6" t="str">
        <f>IF(OR(LEN('A créer'!$C15)=0,'A créer'!$E15="Oui"),"","\Sécuriser les organisations par hiérarchie")</f>
        <v/>
      </c>
      <c r="Z15" s="2" t="str">
        <f>IF(OR(LEN('A créer'!$C15)=0,'A créer'!$E15="Oui"),"","TAB 4")</f>
        <v/>
      </c>
      <c r="AA15" s="6" t="str">
        <f>IF(OR(LEN('A créer'!$C15)=0,'A créer'!$E15="Oui"),"",CONCATENATE('A créer'!B15,'A créer'!A15))</f>
        <v/>
      </c>
      <c r="AB15" s="2" t="str">
        <f>IF(OR(LEN('A créer'!$C15)=0,'A créer'!$E15="Oui"),"","TAB")</f>
        <v/>
      </c>
      <c r="AC15" s="2" t="str">
        <f>IF(OR(LEN('A créer'!$C15)=0,'A créer'!$E15="Oui"),"","*SAVE")</f>
        <v/>
      </c>
      <c r="AD15" s="2" t="str">
        <f>IF(OR(LEN('A créer'!$C15)=0,'A créer'!$E15="Oui"),"","*ML(237,126)")</f>
        <v/>
      </c>
    </row>
    <row r="16" spans="1:30" x14ac:dyDescent="0.35">
      <c r="A16" s="2" t="str">
        <f>IF(AND(LEN('A créer'!$C16)=0,LEN('A créer'!$E16&gt;0)),"","*FN")</f>
        <v/>
      </c>
      <c r="B16" s="6" t="str">
        <f>IF(AND(LEN('A créer'!$C16)=0,LEN('A créer'!$E16&gt;0)),"",CONCATENATE('A créer'!B16,'A créer'!A16))</f>
        <v/>
      </c>
      <c r="C16" s="2" t="str">
        <f>IF(AND(LEN('A créer'!$C16)=0,LEN('A créer'!$E16&gt;0)),"","TAB")</f>
        <v/>
      </c>
      <c r="D16" s="6" t="str">
        <f>IF(AND(LEN('A créer'!$C16)=0,LEN('A créer'!$E16&gt;0)),"","Setup Business Group")</f>
        <v/>
      </c>
      <c r="E16" s="2" t="str">
        <f>IF(AND(LEN('A créer'!$C16)=0,LEN('A créer'!$E16&gt;0)),"","TAB 4")</f>
        <v/>
      </c>
      <c r="F16" s="2" t="str">
        <f>IF(AND(LEN('A créer'!$C16)=0,LEN('A créer'!$E16&gt;0)),"","TAB 4")</f>
        <v/>
      </c>
      <c r="G16" s="2" t="str">
        <f>IF(AND(LEN('A créer'!$C16)=0,LEN('A créer'!$E16&gt;0)),"","TAB")</f>
        <v/>
      </c>
      <c r="H16" s="2" t="str">
        <f>IF(AND(LEN('A créer'!$C16)=0,LEN('A créer'!$E16&gt;0)),"","TAB")</f>
        <v/>
      </c>
      <c r="I16" s="2" t="str">
        <f>IF(AND(LEN('A créer'!$C16)=0,LEN('A créer'!$E16&gt;0)),"","TAB")</f>
        <v/>
      </c>
      <c r="J16" s="6" t="str">
        <f>IF(AND(LEN('A créer'!$C16)=0,LEN('A créer'!$E16&gt;0)),"","\Sécuriser les organisations par hiérarchie")</f>
        <v/>
      </c>
      <c r="K16" s="2" t="str">
        <f>IF(AND(LEN('A créer'!$C16)=0,LEN('A créer'!$E16&gt;0)),"","TAB 4")</f>
        <v/>
      </c>
      <c r="L16" s="6" t="str">
        <f>IF(AND(LEN('A créer'!$C16)=0,LEN('A créer'!$E16&gt;0)),"",CONCATENATE('A créer'!B16,'A créer'!A16))</f>
        <v/>
      </c>
      <c r="M16" s="2" t="str">
        <f>IF(AND(LEN('A créer'!$C16)=0,LEN('A créer'!$E16&gt;0)),"","TAB")</f>
        <v/>
      </c>
      <c r="N16" s="2" t="str">
        <f>IF(AND(LEN('A créer'!$C16)=0,LEN('A créer'!$E16&gt;0)),"","*SAVE")</f>
        <v/>
      </c>
      <c r="O16" s="2" t="str">
        <f>IF(AND(LEN('A créer'!$C16)=0,LEN('A créer'!$E16&gt;0)),"","*ML(237,126)")</f>
        <v/>
      </c>
      <c r="P16" s="2" t="str">
        <f>IF(OR(LEN('A créer'!$C16)=0,'A créer'!$E16="Oui"),"","*FN")</f>
        <v/>
      </c>
      <c r="Q16" s="6" t="str">
        <f>IF(OR(LEN('A créer'!$C16)=0,'A créer'!$E16="Oui"),"",'A créer'!A16)</f>
        <v/>
      </c>
      <c r="R16" s="2" t="str">
        <f>IF(OR(LEN('A créer'!$C16)=0,'A créer'!$E16="Oui"),"","TAB")</f>
        <v/>
      </c>
      <c r="S16" s="6" t="str">
        <f>IF(OR(LEN('A créer'!$C16)=0,'A créer'!$E16="Oui"),"","Setup Business Group")</f>
        <v/>
      </c>
      <c r="T16" s="2" t="str">
        <f>IF(OR(LEN('A créer'!$C16)=0,'A créer'!$E16="Oui"),"","TAB 4")</f>
        <v/>
      </c>
      <c r="U16" s="2" t="str">
        <f>IF(OR(LEN('A créer'!$C16)=0,'A créer'!$E16="Oui"),"","TAB 4")</f>
        <v/>
      </c>
      <c r="V16" s="2" t="str">
        <f>IF(OR(LEN('A créer'!$C16)=0,'A créer'!$E16="Oui"),"","TAB")</f>
        <v/>
      </c>
      <c r="W16" s="2" t="str">
        <f>IF(OR(LEN('A créer'!$C16)=0,'A créer'!$E16="Oui"),"","TAB")</f>
        <v/>
      </c>
      <c r="X16" s="2" t="str">
        <f>IF(OR(LEN('A créer'!$C16)=0,'A créer'!$E16="Oui"),"","TAB")</f>
        <v/>
      </c>
      <c r="Y16" s="6" t="str">
        <f>IF(OR(LEN('A créer'!$C16)=0,'A créer'!$E16="Oui"),"","\Sécuriser les organisations par hiérarchie")</f>
        <v/>
      </c>
      <c r="Z16" s="2" t="str">
        <f>IF(OR(LEN('A créer'!$C16)=0,'A créer'!$E16="Oui"),"","TAB 4")</f>
        <v/>
      </c>
      <c r="AA16" s="6" t="str">
        <f>IF(OR(LEN('A créer'!$C16)=0,'A créer'!$E16="Oui"),"",CONCATENATE('A créer'!B16,'A créer'!A16))</f>
        <v/>
      </c>
      <c r="AB16" s="2" t="str">
        <f>IF(OR(LEN('A créer'!$C16)=0,'A créer'!$E16="Oui"),"","TAB")</f>
        <v/>
      </c>
      <c r="AC16" s="2" t="str">
        <f>IF(OR(LEN('A créer'!$C16)=0,'A créer'!$E16="Oui"),"","*SAVE")</f>
        <v/>
      </c>
      <c r="AD16" s="2" t="str">
        <f>IF(OR(LEN('A créer'!$C16)=0,'A créer'!$E16="Oui"),"","*ML(237,126)")</f>
        <v/>
      </c>
    </row>
    <row r="17" spans="1:30" x14ac:dyDescent="0.35">
      <c r="A17" s="2" t="str">
        <f>IF(AND(LEN('A créer'!$C17)=0,LEN('A créer'!$E17&gt;0)),"","*FN")</f>
        <v/>
      </c>
      <c r="B17" s="6" t="str">
        <f>IF(AND(LEN('A créer'!$C17)=0,LEN('A créer'!$E17&gt;0)),"",CONCATENATE('A créer'!B17,'A créer'!A17))</f>
        <v/>
      </c>
      <c r="C17" s="2" t="str">
        <f>IF(AND(LEN('A créer'!$C17)=0,LEN('A créer'!$E17&gt;0)),"","TAB")</f>
        <v/>
      </c>
      <c r="D17" s="6" t="str">
        <f>IF(AND(LEN('A créer'!$C17)=0,LEN('A créer'!$E17&gt;0)),"","Setup Business Group")</f>
        <v/>
      </c>
      <c r="E17" s="2" t="str">
        <f>IF(AND(LEN('A créer'!$C17)=0,LEN('A créer'!$E17&gt;0)),"","TAB 4")</f>
        <v/>
      </c>
      <c r="F17" s="2" t="str">
        <f>IF(AND(LEN('A créer'!$C17)=0,LEN('A créer'!$E17&gt;0)),"","TAB 4")</f>
        <v/>
      </c>
      <c r="G17" s="2" t="str">
        <f>IF(AND(LEN('A créer'!$C17)=0,LEN('A créer'!$E17&gt;0)),"","TAB")</f>
        <v/>
      </c>
      <c r="H17" s="2" t="str">
        <f>IF(AND(LEN('A créer'!$C17)=0,LEN('A créer'!$E17&gt;0)),"","TAB")</f>
        <v/>
      </c>
      <c r="I17" s="2" t="str">
        <f>IF(AND(LEN('A créer'!$C17)=0,LEN('A créer'!$E17&gt;0)),"","TAB")</f>
        <v/>
      </c>
      <c r="J17" s="6" t="str">
        <f>IF(AND(LEN('A créer'!$C17)=0,LEN('A créer'!$E17&gt;0)),"","\Sécuriser les organisations par hiérarchie")</f>
        <v/>
      </c>
      <c r="K17" s="2" t="str">
        <f>IF(AND(LEN('A créer'!$C17)=0,LEN('A créer'!$E17&gt;0)),"","TAB 4")</f>
        <v/>
      </c>
      <c r="L17" s="6" t="str">
        <f>IF(AND(LEN('A créer'!$C17)=0,LEN('A créer'!$E17&gt;0)),"",CONCATENATE('A créer'!B17,'A créer'!A17))</f>
        <v/>
      </c>
      <c r="M17" s="2" t="str">
        <f>IF(AND(LEN('A créer'!$C17)=0,LEN('A créer'!$E17&gt;0)),"","TAB")</f>
        <v/>
      </c>
      <c r="N17" s="2" t="str">
        <f>IF(AND(LEN('A créer'!$C17)=0,LEN('A créer'!$E17&gt;0)),"","*SAVE")</f>
        <v/>
      </c>
      <c r="O17" s="2" t="str">
        <f>IF(AND(LEN('A créer'!$C17)=0,LEN('A créer'!$E17&gt;0)),"","*ML(237,126)")</f>
        <v/>
      </c>
      <c r="P17" s="2" t="str">
        <f>IF(OR(LEN('A créer'!$C17)=0,'A créer'!$E17="Oui"),"","*FN")</f>
        <v/>
      </c>
      <c r="Q17" s="6" t="str">
        <f>IF(OR(LEN('A créer'!$C17)=0,'A créer'!$E17="Oui"),"",'A créer'!A17)</f>
        <v/>
      </c>
      <c r="R17" s="2" t="str">
        <f>IF(OR(LEN('A créer'!$C17)=0,'A créer'!$E17="Oui"),"","TAB")</f>
        <v/>
      </c>
      <c r="S17" s="6" t="str">
        <f>IF(OR(LEN('A créer'!$C17)=0,'A créer'!$E17="Oui"),"","Setup Business Group")</f>
        <v/>
      </c>
      <c r="T17" s="2" t="str">
        <f>IF(OR(LEN('A créer'!$C17)=0,'A créer'!$E17="Oui"),"","TAB 4")</f>
        <v/>
      </c>
      <c r="U17" s="2" t="str">
        <f>IF(OR(LEN('A créer'!$C17)=0,'A créer'!$E17="Oui"),"","TAB 4")</f>
        <v/>
      </c>
      <c r="V17" s="2" t="str">
        <f>IF(OR(LEN('A créer'!$C17)=0,'A créer'!$E17="Oui"),"","TAB")</f>
        <v/>
      </c>
      <c r="W17" s="2" t="str">
        <f>IF(OR(LEN('A créer'!$C17)=0,'A créer'!$E17="Oui"),"","TAB")</f>
        <v/>
      </c>
      <c r="X17" s="2" t="str">
        <f>IF(OR(LEN('A créer'!$C17)=0,'A créer'!$E17="Oui"),"","TAB")</f>
        <v/>
      </c>
      <c r="Y17" s="6" t="str">
        <f>IF(OR(LEN('A créer'!$C17)=0,'A créer'!$E17="Oui"),"","\Sécuriser les organisations par hiérarchie")</f>
        <v/>
      </c>
      <c r="Z17" s="2" t="str">
        <f>IF(OR(LEN('A créer'!$C17)=0,'A créer'!$E17="Oui"),"","TAB 4")</f>
        <v/>
      </c>
      <c r="AA17" s="6" t="str">
        <f>IF(OR(LEN('A créer'!$C17)=0,'A créer'!$E17="Oui"),"",CONCATENATE('A créer'!B17,'A créer'!A17))</f>
        <v/>
      </c>
      <c r="AB17" s="2" t="str">
        <f>IF(OR(LEN('A créer'!$C17)=0,'A créer'!$E17="Oui"),"","TAB")</f>
        <v/>
      </c>
      <c r="AC17" s="2" t="str">
        <f>IF(OR(LEN('A créer'!$C17)=0,'A créer'!$E17="Oui"),"","*SAVE")</f>
        <v/>
      </c>
      <c r="AD17" s="2" t="str">
        <f>IF(OR(LEN('A créer'!$C17)=0,'A créer'!$E17="Oui"),"","*ML(237,126)")</f>
        <v/>
      </c>
    </row>
    <row r="18" spans="1:30" x14ac:dyDescent="0.35">
      <c r="A18" s="2" t="str">
        <f>IF(AND(LEN('A créer'!$C18)=0,LEN('A créer'!$E18&gt;0)),"","*FN")</f>
        <v/>
      </c>
      <c r="B18" s="6" t="str">
        <f>IF(AND(LEN('A créer'!$C18)=0,LEN('A créer'!$E18&gt;0)),"",CONCATENATE('A créer'!B18,'A créer'!A18))</f>
        <v/>
      </c>
      <c r="C18" s="2" t="str">
        <f>IF(AND(LEN('A créer'!$C18)=0,LEN('A créer'!$E18&gt;0)),"","TAB")</f>
        <v/>
      </c>
      <c r="D18" s="6" t="str">
        <f>IF(AND(LEN('A créer'!$C18)=0,LEN('A créer'!$E18&gt;0)),"","Setup Business Group")</f>
        <v/>
      </c>
      <c r="E18" s="2" t="str">
        <f>IF(AND(LEN('A créer'!$C18)=0,LEN('A créer'!$E18&gt;0)),"","TAB 4")</f>
        <v/>
      </c>
      <c r="F18" s="2" t="str">
        <f>IF(AND(LEN('A créer'!$C18)=0,LEN('A créer'!$E18&gt;0)),"","TAB 4")</f>
        <v/>
      </c>
      <c r="G18" s="2" t="str">
        <f>IF(AND(LEN('A créer'!$C18)=0,LEN('A créer'!$E18&gt;0)),"","TAB")</f>
        <v/>
      </c>
      <c r="H18" s="2" t="str">
        <f>IF(AND(LEN('A créer'!$C18)=0,LEN('A créer'!$E18&gt;0)),"","TAB")</f>
        <v/>
      </c>
      <c r="I18" s="2" t="str">
        <f>IF(AND(LEN('A créer'!$C18)=0,LEN('A créer'!$E18&gt;0)),"","TAB")</f>
        <v/>
      </c>
      <c r="J18" s="6" t="str">
        <f>IF(AND(LEN('A créer'!$C18)=0,LEN('A créer'!$E18&gt;0)),"","\Sécuriser les organisations par hiérarchie")</f>
        <v/>
      </c>
      <c r="K18" s="2" t="str">
        <f>IF(AND(LEN('A créer'!$C18)=0,LEN('A créer'!$E18&gt;0)),"","TAB 4")</f>
        <v/>
      </c>
      <c r="L18" s="6" t="str">
        <f>IF(AND(LEN('A créer'!$C18)=0,LEN('A créer'!$E18&gt;0)),"",CONCATENATE('A créer'!B18,'A créer'!A18))</f>
        <v/>
      </c>
      <c r="M18" s="2" t="str">
        <f>IF(AND(LEN('A créer'!$C18)=0,LEN('A créer'!$E18&gt;0)),"","TAB")</f>
        <v/>
      </c>
      <c r="N18" s="2" t="str">
        <f>IF(AND(LEN('A créer'!$C18)=0,LEN('A créer'!$E18&gt;0)),"","*SAVE")</f>
        <v/>
      </c>
      <c r="O18" s="2" t="str">
        <f>IF(AND(LEN('A créer'!$C18)=0,LEN('A créer'!$E18&gt;0)),"","*ML(237,126)")</f>
        <v/>
      </c>
      <c r="P18" s="2" t="str">
        <f>IF(OR(LEN('A créer'!$C18)=0,'A créer'!$E18="Oui"),"","*FN")</f>
        <v/>
      </c>
      <c r="Q18" s="6" t="str">
        <f>IF(OR(LEN('A créer'!$C18)=0,'A créer'!$E18="Oui"),"",'A créer'!A18)</f>
        <v/>
      </c>
      <c r="R18" s="2" t="str">
        <f>IF(OR(LEN('A créer'!$C18)=0,'A créer'!$E18="Oui"),"","TAB")</f>
        <v/>
      </c>
      <c r="S18" s="6" t="str">
        <f>IF(OR(LEN('A créer'!$C18)=0,'A créer'!$E18="Oui"),"","Setup Business Group")</f>
        <v/>
      </c>
      <c r="T18" s="2" t="str">
        <f>IF(OR(LEN('A créer'!$C18)=0,'A créer'!$E18="Oui"),"","TAB 4")</f>
        <v/>
      </c>
      <c r="U18" s="2" t="str">
        <f>IF(OR(LEN('A créer'!$C18)=0,'A créer'!$E18="Oui"),"","TAB 4")</f>
        <v/>
      </c>
      <c r="V18" s="2" t="str">
        <f>IF(OR(LEN('A créer'!$C18)=0,'A créer'!$E18="Oui"),"","TAB")</f>
        <v/>
      </c>
      <c r="W18" s="2" t="str">
        <f>IF(OR(LEN('A créer'!$C18)=0,'A créer'!$E18="Oui"),"","TAB")</f>
        <v/>
      </c>
      <c r="X18" s="2" t="str">
        <f>IF(OR(LEN('A créer'!$C18)=0,'A créer'!$E18="Oui"),"","TAB")</f>
        <v/>
      </c>
      <c r="Y18" s="6" t="str">
        <f>IF(OR(LEN('A créer'!$C18)=0,'A créer'!$E18="Oui"),"","\Sécuriser les organisations par hiérarchie")</f>
        <v/>
      </c>
      <c r="Z18" s="2" t="str">
        <f>IF(OR(LEN('A créer'!$C18)=0,'A créer'!$E18="Oui"),"","TAB 4")</f>
        <v/>
      </c>
      <c r="AA18" s="6" t="str">
        <f>IF(OR(LEN('A créer'!$C18)=0,'A créer'!$E18="Oui"),"",CONCATENATE('A créer'!B18,'A créer'!A18))</f>
        <v/>
      </c>
      <c r="AB18" s="2" t="str">
        <f>IF(OR(LEN('A créer'!$C18)=0,'A créer'!$E18="Oui"),"","TAB")</f>
        <v/>
      </c>
      <c r="AC18" s="2" t="str">
        <f>IF(OR(LEN('A créer'!$C18)=0,'A créer'!$E18="Oui"),"","*SAVE")</f>
        <v/>
      </c>
      <c r="AD18" s="2" t="str">
        <f>IF(OR(LEN('A créer'!$C18)=0,'A créer'!$E18="Oui"),"","*ML(237,126)")</f>
        <v/>
      </c>
    </row>
    <row r="19" spans="1:30" x14ac:dyDescent="0.35">
      <c r="A19" s="2" t="str">
        <f>IF(AND(LEN('A créer'!$C19)=0,LEN('A créer'!$E19&gt;0)),"","*FN")</f>
        <v/>
      </c>
      <c r="B19" s="6" t="str">
        <f>IF(AND(LEN('A créer'!$C19)=0,LEN('A créer'!$E19&gt;0)),"",CONCATENATE('A créer'!B19,'A créer'!A19))</f>
        <v/>
      </c>
      <c r="C19" s="2" t="str">
        <f>IF(AND(LEN('A créer'!$C19)=0,LEN('A créer'!$E19&gt;0)),"","TAB")</f>
        <v/>
      </c>
      <c r="D19" s="6" t="str">
        <f>IF(AND(LEN('A créer'!$C19)=0,LEN('A créer'!$E19&gt;0)),"","Setup Business Group")</f>
        <v/>
      </c>
      <c r="E19" s="2" t="str">
        <f>IF(AND(LEN('A créer'!$C19)=0,LEN('A créer'!$E19&gt;0)),"","TAB 4")</f>
        <v/>
      </c>
      <c r="F19" s="2" t="str">
        <f>IF(AND(LEN('A créer'!$C19)=0,LEN('A créer'!$E19&gt;0)),"","TAB 4")</f>
        <v/>
      </c>
      <c r="G19" s="2" t="str">
        <f>IF(AND(LEN('A créer'!$C19)=0,LEN('A créer'!$E19&gt;0)),"","TAB")</f>
        <v/>
      </c>
      <c r="H19" s="2" t="str">
        <f>IF(AND(LEN('A créer'!$C19)=0,LEN('A créer'!$E19&gt;0)),"","TAB")</f>
        <v/>
      </c>
      <c r="I19" s="2" t="str">
        <f>IF(AND(LEN('A créer'!$C19)=0,LEN('A créer'!$E19&gt;0)),"","TAB")</f>
        <v/>
      </c>
      <c r="J19" s="6" t="str">
        <f>IF(AND(LEN('A créer'!$C19)=0,LEN('A créer'!$E19&gt;0)),"","\Sécuriser les organisations par hiérarchie")</f>
        <v/>
      </c>
      <c r="K19" s="2" t="str">
        <f>IF(AND(LEN('A créer'!$C19)=0,LEN('A créer'!$E19&gt;0)),"","TAB 4")</f>
        <v/>
      </c>
      <c r="L19" s="6" t="str">
        <f>IF(AND(LEN('A créer'!$C19)=0,LEN('A créer'!$E19&gt;0)),"",CONCATENATE('A créer'!B19,'A créer'!A19))</f>
        <v/>
      </c>
      <c r="M19" s="2" t="str">
        <f>IF(AND(LEN('A créer'!$C19)=0,LEN('A créer'!$E19&gt;0)),"","TAB")</f>
        <v/>
      </c>
      <c r="N19" s="2" t="str">
        <f>IF(AND(LEN('A créer'!$C19)=0,LEN('A créer'!$E19&gt;0)),"","*SAVE")</f>
        <v/>
      </c>
      <c r="O19" s="2" t="str">
        <f>IF(AND(LEN('A créer'!$C19)=0,LEN('A créer'!$E19&gt;0)),"","*ML(237,126)")</f>
        <v/>
      </c>
      <c r="P19" s="2" t="str">
        <f>IF(OR(LEN('A créer'!$C19)=0,'A créer'!$E19="Oui"),"","*FN")</f>
        <v/>
      </c>
      <c r="Q19" s="6" t="str">
        <f>IF(OR(LEN('A créer'!$C19)=0,'A créer'!$E19="Oui"),"",'A créer'!A19)</f>
        <v/>
      </c>
      <c r="R19" s="2" t="str">
        <f>IF(OR(LEN('A créer'!$C19)=0,'A créer'!$E19="Oui"),"","TAB")</f>
        <v/>
      </c>
      <c r="S19" s="6" t="str">
        <f>IF(OR(LEN('A créer'!$C19)=0,'A créer'!$E19="Oui"),"","Setup Business Group")</f>
        <v/>
      </c>
      <c r="T19" s="2" t="str">
        <f>IF(OR(LEN('A créer'!$C19)=0,'A créer'!$E19="Oui"),"","TAB 4")</f>
        <v/>
      </c>
      <c r="U19" s="2" t="str">
        <f>IF(OR(LEN('A créer'!$C19)=0,'A créer'!$E19="Oui"),"","TAB 4")</f>
        <v/>
      </c>
      <c r="V19" s="2" t="str">
        <f>IF(OR(LEN('A créer'!$C19)=0,'A créer'!$E19="Oui"),"","TAB")</f>
        <v/>
      </c>
      <c r="W19" s="2" t="str">
        <f>IF(OR(LEN('A créer'!$C19)=0,'A créer'!$E19="Oui"),"","TAB")</f>
        <v/>
      </c>
      <c r="X19" s="2" t="str">
        <f>IF(OR(LEN('A créer'!$C19)=0,'A créer'!$E19="Oui"),"","TAB")</f>
        <v/>
      </c>
      <c r="Y19" s="6" t="str">
        <f>IF(OR(LEN('A créer'!$C19)=0,'A créer'!$E19="Oui"),"","\Sécuriser les organisations par hiérarchie")</f>
        <v/>
      </c>
      <c r="Z19" s="2" t="str">
        <f>IF(OR(LEN('A créer'!$C19)=0,'A créer'!$E19="Oui"),"","TAB 4")</f>
        <v/>
      </c>
      <c r="AA19" s="6" t="str">
        <f>IF(OR(LEN('A créer'!$C19)=0,'A créer'!$E19="Oui"),"",CONCATENATE('A créer'!B19,'A créer'!A19))</f>
        <v/>
      </c>
      <c r="AB19" s="2" t="str">
        <f>IF(OR(LEN('A créer'!$C19)=0,'A créer'!$E19="Oui"),"","TAB")</f>
        <v/>
      </c>
      <c r="AC19" s="2" t="str">
        <f>IF(OR(LEN('A créer'!$C19)=0,'A créer'!$E19="Oui"),"","*SAVE")</f>
        <v/>
      </c>
      <c r="AD19" s="2" t="str">
        <f>IF(OR(LEN('A créer'!$C19)=0,'A créer'!$E19="Oui"),"","*ML(237,126)")</f>
        <v/>
      </c>
    </row>
    <row r="20" spans="1:30" x14ac:dyDescent="0.35">
      <c r="A20" s="2" t="str">
        <f>IF(AND(LEN('A créer'!$C20)=0,LEN('A créer'!$E20&gt;0)),"","*FN")</f>
        <v/>
      </c>
      <c r="B20" s="6" t="str">
        <f>IF(AND(LEN('A créer'!$C20)=0,LEN('A créer'!$E20&gt;0)),"",CONCATENATE('A créer'!B20,'A créer'!A20))</f>
        <v/>
      </c>
      <c r="C20" s="2" t="str">
        <f>IF(AND(LEN('A créer'!$C20)=0,LEN('A créer'!$E20&gt;0)),"","TAB")</f>
        <v/>
      </c>
      <c r="D20" s="6" t="str">
        <f>IF(AND(LEN('A créer'!$C20)=0,LEN('A créer'!$E20&gt;0)),"","Setup Business Group")</f>
        <v/>
      </c>
      <c r="E20" s="2" t="str">
        <f>IF(AND(LEN('A créer'!$C20)=0,LEN('A créer'!$E20&gt;0)),"","TAB 4")</f>
        <v/>
      </c>
      <c r="F20" s="2" t="str">
        <f>IF(AND(LEN('A créer'!$C20)=0,LEN('A créer'!$E20&gt;0)),"","TAB 4")</f>
        <v/>
      </c>
      <c r="G20" s="2" t="str">
        <f>IF(AND(LEN('A créer'!$C20)=0,LEN('A créer'!$E20&gt;0)),"","TAB")</f>
        <v/>
      </c>
      <c r="H20" s="2" t="str">
        <f>IF(AND(LEN('A créer'!$C20)=0,LEN('A créer'!$E20&gt;0)),"","TAB")</f>
        <v/>
      </c>
      <c r="I20" s="2" t="str">
        <f>IF(AND(LEN('A créer'!$C20)=0,LEN('A créer'!$E20&gt;0)),"","TAB")</f>
        <v/>
      </c>
      <c r="J20" s="6" t="str">
        <f>IF(AND(LEN('A créer'!$C20)=0,LEN('A créer'!$E20&gt;0)),"","\Sécuriser les organisations par hiérarchie")</f>
        <v/>
      </c>
      <c r="K20" s="2" t="str">
        <f>IF(AND(LEN('A créer'!$C20)=0,LEN('A créer'!$E20&gt;0)),"","TAB 4")</f>
        <v/>
      </c>
      <c r="L20" s="6" t="str">
        <f>IF(AND(LEN('A créer'!$C20)=0,LEN('A créer'!$E20&gt;0)),"",CONCATENATE('A créer'!B20,'A créer'!A20))</f>
        <v/>
      </c>
      <c r="M20" s="2" t="str">
        <f>IF(AND(LEN('A créer'!$C20)=0,LEN('A créer'!$E20&gt;0)),"","TAB")</f>
        <v/>
      </c>
      <c r="N20" s="2" t="str">
        <f>IF(AND(LEN('A créer'!$C20)=0,LEN('A créer'!$E20&gt;0)),"","*SAVE")</f>
        <v/>
      </c>
      <c r="O20" s="2" t="str">
        <f>IF(AND(LEN('A créer'!$C20)=0,LEN('A créer'!$E20&gt;0)),"","*ML(237,126)")</f>
        <v/>
      </c>
      <c r="P20" s="2" t="str">
        <f>IF(OR(LEN('A créer'!$C20)=0,'A créer'!$E20="Oui"),"","*FN")</f>
        <v/>
      </c>
      <c r="Q20" s="6" t="str">
        <f>IF(OR(LEN('A créer'!$C20)=0,'A créer'!$E20="Oui"),"",'A créer'!A20)</f>
        <v/>
      </c>
      <c r="R20" s="2" t="str">
        <f>IF(OR(LEN('A créer'!$C20)=0,'A créer'!$E20="Oui"),"","TAB")</f>
        <v/>
      </c>
      <c r="S20" s="6" t="str">
        <f>IF(OR(LEN('A créer'!$C20)=0,'A créer'!$E20="Oui"),"","Setup Business Group")</f>
        <v/>
      </c>
      <c r="T20" s="2" t="str">
        <f>IF(OR(LEN('A créer'!$C20)=0,'A créer'!$E20="Oui"),"","TAB 4")</f>
        <v/>
      </c>
      <c r="U20" s="2" t="str">
        <f>IF(OR(LEN('A créer'!$C20)=0,'A créer'!$E20="Oui"),"","TAB 4")</f>
        <v/>
      </c>
      <c r="V20" s="2" t="str">
        <f>IF(OR(LEN('A créer'!$C20)=0,'A créer'!$E20="Oui"),"","TAB")</f>
        <v/>
      </c>
      <c r="W20" s="2" t="str">
        <f>IF(OR(LEN('A créer'!$C20)=0,'A créer'!$E20="Oui"),"","TAB")</f>
        <v/>
      </c>
      <c r="X20" s="2" t="str">
        <f>IF(OR(LEN('A créer'!$C20)=0,'A créer'!$E20="Oui"),"","TAB")</f>
        <v/>
      </c>
      <c r="Y20" s="6" t="str">
        <f>IF(OR(LEN('A créer'!$C20)=0,'A créer'!$E20="Oui"),"","\Sécuriser les organisations par hiérarchie")</f>
        <v/>
      </c>
      <c r="Z20" s="2" t="str">
        <f>IF(OR(LEN('A créer'!$C20)=0,'A créer'!$E20="Oui"),"","TAB 4")</f>
        <v/>
      </c>
      <c r="AA20" s="6" t="str">
        <f>IF(OR(LEN('A créer'!$C20)=0,'A créer'!$E20="Oui"),"",CONCATENATE('A créer'!B20,'A créer'!A20))</f>
        <v/>
      </c>
      <c r="AB20" s="2" t="str">
        <f>IF(OR(LEN('A créer'!$C20)=0,'A créer'!$E20="Oui"),"","TAB")</f>
        <v/>
      </c>
      <c r="AC20" s="2" t="str">
        <f>IF(OR(LEN('A créer'!$C20)=0,'A créer'!$E20="Oui"),"","*SAVE")</f>
        <v/>
      </c>
      <c r="AD20" s="2" t="str">
        <f>IF(OR(LEN('A créer'!$C20)=0,'A créer'!$E20="Oui"),"","*ML(237,126)")</f>
        <v/>
      </c>
    </row>
    <row r="21" spans="1:30" x14ac:dyDescent="0.35">
      <c r="A21" s="2" t="str">
        <f>IF(AND(LEN('A créer'!$C21)=0,LEN('A créer'!$E21&gt;0)),"","*FN")</f>
        <v/>
      </c>
      <c r="B21" s="6" t="str">
        <f>IF(AND(LEN('A créer'!$C21)=0,LEN('A créer'!$E21&gt;0)),"",CONCATENATE('A créer'!B21,'A créer'!A21))</f>
        <v/>
      </c>
      <c r="C21" s="2" t="str">
        <f>IF(AND(LEN('A créer'!$C21)=0,LEN('A créer'!$E21&gt;0)),"","TAB")</f>
        <v/>
      </c>
      <c r="D21" s="6" t="str">
        <f>IF(AND(LEN('A créer'!$C21)=0,LEN('A créer'!$E21&gt;0)),"","Setup Business Group")</f>
        <v/>
      </c>
      <c r="E21" s="2" t="str">
        <f>IF(AND(LEN('A créer'!$C21)=0,LEN('A créer'!$E21&gt;0)),"","TAB 4")</f>
        <v/>
      </c>
      <c r="F21" s="2" t="str">
        <f>IF(AND(LEN('A créer'!$C21)=0,LEN('A créer'!$E21&gt;0)),"","TAB 4")</f>
        <v/>
      </c>
      <c r="G21" s="2" t="str">
        <f>IF(AND(LEN('A créer'!$C21)=0,LEN('A créer'!$E21&gt;0)),"","TAB")</f>
        <v/>
      </c>
      <c r="H21" s="2" t="str">
        <f>IF(AND(LEN('A créer'!$C21)=0,LEN('A créer'!$E21&gt;0)),"","TAB")</f>
        <v/>
      </c>
      <c r="I21" s="2" t="str">
        <f>IF(AND(LEN('A créer'!$C21)=0,LEN('A créer'!$E21&gt;0)),"","TAB")</f>
        <v/>
      </c>
      <c r="J21" s="6" t="str">
        <f>IF(AND(LEN('A créer'!$C21)=0,LEN('A créer'!$E21&gt;0)),"","\Sécuriser les organisations par hiérarchie")</f>
        <v/>
      </c>
      <c r="K21" s="2" t="str">
        <f>IF(AND(LEN('A créer'!$C21)=0,LEN('A créer'!$E21&gt;0)),"","TAB 4")</f>
        <v/>
      </c>
      <c r="L21" s="6" t="str">
        <f>IF(AND(LEN('A créer'!$C21)=0,LEN('A créer'!$E21&gt;0)),"",CONCATENATE('A créer'!B21,'A créer'!A21))</f>
        <v/>
      </c>
      <c r="M21" s="2" t="str">
        <f>IF(AND(LEN('A créer'!$C21)=0,LEN('A créer'!$E21&gt;0)),"","TAB")</f>
        <v/>
      </c>
      <c r="N21" s="2" t="str">
        <f>IF(AND(LEN('A créer'!$C21)=0,LEN('A créer'!$E21&gt;0)),"","*SAVE")</f>
        <v/>
      </c>
      <c r="O21" s="2" t="str">
        <f>IF(AND(LEN('A créer'!$C21)=0,LEN('A créer'!$E21&gt;0)),"","*ML(237,126)")</f>
        <v/>
      </c>
      <c r="P21" s="2" t="str">
        <f>IF(OR(LEN('A créer'!$C21)=0,'A créer'!$E21="Oui"),"","*FN")</f>
        <v/>
      </c>
      <c r="Q21" s="6" t="str">
        <f>IF(OR(LEN('A créer'!$C21)=0,'A créer'!$E21="Oui"),"",'A créer'!A21)</f>
        <v/>
      </c>
      <c r="R21" s="2" t="str">
        <f>IF(OR(LEN('A créer'!$C21)=0,'A créer'!$E21="Oui"),"","TAB")</f>
        <v/>
      </c>
      <c r="S21" s="6" t="str">
        <f>IF(OR(LEN('A créer'!$C21)=0,'A créer'!$E21="Oui"),"","Setup Business Group")</f>
        <v/>
      </c>
      <c r="T21" s="2" t="str">
        <f>IF(OR(LEN('A créer'!$C21)=0,'A créer'!$E21="Oui"),"","TAB 4")</f>
        <v/>
      </c>
      <c r="U21" s="2" t="str">
        <f>IF(OR(LEN('A créer'!$C21)=0,'A créer'!$E21="Oui"),"","TAB 4")</f>
        <v/>
      </c>
      <c r="V21" s="2" t="str">
        <f>IF(OR(LEN('A créer'!$C21)=0,'A créer'!$E21="Oui"),"","TAB")</f>
        <v/>
      </c>
      <c r="W21" s="2" t="str">
        <f>IF(OR(LEN('A créer'!$C21)=0,'A créer'!$E21="Oui"),"","TAB")</f>
        <v/>
      </c>
      <c r="X21" s="2" t="str">
        <f>IF(OR(LEN('A créer'!$C21)=0,'A créer'!$E21="Oui"),"","TAB")</f>
        <v/>
      </c>
      <c r="Y21" s="6" t="str">
        <f>IF(OR(LEN('A créer'!$C21)=0,'A créer'!$E21="Oui"),"","\Sécuriser les organisations par hiérarchie")</f>
        <v/>
      </c>
      <c r="Z21" s="2" t="str">
        <f>IF(OR(LEN('A créer'!$C21)=0,'A créer'!$E21="Oui"),"","TAB 4")</f>
        <v/>
      </c>
      <c r="AA21" s="6" t="str">
        <f>IF(OR(LEN('A créer'!$C21)=0,'A créer'!$E21="Oui"),"",CONCATENATE('A créer'!B21,'A créer'!A21))</f>
        <v/>
      </c>
      <c r="AB21" s="2" t="str">
        <f>IF(OR(LEN('A créer'!$C21)=0,'A créer'!$E21="Oui"),"","TAB")</f>
        <v/>
      </c>
      <c r="AC21" s="2" t="str">
        <f>IF(OR(LEN('A créer'!$C21)=0,'A créer'!$E21="Oui"),"","*SAVE")</f>
        <v/>
      </c>
      <c r="AD21" s="2" t="str">
        <f>IF(OR(LEN('A créer'!$C21)=0,'A créer'!$E21="Oui"),"","*ML(237,126)")</f>
        <v/>
      </c>
    </row>
    <row r="22" spans="1:30" x14ac:dyDescent="0.35">
      <c r="A22" s="2" t="str">
        <f>IF(AND(LEN('A créer'!$C22)=0,LEN('A créer'!$E22&gt;0)),"","*FN")</f>
        <v/>
      </c>
      <c r="B22" s="6" t="str">
        <f>IF(AND(LEN('A créer'!$C22)=0,LEN('A créer'!$E22&gt;0)),"",CONCATENATE('A créer'!B22,'A créer'!A22))</f>
        <v/>
      </c>
      <c r="C22" s="2" t="str">
        <f>IF(AND(LEN('A créer'!$C22)=0,LEN('A créer'!$E22&gt;0)),"","TAB")</f>
        <v/>
      </c>
      <c r="D22" s="6" t="str">
        <f>IF(AND(LEN('A créer'!$C22)=0,LEN('A créer'!$E22&gt;0)),"","Setup Business Group")</f>
        <v/>
      </c>
      <c r="E22" s="2" t="str">
        <f>IF(AND(LEN('A créer'!$C22)=0,LEN('A créer'!$E22&gt;0)),"","TAB 4")</f>
        <v/>
      </c>
      <c r="F22" s="2" t="str">
        <f>IF(AND(LEN('A créer'!$C22)=0,LEN('A créer'!$E22&gt;0)),"","TAB 4")</f>
        <v/>
      </c>
      <c r="G22" s="2" t="str">
        <f>IF(AND(LEN('A créer'!$C22)=0,LEN('A créer'!$E22&gt;0)),"","TAB")</f>
        <v/>
      </c>
      <c r="H22" s="2" t="str">
        <f>IF(AND(LEN('A créer'!$C22)=0,LEN('A créer'!$E22&gt;0)),"","TAB")</f>
        <v/>
      </c>
      <c r="I22" s="2" t="str">
        <f>IF(AND(LEN('A créer'!$C22)=0,LEN('A créer'!$E22&gt;0)),"","TAB")</f>
        <v/>
      </c>
      <c r="J22" s="6" t="str">
        <f>IF(AND(LEN('A créer'!$C22)=0,LEN('A créer'!$E22&gt;0)),"","\Sécuriser les organisations par hiérarchie")</f>
        <v/>
      </c>
      <c r="K22" s="2" t="str">
        <f>IF(AND(LEN('A créer'!$C22)=0,LEN('A créer'!$E22&gt;0)),"","TAB 4")</f>
        <v/>
      </c>
      <c r="L22" s="6" t="str">
        <f>IF(AND(LEN('A créer'!$C22)=0,LEN('A créer'!$E22&gt;0)),"",CONCATENATE('A créer'!B22,'A créer'!A22))</f>
        <v/>
      </c>
      <c r="M22" s="2" t="str">
        <f>IF(AND(LEN('A créer'!$C22)=0,LEN('A créer'!$E22&gt;0)),"","TAB")</f>
        <v/>
      </c>
      <c r="N22" s="2" t="str">
        <f>IF(AND(LEN('A créer'!$C22)=0,LEN('A créer'!$E22&gt;0)),"","*SAVE")</f>
        <v/>
      </c>
      <c r="O22" s="2" t="str">
        <f>IF(AND(LEN('A créer'!$C22)=0,LEN('A créer'!$E22&gt;0)),"","*ML(237,126)")</f>
        <v/>
      </c>
      <c r="P22" s="2" t="str">
        <f>IF(OR(LEN('A créer'!$C22)=0,'A créer'!$E22="Oui"),"","*FN")</f>
        <v/>
      </c>
      <c r="Q22" s="6" t="str">
        <f>IF(OR(LEN('A créer'!$C22)=0,'A créer'!$E22="Oui"),"",'A créer'!A22)</f>
        <v/>
      </c>
      <c r="R22" s="2" t="str">
        <f>IF(OR(LEN('A créer'!$C22)=0,'A créer'!$E22="Oui"),"","TAB")</f>
        <v/>
      </c>
      <c r="S22" s="6" t="str">
        <f>IF(OR(LEN('A créer'!$C22)=0,'A créer'!$E22="Oui"),"","Setup Business Group")</f>
        <v/>
      </c>
      <c r="T22" s="2" t="str">
        <f>IF(OR(LEN('A créer'!$C22)=0,'A créer'!$E22="Oui"),"","TAB 4")</f>
        <v/>
      </c>
      <c r="U22" s="2" t="str">
        <f>IF(OR(LEN('A créer'!$C22)=0,'A créer'!$E22="Oui"),"","TAB 4")</f>
        <v/>
      </c>
      <c r="V22" s="2" t="str">
        <f>IF(OR(LEN('A créer'!$C22)=0,'A créer'!$E22="Oui"),"","TAB")</f>
        <v/>
      </c>
      <c r="W22" s="2" t="str">
        <f>IF(OR(LEN('A créer'!$C22)=0,'A créer'!$E22="Oui"),"","TAB")</f>
        <v/>
      </c>
      <c r="X22" s="2" t="str">
        <f>IF(OR(LEN('A créer'!$C22)=0,'A créer'!$E22="Oui"),"","TAB")</f>
        <v/>
      </c>
      <c r="Y22" s="6" t="str">
        <f>IF(OR(LEN('A créer'!$C22)=0,'A créer'!$E22="Oui"),"","\Sécuriser les organisations par hiérarchie")</f>
        <v/>
      </c>
      <c r="Z22" s="2" t="str">
        <f>IF(OR(LEN('A créer'!$C22)=0,'A créer'!$E22="Oui"),"","TAB 4")</f>
        <v/>
      </c>
      <c r="AA22" s="6" t="str">
        <f>IF(OR(LEN('A créer'!$C22)=0,'A créer'!$E22="Oui"),"",CONCATENATE('A créer'!B22,'A créer'!A22))</f>
        <v/>
      </c>
      <c r="AB22" s="2" t="str">
        <f>IF(OR(LEN('A créer'!$C22)=0,'A créer'!$E22="Oui"),"","TAB")</f>
        <v/>
      </c>
      <c r="AC22" s="2" t="str">
        <f>IF(OR(LEN('A créer'!$C22)=0,'A créer'!$E22="Oui"),"","*SAVE")</f>
        <v/>
      </c>
      <c r="AD22" s="2" t="str">
        <f>IF(OR(LEN('A créer'!$C22)=0,'A créer'!$E22="Oui"),"","*ML(237,126)")</f>
        <v/>
      </c>
    </row>
    <row r="23" spans="1:30" x14ac:dyDescent="0.35">
      <c r="A23" s="2" t="str">
        <f>IF(AND(LEN('A créer'!$C23)=0,LEN('A créer'!$E23&gt;0)),"","*FN")</f>
        <v/>
      </c>
      <c r="B23" s="6" t="str">
        <f>IF(AND(LEN('A créer'!$C23)=0,LEN('A créer'!$E23&gt;0)),"",CONCATENATE('A créer'!B23,'A créer'!A23))</f>
        <v/>
      </c>
      <c r="C23" s="2" t="str">
        <f>IF(AND(LEN('A créer'!$C23)=0,LEN('A créer'!$E23&gt;0)),"","TAB")</f>
        <v/>
      </c>
      <c r="D23" s="6" t="str">
        <f>IF(AND(LEN('A créer'!$C23)=0,LEN('A créer'!$E23&gt;0)),"","Setup Business Group")</f>
        <v/>
      </c>
      <c r="E23" s="2" t="str">
        <f>IF(AND(LEN('A créer'!$C23)=0,LEN('A créer'!$E23&gt;0)),"","TAB 4")</f>
        <v/>
      </c>
      <c r="F23" s="2" t="str">
        <f>IF(AND(LEN('A créer'!$C23)=0,LEN('A créer'!$E23&gt;0)),"","TAB 4")</f>
        <v/>
      </c>
      <c r="G23" s="2" t="str">
        <f>IF(AND(LEN('A créer'!$C23)=0,LEN('A créer'!$E23&gt;0)),"","TAB")</f>
        <v/>
      </c>
      <c r="H23" s="2" t="str">
        <f>IF(AND(LEN('A créer'!$C23)=0,LEN('A créer'!$E23&gt;0)),"","TAB")</f>
        <v/>
      </c>
      <c r="I23" s="2" t="str">
        <f>IF(AND(LEN('A créer'!$C23)=0,LEN('A créer'!$E23&gt;0)),"","TAB")</f>
        <v/>
      </c>
      <c r="J23" s="6" t="str">
        <f>IF(AND(LEN('A créer'!$C23)=0,LEN('A créer'!$E23&gt;0)),"","\Sécuriser les organisations par hiérarchie")</f>
        <v/>
      </c>
      <c r="K23" s="2" t="str">
        <f>IF(AND(LEN('A créer'!$C23)=0,LEN('A créer'!$E23&gt;0)),"","TAB 4")</f>
        <v/>
      </c>
      <c r="L23" s="6" t="str">
        <f>IF(AND(LEN('A créer'!$C23)=0,LEN('A créer'!$E23&gt;0)),"",CONCATENATE('A créer'!B23,'A créer'!A23))</f>
        <v/>
      </c>
      <c r="M23" s="2" t="str">
        <f>IF(AND(LEN('A créer'!$C23)=0,LEN('A créer'!$E23&gt;0)),"","TAB")</f>
        <v/>
      </c>
      <c r="N23" s="2" t="str">
        <f>IF(AND(LEN('A créer'!$C23)=0,LEN('A créer'!$E23&gt;0)),"","*SAVE")</f>
        <v/>
      </c>
      <c r="O23" s="2" t="str">
        <f>IF(AND(LEN('A créer'!$C23)=0,LEN('A créer'!$E23&gt;0)),"","*ML(237,126)")</f>
        <v/>
      </c>
      <c r="P23" s="2" t="str">
        <f>IF(OR(LEN('A créer'!$C23)=0,'A créer'!$E23="Oui"),"","*FN")</f>
        <v/>
      </c>
      <c r="Q23" s="6" t="str">
        <f>IF(OR(LEN('A créer'!$C23)=0,'A créer'!$E23="Oui"),"",'A créer'!A23)</f>
        <v/>
      </c>
      <c r="R23" s="2" t="str">
        <f>IF(OR(LEN('A créer'!$C23)=0,'A créer'!$E23="Oui"),"","TAB")</f>
        <v/>
      </c>
      <c r="S23" s="6" t="str">
        <f>IF(OR(LEN('A créer'!$C23)=0,'A créer'!$E23="Oui"),"","Setup Business Group")</f>
        <v/>
      </c>
      <c r="T23" s="2" t="str">
        <f>IF(OR(LEN('A créer'!$C23)=0,'A créer'!$E23="Oui"),"","TAB 4")</f>
        <v/>
      </c>
      <c r="U23" s="2" t="str">
        <f>IF(OR(LEN('A créer'!$C23)=0,'A créer'!$E23="Oui"),"","TAB 4")</f>
        <v/>
      </c>
      <c r="V23" s="2" t="str">
        <f>IF(OR(LEN('A créer'!$C23)=0,'A créer'!$E23="Oui"),"","TAB")</f>
        <v/>
      </c>
      <c r="W23" s="2" t="str">
        <f>IF(OR(LEN('A créer'!$C23)=0,'A créer'!$E23="Oui"),"","TAB")</f>
        <v/>
      </c>
      <c r="X23" s="2" t="str">
        <f>IF(OR(LEN('A créer'!$C23)=0,'A créer'!$E23="Oui"),"","TAB")</f>
        <v/>
      </c>
      <c r="Y23" s="6" t="str">
        <f>IF(OR(LEN('A créer'!$C23)=0,'A créer'!$E23="Oui"),"","\Sécuriser les organisations par hiérarchie")</f>
        <v/>
      </c>
      <c r="Z23" s="2" t="str">
        <f>IF(OR(LEN('A créer'!$C23)=0,'A créer'!$E23="Oui"),"","TAB 4")</f>
        <v/>
      </c>
      <c r="AA23" s="6" t="str">
        <f>IF(OR(LEN('A créer'!$C23)=0,'A créer'!$E23="Oui"),"",CONCATENATE('A créer'!B23,'A créer'!A23))</f>
        <v/>
      </c>
      <c r="AB23" s="2" t="str">
        <f>IF(OR(LEN('A créer'!$C23)=0,'A créer'!$E23="Oui"),"","TAB")</f>
        <v/>
      </c>
      <c r="AC23" s="2" t="str">
        <f>IF(OR(LEN('A créer'!$C23)=0,'A créer'!$E23="Oui"),"","*SAVE")</f>
        <v/>
      </c>
      <c r="AD23" s="2" t="str">
        <f>IF(OR(LEN('A créer'!$C23)=0,'A créer'!$E23="Oui"),"","*ML(237,126)")</f>
        <v/>
      </c>
    </row>
    <row r="24" spans="1:30" x14ac:dyDescent="0.35">
      <c r="A24" s="2" t="str">
        <f>IF(AND(LEN('A créer'!$C24)=0,LEN('A créer'!$E24&gt;0)),"","*FN")</f>
        <v/>
      </c>
      <c r="B24" s="6" t="str">
        <f>IF(AND(LEN('A créer'!$C24)=0,LEN('A créer'!$E24&gt;0)),"",CONCATENATE('A créer'!B24,'A créer'!A24))</f>
        <v/>
      </c>
      <c r="C24" s="2" t="str">
        <f>IF(AND(LEN('A créer'!$C24)=0,LEN('A créer'!$E24&gt;0)),"","TAB")</f>
        <v/>
      </c>
      <c r="D24" s="6" t="str">
        <f>IF(AND(LEN('A créer'!$C24)=0,LEN('A créer'!$E24&gt;0)),"","Setup Business Group")</f>
        <v/>
      </c>
      <c r="E24" s="2" t="str">
        <f>IF(AND(LEN('A créer'!$C24)=0,LEN('A créer'!$E24&gt;0)),"","TAB 4")</f>
        <v/>
      </c>
      <c r="F24" s="2" t="str">
        <f>IF(AND(LEN('A créer'!$C24)=0,LEN('A créer'!$E24&gt;0)),"","TAB 4")</f>
        <v/>
      </c>
      <c r="G24" s="2" t="str">
        <f>IF(AND(LEN('A créer'!$C24)=0,LEN('A créer'!$E24&gt;0)),"","TAB")</f>
        <v/>
      </c>
      <c r="H24" s="2" t="str">
        <f>IF(AND(LEN('A créer'!$C24)=0,LEN('A créer'!$E24&gt;0)),"","TAB")</f>
        <v/>
      </c>
      <c r="I24" s="2" t="str">
        <f>IF(AND(LEN('A créer'!$C24)=0,LEN('A créer'!$E24&gt;0)),"","TAB")</f>
        <v/>
      </c>
      <c r="J24" s="6" t="str">
        <f>IF(AND(LEN('A créer'!$C24)=0,LEN('A créer'!$E24&gt;0)),"","\Sécuriser les organisations par hiérarchie")</f>
        <v/>
      </c>
      <c r="K24" s="2" t="str">
        <f>IF(AND(LEN('A créer'!$C24)=0,LEN('A créer'!$E24&gt;0)),"","TAB 4")</f>
        <v/>
      </c>
      <c r="L24" s="6" t="str">
        <f>IF(AND(LEN('A créer'!$C24)=0,LEN('A créer'!$E24&gt;0)),"",CONCATENATE('A créer'!B24,'A créer'!A24))</f>
        <v/>
      </c>
      <c r="M24" s="2" t="str">
        <f>IF(AND(LEN('A créer'!$C24)=0,LEN('A créer'!$E24&gt;0)),"","TAB")</f>
        <v/>
      </c>
      <c r="N24" s="2" t="str">
        <f>IF(AND(LEN('A créer'!$C24)=0,LEN('A créer'!$E24&gt;0)),"","*SAVE")</f>
        <v/>
      </c>
      <c r="O24" s="2" t="str">
        <f>IF(AND(LEN('A créer'!$C24)=0,LEN('A créer'!$E24&gt;0)),"","*ML(237,126)")</f>
        <v/>
      </c>
      <c r="P24" s="2" t="str">
        <f>IF(OR(LEN('A créer'!$C24)=0,'A créer'!$E24="Oui"),"","*FN")</f>
        <v/>
      </c>
      <c r="Q24" s="6" t="str">
        <f>IF(OR(LEN('A créer'!$C24)=0,'A créer'!$E24="Oui"),"",'A créer'!A24)</f>
        <v/>
      </c>
      <c r="R24" s="2" t="str">
        <f>IF(OR(LEN('A créer'!$C24)=0,'A créer'!$E24="Oui"),"","TAB")</f>
        <v/>
      </c>
      <c r="S24" s="6" t="str">
        <f>IF(OR(LEN('A créer'!$C24)=0,'A créer'!$E24="Oui"),"","Setup Business Group")</f>
        <v/>
      </c>
      <c r="T24" s="2" t="str">
        <f>IF(OR(LEN('A créer'!$C24)=0,'A créer'!$E24="Oui"),"","TAB 4")</f>
        <v/>
      </c>
      <c r="U24" s="2" t="str">
        <f>IF(OR(LEN('A créer'!$C24)=0,'A créer'!$E24="Oui"),"","TAB 4")</f>
        <v/>
      </c>
      <c r="V24" s="2" t="str">
        <f>IF(OR(LEN('A créer'!$C24)=0,'A créer'!$E24="Oui"),"","TAB")</f>
        <v/>
      </c>
      <c r="W24" s="2" t="str">
        <f>IF(OR(LEN('A créer'!$C24)=0,'A créer'!$E24="Oui"),"","TAB")</f>
        <v/>
      </c>
      <c r="X24" s="2" t="str">
        <f>IF(OR(LEN('A créer'!$C24)=0,'A créer'!$E24="Oui"),"","TAB")</f>
        <v/>
      </c>
      <c r="Y24" s="6" t="str">
        <f>IF(OR(LEN('A créer'!$C24)=0,'A créer'!$E24="Oui"),"","\Sécuriser les organisations par hiérarchie")</f>
        <v/>
      </c>
      <c r="Z24" s="2" t="str">
        <f>IF(OR(LEN('A créer'!$C24)=0,'A créer'!$E24="Oui"),"","TAB 4")</f>
        <v/>
      </c>
      <c r="AA24" s="6" t="str">
        <f>IF(OR(LEN('A créer'!$C24)=0,'A créer'!$E24="Oui"),"",CONCATENATE('A créer'!B24,'A créer'!A24))</f>
        <v/>
      </c>
      <c r="AB24" s="2" t="str">
        <f>IF(OR(LEN('A créer'!$C24)=0,'A créer'!$E24="Oui"),"","TAB")</f>
        <v/>
      </c>
      <c r="AC24" s="2" t="str">
        <f>IF(OR(LEN('A créer'!$C24)=0,'A créer'!$E24="Oui"),"","*SAVE")</f>
        <v/>
      </c>
      <c r="AD24" s="2" t="str">
        <f>IF(OR(LEN('A créer'!$C24)=0,'A créer'!$E24="Oui"),"","*ML(237,126)")</f>
        <v/>
      </c>
    </row>
    <row r="25" spans="1:30" x14ac:dyDescent="0.35">
      <c r="A25" s="2" t="str">
        <f>IF(AND(LEN('A créer'!$C25)=0,LEN('A créer'!$E25&gt;0)),"","*FN")</f>
        <v/>
      </c>
      <c r="B25" s="6" t="str">
        <f>IF(AND(LEN('A créer'!$C25)=0,LEN('A créer'!$E25&gt;0)),"",CONCATENATE('A créer'!B25,'A créer'!A25))</f>
        <v/>
      </c>
      <c r="C25" s="2" t="str">
        <f>IF(AND(LEN('A créer'!$C25)=0,LEN('A créer'!$E25&gt;0)),"","TAB")</f>
        <v/>
      </c>
      <c r="D25" s="6" t="str">
        <f>IF(AND(LEN('A créer'!$C25)=0,LEN('A créer'!$E25&gt;0)),"","Setup Business Group")</f>
        <v/>
      </c>
      <c r="E25" s="2" t="str">
        <f>IF(AND(LEN('A créer'!$C25)=0,LEN('A créer'!$E25&gt;0)),"","TAB 4")</f>
        <v/>
      </c>
      <c r="F25" s="2" t="str">
        <f>IF(AND(LEN('A créer'!$C25)=0,LEN('A créer'!$E25&gt;0)),"","TAB 4")</f>
        <v/>
      </c>
      <c r="G25" s="2" t="str">
        <f>IF(AND(LEN('A créer'!$C25)=0,LEN('A créer'!$E25&gt;0)),"","TAB")</f>
        <v/>
      </c>
      <c r="H25" s="2" t="str">
        <f>IF(AND(LEN('A créer'!$C25)=0,LEN('A créer'!$E25&gt;0)),"","TAB")</f>
        <v/>
      </c>
      <c r="I25" s="2" t="str">
        <f>IF(AND(LEN('A créer'!$C25)=0,LEN('A créer'!$E25&gt;0)),"","TAB")</f>
        <v/>
      </c>
      <c r="J25" s="6" t="str">
        <f>IF(AND(LEN('A créer'!$C25)=0,LEN('A créer'!$E25&gt;0)),"","\Sécuriser les organisations par hiérarchie")</f>
        <v/>
      </c>
      <c r="K25" s="2" t="str">
        <f>IF(AND(LEN('A créer'!$C25)=0,LEN('A créer'!$E25&gt;0)),"","TAB 4")</f>
        <v/>
      </c>
      <c r="L25" s="6" t="str">
        <f>IF(AND(LEN('A créer'!$C25)=0,LEN('A créer'!$E25&gt;0)),"",CONCATENATE('A créer'!B25,'A créer'!A25))</f>
        <v/>
      </c>
      <c r="M25" s="2" t="str">
        <f>IF(AND(LEN('A créer'!$C25)=0,LEN('A créer'!$E25&gt;0)),"","TAB")</f>
        <v/>
      </c>
      <c r="N25" s="2" t="str">
        <f>IF(AND(LEN('A créer'!$C25)=0,LEN('A créer'!$E25&gt;0)),"","*SAVE")</f>
        <v/>
      </c>
      <c r="O25" s="2" t="str">
        <f>IF(AND(LEN('A créer'!$C25)=0,LEN('A créer'!$E25&gt;0)),"","*ML(237,126)")</f>
        <v/>
      </c>
      <c r="P25" s="2" t="str">
        <f>IF(OR(LEN('A créer'!$C25)=0,'A créer'!$E25="Oui"),"","*FN")</f>
        <v/>
      </c>
      <c r="Q25" s="6" t="str">
        <f>IF(OR(LEN('A créer'!$C25)=0,'A créer'!$E25="Oui"),"",'A créer'!A25)</f>
        <v/>
      </c>
      <c r="R25" s="2" t="str">
        <f>IF(OR(LEN('A créer'!$C25)=0,'A créer'!$E25="Oui"),"","TAB")</f>
        <v/>
      </c>
      <c r="S25" s="6" t="str">
        <f>IF(OR(LEN('A créer'!$C25)=0,'A créer'!$E25="Oui"),"","Setup Business Group")</f>
        <v/>
      </c>
      <c r="T25" s="2" t="str">
        <f>IF(OR(LEN('A créer'!$C25)=0,'A créer'!$E25="Oui"),"","TAB 4")</f>
        <v/>
      </c>
      <c r="U25" s="2" t="str">
        <f>IF(OR(LEN('A créer'!$C25)=0,'A créer'!$E25="Oui"),"","TAB 4")</f>
        <v/>
      </c>
      <c r="V25" s="2" t="str">
        <f>IF(OR(LEN('A créer'!$C25)=0,'A créer'!$E25="Oui"),"","TAB")</f>
        <v/>
      </c>
      <c r="W25" s="2" t="str">
        <f>IF(OR(LEN('A créer'!$C25)=0,'A créer'!$E25="Oui"),"","TAB")</f>
        <v/>
      </c>
      <c r="X25" s="2" t="str">
        <f>IF(OR(LEN('A créer'!$C25)=0,'A créer'!$E25="Oui"),"","TAB")</f>
        <v/>
      </c>
      <c r="Y25" s="6" t="str">
        <f>IF(OR(LEN('A créer'!$C25)=0,'A créer'!$E25="Oui"),"","\Sécuriser les organisations par hiérarchie")</f>
        <v/>
      </c>
      <c r="Z25" s="2" t="str">
        <f>IF(OR(LEN('A créer'!$C25)=0,'A créer'!$E25="Oui"),"","TAB 4")</f>
        <v/>
      </c>
      <c r="AA25" s="6" t="str">
        <f>IF(OR(LEN('A créer'!$C25)=0,'A créer'!$E25="Oui"),"",CONCATENATE('A créer'!B25,'A créer'!A25))</f>
        <v/>
      </c>
      <c r="AB25" s="2" t="str">
        <f>IF(OR(LEN('A créer'!$C25)=0,'A créer'!$E25="Oui"),"","TAB")</f>
        <v/>
      </c>
      <c r="AC25" s="2" t="str">
        <f>IF(OR(LEN('A créer'!$C25)=0,'A créer'!$E25="Oui"),"","*SAVE")</f>
        <v/>
      </c>
      <c r="AD25" s="2" t="str">
        <f>IF(OR(LEN('A créer'!$C25)=0,'A créer'!$E25="Oui"),"","*ML(237,126)")</f>
        <v/>
      </c>
    </row>
    <row r="26" spans="1:30" x14ac:dyDescent="0.35">
      <c r="A26" s="2" t="str">
        <f>IF(AND(LEN('A créer'!$C26)=0,LEN('A créer'!$E26&gt;0)),"","*FN")</f>
        <v/>
      </c>
      <c r="B26" s="6" t="str">
        <f>IF(AND(LEN('A créer'!$C26)=0,LEN('A créer'!$E26&gt;0)),"",CONCATENATE('A créer'!B26,'A créer'!A26))</f>
        <v/>
      </c>
      <c r="C26" s="2" t="str">
        <f>IF(AND(LEN('A créer'!$C26)=0,LEN('A créer'!$E26&gt;0)),"","TAB")</f>
        <v/>
      </c>
      <c r="D26" s="6" t="str">
        <f>IF(AND(LEN('A créer'!$C26)=0,LEN('A créer'!$E26&gt;0)),"","Setup Business Group")</f>
        <v/>
      </c>
      <c r="E26" s="2" t="str">
        <f>IF(AND(LEN('A créer'!$C26)=0,LEN('A créer'!$E26&gt;0)),"","TAB 4")</f>
        <v/>
      </c>
      <c r="F26" s="2" t="str">
        <f>IF(AND(LEN('A créer'!$C26)=0,LEN('A créer'!$E26&gt;0)),"","TAB 4")</f>
        <v/>
      </c>
      <c r="G26" s="2" t="str">
        <f>IF(AND(LEN('A créer'!$C26)=0,LEN('A créer'!$E26&gt;0)),"","TAB")</f>
        <v/>
      </c>
      <c r="H26" s="2" t="str">
        <f>IF(AND(LEN('A créer'!$C26)=0,LEN('A créer'!$E26&gt;0)),"","TAB")</f>
        <v/>
      </c>
      <c r="I26" s="2" t="str">
        <f>IF(AND(LEN('A créer'!$C26)=0,LEN('A créer'!$E26&gt;0)),"","TAB")</f>
        <v/>
      </c>
      <c r="J26" s="6" t="str">
        <f>IF(AND(LEN('A créer'!$C26)=0,LEN('A créer'!$E26&gt;0)),"","\Sécuriser les organisations par hiérarchie")</f>
        <v/>
      </c>
      <c r="K26" s="2" t="str">
        <f>IF(AND(LEN('A créer'!$C26)=0,LEN('A créer'!$E26&gt;0)),"","TAB 4")</f>
        <v/>
      </c>
      <c r="L26" s="6" t="str">
        <f>IF(AND(LEN('A créer'!$C26)=0,LEN('A créer'!$E26&gt;0)),"",CONCATENATE('A créer'!B26,'A créer'!A26))</f>
        <v/>
      </c>
      <c r="M26" s="2" t="str">
        <f>IF(AND(LEN('A créer'!$C26)=0,LEN('A créer'!$E26&gt;0)),"","TAB")</f>
        <v/>
      </c>
      <c r="N26" s="2" t="str">
        <f>IF(AND(LEN('A créer'!$C26)=0,LEN('A créer'!$E26&gt;0)),"","*SAVE")</f>
        <v/>
      </c>
      <c r="O26" s="2" t="str">
        <f>IF(AND(LEN('A créer'!$C26)=0,LEN('A créer'!$E26&gt;0)),"","*ML(237,126)")</f>
        <v/>
      </c>
      <c r="P26" s="2" t="str">
        <f>IF(OR(LEN('A créer'!$C26)=0,'A créer'!$E26="Oui"),"","*FN")</f>
        <v/>
      </c>
      <c r="Q26" s="6" t="str">
        <f>IF(OR(LEN('A créer'!$C26)=0,'A créer'!$E26="Oui"),"",'A créer'!A26)</f>
        <v/>
      </c>
      <c r="R26" s="2" t="str">
        <f>IF(OR(LEN('A créer'!$C26)=0,'A créer'!$E26="Oui"),"","TAB")</f>
        <v/>
      </c>
      <c r="S26" s="6" t="str">
        <f>IF(OR(LEN('A créer'!$C26)=0,'A créer'!$E26="Oui"),"","Setup Business Group")</f>
        <v/>
      </c>
      <c r="T26" s="2" t="str">
        <f>IF(OR(LEN('A créer'!$C26)=0,'A créer'!$E26="Oui"),"","TAB 4")</f>
        <v/>
      </c>
      <c r="U26" s="2" t="str">
        <f>IF(OR(LEN('A créer'!$C26)=0,'A créer'!$E26="Oui"),"","TAB 4")</f>
        <v/>
      </c>
      <c r="V26" s="2" t="str">
        <f>IF(OR(LEN('A créer'!$C26)=0,'A créer'!$E26="Oui"),"","TAB")</f>
        <v/>
      </c>
      <c r="W26" s="2" t="str">
        <f>IF(OR(LEN('A créer'!$C26)=0,'A créer'!$E26="Oui"),"","TAB")</f>
        <v/>
      </c>
      <c r="X26" s="2" t="str">
        <f>IF(OR(LEN('A créer'!$C26)=0,'A créer'!$E26="Oui"),"","TAB")</f>
        <v/>
      </c>
      <c r="Y26" s="6" t="str">
        <f>IF(OR(LEN('A créer'!$C26)=0,'A créer'!$E26="Oui"),"","\Sécuriser les organisations par hiérarchie")</f>
        <v/>
      </c>
      <c r="Z26" s="2" t="str">
        <f>IF(OR(LEN('A créer'!$C26)=0,'A créer'!$E26="Oui"),"","TAB 4")</f>
        <v/>
      </c>
      <c r="AA26" s="6" t="str">
        <f>IF(OR(LEN('A créer'!$C26)=0,'A créer'!$E26="Oui"),"",CONCATENATE('A créer'!B26,'A créer'!A26))</f>
        <v/>
      </c>
      <c r="AB26" s="2" t="str">
        <f>IF(OR(LEN('A créer'!$C26)=0,'A créer'!$E26="Oui"),"","TAB")</f>
        <v/>
      </c>
      <c r="AC26" s="2" t="str">
        <f>IF(OR(LEN('A créer'!$C26)=0,'A créer'!$E26="Oui"),"","*SAVE")</f>
        <v/>
      </c>
      <c r="AD26" s="2" t="str">
        <f>IF(OR(LEN('A créer'!$C26)=0,'A créer'!$E26="Oui"),"","*ML(237,126)")</f>
        <v/>
      </c>
    </row>
    <row r="27" spans="1:30" x14ac:dyDescent="0.35">
      <c r="A27" s="2" t="str">
        <f>IF(AND(LEN('A créer'!$C27)=0,LEN('A créer'!$E27&gt;0)),"","*FN")</f>
        <v/>
      </c>
      <c r="B27" s="6" t="str">
        <f>IF(AND(LEN('A créer'!$C27)=0,LEN('A créer'!$E27&gt;0)),"",CONCATENATE('A créer'!B27,'A créer'!A27))</f>
        <v/>
      </c>
      <c r="C27" s="2" t="str">
        <f>IF(AND(LEN('A créer'!$C27)=0,LEN('A créer'!$E27&gt;0)),"","TAB")</f>
        <v/>
      </c>
      <c r="D27" s="6" t="str">
        <f>IF(AND(LEN('A créer'!$C27)=0,LEN('A créer'!$E27&gt;0)),"","Setup Business Group")</f>
        <v/>
      </c>
      <c r="E27" s="2" t="str">
        <f>IF(AND(LEN('A créer'!$C27)=0,LEN('A créer'!$E27&gt;0)),"","TAB 4")</f>
        <v/>
      </c>
      <c r="F27" s="2" t="str">
        <f>IF(AND(LEN('A créer'!$C27)=0,LEN('A créer'!$E27&gt;0)),"","TAB 4")</f>
        <v/>
      </c>
      <c r="G27" s="2" t="str">
        <f>IF(AND(LEN('A créer'!$C27)=0,LEN('A créer'!$E27&gt;0)),"","TAB")</f>
        <v/>
      </c>
      <c r="H27" s="2" t="str">
        <f>IF(AND(LEN('A créer'!$C27)=0,LEN('A créer'!$E27&gt;0)),"","TAB")</f>
        <v/>
      </c>
      <c r="I27" s="2" t="str">
        <f>IF(AND(LEN('A créer'!$C27)=0,LEN('A créer'!$E27&gt;0)),"","TAB")</f>
        <v/>
      </c>
      <c r="J27" s="6" t="str">
        <f>IF(AND(LEN('A créer'!$C27)=0,LEN('A créer'!$E27&gt;0)),"","\Sécuriser les organisations par hiérarchie")</f>
        <v/>
      </c>
      <c r="K27" s="2" t="str">
        <f>IF(AND(LEN('A créer'!$C27)=0,LEN('A créer'!$E27&gt;0)),"","TAB 4")</f>
        <v/>
      </c>
      <c r="L27" s="6" t="str">
        <f>IF(AND(LEN('A créer'!$C27)=0,LEN('A créer'!$E27&gt;0)),"",CONCATENATE('A créer'!B27,'A créer'!A27))</f>
        <v/>
      </c>
      <c r="M27" s="2" t="str">
        <f>IF(AND(LEN('A créer'!$C27)=0,LEN('A créer'!$E27&gt;0)),"","TAB")</f>
        <v/>
      </c>
      <c r="N27" s="2" t="str">
        <f>IF(AND(LEN('A créer'!$C27)=0,LEN('A créer'!$E27&gt;0)),"","*SAVE")</f>
        <v/>
      </c>
      <c r="O27" s="2" t="str">
        <f>IF(AND(LEN('A créer'!$C27)=0,LEN('A créer'!$E27&gt;0)),"","*ML(237,126)")</f>
        <v/>
      </c>
      <c r="P27" s="2" t="str">
        <f>IF(OR(LEN('A créer'!$C27)=0,'A créer'!$E27="Oui"),"","*FN")</f>
        <v/>
      </c>
      <c r="Q27" s="6" t="str">
        <f>IF(OR(LEN('A créer'!$C27)=0,'A créer'!$E27="Oui"),"",'A créer'!A27)</f>
        <v/>
      </c>
      <c r="R27" s="2" t="str">
        <f>IF(OR(LEN('A créer'!$C27)=0,'A créer'!$E27="Oui"),"","TAB")</f>
        <v/>
      </c>
      <c r="S27" s="6" t="str">
        <f>IF(OR(LEN('A créer'!$C27)=0,'A créer'!$E27="Oui"),"","Setup Business Group")</f>
        <v/>
      </c>
      <c r="T27" s="2" t="str">
        <f>IF(OR(LEN('A créer'!$C27)=0,'A créer'!$E27="Oui"),"","TAB 4")</f>
        <v/>
      </c>
      <c r="U27" s="2" t="str">
        <f>IF(OR(LEN('A créer'!$C27)=0,'A créer'!$E27="Oui"),"","TAB 4")</f>
        <v/>
      </c>
      <c r="V27" s="2" t="str">
        <f>IF(OR(LEN('A créer'!$C27)=0,'A créer'!$E27="Oui"),"","TAB")</f>
        <v/>
      </c>
      <c r="W27" s="2" t="str">
        <f>IF(OR(LEN('A créer'!$C27)=0,'A créer'!$E27="Oui"),"","TAB")</f>
        <v/>
      </c>
      <c r="X27" s="2" t="str">
        <f>IF(OR(LEN('A créer'!$C27)=0,'A créer'!$E27="Oui"),"","TAB")</f>
        <v/>
      </c>
      <c r="Y27" s="6" t="str">
        <f>IF(OR(LEN('A créer'!$C27)=0,'A créer'!$E27="Oui"),"","\Sécuriser les organisations par hiérarchie")</f>
        <v/>
      </c>
      <c r="Z27" s="2" t="str">
        <f>IF(OR(LEN('A créer'!$C27)=0,'A créer'!$E27="Oui"),"","TAB 4")</f>
        <v/>
      </c>
      <c r="AA27" s="6" t="str">
        <f>IF(OR(LEN('A créer'!$C27)=0,'A créer'!$E27="Oui"),"",CONCATENATE('A créer'!B27,'A créer'!A27))</f>
        <v/>
      </c>
      <c r="AB27" s="2" t="str">
        <f>IF(OR(LEN('A créer'!$C27)=0,'A créer'!$E27="Oui"),"","TAB")</f>
        <v/>
      </c>
      <c r="AC27" s="2" t="str">
        <f>IF(OR(LEN('A créer'!$C27)=0,'A créer'!$E27="Oui"),"","*SAVE")</f>
        <v/>
      </c>
      <c r="AD27" s="2" t="str">
        <f>IF(OR(LEN('A créer'!$C27)=0,'A créer'!$E27="Oui"),"","*ML(237,126)")</f>
        <v/>
      </c>
    </row>
    <row r="28" spans="1:30" x14ac:dyDescent="0.35">
      <c r="A28" s="2" t="str">
        <f>IF(AND(LEN('A créer'!$C28)=0,LEN('A créer'!$E28&gt;0)),"","*FN")</f>
        <v/>
      </c>
      <c r="B28" s="6" t="str">
        <f>IF(AND(LEN('A créer'!$C28)=0,LEN('A créer'!$E28&gt;0)),"",CONCATENATE('A créer'!B28,'A créer'!A28))</f>
        <v/>
      </c>
      <c r="C28" s="2" t="str">
        <f>IF(AND(LEN('A créer'!$C28)=0,LEN('A créer'!$E28&gt;0)),"","TAB")</f>
        <v/>
      </c>
      <c r="D28" s="6" t="str">
        <f>IF(AND(LEN('A créer'!$C28)=0,LEN('A créer'!$E28&gt;0)),"","Setup Business Group")</f>
        <v/>
      </c>
      <c r="E28" s="2" t="str">
        <f>IF(AND(LEN('A créer'!$C28)=0,LEN('A créer'!$E28&gt;0)),"","TAB 4")</f>
        <v/>
      </c>
      <c r="F28" s="2" t="str">
        <f>IF(AND(LEN('A créer'!$C28)=0,LEN('A créer'!$E28&gt;0)),"","TAB 4")</f>
        <v/>
      </c>
      <c r="G28" s="2" t="str">
        <f>IF(AND(LEN('A créer'!$C28)=0,LEN('A créer'!$E28&gt;0)),"","TAB")</f>
        <v/>
      </c>
      <c r="H28" s="2" t="str">
        <f>IF(AND(LEN('A créer'!$C28)=0,LEN('A créer'!$E28&gt;0)),"","TAB")</f>
        <v/>
      </c>
      <c r="I28" s="2" t="str">
        <f>IF(AND(LEN('A créer'!$C28)=0,LEN('A créer'!$E28&gt;0)),"","TAB")</f>
        <v/>
      </c>
      <c r="J28" s="6" t="str">
        <f>IF(AND(LEN('A créer'!$C28)=0,LEN('A créer'!$E28&gt;0)),"","\Sécuriser les organisations par hiérarchie")</f>
        <v/>
      </c>
      <c r="K28" s="2" t="str">
        <f>IF(AND(LEN('A créer'!$C28)=0,LEN('A créer'!$E28&gt;0)),"","TAB 4")</f>
        <v/>
      </c>
      <c r="L28" s="6" t="str">
        <f>IF(AND(LEN('A créer'!$C28)=0,LEN('A créer'!$E28&gt;0)),"",CONCATENATE('A créer'!B28,'A créer'!A28))</f>
        <v/>
      </c>
      <c r="M28" s="2" t="str">
        <f>IF(AND(LEN('A créer'!$C28)=0,LEN('A créer'!$E28&gt;0)),"","TAB")</f>
        <v/>
      </c>
      <c r="N28" s="2" t="str">
        <f>IF(AND(LEN('A créer'!$C28)=0,LEN('A créer'!$E28&gt;0)),"","*SAVE")</f>
        <v/>
      </c>
      <c r="O28" s="2" t="str">
        <f>IF(AND(LEN('A créer'!$C28)=0,LEN('A créer'!$E28&gt;0)),"","*ML(237,126)")</f>
        <v/>
      </c>
      <c r="P28" s="2" t="str">
        <f>IF(OR(LEN('A créer'!$C28)=0,'A créer'!$E28="Oui"),"","*FN")</f>
        <v/>
      </c>
      <c r="Q28" s="6" t="str">
        <f>IF(OR(LEN('A créer'!$C28)=0,'A créer'!$E28="Oui"),"",'A créer'!A28)</f>
        <v/>
      </c>
      <c r="R28" s="2" t="str">
        <f>IF(OR(LEN('A créer'!$C28)=0,'A créer'!$E28="Oui"),"","TAB")</f>
        <v/>
      </c>
      <c r="S28" s="6" t="str">
        <f>IF(OR(LEN('A créer'!$C28)=0,'A créer'!$E28="Oui"),"","Setup Business Group")</f>
        <v/>
      </c>
      <c r="T28" s="2" t="str">
        <f>IF(OR(LEN('A créer'!$C28)=0,'A créer'!$E28="Oui"),"","TAB 4")</f>
        <v/>
      </c>
      <c r="U28" s="2" t="str">
        <f>IF(OR(LEN('A créer'!$C28)=0,'A créer'!$E28="Oui"),"","TAB 4")</f>
        <v/>
      </c>
      <c r="V28" s="2" t="str">
        <f>IF(OR(LEN('A créer'!$C28)=0,'A créer'!$E28="Oui"),"","TAB")</f>
        <v/>
      </c>
      <c r="W28" s="2" t="str">
        <f>IF(OR(LEN('A créer'!$C28)=0,'A créer'!$E28="Oui"),"","TAB")</f>
        <v/>
      </c>
      <c r="X28" s="2" t="str">
        <f>IF(OR(LEN('A créer'!$C28)=0,'A créer'!$E28="Oui"),"","TAB")</f>
        <v/>
      </c>
      <c r="Y28" s="6" t="str">
        <f>IF(OR(LEN('A créer'!$C28)=0,'A créer'!$E28="Oui"),"","\Sécuriser les organisations par hiérarchie")</f>
        <v/>
      </c>
      <c r="Z28" s="2" t="str">
        <f>IF(OR(LEN('A créer'!$C28)=0,'A créer'!$E28="Oui"),"","TAB 4")</f>
        <v/>
      </c>
      <c r="AA28" s="6" t="str">
        <f>IF(OR(LEN('A créer'!$C28)=0,'A créer'!$E28="Oui"),"",CONCATENATE('A créer'!B28,'A créer'!A28))</f>
        <v/>
      </c>
      <c r="AB28" s="2" t="str">
        <f>IF(OR(LEN('A créer'!$C28)=0,'A créer'!$E28="Oui"),"","TAB")</f>
        <v/>
      </c>
      <c r="AC28" s="2" t="str">
        <f>IF(OR(LEN('A créer'!$C28)=0,'A créer'!$E28="Oui"),"","*SAVE")</f>
        <v/>
      </c>
      <c r="AD28" s="2" t="str">
        <f>IF(OR(LEN('A créer'!$C28)=0,'A créer'!$E28="Oui"),"","*ML(237,126)")</f>
        <v/>
      </c>
    </row>
    <row r="29" spans="1:30" x14ac:dyDescent="0.35">
      <c r="A29" s="2" t="str">
        <f>IF(AND(LEN('A créer'!$C29)=0,LEN('A créer'!$E29&gt;0)),"","*FN")</f>
        <v/>
      </c>
      <c r="B29" s="6" t="str">
        <f>IF(AND(LEN('A créer'!$C29)=0,LEN('A créer'!$E29&gt;0)),"",CONCATENATE('A créer'!B29,'A créer'!A29))</f>
        <v/>
      </c>
      <c r="C29" s="2" t="str">
        <f>IF(AND(LEN('A créer'!$C29)=0,LEN('A créer'!$E29&gt;0)),"","TAB")</f>
        <v/>
      </c>
      <c r="D29" s="6" t="str">
        <f>IF(AND(LEN('A créer'!$C29)=0,LEN('A créer'!$E29&gt;0)),"","Setup Business Group")</f>
        <v/>
      </c>
      <c r="E29" s="2" t="str">
        <f>IF(AND(LEN('A créer'!$C29)=0,LEN('A créer'!$E29&gt;0)),"","TAB 4")</f>
        <v/>
      </c>
      <c r="F29" s="2" t="str">
        <f>IF(AND(LEN('A créer'!$C29)=0,LEN('A créer'!$E29&gt;0)),"","TAB 4")</f>
        <v/>
      </c>
      <c r="G29" s="2" t="str">
        <f>IF(AND(LEN('A créer'!$C29)=0,LEN('A créer'!$E29&gt;0)),"","TAB")</f>
        <v/>
      </c>
      <c r="H29" s="2" t="str">
        <f>IF(AND(LEN('A créer'!$C29)=0,LEN('A créer'!$E29&gt;0)),"","TAB")</f>
        <v/>
      </c>
      <c r="I29" s="2" t="str">
        <f>IF(AND(LEN('A créer'!$C29)=0,LEN('A créer'!$E29&gt;0)),"","TAB")</f>
        <v/>
      </c>
      <c r="J29" s="6" t="str">
        <f>IF(AND(LEN('A créer'!$C29)=0,LEN('A créer'!$E29&gt;0)),"","\Sécuriser les organisations par hiérarchie")</f>
        <v/>
      </c>
      <c r="K29" s="2" t="str">
        <f>IF(AND(LEN('A créer'!$C29)=0,LEN('A créer'!$E29&gt;0)),"","TAB 4")</f>
        <v/>
      </c>
      <c r="L29" s="6" t="str">
        <f>IF(AND(LEN('A créer'!$C29)=0,LEN('A créer'!$E29&gt;0)),"",CONCATENATE('A créer'!B29,'A créer'!A29))</f>
        <v/>
      </c>
      <c r="M29" s="2" t="str">
        <f>IF(AND(LEN('A créer'!$C29)=0,LEN('A créer'!$E29&gt;0)),"","TAB")</f>
        <v/>
      </c>
      <c r="N29" s="2" t="str">
        <f>IF(AND(LEN('A créer'!$C29)=0,LEN('A créer'!$E29&gt;0)),"","*SAVE")</f>
        <v/>
      </c>
      <c r="O29" s="2" t="str">
        <f>IF(AND(LEN('A créer'!$C29)=0,LEN('A créer'!$E29&gt;0)),"","*ML(237,126)")</f>
        <v/>
      </c>
      <c r="P29" s="2" t="str">
        <f>IF(OR(LEN('A créer'!$C29)=0,'A créer'!$E29="Oui"),"","*FN")</f>
        <v/>
      </c>
      <c r="Q29" s="6" t="str">
        <f>IF(OR(LEN('A créer'!$C29)=0,'A créer'!$E29="Oui"),"",'A créer'!A29)</f>
        <v/>
      </c>
      <c r="R29" s="2" t="str">
        <f>IF(OR(LEN('A créer'!$C29)=0,'A créer'!$E29="Oui"),"","TAB")</f>
        <v/>
      </c>
      <c r="S29" s="6" t="str">
        <f>IF(OR(LEN('A créer'!$C29)=0,'A créer'!$E29="Oui"),"","Setup Business Group")</f>
        <v/>
      </c>
      <c r="T29" s="2" t="str">
        <f>IF(OR(LEN('A créer'!$C29)=0,'A créer'!$E29="Oui"),"","TAB 4")</f>
        <v/>
      </c>
      <c r="U29" s="2" t="str">
        <f>IF(OR(LEN('A créer'!$C29)=0,'A créer'!$E29="Oui"),"","TAB 4")</f>
        <v/>
      </c>
      <c r="V29" s="2" t="str">
        <f>IF(OR(LEN('A créer'!$C29)=0,'A créer'!$E29="Oui"),"","TAB")</f>
        <v/>
      </c>
      <c r="W29" s="2" t="str">
        <f>IF(OR(LEN('A créer'!$C29)=0,'A créer'!$E29="Oui"),"","TAB")</f>
        <v/>
      </c>
      <c r="X29" s="2" t="str">
        <f>IF(OR(LEN('A créer'!$C29)=0,'A créer'!$E29="Oui"),"","TAB")</f>
        <v/>
      </c>
      <c r="Y29" s="6" t="str">
        <f>IF(OR(LEN('A créer'!$C29)=0,'A créer'!$E29="Oui"),"","\Sécuriser les organisations par hiérarchie")</f>
        <v/>
      </c>
      <c r="Z29" s="2" t="str">
        <f>IF(OR(LEN('A créer'!$C29)=0,'A créer'!$E29="Oui"),"","TAB 4")</f>
        <v/>
      </c>
      <c r="AA29" s="6" t="str">
        <f>IF(OR(LEN('A créer'!$C29)=0,'A créer'!$E29="Oui"),"",CONCATENATE('A créer'!B29,'A créer'!A29))</f>
        <v/>
      </c>
      <c r="AB29" s="2" t="str">
        <f>IF(OR(LEN('A créer'!$C29)=0,'A créer'!$E29="Oui"),"","TAB")</f>
        <v/>
      </c>
      <c r="AC29" s="2" t="str">
        <f>IF(OR(LEN('A créer'!$C29)=0,'A créer'!$E29="Oui"),"","*SAVE")</f>
        <v/>
      </c>
      <c r="AD29" s="2" t="str">
        <f>IF(OR(LEN('A créer'!$C29)=0,'A créer'!$E29="Oui"),"","*ML(237,126)")</f>
        <v/>
      </c>
    </row>
    <row r="30" spans="1:30" x14ac:dyDescent="0.35">
      <c r="A30" s="2" t="str">
        <f>IF(AND(LEN('A créer'!$C30)=0,LEN('A créer'!$E30&gt;0)),"","*FN")</f>
        <v/>
      </c>
      <c r="B30" s="6" t="str">
        <f>IF(AND(LEN('A créer'!$C30)=0,LEN('A créer'!$E30&gt;0)),"",CONCATENATE('A créer'!B30,'A créer'!A30))</f>
        <v/>
      </c>
      <c r="C30" s="2" t="str">
        <f>IF(AND(LEN('A créer'!$C30)=0,LEN('A créer'!$E30&gt;0)),"","TAB")</f>
        <v/>
      </c>
      <c r="D30" s="6" t="str">
        <f>IF(AND(LEN('A créer'!$C30)=0,LEN('A créer'!$E30&gt;0)),"","Setup Business Group")</f>
        <v/>
      </c>
      <c r="E30" s="2" t="str">
        <f>IF(AND(LEN('A créer'!$C30)=0,LEN('A créer'!$E30&gt;0)),"","TAB 4")</f>
        <v/>
      </c>
      <c r="F30" s="2" t="str">
        <f>IF(AND(LEN('A créer'!$C30)=0,LEN('A créer'!$E30&gt;0)),"","TAB 4")</f>
        <v/>
      </c>
      <c r="G30" s="2" t="str">
        <f>IF(AND(LEN('A créer'!$C30)=0,LEN('A créer'!$E30&gt;0)),"","TAB")</f>
        <v/>
      </c>
      <c r="H30" s="2" t="str">
        <f>IF(AND(LEN('A créer'!$C30)=0,LEN('A créer'!$E30&gt;0)),"","TAB")</f>
        <v/>
      </c>
      <c r="I30" s="2" t="str">
        <f>IF(AND(LEN('A créer'!$C30)=0,LEN('A créer'!$E30&gt;0)),"","TAB")</f>
        <v/>
      </c>
      <c r="J30" s="6" t="str">
        <f>IF(AND(LEN('A créer'!$C30)=0,LEN('A créer'!$E30&gt;0)),"","\Sécuriser les organisations par hiérarchie")</f>
        <v/>
      </c>
      <c r="K30" s="2" t="str">
        <f>IF(AND(LEN('A créer'!$C30)=0,LEN('A créer'!$E30&gt;0)),"","TAB 4")</f>
        <v/>
      </c>
      <c r="L30" s="6" t="str">
        <f>IF(AND(LEN('A créer'!$C30)=0,LEN('A créer'!$E30&gt;0)),"",CONCATENATE('A créer'!B30,'A créer'!A30))</f>
        <v/>
      </c>
      <c r="M30" s="2" t="str">
        <f>IF(AND(LEN('A créer'!$C30)=0,LEN('A créer'!$E30&gt;0)),"","TAB")</f>
        <v/>
      </c>
      <c r="N30" s="2" t="str">
        <f>IF(AND(LEN('A créer'!$C30)=0,LEN('A créer'!$E30&gt;0)),"","*SAVE")</f>
        <v/>
      </c>
      <c r="O30" s="2" t="str">
        <f>IF(AND(LEN('A créer'!$C30)=0,LEN('A créer'!$E30&gt;0)),"","*ML(237,126)")</f>
        <v/>
      </c>
      <c r="P30" s="2" t="str">
        <f>IF(OR(LEN('A créer'!$C30)=0,'A créer'!$E30="Oui"),"","*FN")</f>
        <v/>
      </c>
      <c r="Q30" s="6" t="str">
        <f>IF(OR(LEN('A créer'!$C30)=0,'A créer'!$E30="Oui"),"",'A créer'!A30)</f>
        <v/>
      </c>
      <c r="R30" s="2" t="str">
        <f>IF(OR(LEN('A créer'!$C30)=0,'A créer'!$E30="Oui"),"","TAB")</f>
        <v/>
      </c>
      <c r="S30" s="6" t="str">
        <f>IF(OR(LEN('A créer'!$C30)=0,'A créer'!$E30="Oui"),"","Setup Business Group")</f>
        <v/>
      </c>
      <c r="T30" s="2" t="str">
        <f>IF(OR(LEN('A créer'!$C30)=0,'A créer'!$E30="Oui"),"","TAB 4")</f>
        <v/>
      </c>
      <c r="U30" s="2" t="str">
        <f>IF(OR(LEN('A créer'!$C30)=0,'A créer'!$E30="Oui"),"","TAB 4")</f>
        <v/>
      </c>
      <c r="V30" s="2" t="str">
        <f>IF(OR(LEN('A créer'!$C30)=0,'A créer'!$E30="Oui"),"","TAB")</f>
        <v/>
      </c>
      <c r="W30" s="2" t="str">
        <f>IF(OR(LEN('A créer'!$C30)=0,'A créer'!$E30="Oui"),"","TAB")</f>
        <v/>
      </c>
      <c r="X30" s="2" t="str">
        <f>IF(OR(LEN('A créer'!$C30)=0,'A créer'!$E30="Oui"),"","TAB")</f>
        <v/>
      </c>
      <c r="Y30" s="6" t="str">
        <f>IF(OR(LEN('A créer'!$C30)=0,'A créer'!$E30="Oui"),"","\Sécuriser les organisations par hiérarchie")</f>
        <v/>
      </c>
      <c r="Z30" s="2" t="str">
        <f>IF(OR(LEN('A créer'!$C30)=0,'A créer'!$E30="Oui"),"","TAB 4")</f>
        <v/>
      </c>
      <c r="AA30" s="6" t="str">
        <f>IF(OR(LEN('A créer'!$C30)=0,'A créer'!$E30="Oui"),"",CONCATENATE('A créer'!B30,'A créer'!A30))</f>
        <v/>
      </c>
      <c r="AB30" s="2" t="str">
        <f>IF(OR(LEN('A créer'!$C30)=0,'A créer'!$E30="Oui"),"","TAB")</f>
        <v/>
      </c>
      <c r="AC30" s="2" t="str">
        <f>IF(OR(LEN('A créer'!$C30)=0,'A créer'!$E30="Oui"),"","*SAVE")</f>
        <v/>
      </c>
      <c r="AD30" s="2" t="str">
        <f>IF(OR(LEN('A créer'!$C30)=0,'A créer'!$E30="Oui"),"","*ML(237,126)")</f>
        <v/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"/>
  <sheetViews>
    <sheetView workbookViewId="0">
      <pane ySplit="1" topLeftCell="A2" activePane="bottomLeft" state="frozenSplit"/>
      <selection activeCell="G30" sqref="G30"/>
      <selection pane="bottomLeft" activeCell="G30" sqref="G30"/>
    </sheetView>
  </sheetViews>
  <sheetFormatPr baseColWidth="10" defaultRowHeight="14.5" x14ac:dyDescent="0.35"/>
  <cols>
    <col min="1" max="1" width="4.26953125" bestFit="1" customWidth="1"/>
    <col min="2" max="2" width="4.26953125" style="6" customWidth="1"/>
    <col min="3" max="3" width="25.1796875" bestFit="1" customWidth="1"/>
    <col min="4" max="5" width="4.26953125" bestFit="1" customWidth="1"/>
    <col min="7" max="12" width="4.26953125" bestFit="1" customWidth="1"/>
  </cols>
  <sheetData>
    <row r="1" spans="1:12" x14ac:dyDescent="0.35">
      <c r="A1" s="2" t="s">
        <v>67</v>
      </c>
      <c r="B1" s="2" t="s">
        <v>67</v>
      </c>
      <c r="C1" t="s">
        <v>70</v>
      </c>
      <c r="D1" s="2" t="s">
        <v>67</v>
      </c>
      <c r="E1" s="2" t="s">
        <v>67</v>
      </c>
      <c r="F1" s="6" t="s">
        <v>71</v>
      </c>
      <c r="G1" s="2" t="s">
        <v>67</v>
      </c>
      <c r="H1" s="2" t="s">
        <v>15</v>
      </c>
      <c r="I1" s="2" t="s">
        <v>67</v>
      </c>
      <c r="J1" s="2" t="s">
        <v>67</v>
      </c>
      <c r="K1" s="2" t="s">
        <v>15</v>
      </c>
      <c r="L1" s="2" t="s">
        <v>15</v>
      </c>
    </row>
    <row r="2" spans="1:12" x14ac:dyDescent="0.35">
      <c r="A2" s="2" t="str">
        <f>IF(LEN('A créer'!$C2)=0,"","TAB")</f>
        <v>TAB</v>
      </c>
      <c r="B2" s="2" t="str">
        <f>IF(LEN('A créer'!$C2)=0,"","TAB")</f>
        <v>TAB</v>
      </c>
      <c r="C2" s="6" t="str">
        <f>IF(LEN('A créer'!$C2)=0,"","\Un profil de sécurité nommé")</f>
        <v>\Un profil de sécurité nommé</v>
      </c>
      <c r="D2" s="2" t="str">
        <f>IF(LEN('A créer'!$C2)=0,"","TAB")</f>
        <v>TAB</v>
      </c>
      <c r="E2" s="2" t="str">
        <f>IF(LEN('A créer'!$C2)=0,"","TAB")</f>
        <v>TAB</v>
      </c>
      <c r="F2" t="str">
        <f>IF(LEN('A créer'!$C2)=0,"",CONCATENATE('A créer'!B2,'A créer'!A2))</f>
        <v>DCW0535</v>
      </c>
      <c r="G2" s="2" t="str">
        <f>IF(LEN('A créer'!$C2)=0,"","TAB")</f>
        <v>TAB</v>
      </c>
      <c r="H2" s="2" t="str">
        <f>IF(LEN('A créer'!$C2)=0,"","ENT")</f>
        <v>ENT</v>
      </c>
      <c r="I2" s="2" t="str">
        <f>IF(LEN('A créer'!$C2)=0,"","TAB")</f>
        <v>TAB</v>
      </c>
      <c r="J2" s="2" t="str">
        <f>IF(LEN('A créer'!$C2)=0,"","TAB")</f>
        <v>TAB</v>
      </c>
      <c r="K2" s="2" t="str">
        <f>IF(LEN('A créer'!$C2)=0,"","ENT")</f>
        <v>ENT</v>
      </c>
      <c r="L2" s="2" t="str">
        <f>IF(LEN('A créer'!$C2)=0,"","ENT")</f>
        <v>ENT</v>
      </c>
    </row>
    <row r="3" spans="1:12" x14ac:dyDescent="0.35">
      <c r="A3" s="2" t="str">
        <f>IF(LEN('A créer'!$C3)=0,"","TAB")</f>
        <v/>
      </c>
      <c r="B3" s="2" t="str">
        <f>IF(LEN('A créer'!$C3)=0,"","TAB")</f>
        <v/>
      </c>
      <c r="C3" s="6" t="str">
        <f>IF(LEN('A créer'!$C3)=0,"","\Un profil de sécurité nommé")</f>
        <v/>
      </c>
      <c r="D3" s="2" t="str">
        <f>IF(LEN('A créer'!$C3)=0,"","TAB")</f>
        <v/>
      </c>
      <c r="E3" s="2" t="str">
        <f>IF(LEN('A créer'!$C3)=0,"","TAB")</f>
        <v/>
      </c>
      <c r="F3" s="6" t="str">
        <f>IF(LEN('A créer'!$C3)=0,"",CONCATENATE('A créer'!B3,'A créer'!A3))</f>
        <v/>
      </c>
      <c r="G3" s="2" t="str">
        <f>IF(LEN('A créer'!$C3)=0,"","TAB")</f>
        <v/>
      </c>
      <c r="H3" s="2" t="str">
        <f>IF(LEN('A créer'!$C3)=0,"","ENT")</f>
        <v/>
      </c>
      <c r="I3" s="2" t="str">
        <f>IF(LEN('A créer'!$C3)=0,"","TAB")</f>
        <v/>
      </c>
      <c r="J3" s="2" t="str">
        <f>IF(LEN('A créer'!$C3)=0,"","TAB")</f>
        <v/>
      </c>
      <c r="K3" s="2" t="str">
        <f>IF(LEN('A créer'!$C3)=0,"","ENT")</f>
        <v/>
      </c>
      <c r="L3" s="2" t="str">
        <f>IF(LEN('A créer'!$C3)=0,"","ENT")</f>
        <v/>
      </c>
    </row>
    <row r="4" spans="1:12" x14ac:dyDescent="0.35">
      <c r="A4" s="2" t="str">
        <f>IF(LEN('A créer'!$C4)=0,"","TAB")</f>
        <v>TAB</v>
      </c>
      <c r="B4" s="2" t="str">
        <f>IF(LEN('A créer'!$C4)=0,"","TAB")</f>
        <v>TAB</v>
      </c>
      <c r="C4" s="6" t="str">
        <f>IF(LEN('A créer'!$C4)=0,"","\Un profil de sécurité nommé")</f>
        <v>\Un profil de sécurité nommé</v>
      </c>
      <c r="D4" s="2" t="str">
        <f>IF(LEN('A créer'!$C4)=0,"","TAB")</f>
        <v>TAB</v>
      </c>
      <c r="E4" s="2" t="str">
        <f>IF(LEN('A créer'!$C4)=0,"","TAB")</f>
        <v>TAB</v>
      </c>
      <c r="F4" s="6" t="str">
        <f>IF(LEN('A créer'!$C4)=0,"",CONCATENATE('A créer'!B4,'A créer'!A4))</f>
        <v>DCW0595</v>
      </c>
      <c r="G4" s="2" t="str">
        <f>IF(LEN('A créer'!$C4)=0,"","TAB")</f>
        <v>TAB</v>
      </c>
      <c r="H4" s="2" t="str">
        <f>IF(LEN('A créer'!$C4)=0,"","ENT")</f>
        <v>ENT</v>
      </c>
      <c r="I4" s="2" t="str">
        <f>IF(LEN('A créer'!$C4)=0,"","TAB")</f>
        <v>TAB</v>
      </c>
      <c r="J4" s="2" t="str">
        <f>IF(LEN('A créer'!$C4)=0,"","TAB")</f>
        <v>TAB</v>
      </c>
      <c r="K4" s="2" t="str">
        <f>IF(LEN('A créer'!$C4)=0,"","ENT")</f>
        <v>ENT</v>
      </c>
      <c r="L4" s="2" t="str">
        <f>IF(LEN('A créer'!$C4)=0,"","ENT")</f>
        <v>ENT</v>
      </c>
    </row>
    <row r="5" spans="1:12" x14ac:dyDescent="0.35">
      <c r="A5" s="2" t="str">
        <f>IF(LEN('A créer'!$C5)=0,"","TAB")</f>
        <v/>
      </c>
      <c r="B5" s="2" t="str">
        <f>IF(LEN('A créer'!$C5)=0,"","TAB")</f>
        <v/>
      </c>
      <c r="C5" s="6" t="str">
        <f>IF(LEN('A créer'!$C5)=0,"","\Un profil de sécurité nommé")</f>
        <v/>
      </c>
      <c r="D5" s="2" t="str">
        <f>IF(LEN('A créer'!$C5)=0,"","TAB")</f>
        <v/>
      </c>
      <c r="E5" s="2" t="str">
        <f>IF(LEN('A créer'!$C5)=0,"","TAB")</f>
        <v/>
      </c>
      <c r="F5" s="6" t="str">
        <f>IF(LEN('A créer'!$C5)=0,"",CONCATENATE('A créer'!B5,'A créer'!A5))</f>
        <v/>
      </c>
      <c r="G5" s="2" t="str">
        <f>IF(LEN('A créer'!$C5)=0,"","TAB")</f>
        <v/>
      </c>
      <c r="H5" s="2" t="str">
        <f>IF(LEN('A créer'!$C5)=0,"","ENT")</f>
        <v/>
      </c>
      <c r="I5" s="2" t="str">
        <f>IF(LEN('A créer'!$C5)=0,"","TAB")</f>
        <v/>
      </c>
      <c r="J5" s="2" t="str">
        <f>IF(LEN('A créer'!$C5)=0,"","TAB")</f>
        <v/>
      </c>
      <c r="K5" s="2" t="str">
        <f>IF(LEN('A créer'!$C5)=0,"","ENT")</f>
        <v/>
      </c>
      <c r="L5" s="2" t="str">
        <f>IF(LEN('A créer'!$C5)=0,"","ENT")</f>
        <v/>
      </c>
    </row>
    <row r="6" spans="1:12" x14ac:dyDescent="0.35">
      <c r="A6" s="2" t="str">
        <f>IF(LEN('A créer'!$C6)=0,"","TAB")</f>
        <v/>
      </c>
      <c r="B6" s="2" t="str">
        <f>IF(LEN('A créer'!$C6)=0,"","TAB")</f>
        <v/>
      </c>
      <c r="C6" s="6" t="str">
        <f>IF(LEN('A créer'!$C6)=0,"","\Un profil de sécurité nommé")</f>
        <v/>
      </c>
      <c r="D6" s="2" t="str">
        <f>IF(LEN('A créer'!$C6)=0,"","TAB")</f>
        <v/>
      </c>
      <c r="E6" s="2" t="str">
        <f>IF(LEN('A créer'!$C6)=0,"","TAB")</f>
        <v/>
      </c>
      <c r="F6" s="6" t="str">
        <f>IF(LEN('A créer'!$C6)=0,"",CONCATENATE('A créer'!B6,'A créer'!A6))</f>
        <v/>
      </c>
      <c r="G6" s="2" t="str">
        <f>IF(LEN('A créer'!$C6)=0,"","TAB")</f>
        <v/>
      </c>
      <c r="H6" s="2" t="str">
        <f>IF(LEN('A créer'!$C6)=0,"","ENT")</f>
        <v/>
      </c>
      <c r="I6" s="2" t="str">
        <f>IF(LEN('A créer'!$C6)=0,"","TAB")</f>
        <v/>
      </c>
      <c r="J6" s="2" t="str">
        <f>IF(LEN('A créer'!$C6)=0,"","TAB")</f>
        <v/>
      </c>
      <c r="K6" s="2" t="str">
        <f>IF(LEN('A créer'!$C6)=0,"","ENT")</f>
        <v/>
      </c>
      <c r="L6" s="2" t="str">
        <f>IF(LEN('A créer'!$C6)=0,"","ENT")</f>
        <v/>
      </c>
    </row>
    <row r="7" spans="1:12" x14ac:dyDescent="0.35">
      <c r="A7" s="2" t="str">
        <f>IF(LEN('A créer'!$C7)=0,"","TAB")</f>
        <v/>
      </c>
      <c r="B7" s="2" t="str">
        <f>IF(LEN('A créer'!$C7)=0,"","TAB")</f>
        <v/>
      </c>
      <c r="C7" s="6" t="str">
        <f>IF(LEN('A créer'!$C7)=0,"","\Un profil de sécurité nommé")</f>
        <v/>
      </c>
      <c r="D7" s="2" t="str">
        <f>IF(LEN('A créer'!$C7)=0,"","TAB")</f>
        <v/>
      </c>
      <c r="E7" s="2" t="str">
        <f>IF(LEN('A créer'!$C7)=0,"","TAB")</f>
        <v/>
      </c>
      <c r="F7" s="6" t="str">
        <f>IF(LEN('A créer'!$C7)=0,"",CONCATENATE('A créer'!B7,'A créer'!A7))</f>
        <v/>
      </c>
      <c r="G7" s="2" t="str">
        <f>IF(LEN('A créer'!$C7)=0,"","TAB")</f>
        <v/>
      </c>
      <c r="H7" s="2" t="str">
        <f>IF(LEN('A créer'!$C7)=0,"","ENT")</f>
        <v/>
      </c>
      <c r="I7" s="2" t="str">
        <f>IF(LEN('A créer'!$C7)=0,"","TAB")</f>
        <v/>
      </c>
      <c r="J7" s="2" t="str">
        <f>IF(LEN('A créer'!$C7)=0,"","TAB")</f>
        <v/>
      </c>
      <c r="K7" s="2" t="str">
        <f>IF(LEN('A créer'!$C7)=0,"","ENT")</f>
        <v/>
      </c>
      <c r="L7" s="2" t="str">
        <f>IF(LEN('A créer'!$C7)=0,"","ENT")</f>
        <v/>
      </c>
    </row>
    <row r="8" spans="1:12" x14ac:dyDescent="0.35">
      <c r="A8" s="2" t="str">
        <f>IF(LEN('A créer'!$C8)=0,"","TAB")</f>
        <v/>
      </c>
      <c r="B8" s="2" t="str">
        <f>IF(LEN('A créer'!$C8)=0,"","TAB")</f>
        <v/>
      </c>
      <c r="C8" s="6" t="str">
        <f>IF(LEN('A créer'!$C8)=0,"","\Un profil de sécurité nommé")</f>
        <v/>
      </c>
      <c r="D8" s="2" t="str">
        <f>IF(LEN('A créer'!$C8)=0,"","TAB")</f>
        <v/>
      </c>
      <c r="E8" s="2" t="str">
        <f>IF(LEN('A créer'!$C8)=0,"","TAB")</f>
        <v/>
      </c>
      <c r="F8" s="6" t="str">
        <f>IF(LEN('A créer'!$C8)=0,"",CONCATENATE('A créer'!B8,'A créer'!A8))</f>
        <v/>
      </c>
      <c r="G8" s="2" t="str">
        <f>IF(LEN('A créer'!$C8)=0,"","TAB")</f>
        <v/>
      </c>
      <c r="H8" s="2" t="str">
        <f>IF(LEN('A créer'!$C8)=0,"","ENT")</f>
        <v/>
      </c>
      <c r="I8" s="2" t="str">
        <f>IF(LEN('A créer'!$C8)=0,"","TAB")</f>
        <v/>
      </c>
      <c r="J8" s="2" t="str">
        <f>IF(LEN('A créer'!$C8)=0,"","TAB")</f>
        <v/>
      </c>
      <c r="K8" s="2" t="str">
        <f>IF(LEN('A créer'!$C8)=0,"","ENT")</f>
        <v/>
      </c>
      <c r="L8" s="2" t="str">
        <f>IF(LEN('A créer'!$C8)=0,"","ENT")</f>
        <v/>
      </c>
    </row>
    <row r="9" spans="1:12" x14ac:dyDescent="0.35">
      <c r="A9" s="2" t="str">
        <f>IF(LEN('A créer'!$C9)=0,"","TAB")</f>
        <v/>
      </c>
      <c r="B9" s="2" t="str">
        <f>IF(LEN('A créer'!$C9)=0,"","TAB")</f>
        <v/>
      </c>
      <c r="C9" s="6" t="str">
        <f>IF(LEN('A créer'!$C9)=0,"","\Un profil de sécurité nommé")</f>
        <v/>
      </c>
      <c r="D9" s="2" t="str">
        <f>IF(LEN('A créer'!$C9)=0,"","TAB")</f>
        <v/>
      </c>
      <c r="E9" s="2" t="str">
        <f>IF(LEN('A créer'!$C9)=0,"","TAB")</f>
        <v/>
      </c>
      <c r="F9" s="6" t="str">
        <f>IF(LEN('A créer'!$C9)=0,"",CONCATENATE('A créer'!B9,'A créer'!A9))</f>
        <v/>
      </c>
      <c r="G9" s="2" t="str">
        <f>IF(LEN('A créer'!$C9)=0,"","TAB")</f>
        <v/>
      </c>
      <c r="H9" s="2" t="str">
        <f>IF(LEN('A créer'!$C9)=0,"","ENT")</f>
        <v/>
      </c>
      <c r="I9" s="2" t="str">
        <f>IF(LEN('A créer'!$C9)=0,"","TAB")</f>
        <v/>
      </c>
      <c r="J9" s="2" t="str">
        <f>IF(LEN('A créer'!$C9)=0,"","TAB")</f>
        <v/>
      </c>
      <c r="K9" s="2" t="str">
        <f>IF(LEN('A créer'!$C9)=0,"","ENT")</f>
        <v/>
      </c>
      <c r="L9" s="2" t="str">
        <f>IF(LEN('A créer'!$C9)=0,"","ENT")</f>
        <v/>
      </c>
    </row>
    <row r="10" spans="1:12" x14ac:dyDescent="0.35">
      <c r="A10" s="2" t="str">
        <f>IF(LEN('A créer'!$C10)=0,"","TAB")</f>
        <v/>
      </c>
      <c r="B10" s="2" t="str">
        <f>IF(LEN('A créer'!$C10)=0,"","TAB")</f>
        <v/>
      </c>
      <c r="C10" s="6" t="str">
        <f>IF(LEN('A créer'!$C10)=0,"","\Un profil de sécurité nommé")</f>
        <v/>
      </c>
      <c r="D10" s="2" t="str">
        <f>IF(LEN('A créer'!$C10)=0,"","TAB")</f>
        <v/>
      </c>
      <c r="E10" s="2" t="str">
        <f>IF(LEN('A créer'!$C10)=0,"","TAB")</f>
        <v/>
      </c>
      <c r="F10" s="6" t="str">
        <f>IF(LEN('A créer'!$C10)=0,"",CONCATENATE('A créer'!B10,'A créer'!A10))</f>
        <v/>
      </c>
      <c r="G10" s="2" t="str">
        <f>IF(LEN('A créer'!$C10)=0,"","TAB")</f>
        <v/>
      </c>
      <c r="H10" s="2" t="str">
        <f>IF(LEN('A créer'!$C10)=0,"","ENT")</f>
        <v/>
      </c>
      <c r="I10" s="2" t="str">
        <f>IF(LEN('A créer'!$C10)=0,"","TAB")</f>
        <v/>
      </c>
      <c r="J10" s="2" t="str">
        <f>IF(LEN('A créer'!$C10)=0,"","TAB")</f>
        <v/>
      </c>
      <c r="K10" s="2" t="str">
        <f>IF(LEN('A créer'!$C10)=0,"","ENT")</f>
        <v/>
      </c>
      <c r="L10" s="2" t="str">
        <f>IF(LEN('A créer'!$C10)=0,"","ENT")</f>
        <v/>
      </c>
    </row>
    <row r="11" spans="1:12" x14ac:dyDescent="0.35">
      <c r="A11" s="2" t="str">
        <f>IF(LEN('A créer'!$C11)=0,"","TAB")</f>
        <v/>
      </c>
      <c r="B11" s="2" t="str">
        <f>IF(LEN('A créer'!$C11)=0,"","TAB")</f>
        <v/>
      </c>
      <c r="C11" s="6" t="str">
        <f>IF(LEN('A créer'!$C11)=0,"","\Un profil de sécurité nommé")</f>
        <v/>
      </c>
      <c r="D11" s="2" t="str">
        <f>IF(LEN('A créer'!$C11)=0,"","TAB")</f>
        <v/>
      </c>
      <c r="E11" s="2" t="str">
        <f>IF(LEN('A créer'!$C11)=0,"","TAB")</f>
        <v/>
      </c>
      <c r="F11" s="6" t="str">
        <f>IF(LEN('A créer'!$C11)=0,"",CONCATENATE('A créer'!B11,'A créer'!A11))</f>
        <v/>
      </c>
      <c r="G11" s="2" t="str">
        <f>IF(LEN('A créer'!$C11)=0,"","TAB")</f>
        <v/>
      </c>
      <c r="H11" s="2" t="str">
        <f>IF(LEN('A créer'!$C11)=0,"","ENT")</f>
        <v/>
      </c>
      <c r="I11" s="2" t="str">
        <f>IF(LEN('A créer'!$C11)=0,"","TAB")</f>
        <v/>
      </c>
      <c r="J11" s="2" t="str">
        <f>IF(LEN('A créer'!$C11)=0,"","TAB")</f>
        <v/>
      </c>
      <c r="K11" s="2" t="str">
        <f>IF(LEN('A créer'!$C11)=0,"","ENT")</f>
        <v/>
      </c>
      <c r="L11" s="2" t="str">
        <f>IF(LEN('A créer'!$C11)=0,"","ENT")</f>
        <v/>
      </c>
    </row>
    <row r="12" spans="1:12" x14ac:dyDescent="0.35">
      <c r="A12" s="2" t="str">
        <f>IF(LEN('A créer'!$C12)=0,"","TAB")</f>
        <v/>
      </c>
      <c r="B12" s="2" t="str">
        <f>IF(LEN('A créer'!$C12)=0,"","TAB")</f>
        <v/>
      </c>
      <c r="C12" s="6" t="str">
        <f>IF(LEN('A créer'!$C12)=0,"","\Un profil de sécurité nommé")</f>
        <v/>
      </c>
      <c r="D12" s="2" t="str">
        <f>IF(LEN('A créer'!$C12)=0,"","TAB")</f>
        <v/>
      </c>
      <c r="E12" s="2" t="str">
        <f>IF(LEN('A créer'!$C12)=0,"","TAB")</f>
        <v/>
      </c>
      <c r="F12" s="6" t="str">
        <f>IF(LEN('A créer'!$C12)=0,"",CONCATENATE('A créer'!B12,'A créer'!A12))</f>
        <v/>
      </c>
      <c r="G12" s="2" t="str">
        <f>IF(LEN('A créer'!$C12)=0,"","TAB")</f>
        <v/>
      </c>
      <c r="H12" s="2" t="str">
        <f>IF(LEN('A créer'!$C12)=0,"","ENT")</f>
        <v/>
      </c>
      <c r="I12" s="2" t="str">
        <f>IF(LEN('A créer'!$C12)=0,"","TAB")</f>
        <v/>
      </c>
      <c r="J12" s="2" t="str">
        <f>IF(LEN('A créer'!$C12)=0,"","TAB")</f>
        <v/>
      </c>
      <c r="K12" s="2" t="str">
        <f>IF(LEN('A créer'!$C12)=0,"","ENT")</f>
        <v/>
      </c>
      <c r="L12" s="2" t="str">
        <f>IF(LEN('A créer'!$C12)=0,"","ENT")</f>
        <v/>
      </c>
    </row>
    <row r="13" spans="1:12" x14ac:dyDescent="0.35">
      <c r="A13" s="2" t="str">
        <f>IF(LEN('A créer'!$C13)=0,"","TAB")</f>
        <v/>
      </c>
      <c r="B13" s="2" t="str">
        <f>IF(LEN('A créer'!$C13)=0,"","TAB")</f>
        <v/>
      </c>
      <c r="C13" s="6" t="str">
        <f>IF(LEN('A créer'!$C13)=0,"","\Un profil de sécurité nommé")</f>
        <v/>
      </c>
      <c r="D13" s="2" t="str">
        <f>IF(LEN('A créer'!$C13)=0,"","TAB")</f>
        <v/>
      </c>
      <c r="E13" s="2" t="str">
        <f>IF(LEN('A créer'!$C13)=0,"","TAB")</f>
        <v/>
      </c>
      <c r="F13" s="6" t="str">
        <f>IF(LEN('A créer'!$C13)=0,"",CONCATENATE('A créer'!B13,'A créer'!A13))</f>
        <v/>
      </c>
      <c r="G13" s="2" t="str">
        <f>IF(LEN('A créer'!$C13)=0,"","TAB")</f>
        <v/>
      </c>
      <c r="H13" s="2" t="str">
        <f>IF(LEN('A créer'!$C13)=0,"","ENT")</f>
        <v/>
      </c>
      <c r="I13" s="2" t="str">
        <f>IF(LEN('A créer'!$C13)=0,"","TAB")</f>
        <v/>
      </c>
      <c r="J13" s="2" t="str">
        <f>IF(LEN('A créer'!$C13)=0,"","TAB")</f>
        <v/>
      </c>
      <c r="K13" s="2" t="str">
        <f>IF(LEN('A créer'!$C13)=0,"","ENT")</f>
        <v/>
      </c>
      <c r="L13" s="2" t="str">
        <f>IF(LEN('A créer'!$C13)=0,"","ENT")</f>
        <v/>
      </c>
    </row>
    <row r="14" spans="1:12" x14ac:dyDescent="0.35">
      <c r="A14" s="2" t="str">
        <f>IF(LEN('A créer'!$C14)=0,"","TAB")</f>
        <v/>
      </c>
      <c r="B14" s="2" t="str">
        <f>IF(LEN('A créer'!$C14)=0,"","TAB")</f>
        <v/>
      </c>
      <c r="C14" s="6" t="str">
        <f>IF(LEN('A créer'!$C14)=0,"","\Un profil de sécurité nommé")</f>
        <v/>
      </c>
      <c r="D14" s="2" t="str">
        <f>IF(LEN('A créer'!$C14)=0,"","TAB")</f>
        <v/>
      </c>
      <c r="E14" s="2" t="str">
        <f>IF(LEN('A créer'!$C14)=0,"","TAB")</f>
        <v/>
      </c>
      <c r="F14" s="6" t="str">
        <f>IF(LEN('A créer'!$C14)=0,"",CONCATENATE('A créer'!B14,'A créer'!A14))</f>
        <v/>
      </c>
      <c r="G14" s="2" t="str">
        <f>IF(LEN('A créer'!$C14)=0,"","TAB")</f>
        <v/>
      </c>
      <c r="H14" s="2" t="str">
        <f>IF(LEN('A créer'!$C14)=0,"","ENT")</f>
        <v/>
      </c>
      <c r="I14" s="2" t="str">
        <f>IF(LEN('A créer'!$C14)=0,"","TAB")</f>
        <v/>
      </c>
      <c r="J14" s="2" t="str">
        <f>IF(LEN('A créer'!$C14)=0,"","TAB")</f>
        <v/>
      </c>
      <c r="K14" s="2" t="str">
        <f>IF(LEN('A créer'!$C14)=0,"","ENT")</f>
        <v/>
      </c>
      <c r="L14" s="2" t="str">
        <f>IF(LEN('A créer'!$C14)=0,"","ENT")</f>
        <v/>
      </c>
    </row>
    <row r="15" spans="1:12" x14ac:dyDescent="0.35">
      <c r="A15" s="2" t="str">
        <f>IF(LEN('A créer'!$C15)=0,"","TAB")</f>
        <v/>
      </c>
      <c r="B15" s="2" t="str">
        <f>IF(LEN('A créer'!$C15)=0,"","TAB")</f>
        <v/>
      </c>
      <c r="C15" s="6" t="str">
        <f>IF(LEN('A créer'!$C15)=0,"","\Un profil de sécurité nommé")</f>
        <v/>
      </c>
      <c r="D15" s="2" t="str">
        <f>IF(LEN('A créer'!$C15)=0,"","TAB")</f>
        <v/>
      </c>
      <c r="E15" s="2" t="str">
        <f>IF(LEN('A créer'!$C15)=0,"","TAB")</f>
        <v/>
      </c>
      <c r="F15" s="6" t="str">
        <f>IF(LEN('A créer'!$C15)=0,"",CONCATENATE('A créer'!B15,'A créer'!A15))</f>
        <v/>
      </c>
      <c r="G15" s="2" t="str">
        <f>IF(LEN('A créer'!$C15)=0,"","TAB")</f>
        <v/>
      </c>
      <c r="H15" s="2" t="str">
        <f>IF(LEN('A créer'!$C15)=0,"","ENT")</f>
        <v/>
      </c>
      <c r="I15" s="2" t="str">
        <f>IF(LEN('A créer'!$C15)=0,"","TAB")</f>
        <v/>
      </c>
      <c r="J15" s="2" t="str">
        <f>IF(LEN('A créer'!$C15)=0,"","TAB")</f>
        <v/>
      </c>
      <c r="K15" s="2" t="str">
        <f>IF(LEN('A créer'!$C15)=0,"","ENT")</f>
        <v/>
      </c>
      <c r="L15" s="2" t="str">
        <f>IF(LEN('A créer'!$C15)=0,"","ENT")</f>
        <v/>
      </c>
    </row>
    <row r="16" spans="1:12" x14ac:dyDescent="0.35">
      <c r="A16" s="2" t="str">
        <f>IF(LEN('A créer'!$C16)=0,"","TAB")</f>
        <v/>
      </c>
      <c r="B16" s="2" t="str">
        <f>IF(LEN('A créer'!$C16)=0,"","TAB")</f>
        <v/>
      </c>
      <c r="C16" s="6" t="str">
        <f>IF(LEN('A créer'!$C16)=0,"","\Un profil de sécurité nommé")</f>
        <v/>
      </c>
      <c r="D16" s="2" t="str">
        <f>IF(LEN('A créer'!$C16)=0,"","TAB")</f>
        <v/>
      </c>
      <c r="E16" s="2" t="str">
        <f>IF(LEN('A créer'!$C16)=0,"","TAB")</f>
        <v/>
      </c>
      <c r="F16" s="6" t="str">
        <f>IF(LEN('A créer'!$C16)=0,"",CONCATENATE('A créer'!B16,'A créer'!A16))</f>
        <v/>
      </c>
      <c r="G16" s="2" t="str">
        <f>IF(LEN('A créer'!$C16)=0,"","TAB")</f>
        <v/>
      </c>
      <c r="H16" s="2" t="str">
        <f>IF(LEN('A créer'!$C16)=0,"","ENT")</f>
        <v/>
      </c>
      <c r="I16" s="2" t="str">
        <f>IF(LEN('A créer'!$C16)=0,"","TAB")</f>
        <v/>
      </c>
      <c r="J16" s="2" t="str">
        <f>IF(LEN('A créer'!$C16)=0,"","TAB")</f>
        <v/>
      </c>
      <c r="K16" s="2" t="str">
        <f>IF(LEN('A créer'!$C16)=0,"","ENT")</f>
        <v/>
      </c>
      <c r="L16" s="2" t="str">
        <f>IF(LEN('A créer'!$C16)=0,"","ENT")</f>
        <v/>
      </c>
    </row>
    <row r="17" spans="1:12" x14ac:dyDescent="0.35">
      <c r="A17" s="2" t="str">
        <f>IF(LEN('A créer'!$C17)=0,"","TAB")</f>
        <v/>
      </c>
      <c r="B17" s="2" t="str">
        <f>IF(LEN('A créer'!$C17)=0,"","TAB")</f>
        <v/>
      </c>
      <c r="C17" s="6" t="str">
        <f>IF(LEN('A créer'!$C17)=0,"","\Un profil de sécurité nommé")</f>
        <v/>
      </c>
      <c r="D17" s="2" t="str">
        <f>IF(LEN('A créer'!$C17)=0,"","TAB")</f>
        <v/>
      </c>
      <c r="E17" s="2" t="str">
        <f>IF(LEN('A créer'!$C17)=0,"","TAB")</f>
        <v/>
      </c>
      <c r="F17" s="6" t="str">
        <f>IF(LEN('A créer'!$C17)=0,"",CONCATENATE('A créer'!B17,'A créer'!A17))</f>
        <v/>
      </c>
      <c r="G17" s="2" t="str">
        <f>IF(LEN('A créer'!$C17)=0,"","TAB")</f>
        <v/>
      </c>
      <c r="H17" s="2" t="str">
        <f>IF(LEN('A créer'!$C17)=0,"","ENT")</f>
        <v/>
      </c>
      <c r="I17" s="2" t="str">
        <f>IF(LEN('A créer'!$C17)=0,"","TAB")</f>
        <v/>
      </c>
      <c r="J17" s="2" t="str">
        <f>IF(LEN('A créer'!$C17)=0,"","TAB")</f>
        <v/>
      </c>
      <c r="K17" s="2" t="str">
        <f>IF(LEN('A créer'!$C17)=0,"","ENT")</f>
        <v/>
      </c>
      <c r="L17" s="2" t="str">
        <f>IF(LEN('A créer'!$C17)=0,"","ENT")</f>
        <v/>
      </c>
    </row>
    <row r="18" spans="1:12" x14ac:dyDescent="0.35">
      <c r="A18" s="2" t="str">
        <f>IF(LEN('A créer'!$C18)=0,"","TAB")</f>
        <v/>
      </c>
      <c r="B18" s="2" t="str">
        <f>IF(LEN('A créer'!$C18)=0,"","TAB")</f>
        <v/>
      </c>
      <c r="C18" s="6" t="str">
        <f>IF(LEN('A créer'!$C18)=0,"","\Un profil de sécurité nommé")</f>
        <v/>
      </c>
      <c r="D18" s="2" t="str">
        <f>IF(LEN('A créer'!$C18)=0,"","TAB")</f>
        <v/>
      </c>
      <c r="E18" s="2" t="str">
        <f>IF(LEN('A créer'!$C18)=0,"","TAB")</f>
        <v/>
      </c>
      <c r="F18" s="6" t="str">
        <f>IF(LEN('A créer'!$C18)=0,"",CONCATENATE('A créer'!B18,'A créer'!A18))</f>
        <v/>
      </c>
      <c r="G18" s="2" t="str">
        <f>IF(LEN('A créer'!$C18)=0,"","TAB")</f>
        <v/>
      </c>
      <c r="H18" s="2" t="str">
        <f>IF(LEN('A créer'!$C18)=0,"","ENT")</f>
        <v/>
      </c>
      <c r="I18" s="2" t="str">
        <f>IF(LEN('A créer'!$C18)=0,"","TAB")</f>
        <v/>
      </c>
      <c r="J18" s="2" t="str">
        <f>IF(LEN('A créer'!$C18)=0,"","TAB")</f>
        <v/>
      </c>
      <c r="K18" s="2" t="str">
        <f>IF(LEN('A créer'!$C18)=0,"","ENT")</f>
        <v/>
      </c>
      <c r="L18" s="2" t="str">
        <f>IF(LEN('A créer'!$C18)=0,"","ENT")</f>
        <v/>
      </c>
    </row>
    <row r="19" spans="1:12" x14ac:dyDescent="0.35">
      <c r="A19" s="2" t="str">
        <f>IF(LEN('A créer'!$C19)=0,"","TAB")</f>
        <v/>
      </c>
      <c r="B19" s="2" t="str">
        <f>IF(LEN('A créer'!$C19)=0,"","TAB")</f>
        <v/>
      </c>
      <c r="C19" s="6" t="str">
        <f>IF(LEN('A créer'!$C19)=0,"","\Un profil de sécurité nommé")</f>
        <v/>
      </c>
      <c r="D19" s="2" t="str">
        <f>IF(LEN('A créer'!$C19)=0,"","TAB")</f>
        <v/>
      </c>
      <c r="E19" s="2" t="str">
        <f>IF(LEN('A créer'!$C19)=0,"","TAB")</f>
        <v/>
      </c>
      <c r="F19" s="6" t="str">
        <f>IF(LEN('A créer'!$C19)=0,"",CONCATENATE('A créer'!B19,'A créer'!A19))</f>
        <v/>
      </c>
      <c r="G19" s="2" t="str">
        <f>IF(LEN('A créer'!$C19)=0,"","TAB")</f>
        <v/>
      </c>
      <c r="H19" s="2" t="str">
        <f>IF(LEN('A créer'!$C19)=0,"","ENT")</f>
        <v/>
      </c>
      <c r="I19" s="2" t="str">
        <f>IF(LEN('A créer'!$C19)=0,"","TAB")</f>
        <v/>
      </c>
      <c r="J19" s="2" t="str">
        <f>IF(LEN('A créer'!$C19)=0,"","TAB")</f>
        <v/>
      </c>
      <c r="K19" s="2" t="str">
        <f>IF(LEN('A créer'!$C19)=0,"","ENT")</f>
        <v/>
      </c>
      <c r="L19" s="2" t="str">
        <f>IF(LEN('A créer'!$C19)=0,"","ENT")</f>
        <v/>
      </c>
    </row>
    <row r="20" spans="1:12" x14ac:dyDescent="0.35">
      <c r="A20" s="2" t="str">
        <f>IF(LEN('A créer'!$C20)=0,"","TAB")</f>
        <v/>
      </c>
      <c r="B20" s="2" t="str">
        <f>IF(LEN('A créer'!$C20)=0,"","TAB")</f>
        <v/>
      </c>
      <c r="C20" s="6" t="str">
        <f>IF(LEN('A créer'!$C20)=0,"","\Un profil de sécurité nommé")</f>
        <v/>
      </c>
      <c r="D20" s="2" t="str">
        <f>IF(LEN('A créer'!$C20)=0,"","TAB")</f>
        <v/>
      </c>
      <c r="E20" s="2" t="str">
        <f>IF(LEN('A créer'!$C20)=0,"","TAB")</f>
        <v/>
      </c>
      <c r="F20" s="6" t="str">
        <f>IF(LEN('A créer'!$C20)=0,"",CONCATENATE('A créer'!B20,'A créer'!A20))</f>
        <v/>
      </c>
      <c r="G20" s="2" t="str">
        <f>IF(LEN('A créer'!$C20)=0,"","TAB")</f>
        <v/>
      </c>
      <c r="H20" s="2" t="str">
        <f>IF(LEN('A créer'!$C20)=0,"","ENT")</f>
        <v/>
      </c>
      <c r="I20" s="2" t="str">
        <f>IF(LEN('A créer'!$C20)=0,"","TAB")</f>
        <v/>
      </c>
      <c r="J20" s="2" t="str">
        <f>IF(LEN('A créer'!$C20)=0,"","TAB")</f>
        <v/>
      </c>
      <c r="K20" s="2" t="str">
        <f>IF(LEN('A créer'!$C20)=0,"","ENT")</f>
        <v/>
      </c>
      <c r="L20" s="2" t="str">
        <f>IF(LEN('A créer'!$C20)=0,"","ENT")</f>
        <v/>
      </c>
    </row>
    <row r="21" spans="1:12" x14ac:dyDescent="0.35">
      <c r="A21" s="2" t="str">
        <f>IF(LEN('A créer'!$C21)=0,"","TAB")</f>
        <v/>
      </c>
      <c r="B21" s="2" t="str">
        <f>IF(LEN('A créer'!$C21)=0,"","TAB")</f>
        <v/>
      </c>
      <c r="C21" s="6" t="str">
        <f>IF(LEN('A créer'!$C21)=0,"","\Un profil de sécurité nommé")</f>
        <v/>
      </c>
      <c r="D21" s="2" t="str">
        <f>IF(LEN('A créer'!$C21)=0,"","TAB")</f>
        <v/>
      </c>
      <c r="E21" s="2" t="str">
        <f>IF(LEN('A créer'!$C21)=0,"","TAB")</f>
        <v/>
      </c>
      <c r="F21" s="6" t="str">
        <f>IF(LEN('A créer'!$C21)=0,"",CONCATENATE('A créer'!B21,'A créer'!A21))</f>
        <v/>
      </c>
      <c r="G21" s="2" t="str">
        <f>IF(LEN('A créer'!$C21)=0,"","TAB")</f>
        <v/>
      </c>
      <c r="H21" s="2" t="str">
        <f>IF(LEN('A créer'!$C21)=0,"","ENT")</f>
        <v/>
      </c>
      <c r="I21" s="2" t="str">
        <f>IF(LEN('A créer'!$C21)=0,"","TAB")</f>
        <v/>
      </c>
      <c r="J21" s="2" t="str">
        <f>IF(LEN('A créer'!$C21)=0,"","TAB")</f>
        <v/>
      </c>
      <c r="K21" s="2" t="str">
        <f>IF(LEN('A créer'!$C21)=0,"","ENT")</f>
        <v/>
      </c>
      <c r="L21" s="2" t="str">
        <f>IF(LEN('A créer'!$C21)=0,"","ENT")</f>
        <v/>
      </c>
    </row>
    <row r="22" spans="1:12" x14ac:dyDescent="0.35">
      <c r="A22" s="2" t="str">
        <f>IF(LEN('A créer'!$C22)=0,"","TAB")</f>
        <v/>
      </c>
      <c r="B22" s="2" t="str">
        <f>IF(LEN('A créer'!$C22)=0,"","TAB")</f>
        <v/>
      </c>
      <c r="C22" s="6" t="str">
        <f>IF(LEN('A créer'!$C22)=0,"","\Un profil de sécurité nommé")</f>
        <v/>
      </c>
      <c r="D22" s="2" t="str">
        <f>IF(LEN('A créer'!$C22)=0,"","TAB")</f>
        <v/>
      </c>
      <c r="E22" s="2" t="str">
        <f>IF(LEN('A créer'!$C22)=0,"","TAB")</f>
        <v/>
      </c>
      <c r="F22" s="6" t="str">
        <f>IF(LEN('A créer'!$C22)=0,"",CONCATENATE('A créer'!B22,'A créer'!A22))</f>
        <v/>
      </c>
      <c r="G22" s="2" t="str">
        <f>IF(LEN('A créer'!$C22)=0,"","TAB")</f>
        <v/>
      </c>
      <c r="H22" s="2" t="str">
        <f>IF(LEN('A créer'!$C22)=0,"","ENT")</f>
        <v/>
      </c>
      <c r="I22" s="2" t="str">
        <f>IF(LEN('A créer'!$C22)=0,"","TAB")</f>
        <v/>
      </c>
      <c r="J22" s="2" t="str">
        <f>IF(LEN('A créer'!$C22)=0,"","TAB")</f>
        <v/>
      </c>
      <c r="K22" s="2" t="str">
        <f>IF(LEN('A créer'!$C22)=0,"","ENT")</f>
        <v/>
      </c>
      <c r="L22" s="2" t="str">
        <f>IF(LEN('A créer'!$C22)=0,"","ENT")</f>
        <v/>
      </c>
    </row>
    <row r="23" spans="1:12" x14ac:dyDescent="0.35">
      <c r="A23" s="2" t="str">
        <f>IF(LEN('A créer'!$C23)=0,"","TAB")</f>
        <v/>
      </c>
      <c r="B23" s="2" t="str">
        <f>IF(LEN('A créer'!$C23)=0,"","TAB")</f>
        <v/>
      </c>
      <c r="C23" s="6" t="str">
        <f>IF(LEN('A créer'!$C23)=0,"","\Un profil de sécurité nommé")</f>
        <v/>
      </c>
      <c r="D23" s="2" t="str">
        <f>IF(LEN('A créer'!$C23)=0,"","TAB")</f>
        <v/>
      </c>
      <c r="E23" s="2" t="str">
        <f>IF(LEN('A créer'!$C23)=0,"","TAB")</f>
        <v/>
      </c>
      <c r="F23" s="6" t="str">
        <f>IF(LEN('A créer'!$C23)=0,"",CONCATENATE('A créer'!B23,'A créer'!A23))</f>
        <v/>
      </c>
      <c r="G23" s="2" t="str">
        <f>IF(LEN('A créer'!$C23)=0,"","TAB")</f>
        <v/>
      </c>
      <c r="H23" s="2" t="str">
        <f>IF(LEN('A créer'!$C23)=0,"","ENT")</f>
        <v/>
      </c>
      <c r="I23" s="2" t="str">
        <f>IF(LEN('A créer'!$C23)=0,"","TAB")</f>
        <v/>
      </c>
      <c r="J23" s="2" t="str">
        <f>IF(LEN('A créer'!$C23)=0,"","TAB")</f>
        <v/>
      </c>
      <c r="K23" s="2" t="str">
        <f>IF(LEN('A créer'!$C23)=0,"","ENT")</f>
        <v/>
      </c>
      <c r="L23" s="2" t="str">
        <f>IF(LEN('A créer'!$C23)=0,"","ENT")</f>
        <v/>
      </c>
    </row>
    <row r="24" spans="1:12" x14ac:dyDescent="0.35">
      <c r="A24" s="2" t="str">
        <f>IF(LEN('A créer'!$C24)=0,"","TAB")</f>
        <v/>
      </c>
      <c r="B24" s="2" t="str">
        <f>IF(LEN('A créer'!$C24)=0,"","TAB")</f>
        <v/>
      </c>
      <c r="C24" s="6" t="str">
        <f>IF(LEN('A créer'!$C24)=0,"","\Un profil de sécurité nommé")</f>
        <v/>
      </c>
      <c r="D24" s="2" t="str">
        <f>IF(LEN('A créer'!$C24)=0,"","TAB")</f>
        <v/>
      </c>
      <c r="E24" s="2" t="str">
        <f>IF(LEN('A créer'!$C24)=0,"","TAB")</f>
        <v/>
      </c>
      <c r="F24" s="6" t="str">
        <f>IF(LEN('A créer'!$C24)=0,"",CONCATENATE('A créer'!B24,'A créer'!A24))</f>
        <v/>
      </c>
      <c r="G24" s="2" t="str">
        <f>IF(LEN('A créer'!$C24)=0,"","TAB")</f>
        <v/>
      </c>
      <c r="H24" s="2" t="str">
        <f>IF(LEN('A créer'!$C24)=0,"","ENT")</f>
        <v/>
      </c>
      <c r="I24" s="2" t="str">
        <f>IF(LEN('A créer'!$C24)=0,"","TAB")</f>
        <v/>
      </c>
      <c r="J24" s="2" t="str">
        <f>IF(LEN('A créer'!$C24)=0,"","TAB")</f>
        <v/>
      </c>
      <c r="K24" s="2" t="str">
        <f>IF(LEN('A créer'!$C24)=0,"","ENT")</f>
        <v/>
      </c>
      <c r="L24" s="2" t="str">
        <f>IF(LEN('A créer'!$C24)=0,"","ENT")</f>
        <v/>
      </c>
    </row>
    <row r="25" spans="1:12" x14ac:dyDescent="0.35">
      <c r="A25" s="2" t="str">
        <f>IF(LEN('A créer'!$C25)=0,"","TAB")</f>
        <v/>
      </c>
      <c r="B25" s="2" t="str">
        <f>IF(LEN('A créer'!$C25)=0,"","TAB")</f>
        <v/>
      </c>
      <c r="C25" s="6" t="str">
        <f>IF(LEN('A créer'!$C25)=0,"","\Un profil de sécurité nommé")</f>
        <v/>
      </c>
      <c r="D25" s="2" t="str">
        <f>IF(LEN('A créer'!$C25)=0,"","TAB")</f>
        <v/>
      </c>
      <c r="E25" s="2" t="str">
        <f>IF(LEN('A créer'!$C25)=0,"","TAB")</f>
        <v/>
      </c>
      <c r="F25" s="6" t="str">
        <f>IF(LEN('A créer'!$C25)=0,"",CONCATENATE('A créer'!B25,'A créer'!A25))</f>
        <v/>
      </c>
      <c r="G25" s="2" t="str">
        <f>IF(LEN('A créer'!$C25)=0,"","TAB")</f>
        <v/>
      </c>
      <c r="H25" s="2" t="str">
        <f>IF(LEN('A créer'!$C25)=0,"","ENT")</f>
        <v/>
      </c>
      <c r="I25" s="2" t="str">
        <f>IF(LEN('A créer'!$C25)=0,"","TAB")</f>
        <v/>
      </c>
      <c r="J25" s="2" t="str">
        <f>IF(LEN('A créer'!$C25)=0,"","TAB")</f>
        <v/>
      </c>
      <c r="K25" s="2" t="str">
        <f>IF(LEN('A créer'!$C25)=0,"","ENT")</f>
        <v/>
      </c>
      <c r="L25" s="2" t="str">
        <f>IF(LEN('A créer'!$C25)=0,"","ENT")</f>
        <v/>
      </c>
    </row>
    <row r="26" spans="1:12" x14ac:dyDescent="0.35">
      <c r="A26" s="2" t="str">
        <f>IF(LEN('A créer'!$C26)=0,"","TAB")</f>
        <v/>
      </c>
      <c r="B26" s="2" t="str">
        <f>IF(LEN('A créer'!$C26)=0,"","TAB")</f>
        <v/>
      </c>
      <c r="C26" s="6" t="str">
        <f>IF(LEN('A créer'!$C26)=0,"","\Un profil de sécurité nommé")</f>
        <v/>
      </c>
      <c r="D26" s="2" t="str">
        <f>IF(LEN('A créer'!$C26)=0,"","TAB")</f>
        <v/>
      </c>
      <c r="E26" s="2" t="str">
        <f>IF(LEN('A créer'!$C26)=0,"","TAB")</f>
        <v/>
      </c>
      <c r="F26" s="6" t="str">
        <f>IF(LEN('A créer'!$C26)=0,"",CONCATENATE('A créer'!B26,'A créer'!A26))</f>
        <v/>
      </c>
      <c r="G26" s="2" t="str">
        <f>IF(LEN('A créer'!$C26)=0,"","TAB")</f>
        <v/>
      </c>
      <c r="H26" s="2" t="str">
        <f>IF(LEN('A créer'!$C26)=0,"","ENT")</f>
        <v/>
      </c>
      <c r="I26" s="2" t="str">
        <f>IF(LEN('A créer'!$C26)=0,"","TAB")</f>
        <v/>
      </c>
      <c r="J26" s="2" t="str">
        <f>IF(LEN('A créer'!$C26)=0,"","TAB")</f>
        <v/>
      </c>
      <c r="K26" s="2" t="str">
        <f>IF(LEN('A créer'!$C26)=0,"","ENT")</f>
        <v/>
      </c>
      <c r="L26" s="2" t="str">
        <f>IF(LEN('A créer'!$C26)=0,"","ENT")</f>
        <v/>
      </c>
    </row>
    <row r="27" spans="1:12" x14ac:dyDescent="0.35">
      <c r="A27" s="2" t="str">
        <f>IF(LEN('A créer'!$C27)=0,"","TAB")</f>
        <v/>
      </c>
      <c r="B27" s="2" t="str">
        <f>IF(LEN('A créer'!$C27)=0,"","TAB")</f>
        <v/>
      </c>
      <c r="C27" s="6" t="str">
        <f>IF(LEN('A créer'!$C27)=0,"","\Un profil de sécurité nommé")</f>
        <v/>
      </c>
      <c r="D27" s="2" t="str">
        <f>IF(LEN('A créer'!$C27)=0,"","TAB")</f>
        <v/>
      </c>
      <c r="E27" s="2" t="str">
        <f>IF(LEN('A créer'!$C27)=0,"","TAB")</f>
        <v/>
      </c>
      <c r="F27" s="6" t="str">
        <f>IF(LEN('A créer'!$C27)=0,"",CONCATENATE('A créer'!B27,'A créer'!A27))</f>
        <v/>
      </c>
      <c r="G27" s="2" t="str">
        <f>IF(LEN('A créer'!$C27)=0,"","TAB")</f>
        <v/>
      </c>
      <c r="H27" s="2" t="str">
        <f>IF(LEN('A créer'!$C27)=0,"","ENT")</f>
        <v/>
      </c>
      <c r="I27" s="2" t="str">
        <f>IF(LEN('A créer'!$C27)=0,"","TAB")</f>
        <v/>
      </c>
      <c r="J27" s="2" t="str">
        <f>IF(LEN('A créer'!$C27)=0,"","TAB")</f>
        <v/>
      </c>
      <c r="K27" s="2" t="str">
        <f>IF(LEN('A créer'!$C27)=0,"","ENT")</f>
        <v/>
      </c>
      <c r="L27" s="2" t="str">
        <f>IF(LEN('A créer'!$C27)=0,"","ENT")</f>
        <v/>
      </c>
    </row>
    <row r="28" spans="1:12" x14ac:dyDescent="0.35">
      <c r="A28" s="2" t="str">
        <f>IF(LEN('A créer'!$C28)=0,"","TAB")</f>
        <v/>
      </c>
      <c r="B28" s="2" t="str">
        <f>IF(LEN('A créer'!$C28)=0,"","TAB")</f>
        <v/>
      </c>
      <c r="C28" s="6" t="str">
        <f>IF(LEN('A créer'!$C28)=0,"","\Un profil de sécurité nommé")</f>
        <v/>
      </c>
      <c r="D28" s="2" t="str">
        <f>IF(LEN('A créer'!$C28)=0,"","TAB")</f>
        <v/>
      </c>
      <c r="E28" s="2" t="str">
        <f>IF(LEN('A créer'!$C28)=0,"","TAB")</f>
        <v/>
      </c>
      <c r="F28" s="6" t="str">
        <f>IF(LEN('A créer'!$C28)=0,"",CONCATENATE('A créer'!B28,'A créer'!A28))</f>
        <v/>
      </c>
      <c r="G28" s="2" t="str">
        <f>IF(LEN('A créer'!$C28)=0,"","TAB")</f>
        <v/>
      </c>
      <c r="H28" s="2" t="str">
        <f>IF(LEN('A créer'!$C28)=0,"","ENT")</f>
        <v/>
      </c>
      <c r="I28" s="2" t="str">
        <f>IF(LEN('A créer'!$C28)=0,"","TAB")</f>
        <v/>
      </c>
      <c r="J28" s="2" t="str">
        <f>IF(LEN('A créer'!$C28)=0,"","TAB")</f>
        <v/>
      </c>
      <c r="K28" s="2" t="str">
        <f>IF(LEN('A créer'!$C28)=0,"","ENT")</f>
        <v/>
      </c>
      <c r="L28" s="2" t="str">
        <f>IF(LEN('A créer'!$C28)=0,"","ENT")</f>
        <v/>
      </c>
    </row>
    <row r="29" spans="1:12" x14ac:dyDescent="0.35">
      <c r="A29" s="2" t="str">
        <f>IF(LEN('A créer'!$C29)=0,"","TAB")</f>
        <v/>
      </c>
      <c r="B29" s="2" t="str">
        <f>IF(LEN('A créer'!$C29)=0,"","TAB")</f>
        <v/>
      </c>
      <c r="C29" s="6" t="str">
        <f>IF(LEN('A créer'!$C29)=0,"","\Un profil de sécurité nommé")</f>
        <v/>
      </c>
      <c r="D29" s="2" t="str">
        <f>IF(LEN('A créer'!$C29)=0,"","TAB")</f>
        <v/>
      </c>
      <c r="E29" s="2" t="str">
        <f>IF(LEN('A créer'!$C29)=0,"","TAB")</f>
        <v/>
      </c>
      <c r="F29" s="6" t="str">
        <f>IF(LEN('A créer'!$C29)=0,"",CONCATENATE('A créer'!B29,'A créer'!A29))</f>
        <v/>
      </c>
      <c r="G29" s="2" t="str">
        <f>IF(LEN('A créer'!$C29)=0,"","TAB")</f>
        <v/>
      </c>
      <c r="H29" s="2" t="str">
        <f>IF(LEN('A créer'!$C29)=0,"","ENT")</f>
        <v/>
      </c>
      <c r="I29" s="2" t="str">
        <f>IF(LEN('A créer'!$C29)=0,"","TAB")</f>
        <v/>
      </c>
      <c r="J29" s="2" t="str">
        <f>IF(LEN('A créer'!$C29)=0,"","TAB")</f>
        <v/>
      </c>
      <c r="K29" s="2" t="str">
        <f>IF(LEN('A créer'!$C29)=0,"","ENT")</f>
        <v/>
      </c>
      <c r="L29" s="2" t="str">
        <f>IF(LEN('A créer'!$C29)=0,"","ENT")</f>
        <v/>
      </c>
    </row>
    <row r="30" spans="1:12" x14ac:dyDescent="0.35">
      <c r="A30" s="2" t="str">
        <f>IF(LEN('A créer'!$C30)=0,"","TAB")</f>
        <v/>
      </c>
      <c r="B30" s="2" t="str">
        <f>IF(LEN('A créer'!$C30)=0,"","TAB")</f>
        <v/>
      </c>
      <c r="C30" s="6" t="str">
        <f>IF(LEN('A créer'!$C30)=0,"","\Un profil de sécurité nommé")</f>
        <v/>
      </c>
      <c r="D30" s="2" t="str">
        <f>IF(LEN('A créer'!$C30)=0,"","TAB")</f>
        <v/>
      </c>
      <c r="E30" s="2" t="str">
        <f>IF(LEN('A créer'!$C30)=0,"","TAB")</f>
        <v/>
      </c>
      <c r="F30" s="6" t="str">
        <f>IF(LEN('A créer'!$C30)=0,"",CONCATENATE('A créer'!B30,'A créer'!A30))</f>
        <v/>
      </c>
      <c r="G30" s="2" t="str">
        <f>IF(LEN('A créer'!$C30)=0,"","TAB")</f>
        <v/>
      </c>
      <c r="H30" s="2" t="str">
        <f>IF(LEN('A créer'!$C30)=0,"","ENT")</f>
        <v/>
      </c>
      <c r="I30" s="2" t="str">
        <f>IF(LEN('A créer'!$C30)=0,"","TAB")</f>
        <v/>
      </c>
      <c r="J30" s="2" t="str">
        <f>IF(LEN('A créer'!$C30)=0,"","TAB")</f>
        <v/>
      </c>
      <c r="K30" s="2" t="str">
        <f>IF(LEN('A créer'!$C30)=0,"","ENT")</f>
        <v/>
      </c>
      <c r="L30" s="2" t="str">
        <f>IF(LEN('A créer'!$C30)=0,"","ENT")</f>
        <v/>
      </c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G30" sqref="G30"/>
    </sheetView>
  </sheetViews>
  <sheetFormatPr baseColWidth="10" defaultRowHeight="14.5" x14ac:dyDescent="0.35"/>
  <cols>
    <col min="1" max="1" width="25" bestFit="1" customWidth="1"/>
    <col min="2" max="2" width="11.7265625" bestFit="1" customWidth="1"/>
    <col min="3" max="3" width="12.7265625" bestFit="1" customWidth="1"/>
  </cols>
  <sheetData>
    <row r="1" spans="1:3" x14ac:dyDescent="0.35">
      <c r="A1" s="12" t="s">
        <v>74</v>
      </c>
      <c r="B1" s="12" t="s">
        <v>75</v>
      </c>
      <c r="C1" s="12" t="s">
        <v>76</v>
      </c>
    </row>
    <row r="2" spans="1:3" x14ac:dyDescent="0.35">
      <c r="A2" s="11" t="s">
        <v>79</v>
      </c>
      <c r="B2" s="11" t="s">
        <v>80</v>
      </c>
      <c r="C2" s="13" t="s">
        <v>38</v>
      </c>
    </row>
    <row r="3" spans="1:3" x14ac:dyDescent="0.35">
      <c r="A3" s="11" t="s">
        <v>81</v>
      </c>
      <c r="B3" s="11" t="s">
        <v>82</v>
      </c>
      <c r="C3" s="13" t="s">
        <v>43</v>
      </c>
    </row>
    <row r="4" spans="1:3" x14ac:dyDescent="0.35">
      <c r="A4" s="11" t="s">
        <v>83</v>
      </c>
      <c r="B4" s="11" t="s">
        <v>84</v>
      </c>
      <c r="C4" s="13" t="s">
        <v>39</v>
      </c>
    </row>
    <row r="5" spans="1:3" x14ac:dyDescent="0.35">
      <c r="A5" s="11" t="s">
        <v>85</v>
      </c>
      <c r="B5" s="11" t="s">
        <v>86</v>
      </c>
      <c r="C5" s="13" t="s">
        <v>40</v>
      </c>
    </row>
    <row r="6" spans="1:3" x14ac:dyDescent="0.35">
      <c r="A6" s="11" t="s">
        <v>87</v>
      </c>
      <c r="B6" s="11" t="s">
        <v>88</v>
      </c>
      <c r="C6" s="13" t="s">
        <v>44</v>
      </c>
    </row>
    <row r="7" spans="1:3" x14ac:dyDescent="0.35">
      <c r="A7" s="14" t="s">
        <v>77</v>
      </c>
      <c r="B7" s="13" t="s">
        <v>78</v>
      </c>
      <c r="C7" s="13" t="s">
        <v>3</v>
      </c>
    </row>
    <row r="8" spans="1:3" x14ac:dyDescent="0.35">
      <c r="A8" s="11" t="s">
        <v>89</v>
      </c>
      <c r="B8" s="11" t="s">
        <v>90</v>
      </c>
      <c r="C8" s="13" t="s">
        <v>41</v>
      </c>
    </row>
    <row r="9" spans="1:3" x14ac:dyDescent="0.35">
      <c r="A9" s="11" t="s">
        <v>91</v>
      </c>
      <c r="B9" s="11" t="s">
        <v>92</v>
      </c>
      <c r="C9" s="13" t="s">
        <v>42</v>
      </c>
    </row>
  </sheetData>
  <sortState ref="A2:C9">
    <sortCondition ref="C2:C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17</vt:i4>
      </vt:variant>
    </vt:vector>
  </HeadingPairs>
  <TitlesOfParts>
    <vt:vector size="17" baseType="lpstr">
      <vt:lpstr>A créer</vt:lpstr>
      <vt:lpstr>Regroupement</vt:lpstr>
      <vt:lpstr>XDKA_ARGOS_INTERCO</vt:lpstr>
      <vt:lpstr>DAOPCCF_STE</vt:lpstr>
      <vt:lpstr>DAOPCCF_INTERCO</vt:lpstr>
      <vt:lpstr>DAOPCCF_LOCAL</vt:lpstr>
      <vt:lpstr>DAOPCCF_PROJETFI</vt:lpstr>
      <vt:lpstr>STE-PARTENAIRE</vt:lpstr>
      <vt:lpstr>STE-REGION </vt:lpstr>
      <vt:lpstr>ADRESSES</vt:lpstr>
      <vt:lpstr>DKA_CONSO_VECTOR</vt:lpstr>
      <vt:lpstr>MIGR_GROUP_ACCOUNT_CLASS_BILAN</vt:lpstr>
      <vt:lpstr>GTS Repl Seed Data</vt:lpstr>
      <vt:lpstr>Profil sécu code UO</vt:lpstr>
      <vt:lpstr>Profil sécu UO Sté</vt:lpstr>
      <vt:lpstr>GTS profil nommé</vt:lpstr>
      <vt:lpstr>Orga régions</vt:lpstr>
    </vt:vector>
  </TitlesOfParts>
  <Company>DALKIA France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JOURET Benoit</dc:creator>
  <cp:lastModifiedBy>NACER BEY Hind</cp:lastModifiedBy>
  <dcterms:created xsi:type="dcterms:W3CDTF">2021-03-23T15:13:40Z</dcterms:created>
  <dcterms:modified xsi:type="dcterms:W3CDTF">2025-07-09T10:47:38Z</dcterms:modified>
</cp:coreProperties>
</file>