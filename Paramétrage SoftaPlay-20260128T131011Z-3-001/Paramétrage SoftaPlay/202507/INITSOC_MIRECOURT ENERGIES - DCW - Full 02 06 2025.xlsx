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13619" sheetId="1" r:id="rId4"/>
    <sheet state="visible" name="INITSOC- Oracle R12" sheetId="2" r:id="rId5"/>
    <sheet state="visible" name="Nouveau référentiel R12" sheetId="3" r:id="rId6"/>
    <sheet state="visible" name="TSA CSP" sheetId="4" r:id="rId7"/>
    <sheet state="visible" name="Attributions Responsabilités" sheetId="5" r:id="rId8"/>
    <sheet state="visible" name="BD STE ET AUTRES" sheetId="6" r:id="rId9"/>
  </sheets>
  <externalReferences>
    <externalReference r:id="rId10"/>
  </externalReferences>
  <definedNames>
    <definedName name="nongeree">'INITSOC- Oracle R12'!#REF!</definedName>
    <definedName name="siret">'INITSOC- Oracle R12'!#REF!</definedName>
    <definedName name="cloture">'INITSOC- Oracle R12'!$H$28</definedName>
    <definedName name="adressesiege">'INITSOC- Oracle R12'!$H$8</definedName>
    <definedName name="villedepot">'INITSOC- Oracle R12'!$H$12</definedName>
    <definedName name="lieudetenue">'INITSOC- Oracle R12'!$H$33</definedName>
    <definedName name="debut">'INITSOC- Oracle R12'!$H$27</definedName>
    <definedName name="ville">'INITSOC- Oracle R12'!$H$10</definedName>
    <definedName name="cp">'INITSOC- Oracle R12'!$H$9</definedName>
    <definedName name="geree">'INITSOC- Oracle R12'!$H$24</definedName>
    <definedName name="intracom">'INITSOC- Oracle R12'!$H$15</definedName>
    <definedName name="naf">'INITSOC- Oracle R12'!$H$17</definedName>
    <definedName name="raison">'INITSOC- Oracle R12'!$H$6</definedName>
    <definedName name="capital">'INITSOC- Oracle R12'!$H$13</definedName>
    <definedName name="etab">'INITSOC- Oracle R12'!$H$31</definedName>
    <definedName name="fraisste">'BD STE ET AUTRES'!$H$37</definedName>
    <definedName name="conso">'INITSOC- Oracle R12'!$H$22</definedName>
    <definedName name="sigle">'INITSOC- Oracle R12'!$H$7</definedName>
    <definedName name="siren">'INITSOC- Oracle R12'!$H$14</definedName>
    <definedName name="forme">'INITSOC- Oracle R12'!$H$11</definedName>
    <definedName name="code">'INITSOC- Oracle R12'!$H$21</definedName>
  </definedNames>
  <calcPr/>
  <extLst>
    <ext uri="GoogleSheetsCustomDataVersion2">
      <go:sheetsCustomData xmlns:go="http://customooxmlschemas.google.com/" r:id="rId11" roundtripDataChecksum="e3ytXvN6NOydY6Jgf4ynpNpTCeweDjz73qx0hSTxGlk="/>
    </ext>
  </extLst>
</workbook>
</file>

<file path=xl/sharedStrings.xml><?xml version="1.0" encoding="utf-8"?>
<sst xmlns="http://schemas.openxmlformats.org/spreadsheetml/2006/main" count="400" uniqueCount="317">
  <si>
    <t>CREATION DE COMPTE BANCAIRE et Parametrage Oracle  complet  ( RB + GL)</t>
  </si>
  <si>
    <t>Direction Trésorerie Financement</t>
  </si>
  <si>
    <t>Demande de création du</t>
  </si>
  <si>
    <t>Emetteur :</t>
  </si>
  <si>
    <t>Carole LAGUELLE</t>
  </si>
  <si>
    <t>Valideur :</t>
  </si>
  <si>
    <t>Luc LEPINETTE</t>
  </si>
  <si>
    <t>Destinataire :</t>
  </si>
  <si>
    <t xml:space="preserve">DSIN,MOA finance,Agnes KURI, Olivier DESHAYES,
 </t>
  </si>
  <si>
    <t xml:space="preserve">Maxence BLANCHET, Rachid MELLAS,  ,Arnaud  MALEZIEUX  </t>
  </si>
  <si>
    <t>DONNEES GENERALES</t>
  </si>
  <si>
    <t>SOCIETE :</t>
  </si>
  <si>
    <t>0595  MIRECOURT ENERGIES</t>
  </si>
  <si>
    <t>Adresse siège :</t>
  </si>
  <si>
    <t>6,  rue des Trezelots</t>
  </si>
  <si>
    <t>54425 PULNOY</t>
  </si>
  <si>
    <t>ETABLISSEMENT :DCW ( EST)</t>
  </si>
  <si>
    <t>BANQUE</t>
  </si>
  <si>
    <t>SOCIETE GENERALE</t>
  </si>
  <si>
    <t>AGENCE</t>
  </si>
  <si>
    <t>PARIS CENTRE ENTREPRISES</t>
  </si>
  <si>
    <t>BIC:</t>
  </si>
  <si>
    <t>SOGEFRPP</t>
  </si>
  <si>
    <t>RIB :</t>
  </si>
  <si>
    <t>30003 03620 00020167886 61</t>
  </si>
  <si>
    <t>IBAN :</t>
  </si>
  <si>
    <t>FR 76 3000 3036 2000 02016788 661</t>
  </si>
  <si>
    <t>Devise de Tenue de compte</t>
  </si>
  <si>
    <t>EUR</t>
  </si>
  <si>
    <t>Création dans ORACLE</t>
  </si>
  <si>
    <t>OUI</t>
  </si>
  <si>
    <t>COMPTE COMPTABLE :</t>
  </si>
  <si>
    <t>Devise de Comptabilisation dans Oracle</t>
  </si>
  <si>
    <t>CASH POOLING</t>
  </si>
  <si>
    <t>Intégration au CASH Pooling</t>
  </si>
  <si>
    <t>Remontée sur société</t>
  </si>
  <si>
    <t>Remontée sur compte</t>
  </si>
  <si>
    <t>TYPE DE COMPTE</t>
  </si>
  <si>
    <t>PRINCIPAL</t>
  </si>
  <si>
    <t>Virement manuel</t>
  </si>
  <si>
    <t>(à cocher)</t>
  </si>
  <si>
    <t>virements express</t>
  </si>
  <si>
    <t>virement tiers echeancier</t>
  </si>
  <si>
    <t>virement groupe echéancier</t>
  </si>
  <si>
    <t>virement NDF</t>
  </si>
  <si>
    <t>TYPE DE RAPPROCHEMENT pour RB</t>
  </si>
  <si>
    <t>O</t>
  </si>
  <si>
    <t>compte bancaire  sera suivi et intégtré dans RB</t>
  </si>
  <si>
    <t>INITIALISATION DE SOCIETE</t>
  </si>
  <si>
    <t>Les onglets "INITSOC" et "Attributions Responsabilités" sont à adresser dûment complétés à la MOA FINANCE</t>
  </si>
  <si>
    <t>Ce fichier vous sera retourné après l'initialisation des différents modules</t>
  </si>
  <si>
    <t>Merci de tout saisir en lettre majuscules (utilisation de la fonction copier/coller)</t>
  </si>
  <si>
    <t xml:space="preserve">RENSEIGNEMENTS A FOURNIR </t>
  </si>
  <si>
    <t>Livre Comptable</t>
  </si>
  <si>
    <t>Raison sociale :</t>
  </si>
  <si>
    <t>MIRECOURT ENERGIES</t>
  </si>
  <si>
    <t>Sigle (20 caracyères maximum):</t>
  </si>
  <si>
    <t>Adresse du siège :</t>
  </si>
  <si>
    <t>6, rue des Trézelots</t>
  </si>
  <si>
    <t>Code Postal</t>
  </si>
  <si>
    <t>Ville</t>
  </si>
  <si>
    <t>PULNOY</t>
  </si>
  <si>
    <t>Forme juridique</t>
  </si>
  <si>
    <t>SAS</t>
  </si>
  <si>
    <t>Ville de dépôt des statuts</t>
  </si>
  <si>
    <t>NANCY</t>
  </si>
  <si>
    <t>CAPITAL</t>
  </si>
  <si>
    <t>SIREN/SIRET (14 chiffres sans espaces)</t>
  </si>
  <si>
    <t>94414094600012</t>
  </si>
  <si>
    <t>N° TVA intracommunautaire (sans espaces)</t>
  </si>
  <si>
    <t>FR55944140946</t>
  </si>
  <si>
    <t>DONNEES POUR DAS2</t>
  </si>
  <si>
    <t xml:space="preserve"> - Code NAF/APE</t>
  </si>
  <si>
    <t>3511Z</t>
  </si>
  <si>
    <t xml:space="preserve"> - Profession ou activité de l'entreprise</t>
  </si>
  <si>
    <t>Production d'électricité</t>
  </si>
  <si>
    <t xml:space="preserve"> - Code INSEE de la commune du siège social</t>
  </si>
  <si>
    <t>54439</t>
  </si>
  <si>
    <t xml:space="preserve"> - Bureau distributeur de la commune du siège social</t>
  </si>
  <si>
    <t>CODE SOCIETE</t>
  </si>
  <si>
    <t>0595</t>
  </si>
  <si>
    <t>CODE  CONSO Magnitude :</t>
  </si>
  <si>
    <t>S2070</t>
  </si>
  <si>
    <t>A jouter au code partenaire XXX0595</t>
  </si>
  <si>
    <t xml:space="preserve">Cocher SVP le type de sté </t>
  </si>
  <si>
    <t>Société à créer dans ORACLE</t>
  </si>
  <si>
    <t>Ouverture FULL en DCW</t>
  </si>
  <si>
    <t>RENSEIGNEMENTS A FOURNIR POUR IMPLANTATION DANS ORACLE
(exercice de 12 mois maximum avec clôture impérative en Juin ou Décembre)</t>
  </si>
  <si>
    <t>Date de début du premier exercice sur le système :</t>
  </si>
  <si>
    <t>ou</t>
  </si>
  <si>
    <t>Date de clôture du premier exercice sur le système en Juin de l'année :</t>
  </si>
  <si>
    <t>Date de clôture du premier exercice sur le système en Décembre de l'année :</t>
  </si>
  <si>
    <t>En cas de reprise s'assurer que l'archivage fiscal est effectué</t>
  </si>
  <si>
    <t>Etablissement(s)  à créer dans ORACLE :</t>
  </si>
  <si>
    <t>DCW</t>
  </si>
  <si>
    <t>SOCIETE SUIVIE PAR LE CONTRÔLE DE GESTION  : OUI    NON</t>
  </si>
  <si>
    <t>Appartenance de tenue de la comptabilité  :</t>
  </si>
  <si>
    <t>Trésorerie gérée par Tour Europe :  OUI    NON</t>
  </si>
  <si>
    <t>Echéancier automatique : OUI   NON (Si Oui, fournir éventuellement le logo)</t>
  </si>
  <si>
    <t>Personnel  :  OUI   NON</t>
  </si>
  <si>
    <t>NON</t>
  </si>
  <si>
    <t>Activité travaux H et/ou R:   OUI   NON</t>
  </si>
  <si>
    <t>Utilisation des outils facturation Exploitation et/ou CITY :    OUI    NON</t>
  </si>
  <si>
    <t>Option TVA sur les débits :     OUI     NON</t>
  </si>
  <si>
    <t>Implantation dans la B.D. Appartenances (facultatif) :</t>
  </si>
  <si>
    <t>Demande faite à Kador</t>
  </si>
  <si>
    <t>Tache finance de rattachement de la tache finance frais de société</t>
  </si>
  <si>
    <t>A compléter + renseigner onglet "Nouveau référentiel R12"</t>
  </si>
  <si>
    <t>Implantation dans le module  FA (systèmatique)</t>
  </si>
  <si>
    <t>Date de mise en service de la plus ancienne immobilisation (en cas de reprise)</t>
  </si>
  <si>
    <t>Lieu(x) géographique(s) :</t>
  </si>
  <si>
    <t>SOCIETE INTEGREE DANS LE PERIMETRE DU CSP : OUI  NON</t>
  </si>
  <si>
    <t xml:space="preserve">Module PO /SSP Site de facturation spécifique à la société
(avec par défaut l'adresse du siège social) </t>
  </si>
  <si>
    <t>LOGO spécifique pour les commandes ?
Dans l'affirmative, fournir le fichier</t>
  </si>
  <si>
    <t>Gestion de la Garantie Totale ? OUI/NON</t>
  </si>
  <si>
    <t>RIB BANCAIRE NECESSAIRE A LA CREATION DU TIERS FOURNISSEUR</t>
  </si>
  <si>
    <t>Compte local 513619</t>
  </si>
  <si>
    <t>Iban - FR 76 3000 3036 2000 0201 6788 661</t>
  </si>
  <si>
    <t>(Fourni par le Service Trésorerie)</t>
  </si>
  <si>
    <t>CODE BANQUE</t>
  </si>
  <si>
    <t>CODE GUICHET</t>
  </si>
  <si>
    <t>03620</t>
  </si>
  <si>
    <t>COMPTE</t>
  </si>
  <si>
    <t>00020167886</t>
  </si>
  <si>
    <t>CLE RIB</t>
  </si>
  <si>
    <t>Code fournisseur Oracle</t>
  </si>
  <si>
    <t>Code client Oracle</t>
  </si>
  <si>
    <t xml:space="preserve">DATE  DE LA DEMANDE : </t>
  </si>
  <si>
    <t xml:space="preserve">NOM ET VISA DU DEMANDEUR   : </t>
  </si>
  <si>
    <t>MALEZIEUX Arnaud</t>
  </si>
  <si>
    <t>A créer sous UO - Dalkia EST</t>
  </si>
  <si>
    <t xml:space="preserve">Société </t>
  </si>
  <si>
    <t>Code société</t>
  </si>
  <si>
    <t>Affaire organique</t>
  </si>
  <si>
    <t>Centre Finance</t>
  </si>
  <si>
    <t>Projet Finance par UO</t>
  </si>
  <si>
    <t>PF - Libellé</t>
  </si>
  <si>
    <t>PF - Classe (Type de projet)</t>
  </si>
  <si>
    <t>Région</t>
  </si>
  <si>
    <t>UO</t>
  </si>
  <si>
    <t>Description</t>
  </si>
  <si>
    <t>Tâche finance</t>
  </si>
  <si>
    <t>TF - Libellé</t>
  </si>
  <si>
    <t>TF - Libellé Type</t>
  </si>
  <si>
    <t>FB0090324R</t>
  </si>
  <si>
    <t>PF FPS 0595 MIRECOURT ENERGIES</t>
  </si>
  <si>
    <t>Organique</t>
  </si>
  <si>
    <t>DCW0535</t>
  </si>
  <si>
    <t>0595- MIRECOURT ENERGIES</t>
  </si>
  <si>
    <t>GK1545182N</t>
  </si>
  <si>
    <t>TF FPS 0595 MIRECOURT ENERGIES</t>
  </si>
  <si>
    <t>Activités organiques</t>
  </si>
  <si>
    <t>Kador :</t>
  </si>
  <si>
    <t>DK code partenaire</t>
  </si>
  <si>
    <t xml:space="preserve">Société Oracle </t>
  </si>
  <si>
    <t>DK Code Partenaire</t>
  </si>
  <si>
    <t>DK Code Société</t>
  </si>
  <si>
    <t>Paramètrage Groupe Dalkia</t>
  </si>
  <si>
    <t>Oui</t>
  </si>
  <si>
    <t>DK Code</t>
  </si>
  <si>
    <t>Statut</t>
  </si>
  <si>
    <t>Libellé</t>
  </si>
  <si>
    <t>Responsable</t>
  </si>
  <si>
    <t>Immatriculation</t>
  </si>
  <si>
    <t>ID externe</t>
  </si>
  <si>
    <t>Nature</t>
  </si>
  <si>
    <t>Sous-segment</t>
  </si>
  <si>
    <t>DK Code adresse principale</t>
  </si>
  <si>
    <t>Complement adresse établissement</t>
  </si>
  <si>
    <t>Ref adr. client</t>
  </si>
  <si>
    <t>Siège</t>
  </si>
  <si>
    <t>DK Code société</t>
  </si>
  <si>
    <t>Catégorie société</t>
  </si>
  <si>
    <t>Nb contrats</t>
  </si>
  <si>
    <t>Nb adresses</t>
  </si>
  <si>
    <t>Genre société</t>
  </si>
  <si>
    <t>K24027237D</t>
  </si>
  <si>
    <t>OUV</t>
  </si>
  <si>
    <t>GE</t>
  </si>
  <si>
    <t>Etablissement</t>
  </si>
  <si>
    <t>Industrie-Process</t>
  </si>
  <si>
    <t>L00223430U</t>
  </si>
  <si>
    <t>PULNOY - 54425</t>
  </si>
  <si>
    <t>0590329S</t>
  </si>
  <si>
    <t>D00337731J</t>
  </si>
  <si>
    <t>Dalkia</t>
  </si>
  <si>
    <t>Privé</t>
  </si>
  <si>
    <t>Dénomination sociale</t>
  </si>
  <si>
    <t>Acronyme/Sigle</t>
  </si>
  <si>
    <t>Catégorie</t>
  </si>
  <si>
    <t>Genre</t>
  </si>
  <si>
    <t>Code forme juridique</t>
  </si>
  <si>
    <t>Code NAF</t>
  </si>
  <si>
    <t>Libellé NAF</t>
  </si>
  <si>
    <t>Matricule Dalkia</t>
  </si>
  <si>
    <t>GC Dalkia</t>
  </si>
  <si>
    <t>GC EDF</t>
  </si>
  <si>
    <t>Département siège</t>
  </si>
  <si>
    <t>Nb Sociétés liées</t>
  </si>
  <si>
    <t>Nb Partenaires</t>
  </si>
  <si>
    <t>SAS, société par actions simplifiée</t>
  </si>
  <si>
    <t>Type</t>
  </si>
  <si>
    <t>CF</t>
  </si>
  <si>
    <t>PF</t>
  </si>
  <si>
    <t>Matricule Société PF</t>
  </si>
  <si>
    <t>Nb Ressources</t>
  </si>
  <si>
    <t>Nb Emplacements</t>
  </si>
  <si>
    <t>Nb Installations</t>
  </si>
  <si>
    <t>Nb Contrats</t>
  </si>
  <si>
    <t>Début</t>
  </si>
  <si>
    <t>Fin</t>
  </si>
  <si>
    <t>Mode de gestion</t>
  </si>
  <si>
    <t>B00001602W</t>
  </si>
  <si>
    <t>2025-05-27 00:00:00</t>
  </si>
  <si>
    <t>N/A</t>
  </si>
  <si>
    <t>Libellé de l adresse</t>
  </si>
  <si>
    <t>AF : Adresse 1</t>
  </si>
  <si>
    <t>AF : Adresse 2</t>
  </si>
  <si>
    <t>Code postal</t>
  </si>
  <si>
    <t>Code pays</t>
  </si>
  <si>
    <t>DCW0595</t>
  </si>
  <si>
    <t>LILLE CEDEX 9</t>
  </si>
  <si>
    <t>FR</t>
  </si>
  <si>
    <t>Information Adresse TSA - CSP :</t>
  </si>
  <si>
    <t>REGION</t>
  </si>
  <si>
    <t>SOCIETE</t>
  </si>
  <si>
    <t>Code Lieu</t>
  </si>
  <si>
    <t>Adresse ligne 1</t>
  </si>
  <si>
    <t>Adresse ligne 2</t>
  </si>
  <si>
    <t>Pays</t>
  </si>
  <si>
    <t>CUF Région</t>
  </si>
  <si>
    <t>MIRECOURT ENERGIES (13595)</t>
  </si>
  <si>
    <t>TSA 15503</t>
  </si>
  <si>
    <t>59784 LILLE CEDEX 9</t>
  </si>
  <si>
    <t>France</t>
  </si>
  <si>
    <t>SIREN/SIRET</t>
  </si>
  <si>
    <t>N° TVA intracommunautaire</t>
  </si>
  <si>
    <t>Nom accepté</t>
  </si>
  <si>
    <t>MATRICULE</t>
  </si>
  <si>
    <t>NOM</t>
  </si>
  <si>
    <t>PRENOM</t>
  </si>
  <si>
    <t>DKA APyyyy CONSULTATION SEULE</t>
  </si>
  <si>
    <t>DKA AP YYYY XXX SAISIE FACT RGLT</t>
  </si>
  <si>
    <t>DKA AP YYYY SAISIE STE (Multi région uniquement)</t>
  </si>
  <si>
    <t xml:space="preserve">DKA AP YYYY XXX DEBLOCAGE ACOMPTES </t>
  </si>
  <si>
    <t>DKA AP YYYY XXX DEBLOCAGE FACTURES</t>
  </si>
  <si>
    <t>DKA AP YYYY XXX DEBLOCAGE NDF</t>
  </si>
  <si>
    <t>DKA AP YYYY XXX FACT RGLT ANNUL</t>
  </si>
  <si>
    <t>DKA AR YYYY CONSULTATION RECOUVREMENT</t>
  </si>
  <si>
    <t>DKA AR YYYY XXX ANNUL REGLEMENT</t>
  </si>
  <si>
    <t>DKA AR YYYY XXX SAISIE</t>
  </si>
  <si>
    <t>DKA AR YYYY SAISIE STE (Multi région uniquement)</t>
  </si>
  <si>
    <t>DKA FA YYYY XXX SAISIE</t>
  </si>
  <si>
    <t>DKA GL YYYY SAISIE (Multi région uniquement)</t>
  </si>
  <si>
    <t>DKA GL YYYY CONSULTATION (Multi région uniquement)</t>
  </si>
  <si>
    <t>DOS</t>
  </si>
  <si>
    <t>x</t>
  </si>
  <si>
    <t>Pas de responsabilité spécifique à attribuer</t>
  </si>
  <si>
    <t>BD SOCIETES</t>
  </si>
  <si>
    <t>Sigle</t>
  </si>
  <si>
    <t>Raison sociale</t>
  </si>
  <si>
    <t>Type société : gérée</t>
  </si>
  <si>
    <t>Code adresse partenaire (Client ANAEL)</t>
  </si>
  <si>
    <t>Code fournisseur ancien système</t>
  </si>
  <si>
    <t>Code support édition</t>
  </si>
  <si>
    <t>Lien logo</t>
  </si>
  <si>
    <t>Branche d'activité Veolia</t>
  </si>
  <si>
    <t>Energie</t>
  </si>
  <si>
    <t>(par défaut)</t>
  </si>
  <si>
    <t>Code conso :</t>
  </si>
  <si>
    <t>DONNEES COMPTABLES</t>
  </si>
  <si>
    <t>Mois de clôture</t>
  </si>
  <si>
    <t>Centre de gestion siège</t>
  </si>
  <si>
    <t>SIEGE</t>
  </si>
  <si>
    <t>Appartenance destinataire des états (OPTIO)</t>
  </si>
  <si>
    <t>GFPB pour GFK</t>
  </si>
  <si>
    <t>Appartenance à un sous groupe</t>
  </si>
  <si>
    <t>DALKIA</t>
  </si>
  <si>
    <t>Imputation frais de société</t>
  </si>
  <si>
    <t>DONNEES SOCIALES</t>
  </si>
  <si>
    <t>adresse 1</t>
  </si>
  <si>
    <t>adresse 2</t>
  </si>
  <si>
    <t>adresse 3</t>
  </si>
  <si>
    <t>C.P.</t>
  </si>
  <si>
    <t>Siren</t>
  </si>
  <si>
    <t>Siret</t>
  </si>
  <si>
    <t>Capital</t>
  </si>
  <si>
    <t>Code APE</t>
  </si>
  <si>
    <t>Devise</t>
  </si>
  <si>
    <t>RCS</t>
  </si>
  <si>
    <t>TVA Intracommunautaire</t>
  </si>
  <si>
    <t>Création d'appartenance</t>
  </si>
  <si>
    <t>Frais de société</t>
  </si>
  <si>
    <t>ADRESSES ASPHERIA</t>
  </si>
  <si>
    <t>DISQUE PARTAGE/EDITIONS</t>
  </si>
  <si>
    <t>M.A.J. FICHIER CLEHOA.XLS</t>
  </si>
  <si>
    <t>M.A.J. FICHIER ADRESSESORACLE.XLS</t>
  </si>
  <si>
    <t>Copier le texte du fichier "Mail Infos sur création de société" dans le mail et utiliser la liste de la région concernée</t>
  </si>
  <si>
    <t>Liste GF CREATION SOCIETE</t>
  </si>
  <si>
    <t>(Lebeurre, Jouret, Sellitto, Dupont)</t>
  </si>
  <si>
    <t xml:space="preserve">Liste MOA </t>
  </si>
  <si>
    <t>(Myriam, Bernard, Gilbert, Didier, Alexis, Dominique)</t>
  </si>
  <si>
    <t>Finance.am</t>
  </si>
  <si>
    <t>MISE A JOUR DU FICHIER DES EDITIONS, onglets "Autres états" et "LCJ"</t>
  </si>
  <si>
    <t>MISE A JOUR DU FICHIER STES TENUES DANS OA dans MOA Finance\PARAMETRAGE 11.5.9</t>
  </si>
  <si>
    <t>(1) Récupération du code client ANAEL</t>
  </si>
  <si>
    <t>Responsabilité DKA AR Administrateur/Clients/Standard</t>
  </si>
  <si>
    <t>Rechercher le client Dans l'écran "Rechercher/saisir clients"</t>
  </si>
  <si>
    <t>Dans l'écran "Résultats de la recherche" se placer sur une ligne "détail" et cliquer sur OK</t>
  </si>
  <si>
    <t>Dans l'écran "Clients - Standard" ouvrir l'onglet "Adresses"</t>
  </si>
  <si>
    <t>Le code ANAEL est renseigné dans l'onglet "Fonctions économiques".</t>
  </si>
  <si>
    <t>(2)Récupération du fournisseur ANAEL</t>
  </si>
  <si>
    <t>Tant que l'interface fonctionne, pas de pb</t>
  </si>
  <si>
    <t>Sinon, Responsabilité DKA AP Consultation referentiel/Fournisseurs/Rechercher</t>
  </si>
  <si>
    <t>Rechercher le fournisseur</t>
  </si>
  <si>
    <t>Dans l'écran "Fournisseurs(Dalkia_ope)", cliquer sur Sites</t>
  </si>
  <si>
    <t>Ouvrir le CUF dans l'écran "Sites fournisseur", le code ANAEL est renseigné.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</si>
</sst>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/M/YYYY"/>
    <numFmt numFmtId="165" formatCode="#,##0&quot; €&quot;"/>
    <numFmt numFmtId="166" formatCode="00000000000000"/>
    <numFmt numFmtId="167" formatCode="#,##0\ &quot;F&quot;;[Red]\-#,##0\ &quot;F&quot;"/>
    <numFmt numFmtId="168" formatCode="00000"/>
    <numFmt numFmtId="169" formatCode="0000"/>
    <numFmt numFmtId="170" formatCode="00000000000"/>
    <numFmt numFmtId="171" formatCode="00"/>
    <numFmt numFmtId="172" formatCode="#,##0\ &quot;F&quot;;\-#,##0\ &quot;F&quot;"/>
  </numFmts>
  <fonts count="30">
    <font>
      <sz val="10.0"/>
      <color rgb="FF000000"/>
      <name val="Open Sans"/>
      <scheme val="minor"/>
    </font>
    <font>
      <b/>
      <sz val="11.0"/>
      <color theme="1"/>
      <name val="Arial"/>
    </font>
    <font/>
    <font>
      <sz val="10.0"/>
      <color theme="1"/>
      <name val="Open Sans"/>
    </font>
    <font>
      <b/>
      <i/>
      <sz val="11.0"/>
      <color theme="1"/>
      <name val="Arial"/>
    </font>
    <font>
      <i/>
      <sz val="11.0"/>
      <color theme="1"/>
      <name val="Arial"/>
    </font>
    <font>
      <sz val="11.0"/>
      <color theme="1"/>
      <name val="Arial"/>
    </font>
    <font>
      <b/>
      <sz val="12.0"/>
      <color theme="1"/>
      <name val="Open Sans"/>
    </font>
    <font>
      <b/>
      <sz val="12.0"/>
      <color rgb="FFFF0000"/>
      <name val="Open Sans"/>
    </font>
    <font>
      <b/>
      <sz val="10.0"/>
      <color theme="1"/>
      <name val="Open Sans"/>
    </font>
    <font>
      <b/>
      <sz val="10.0"/>
      <color rgb="FFFF0000"/>
      <name val="Open Sans"/>
    </font>
    <font>
      <sz val="12.0"/>
      <color theme="1"/>
      <name val="Open Sans"/>
    </font>
    <font>
      <sz val="10.0"/>
      <color rgb="FF0070C0"/>
      <name val="Open Sans"/>
    </font>
    <font>
      <color theme="1"/>
      <name val="Open Sans"/>
      <scheme val="minor"/>
    </font>
    <font>
      <sz val="10.0"/>
      <color rgb="FFFF0000"/>
      <name val="Open Sans"/>
    </font>
    <font>
      <sz val="9.0"/>
      <color rgb="FF000000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b/>
      <sz val="12.0"/>
      <color theme="1"/>
      <name val="Calibri"/>
    </font>
    <font>
      <sz val="8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sz val="10.0"/>
      <color theme="0"/>
      <name val="Arial"/>
    </font>
    <font>
      <sz val="10.0"/>
      <color theme="1"/>
      <name val="Arial"/>
    </font>
    <font>
      <b/>
      <sz val="10.0"/>
      <color rgb="FF000000"/>
      <name val="Helvetica Neue"/>
    </font>
    <font>
      <sz val="10.0"/>
      <color rgb="FF000000"/>
      <name val="Helvetica Neue"/>
    </font>
    <font>
      <sz val="7.0"/>
      <color theme="1"/>
      <name val="Arial"/>
    </font>
    <font>
      <b/>
      <sz val="8.0"/>
      <color theme="1"/>
      <name val="Arial"/>
    </font>
    <font>
      <sz val="10.0"/>
      <color rgb="FFFF0000"/>
      <name val="Arial"/>
    </font>
    <font>
      <b/>
      <sz val="10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B8CCE4"/>
        <bgColor rgb="FFB8CCE4"/>
      </patternFill>
    </fill>
    <fill>
      <patternFill patternType="solid">
        <fgColor rgb="FFEAF1DD"/>
        <bgColor rgb="FFEAF1DD"/>
      </patternFill>
    </fill>
    <fill>
      <patternFill patternType="solid">
        <fgColor rgb="FFE26B0A"/>
        <bgColor rgb="FFE26B0A"/>
      </patternFill>
    </fill>
    <fill>
      <patternFill patternType="solid">
        <fgColor rgb="FF005BBB"/>
        <bgColor rgb="FF005BBB"/>
      </patternFill>
    </fill>
    <fill>
      <patternFill patternType="solid">
        <fgColor theme="4"/>
        <bgColor theme="4"/>
      </patternFill>
    </fill>
    <fill>
      <patternFill patternType="solid">
        <fgColor rgb="FFDBE5F1"/>
        <bgColor rgb="FFDBE5F1"/>
      </patternFill>
    </fill>
    <fill>
      <patternFill patternType="solid">
        <fgColor rgb="FFFFC000"/>
        <bgColor rgb="FFFFC000"/>
      </patternFill>
    </fill>
    <fill>
      <patternFill patternType="solid">
        <fgColor rgb="FFDDD9C3"/>
        <bgColor rgb="FFDDD9C3"/>
      </patternFill>
    </fill>
    <fill>
      <patternFill patternType="solid">
        <fgColor rgb="FFE5B8B7"/>
        <bgColor rgb="FFE5B8B7"/>
      </patternFill>
    </fill>
    <fill>
      <patternFill patternType="solid">
        <fgColor rgb="FF17365D"/>
        <bgColor rgb="FF17365D"/>
      </patternFill>
    </fill>
  </fills>
  <borders count="3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1" vertical="center" wrapText="0"/>
    </xf>
    <xf borderId="1" fillId="0" fontId="1" numFmtId="0" xfId="0" applyAlignment="1" applyBorder="1" applyFont="1">
      <alignment horizontal="center" shrinkToFit="1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1" vertical="center" wrapText="0"/>
    </xf>
    <xf borderId="0" fillId="0" fontId="4" numFmtId="0" xfId="0" applyFont="1"/>
    <xf borderId="0" fillId="0" fontId="1" numFmtId="0" xfId="0" applyAlignment="1" applyFont="1">
      <alignment horizontal="center"/>
    </xf>
    <xf borderId="0" fillId="0" fontId="5" numFmtId="0" xfId="0" applyFont="1"/>
    <xf borderId="4" fillId="0" fontId="6" numFmtId="164" xfId="0" applyAlignment="1" applyBorder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5" fillId="0" fontId="3" numFmtId="0" xfId="0" applyBorder="1" applyFont="1"/>
    <xf borderId="6" fillId="0" fontId="1" numFmtId="0" xfId="0" applyAlignment="1" applyBorder="1" applyFont="1">
      <alignment horizontal="left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1" numFmtId="0" xfId="0" applyFont="1"/>
    <xf borderId="0" fillId="0" fontId="3" numFmtId="0" xfId="0" applyFont="1"/>
    <xf borderId="9" fillId="0" fontId="3" numFmtId="0" xfId="0" applyBorder="1" applyFont="1"/>
    <xf borderId="10" fillId="2" fontId="1" numFmtId="0" xfId="0" applyAlignment="1" applyBorder="1" applyFill="1" applyFont="1">
      <alignment horizontal="left" shrinkToFit="0" vertical="top" wrapText="1"/>
    </xf>
    <xf borderId="11" fillId="0" fontId="2" numFmtId="0" xfId="0" applyBorder="1" applyFont="1"/>
    <xf borderId="12" fillId="0" fontId="2" numFmtId="0" xfId="0" applyBorder="1" applyFont="1"/>
    <xf borderId="13" fillId="0" fontId="3" numFmtId="0" xfId="0" applyBorder="1" applyFont="1"/>
    <xf borderId="14" fillId="2" fontId="1" numFmtId="0" xfId="0" applyAlignment="1" applyBorder="1" applyFont="1">
      <alignment horizontal="left" shrinkToFit="0" wrapText="1"/>
    </xf>
    <xf borderId="15" fillId="0" fontId="2" numFmtId="0" xfId="0" applyBorder="1" applyFont="1"/>
    <xf borderId="16" fillId="0" fontId="2" numFmtId="0" xfId="0" applyBorder="1" applyFont="1"/>
    <xf borderId="17" fillId="3" fontId="3" numFmtId="0" xfId="0" applyBorder="1" applyFill="1" applyFont="1"/>
    <xf borderId="18" fillId="3" fontId="1" numFmtId="0" xfId="0" applyAlignment="1" applyBorder="1" applyFont="1">
      <alignment horizontal="left"/>
    </xf>
    <xf borderId="19" fillId="0" fontId="2" numFmtId="0" xfId="0" applyBorder="1" applyFont="1"/>
    <xf borderId="20" fillId="0" fontId="2" numFmtId="0" xfId="0" applyBorder="1" applyFont="1"/>
    <xf borderId="21" fillId="3" fontId="6" numFmtId="0" xfId="0" applyBorder="1" applyFont="1"/>
    <xf borderId="22" fillId="3" fontId="3" numFmtId="0" xfId="0" applyBorder="1" applyFont="1"/>
    <xf borderId="10" fillId="3" fontId="6" numFmtId="0" xfId="0" applyAlignment="1" applyBorder="1" applyFont="1">
      <alignment horizontal="left"/>
    </xf>
    <xf borderId="23" fillId="3" fontId="6" numFmtId="0" xfId="0" applyBorder="1" applyFont="1"/>
    <xf borderId="24" fillId="3" fontId="3" numFmtId="0" xfId="0" applyBorder="1" applyFont="1"/>
    <xf borderId="24" fillId="3" fontId="1" numFmtId="0" xfId="0" applyBorder="1" applyFont="1"/>
    <xf borderId="25" fillId="3" fontId="3" numFmtId="0" xfId="0" applyBorder="1" applyFont="1"/>
    <xf borderId="6" fillId="0" fontId="1" numFmtId="0" xfId="0" applyBorder="1" applyFont="1"/>
    <xf borderId="0" fillId="0" fontId="1" numFmtId="0" xfId="0" applyAlignment="1" applyFont="1">
      <alignment horizontal="left" shrinkToFit="0" wrapText="1"/>
    </xf>
    <xf borderId="9" fillId="0" fontId="2" numFmtId="0" xfId="0" applyBorder="1" applyFont="1"/>
    <xf borderId="8" fillId="0" fontId="6" numFmtId="0" xfId="0" applyBorder="1" applyFont="1"/>
    <xf borderId="1" fillId="0" fontId="3" numFmtId="0" xfId="0" applyBorder="1" applyFont="1"/>
    <xf borderId="2" fillId="0" fontId="3" numFmtId="0" xfId="0" applyBorder="1" applyFont="1"/>
    <xf borderId="4" fillId="2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26" fillId="2" fontId="1" numFmtId="0" xfId="0" applyAlignment="1" applyBorder="1" applyFont="1">
      <alignment horizontal="center"/>
    </xf>
    <xf borderId="27" fillId="0" fontId="3" numFmtId="0" xfId="0" applyBorder="1" applyFont="1"/>
    <xf borderId="28" fillId="2" fontId="1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26" fillId="4" fontId="1" numFmtId="49" xfId="0" applyAlignment="1" applyBorder="1" applyFill="1" applyFont="1" applyNumberFormat="1">
      <alignment horizontal="center"/>
    </xf>
    <xf borderId="27" fillId="0" fontId="1" numFmtId="3" xfId="0" applyBorder="1" applyFont="1" applyNumberFormat="1"/>
    <xf borderId="4" fillId="4" fontId="1" numFmtId="0" xfId="0" applyAlignment="1" applyBorder="1" applyFont="1">
      <alignment horizontal="center"/>
    </xf>
    <xf borderId="0" fillId="0" fontId="6" numFmtId="0" xfId="0" applyFont="1"/>
    <xf borderId="29" fillId="2" fontId="6" numFmtId="0" xfId="0" applyBorder="1" applyFont="1"/>
    <xf borderId="30" fillId="2" fontId="1" numFmtId="0" xfId="0" applyBorder="1" applyFont="1"/>
    <xf borderId="31" fillId="2" fontId="1" numFmtId="0" xfId="0" applyBorder="1" applyFont="1"/>
    <xf borderId="30" fillId="2" fontId="6" numFmtId="0" xfId="0" applyBorder="1" applyFont="1"/>
    <xf borderId="31" fillId="2" fontId="6" numFmtId="0" xfId="0" applyBorder="1" applyFont="1"/>
    <xf borderId="29" fillId="4" fontId="6" numFmtId="0" xfId="0" applyBorder="1" applyFont="1"/>
    <xf borderId="30" fillId="4" fontId="6" numFmtId="0" xfId="0" applyBorder="1" applyFont="1"/>
    <xf borderId="31" fillId="4" fontId="6" numFmtId="0" xfId="0" applyBorder="1" applyFont="1"/>
    <xf borderId="0" fillId="0" fontId="1" numFmtId="0" xfId="0" applyAlignment="1" applyFont="1">
      <alignment horizontal="left"/>
    </xf>
    <xf borderId="29" fillId="2" fontId="6" numFmtId="0" xfId="0" applyAlignment="1" applyBorder="1" applyFont="1">
      <alignment horizontal="left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3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/>
    </xf>
    <xf borderId="0" fillId="0" fontId="11" numFmtId="0" xfId="0" applyAlignment="1" applyFont="1">
      <alignment horizontal="center"/>
    </xf>
    <xf borderId="0" fillId="0" fontId="8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9" numFmtId="0" xfId="0" applyAlignment="1" applyFont="1">
      <alignment vertical="center"/>
    </xf>
    <xf borderId="4" fillId="0" fontId="12" numFmtId="0" xfId="0" applyAlignment="1" applyBorder="1" applyFont="1">
      <alignment horizontal="center" vertical="center"/>
    </xf>
    <xf borderId="0" fillId="0" fontId="13" numFmtId="0" xfId="0" applyFont="1"/>
    <xf borderId="0" fillId="0" fontId="9" numFmtId="0" xfId="0" applyAlignment="1" applyFont="1">
      <alignment horizontal="center"/>
    </xf>
    <xf borderId="4" fillId="0" fontId="12" numFmtId="0" xfId="0" applyAlignment="1" applyBorder="1" applyFont="1">
      <alignment horizontal="center"/>
    </xf>
    <xf borderId="0" fillId="0" fontId="9" numFmtId="0" xfId="0" applyFont="1"/>
    <xf borderId="32" fillId="0" fontId="9" numFmtId="0" xfId="0" applyAlignment="1" applyBorder="1" applyFont="1">
      <alignment horizontal="center"/>
    </xf>
    <xf borderId="0" fillId="0" fontId="14" numFmtId="0" xfId="0" applyFont="1"/>
    <xf borderId="33" fillId="0" fontId="9" numFmtId="0" xfId="0" applyAlignment="1" applyBorder="1" applyFont="1">
      <alignment horizontal="center"/>
    </xf>
    <xf borderId="32" fillId="0" fontId="9" numFmtId="165" xfId="0" applyAlignment="1" applyBorder="1" applyFont="1" applyNumberFormat="1">
      <alignment horizontal="center"/>
    </xf>
    <xf quotePrefix="1" borderId="32" fillId="0" fontId="9" numFmtId="3" xfId="0" applyAlignment="1" applyBorder="1" applyFont="1" applyNumberFormat="1">
      <alignment horizontal="center"/>
    </xf>
    <xf borderId="32" fillId="0" fontId="9" numFmtId="166" xfId="0" applyAlignment="1" applyBorder="1" applyFont="1" applyNumberFormat="1">
      <alignment horizontal="center"/>
    </xf>
    <xf borderId="32" fillId="0" fontId="9" numFmtId="167" xfId="0" applyAlignment="1" applyBorder="1" applyFont="1" applyNumberFormat="1">
      <alignment horizontal="center"/>
    </xf>
    <xf quotePrefix="1" borderId="32" fillId="0" fontId="9" numFmtId="166" xfId="0" applyAlignment="1" applyBorder="1" applyFont="1" applyNumberFormat="1">
      <alignment horizontal="center"/>
    </xf>
    <xf borderId="32" fillId="0" fontId="9" numFmtId="168" xfId="0" applyAlignment="1" applyBorder="1" applyFont="1" applyNumberFormat="1">
      <alignment horizontal="center"/>
    </xf>
    <xf quotePrefix="1" borderId="32" fillId="5" fontId="9" numFmtId="169" xfId="0" applyAlignment="1" applyBorder="1" applyFill="1" applyFont="1" applyNumberFormat="1">
      <alignment horizontal="center"/>
    </xf>
    <xf borderId="32" fillId="0" fontId="9" numFmtId="0" xfId="0" applyAlignment="1" applyBorder="1" applyFont="1">
      <alignment horizontal="center" vertical="center"/>
    </xf>
    <xf borderId="0" fillId="0" fontId="14" numFmtId="0" xfId="0" applyAlignment="1" applyFont="1">
      <alignment vertical="center"/>
    </xf>
    <xf borderId="0" fillId="0" fontId="9" numFmtId="0" xfId="0" applyAlignment="1" applyFont="1">
      <alignment horizontal="center" vertical="top"/>
    </xf>
    <xf borderId="0" fillId="0" fontId="9" numFmtId="0" xfId="0" applyAlignment="1" applyFont="1">
      <alignment horizontal="center" shrinkToFit="0" vertical="top" wrapText="1"/>
    </xf>
    <xf borderId="0" fillId="0" fontId="14" numFmtId="0" xfId="0" applyAlignment="1" applyFont="1">
      <alignment vertical="top"/>
    </xf>
    <xf borderId="0" fillId="0" fontId="3" numFmtId="0" xfId="0" applyAlignment="1" applyFont="1">
      <alignment vertical="top"/>
    </xf>
    <xf borderId="0" fillId="0" fontId="9" numFmtId="0" xfId="0" applyAlignment="1" applyFont="1">
      <alignment vertical="top"/>
    </xf>
    <xf borderId="32" fillId="0" fontId="9" numFmtId="164" xfId="0" applyAlignment="1" applyBorder="1" applyFont="1" applyNumberFormat="1">
      <alignment horizontal="center" vertical="top"/>
    </xf>
    <xf borderId="0" fillId="0" fontId="3" numFmtId="0" xfId="0" applyAlignment="1" applyFont="1">
      <alignment horizontal="center" vertical="center"/>
    </xf>
    <xf borderId="33" fillId="0" fontId="9" numFmtId="164" xfId="0" applyAlignment="1" applyBorder="1" applyFont="1" applyNumberFormat="1">
      <alignment horizontal="center"/>
    </xf>
    <xf borderId="0" fillId="0" fontId="10" numFmtId="0" xfId="0" applyFont="1"/>
    <xf borderId="0" fillId="0" fontId="9" numFmtId="0" xfId="0" applyAlignment="1" applyFont="1">
      <alignment shrinkToFit="0" wrapText="1"/>
    </xf>
    <xf borderId="32" fillId="0" fontId="9" numFmtId="2" xfId="0" applyAlignment="1" applyBorder="1" applyFont="1" applyNumberFormat="1">
      <alignment horizontal="center"/>
    </xf>
    <xf borderId="0" fillId="0" fontId="14" numFmtId="0" xfId="0" applyAlignment="1" applyFont="1">
      <alignment horizontal="center" shrinkToFit="0" wrapText="1"/>
    </xf>
    <xf borderId="32" fillId="0" fontId="9" numFmtId="0" xfId="0" applyAlignment="1" applyBorder="1" applyFont="1">
      <alignment horizontal="center" shrinkToFit="0" wrapText="1"/>
    </xf>
    <xf borderId="0" fillId="0" fontId="3" numFmtId="0" xfId="0" applyAlignment="1" applyFont="1">
      <alignment shrinkToFit="0" wrapText="1"/>
    </xf>
    <xf borderId="34" fillId="0" fontId="2" numFmtId="0" xfId="0" applyBorder="1" applyFont="1"/>
    <xf borderId="0" fillId="0" fontId="3" numFmtId="0" xfId="0" applyAlignment="1" applyFont="1">
      <alignment horizontal="left" shrinkToFit="0" wrapText="1"/>
    </xf>
    <xf quotePrefix="1" borderId="32" fillId="0" fontId="9" numFmtId="168" xfId="0" applyAlignment="1" applyBorder="1" applyFont="1" applyNumberFormat="1">
      <alignment horizontal="center"/>
    </xf>
    <xf quotePrefix="1" borderId="32" fillId="0" fontId="9" numFmtId="170" xfId="0" applyAlignment="1" applyBorder="1" applyFont="1" applyNumberFormat="1">
      <alignment horizontal="center"/>
    </xf>
    <xf borderId="32" fillId="0" fontId="9" numFmtId="171" xfId="0" applyAlignment="1" applyBorder="1" applyFont="1" applyNumberFormat="1">
      <alignment horizontal="center"/>
    </xf>
    <xf quotePrefix="1" borderId="32" fillId="0" fontId="9" numFmtId="0" xfId="0" applyAlignment="1" applyBorder="1" applyFont="1">
      <alignment horizontal="center"/>
    </xf>
    <xf borderId="0" fillId="0" fontId="3" numFmtId="164" xfId="0" applyAlignment="1" applyFont="1" applyNumberFormat="1">
      <alignment vertical="center"/>
    </xf>
    <xf quotePrefix="1" borderId="0" fillId="0" fontId="9" numFmtId="0" xfId="0" applyAlignment="1" applyFont="1">
      <alignment horizontal="center"/>
    </xf>
    <xf borderId="4" fillId="6" fontId="3" numFmtId="49" xfId="0" applyAlignment="1" applyBorder="1" applyFill="1" applyFont="1" applyNumberFormat="1">
      <alignment horizontal="center"/>
    </xf>
    <xf borderId="4" fillId="6" fontId="3" numFmtId="49" xfId="0" applyAlignment="1" applyBorder="1" applyFont="1" applyNumberFormat="1">
      <alignment horizontal="center" shrinkToFit="0" wrapText="1"/>
    </xf>
    <xf borderId="0" fillId="0" fontId="15" numFmtId="0" xfId="0" applyFont="1"/>
    <xf quotePrefix="1" borderId="4" fillId="2" fontId="3" numFmtId="0" xfId="0" applyAlignment="1" applyBorder="1" applyFont="1">
      <alignment horizontal="center"/>
    </xf>
    <xf borderId="4" fillId="0" fontId="16" numFmtId="49" xfId="0" applyAlignment="1" applyBorder="1" applyFont="1" applyNumberFormat="1">
      <alignment horizontal="center"/>
    </xf>
    <xf borderId="4" fillId="2" fontId="17" numFmtId="49" xfId="0" applyAlignment="1" applyBorder="1" applyFont="1" applyNumberFormat="1">
      <alignment horizontal="center"/>
    </xf>
    <xf borderId="4" fillId="0" fontId="16" numFmtId="49" xfId="0" applyBorder="1" applyFont="1" applyNumberFormat="1"/>
    <xf borderId="4" fillId="2" fontId="18" numFmtId="49" xfId="0" applyAlignment="1" applyBorder="1" applyFont="1" applyNumberFormat="1">
      <alignment horizontal="center"/>
    </xf>
    <xf borderId="4" fillId="7" fontId="19" numFmtId="0" xfId="0" applyBorder="1" applyFill="1" applyFont="1"/>
    <xf borderId="4" fillId="0" fontId="19" numFmtId="0" xfId="0" applyBorder="1" applyFont="1"/>
    <xf borderId="4" fillId="0" fontId="3" numFmtId="0" xfId="0" applyAlignment="1" applyBorder="1" applyFont="1">
      <alignment horizontal="center"/>
    </xf>
    <xf borderId="4" fillId="2" fontId="3" numFmtId="0" xfId="0" applyAlignment="1" applyBorder="1" applyFont="1">
      <alignment horizontal="center"/>
    </xf>
    <xf borderId="4" fillId="8" fontId="20" numFmtId="0" xfId="0" applyBorder="1" applyFill="1" applyFont="1"/>
    <xf borderId="4" fillId="9" fontId="21" numFmtId="0" xfId="0" applyBorder="1" applyFill="1" applyFont="1"/>
    <xf borderId="4" fillId="10" fontId="22" numFmtId="0" xfId="0" applyAlignment="1" applyBorder="1" applyFill="1" applyFont="1">
      <alignment horizontal="center" shrinkToFit="0" wrapText="1"/>
    </xf>
    <xf borderId="4" fillId="10" fontId="22" numFmtId="0" xfId="0" applyAlignment="1" applyBorder="1" applyFont="1">
      <alignment shrinkToFit="0" wrapText="1"/>
    </xf>
    <xf borderId="4" fillId="11" fontId="23" numFmtId="0" xfId="0" applyAlignment="1" applyBorder="1" applyFill="1" applyFont="1">
      <alignment horizontal="center" readingOrder="0"/>
    </xf>
    <xf borderId="4" fillId="12" fontId="23" numFmtId="0" xfId="0" applyAlignment="1" applyBorder="1" applyFill="1" applyFont="1">
      <alignment horizontal="center"/>
    </xf>
    <xf borderId="4" fillId="11" fontId="23" numFmtId="49" xfId="0" applyAlignment="1" applyBorder="1" applyFont="1" applyNumberFormat="1">
      <alignment horizontal="center"/>
    </xf>
    <xf borderId="4" fillId="11" fontId="23" numFmtId="0" xfId="0" applyAlignment="1" applyBorder="1" applyFont="1">
      <alignment horizontal="center"/>
    </xf>
    <xf borderId="4" fillId="13" fontId="24" numFmtId="0" xfId="0" applyAlignment="1" applyBorder="1" applyFill="1" applyFont="1">
      <alignment horizontal="center"/>
    </xf>
    <xf borderId="4" fillId="0" fontId="25" numFmtId="49" xfId="0" applyAlignment="1" applyBorder="1" applyFont="1" applyNumberFormat="1">
      <alignment horizontal="center"/>
    </xf>
    <xf quotePrefix="1" borderId="4" fillId="0" fontId="3" numFmtId="0" xfId="0" applyAlignment="1" applyBorder="1" applyFont="1">
      <alignment horizontal="center"/>
    </xf>
    <xf borderId="4" fillId="13" fontId="24" numFmtId="0" xfId="0" applyBorder="1" applyFont="1"/>
    <xf borderId="0" fillId="0" fontId="26" numFmtId="0" xfId="0" applyAlignment="1" applyFont="1">
      <alignment horizontal="center" shrinkToFit="0" vertical="center" wrapText="1"/>
    </xf>
    <xf borderId="26" fillId="14" fontId="27" numFmtId="0" xfId="0" applyAlignment="1" applyBorder="1" applyFill="1" applyFont="1">
      <alignment horizontal="center" shrinkToFit="0" textRotation="76" vertical="center" wrapText="1"/>
    </xf>
    <xf borderId="35" fillId="0" fontId="27" numFmtId="0" xfId="0" applyAlignment="1" applyBorder="1" applyFont="1">
      <alignment horizontal="center" shrinkToFit="0" textRotation="76" vertical="center" wrapText="1"/>
    </xf>
    <xf borderId="4" fillId="0" fontId="28" numFmtId="0" xfId="0" applyBorder="1" applyFont="1"/>
    <xf borderId="4" fillId="15" fontId="28" numFmtId="0" xfId="0" applyAlignment="1" applyBorder="1" applyFill="1" applyFont="1">
      <alignment horizontal="center"/>
    </xf>
    <xf borderId="4" fillId="0" fontId="28" numFmtId="0" xfId="0" applyAlignment="1" applyBorder="1" applyFont="1">
      <alignment horizontal="center"/>
    </xf>
    <xf borderId="0" fillId="0" fontId="23" numFmtId="0" xfId="0" applyFont="1"/>
    <xf borderId="4" fillId="0" fontId="23" numFmtId="0" xfId="0" applyBorder="1" applyFont="1"/>
    <xf borderId="4" fillId="15" fontId="23" numFmtId="0" xfId="0" applyBorder="1" applyFont="1"/>
    <xf borderId="0" fillId="0" fontId="29" numFmtId="0" xfId="0" applyFont="1"/>
    <xf borderId="0" fillId="0" fontId="23" numFmtId="171" xfId="0" applyFont="1" applyNumberFormat="1"/>
    <xf borderId="0" fillId="0" fontId="23" numFmtId="164" xfId="0" applyFont="1" applyNumberFormat="1"/>
    <xf borderId="0" fillId="0" fontId="29" numFmtId="169" xfId="0" applyFont="1" applyNumberFormat="1"/>
    <xf borderId="0" fillId="0" fontId="29" numFmtId="172" xfId="0" applyFont="1" applyNumberFormat="1"/>
    <xf borderId="0" fillId="0" fontId="23" numFmtId="172" xfId="0" applyFont="1" applyNumberFormat="1"/>
    <xf borderId="0" fillId="0" fontId="23" numFmtId="165" xfId="0" applyFont="1" applyNumberFormat="1"/>
    <xf borderId="0" fillId="0" fontId="23" numFmtId="167" xfId="0" applyFont="1" applyNumberFormat="1"/>
    <xf borderId="0" fillId="0" fontId="23" numFmtId="3" xfId="0" applyFont="1" applyNumberFormat="1"/>
    <xf borderId="32" fillId="0" fontId="23" numFmtId="0" xfId="0" applyBorder="1" applyFont="1"/>
    <xf borderId="0" fillId="0" fontId="23" numFmtId="16" xfId="0" applyFont="1" applyNumberFormat="1"/>
    <xf borderId="0" fillId="0" fontId="2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externalLink" Target="externalLinks/externalLink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57150</xdr:rowOff>
    </xdr:from>
    <xdr:ext cx="1266825" cy="438150"/>
    <xdr:pic>
      <xdr:nvPicPr>
        <xdr:cNvPr descr="https://lh5.googleusercontent.com/-GpiOseqefxI/U9ZyZDwWu1I/AAAAAAAAABE/vRxtmRdug5Q/w140-h53-p/DALKIA%2520edf%2520new%2520logo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DK_PARAM_ORG_SOCIETE%20et%20ADRESSE_EXTR%20-%20DCW%20-%20MIRECOURT%20ENERGIES%20-%200595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K-PARAM SOC"/>
      <sheetName val="DK-PARAM ADRESSE"/>
      <sheetName val="Bible des Famille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 fitToPage="1"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32.57"/>
    <col customWidth="1" min="5" max="5" width="22.43"/>
    <col customWidth="1" min="6" max="6" width="30.57"/>
    <col customWidth="1" min="7" max="7" width="10.14"/>
    <col customWidth="1" min="8" max="26" width="10.71"/>
  </cols>
  <sheetData>
    <row r="1" ht="12.75" customHeight="1">
      <c r="D1" s="1"/>
      <c r="E1" s="2" t="s">
        <v>0</v>
      </c>
      <c r="F1" s="3"/>
      <c r="G1" s="4"/>
    </row>
    <row r="2" ht="12.75" customHeight="1">
      <c r="D2" s="1"/>
      <c r="E2" s="5"/>
      <c r="F2" s="5"/>
      <c r="G2" s="5"/>
    </row>
    <row r="3" ht="12.75" customHeight="1">
      <c r="D3" s="1"/>
      <c r="E3" s="5"/>
      <c r="F3" s="5"/>
      <c r="G3" s="5"/>
    </row>
    <row r="4" ht="12.75" customHeight="1">
      <c r="A4" s="6" t="s">
        <v>1</v>
      </c>
      <c r="E4" s="7"/>
    </row>
    <row r="5" ht="12.75" customHeight="1"/>
    <row r="6" ht="12.75" customHeight="1"/>
    <row r="7" ht="12.75" customHeight="1"/>
    <row r="8" ht="12.75" customHeight="1">
      <c r="A8" s="8" t="s">
        <v>2</v>
      </c>
      <c r="C8" s="9">
        <v>45838.0</v>
      </c>
    </row>
    <row r="9" ht="15.0" customHeight="1">
      <c r="C9" s="10"/>
    </row>
    <row r="10" ht="12.75" customHeight="1">
      <c r="D10" s="11" t="s">
        <v>3</v>
      </c>
      <c r="E10" s="12" t="s">
        <v>4</v>
      </c>
      <c r="F10" s="13"/>
      <c r="G10" s="14"/>
    </row>
    <row r="11" ht="12.75" customHeight="1">
      <c r="D11" s="15" t="s">
        <v>5</v>
      </c>
      <c r="E11" s="16" t="s">
        <v>6</v>
      </c>
      <c r="F11" s="17"/>
      <c r="G11" s="18"/>
    </row>
    <row r="12" ht="15.0" customHeight="1">
      <c r="D12" s="15" t="s">
        <v>7</v>
      </c>
      <c r="E12" s="19" t="s">
        <v>8</v>
      </c>
      <c r="F12" s="20"/>
      <c r="G12" s="21"/>
    </row>
    <row r="13" ht="13.5" customHeight="1">
      <c r="D13" s="22"/>
      <c r="E13" s="23" t="s">
        <v>9</v>
      </c>
      <c r="F13" s="24"/>
      <c r="G13" s="25"/>
    </row>
    <row r="14" ht="12.75" customHeight="1">
      <c r="D14" s="17"/>
      <c r="E14" s="17"/>
      <c r="F14" s="17"/>
      <c r="G14" s="17"/>
    </row>
    <row r="15" ht="12.75" customHeight="1"/>
    <row r="16" ht="12.75" customHeight="1">
      <c r="A16" s="6" t="s">
        <v>10</v>
      </c>
      <c r="D16" s="26" t="s">
        <v>11</v>
      </c>
      <c r="E16" s="27" t="s">
        <v>12</v>
      </c>
      <c r="F16" s="28"/>
      <c r="G16" s="29"/>
    </row>
    <row r="17" ht="12.75" customHeight="1">
      <c r="A17" s="6"/>
      <c r="D17" s="30" t="s">
        <v>13</v>
      </c>
      <c r="E17" s="31" t="s">
        <v>14</v>
      </c>
      <c r="F17" s="31"/>
      <c r="G17" s="31"/>
    </row>
    <row r="18" ht="15.0" customHeight="1">
      <c r="A18" s="6"/>
      <c r="D18" s="30"/>
      <c r="E18" s="31" t="s">
        <v>15</v>
      </c>
      <c r="F18" s="31"/>
      <c r="G18" s="31"/>
    </row>
    <row r="19" ht="12.75" customHeight="1">
      <c r="A19" s="6"/>
      <c r="D19" s="30"/>
      <c r="E19" s="32"/>
      <c r="F19" s="20"/>
      <c r="G19" s="21"/>
    </row>
    <row r="20" ht="12.75" customHeight="1">
      <c r="D20" s="33" t="s">
        <v>16</v>
      </c>
      <c r="E20" s="34"/>
      <c r="F20" s="35"/>
      <c r="G20" s="36"/>
    </row>
    <row r="21" ht="13.5" customHeight="1"/>
    <row r="22" ht="13.5" customHeight="1">
      <c r="D22" s="11" t="s">
        <v>17</v>
      </c>
      <c r="E22" s="37" t="s">
        <v>18</v>
      </c>
      <c r="F22" s="13"/>
      <c r="G22" s="14"/>
    </row>
    <row r="23" ht="12.75" customHeight="1">
      <c r="D23" s="15" t="s">
        <v>19</v>
      </c>
      <c r="E23" s="38" t="s">
        <v>20</v>
      </c>
      <c r="G23" s="39"/>
    </row>
    <row r="24" ht="12.75" customHeight="1">
      <c r="D24" s="40" t="s">
        <v>21</v>
      </c>
      <c r="E24" s="38" t="s">
        <v>22</v>
      </c>
      <c r="G24" s="39"/>
    </row>
    <row r="25" ht="12.75" customHeight="1">
      <c r="D25" s="15" t="s">
        <v>23</v>
      </c>
      <c r="E25" s="16" t="s">
        <v>24</v>
      </c>
      <c r="F25" s="17"/>
      <c r="G25" s="18"/>
    </row>
    <row r="26" ht="12.75" customHeight="1">
      <c r="D26" s="15" t="s">
        <v>25</v>
      </c>
      <c r="E26" s="16" t="s">
        <v>26</v>
      </c>
      <c r="F26" s="17"/>
      <c r="G26" s="18"/>
    </row>
    <row r="27" ht="12.75" customHeight="1">
      <c r="D27" s="41" t="s">
        <v>27</v>
      </c>
      <c r="E27" s="42"/>
      <c r="F27" s="42"/>
      <c r="G27" s="43" t="s">
        <v>28</v>
      </c>
    </row>
    <row r="28" ht="12.75" customHeight="1"/>
    <row r="29" ht="12.75" customHeight="1">
      <c r="D29" s="41" t="s">
        <v>29</v>
      </c>
      <c r="E29" s="42"/>
      <c r="F29" s="42"/>
      <c r="G29" s="43" t="s">
        <v>30</v>
      </c>
    </row>
    <row r="30" ht="12.75" customHeight="1"/>
    <row r="31" ht="12.75" customHeight="1">
      <c r="D31" s="11" t="s">
        <v>31</v>
      </c>
      <c r="E31" s="13"/>
      <c r="F31" s="44"/>
      <c r="G31" s="45">
        <v>513619.0</v>
      </c>
    </row>
    <row r="32" ht="12.75" customHeight="1">
      <c r="D32" s="22" t="s">
        <v>32</v>
      </c>
      <c r="E32" s="46"/>
      <c r="F32" s="46"/>
      <c r="G32" s="47" t="s">
        <v>28</v>
      </c>
    </row>
    <row r="33" ht="12.75" customHeight="1">
      <c r="D33" s="17"/>
      <c r="E33" s="17"/>
      <c r="F33" s="17"/>
    </row>
    <row r="34" ht="12.75" customHeight="1">
      <c r="A34" s="8"/>
      <c r="B34" s="17"/>
      <c r="D34" s="48"/>
    </row>
    <row r="35" ht="12.75" customHeight="1">
      <c r="A35" s="6" t="s">
        <v>33</v>
      </c>
      <c r="D35" s="11" t="s">
        <v>34</v>
      </c>
      <c r="E35" s="13"/>
      <c r="F35" s="13"/>
      <c r="G35" s="43" t="s">
        <v>30</v>
      </c>
    </row>
    <row r="36" ht="12.75" customHeight="1">
      <c r="A36" s="6"/>
      <c r="D36" s="22" t="s">
        <v>35</v>
      </c>
      <c r="E36" s="46"/>
      <c r="F36" s="46"/>
      <c r="G36" s="49"/>
    </row>
    <row r="37" ht="12.75" customHeight="1">
      <c r="D37" s="22" t="s">
        <v>36</v>
      </c>
      <c r="E37" s="46"/>
      <c r="F37" s="50"/>
      <c r="G37" s="51"/>
    </row>
    <row r="38" ht="12.75" customHeight="1"/>
    <row r="39" ht="12.75" customHeight="1"/>
    <row r="40" ht="12.75" customHeight="1">
      <c r="A40" s="16" t="s">
        <v>37</v>
      </c>
      <c r="B40" s="52"/>
      <c r="C40" s="52"/>
      <c r="D40" s="52"/>
      <c r="E40" s="53" t="s">
        <v>38</v>
      </c>
      <c r="F40" s="54"/>
      <c r="G40" s="55"/>
      <c r="H40" s="52"/>
    </row>
    <row r="41" ht="12.75" customHeight="1">
      <c r="A41" s="16"/>
      <c r="B41" s="52"/>
      <c r="C41" s="52"/>
      <c r="D41" s="52"/>
      <c r="E41" s="53" t="s">
        <v>39</v>
      </c>
      <c r="F41" s="54"/>
      <c r="G41" s="55"/>
      <c r="H41" s="52"/>
    </row>
    <row r="42" ht="12.75" customHeight="1">
      <c r="A42" s="8" t="s">
        <v>40</v>
      </c>
      <c r="B42" s="17"/>
      <c r="D42" s="48"/>
      <c r="E42" s="53" t="s">
        <v>41</v>
      </c>
      <c r="F42" s="56"/>
      <c r="G42" s="57"/>
    </row>
    <row r="43" ht="12.75" customHeight="1">
      <c r="D43" s="48"/>
      <c r="E43" s="53" t="s">
        <v>42</v>
      </c>
      <c r="F43" s="56"/>
      <c r="G43" s="57"/>
    </row>
    <row r="44" ht="12.75" customHeight="1">
      <c r="D44" s="48"/>
      <c r="E44" s="53" t="s">
        <v>43</v>
      </c>
      <c r="F44" s="56"/>
      <c r="G44" s="57"/>
    </row>
    <row r="45" ht="12.75" customHeight="1">
      <c r="D45" s="48"/>
      <c r="E45" s="58" t="s">
        <v>44</v>
      </c>
      <c r="F45" s="59"/>
      <c r="G45" s="60"/>
    </row>
    <row r="46" ht="12.75" customHeight="1"/>
    <row r="47" ht="12.75" customHeight="1">
      <c r="E47" s="61"/>
      <c r="F47" s="61"/>
      <c r="G47" s="61"/>
    </row>
    <row r="48" ht="12.75" customHeight="1">
      <c r="F48" s="48"/>
    </row>
    <row r="49" ht="12.75" customHeight="1">
      <c r="A49" s="6" t="s">
        <v>45</v>
      </c>
    </row>
    <row r="50" ht="12.75" customHeight="1">
      <c r="A50" s="8" t="s">
        <v>40</v>
      </c>
      <c r="E50" s="62" t="s">
        <v>46</v>
      </c>
      <c r="F50" s="56" t="s">
        <v>47</v>
      </c>
      <c r="G50" s="57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E1:G1"/>
    <mergeCell ref="E4:G4"/>
    <mergeCell ref="E12:G12"/>
    <mergeCell ref="E13:G13"/>
    <mergeCell ref="E16:G16"/>
    <mergeCell ref="E19:G19"/>
    <mergeCell ref="E23:G23"/>
    <mergeCell ref="E24:G24"/>
  </mergeCells>
  <printOptions/>
  <pageMargins bottom="0.35433070866141736" footer="0.0" header="0.0" left="0.11811023622047245" right="0.11811023622047245" top="0.15748031496062992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6.14"/>
    <col customWidth="1" min="2" max="7" width="10.71"/>
    <col customWidth="1" min="8" max="8" width="57.86"/>
    <col customWidth="1" min="9" max="9" width="36.71"/>
    <col customWidth="1" min="10" max="26" width="10.71"/>
  </cols>
  <sheetData>
    <row r="1" ht="15.0" customHeight="1">
      <c r="A1" s="63" t="s">
        <v>48</v>
      </c>
      <c r="I1" s="64"/>
    </row>
    <row r="2" ht="27.75" customHeight="1">
      <c r="A2" s="65"/>
      <c r="B2" s="65" t="s">
        <v>49</v>
      </c>
      <c r="C2" s="65"/>
      <c r="D2" s="65"/>
      <c r="E2" s="65"/>
      <c r="F2" s="65"/>
      <c r="G2" s="65"/>
      <c r="H2" s="66"/>
      <c r="I2" s="67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27.75" customHeight="1">
      <c r="A3" s="65"/>
      <c r="B3" s="68" t="s">
        <v>50</v>
      </c>
      <c r="H3" s="66"/>
      <c r="I3" s="67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ht="15.0" customHeight="1">
      <c r="A4" s="69"/>
      <c r="B4" s="70" t="s">
        <v>51</v>
      </c>
      <c r="I4" s="71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15.0" customHeight="1">
      <c r="A5" s="73" t="s">
        <v>52</v>
      </c>
      <c r="B5" s="65"/>
      <c r="C5" s="65"/>
      <c r="D5" s="65"/>
      <c r="E5" s="65"/>
      <c r="F5" s="65"/>
      <c r="G5" s="65"/>
      <c r="H5" s="66"/>
      <c r="I5" s="74" t="s">
        <v>53</v>
      </c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ht="15.0" customHeight="1">
      <c r="B6" s="75" t="s">
        <v>54</v>
      </c>
      <c r="F6" s="76"/>
      <c r="G6" s="76"/>
      <c r="H6" s="76" t="s">
        <v>55</v>
      </c>
      <c r="I6" s="77" t="s">
        <v>55</v>
      </c>
    </row>
    <row r="7" ht="15.0" customHeight="1">
      <c r="B7" s="75" t="s">
        <v>56</v>
      </c>
      <c r="D7" s="78"/>
      <c r="E7" s="78"/>
      <c r="G7" s="78"/>
      <c r="H7" s="79" t="s">
        <v>55</v>
      </c>
      <c r="I7" s="80"/>
    </row>
    <row r="8" ht="15.0" customHeight="1">
      <c r="B8" s="75" t="s">
        <v>57</v>
      </c>
      <c r="D8" s="78"/>
      <c r="E8" s="78"/>
      <c r="F8" s="76"/>
      <c r="G8" s="76"/>
      <c r="H8" s="79" t="s">
        <v>58</v>
      </c>
      <c r="I8" s="80"/>
    </row>
    <row r="9" ht="15.0" customHeight="1">
      <c r="B9" s="75" t="s">
        <v>59</v>
      </c>
      <c r="D9" s="78"/>
      <c r="E9" s="78"/>
      <c r="G9" s="78"/>
      <c r="H9" s="81">
        <v>54425.0</v>
      </c>
      <c r="I9" s="80"/>
    </row>
    <row r="10" ht="15.0" customHeight="1">
      <c r="B10" s="75" t="s">
        <v>60</v>
      </c>
      <c r="D10" s="78"/>
      <c r="E10" s="78"/>
      <c r="G10" s="78"/>
      <c r="H10" s="79" t="s">
        <v>61</v>
      </c>
      <c r="I10" s="80"/>
    </row>
    <row r="11" ht="15.0" customHeight="1">
      <c r="B11" s="75" t="s">
        <v>62</v>
      </c>
      <c r="D11" s="78"/>
      <c r="E11" s="78"/>
      <c r="F11" s="78"/>
      <c r="G11" s="78"/>
      <c r="H11" s="81" t="s">
        <v>63</v>
      </c>
      <c r="I11" s="80"/>
    </row>
    <row r="12" ht="15.0" customHeight="1">
      <c r="B12" s="75" t="s">
        <v>64</v>
      </c>
      <c r="D12" s="78"/>
      <c r="E12" s="78"/>
      <c r="F12" s="78"/>
      <c r="G12" s="78"/>
      <c r="H12" s="79" t="s">
        <v>65</v>
      </c>
      <c r="I12" s="80"/>
    </row>
    <row r="13" ht="15.0" customHeight="1">
      <c r="B13" s="75" t="s">
        <v>66</v>
      </c>
      <c r="D13" s="78"/>
      <c r="E13" s="78"/>
      <c r="F13" s="78"/>
      <c r="G13" s="78"/>
      <c r="H13" s="82">
        <v>50000.0</v>
      </c>
      <c r="I13" s="80"/>
    </row>
    <row r="14" ht="15.0" customHeight="1">
      <c r="B14" s="75" t="s">
        <v>67</v>
      </c>
      <c r="D14" s="78"/>
      <c r="E14" s="78"/>
      <c r="F14" s="78"/>
      <c r="G14" s="78"/>
      <c r="H14" s="83" t="s">
        <v>68</v>
      </c>
      <c r="I14" s="80"/>
    </row>
    <row r="15" ht="15.0" customHeight="1">
      <c r="B15" s="75" t="s">
        <v>69</v>
      </c>
      <c r="D15" s="78"/>
      <c r="E15" s="78"/>
      <c r="F15" s="78"/>
      <c r="G15" s="78"/>
      <c r="H15" s="83" t="s">
        <v>70</v>
      </c>
      <c r="I15" s="80"/>
    </row>
    <row r="16" ht="15.0" customHeight="1">
      <c r="B16" s="78" t="s">
        <v>71</v>
      </c>
      <c r="D16" s="78"/>
      <c r="E16" s="78"/>
      <c r="F16" s="78"/>
      <c r="G16" s="78"/>
      <c r="H16" s="84"/>
      <c r="I16" s="80"/>
    </row>
    <row r="17" ht="15.0" customHeight="1">
      <c r="B17" s="75" t="s">
        <v>72</v>
      </c>
      <c r="D17" s="78"/>
      <c r="E17" s="78"/>
      <c r="F17" s="78"/>
      <c r="G17" s="78"/>
      <c r="H17" s="85" t="s">
        <v>73</v>
      </c>
      <c r="I17" s="80"/>
    </row>
    <row r="18" ht="15.0" customHeight="1">
      <c r="B18" s="75" t="s">
        <v>74</v>
      </c>
      <c r="D18" s="78"/>
      <c r="E18" s="78"/>
      <c r="F18" s="78"/>
      <c r="G18" s="78"/>
      <c r="H18" s="86" t="s">
        <v>75</v>
      </c>
      <c r="I18" s="80"/>
    </row>
    <row r="19" ht="15.0" customHeight="1">
      <c r="B19" s="75" t="s">
        <v>76</v>
      </c>
      <c r="D19" s="78"/>
      <c r="E19" s="78"/>
      <c r="F19" s="78"/>
      <c r="G19" s="78"/>
      <c r="H19" s="86" t="s">
        <v>77</v>
      </c>
      <c r="I19" s="80"/>
    </row>
    <row r="20" ht="15.0" customHeight="1">
      <c r="B20" s="75" t="s">
        <v>78</v>
      </c>
      <c r="D20" s="78"/>
      <c r="E20" s="78"/>
      <c r="F20" s="78"/>
      <c r="G20" s="78"/>
      <c r="H20" s="87">
        <f>cp</f>
        <v>54425</v>
      </c>
      <c r="I20" s="80"/>
    </row>
    <row r="21" ht="24.0" customHeight="1">
      <c r="B21" s="78" t="s">
        <v>79</v>
      </c>
      <c r="D21" s="78"/>
      <c r="E21" s="78"/>
      <c r="F21" s="76"/>
      <c r="G21" s="78"/>
      <c r="H21" s="88" t="s">
        <v>80</v>
      </c>
      <c r="I21" s="80"/>
    </row>
    <row r="22" ht="28.5" customHeight="1">
      <c r="A22" s="65"/>
      <c r="B22" s="73" t="s">
        <v>81</v>
      </c>
      <c r="C22" s="65"/>
      <c r="D22" s="65"/>
      <c r="E22" s="65"/>
      <c r="F22" s="66"/>
      <c r="G22" s="65"/>
      <c r="H22" s="89" t="s">
        <v>82</v>
      </c>
      <c r="I22" s="90" t="s">
        <v>83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28.5" customHeight="1">
      <c r="A23" s="65"/>
      <c r="B23" s="65"/>
      <c r="C23" s="65"/>
      <c r="D23" s="65"/>
      <c r="E23" s="73" t="s">
        <v>84</v>
      </c>
      <c r="F23" s="66"/>
      <c r="G23" s="65"/>
      <c r="H23" s="66"/>
      <c r="I23" s="90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15.0" customHeight="1">
      <c r="A24" s="65"/>
      <c r="B24" s="73" t="s">
        <v>85</v>
      </c>
      <c r="C24" s="65"/>
      <c r="D24" s="65"/>
      <c r="E24" s="65"/>
      <c r="F24" s="66"/>
      <c r="G24" s="65"/>
      <c r="H24" s="89" t="s">
        <v>30</v>
      </c>
      <c r="I24" s="90" t="s">
        <v>86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15.0" customHeight="1">
      <c r="A25" s="65"/>
      <c r="B25" s="73"/>
      <c r="C25" s="65"/>
      <c r="D25" s="65"/>
      <c r="E25" s="65"/>
      <c r="F25" s="66"/>
      <c r="G25" s="65"/>
      <c r="H25" s="91"/>
      <c r="I25" s="90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28.5" customHeight="1">
      <c r="A26" s="92" t="s">
        <v>87</v>
      </c>
      <c r="I26" s="93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ht="15.0" customHeight="1">
      <c r="A27" s="95"/>
      <c r="B27" s="75" t="s">
        <v>88</v>
      </c>
      <c r="C27" s="94"/>
      <c r="D27" s="94"/>
      <c r="E27" s="94"/>
      <c r="F27" s="94"/>
      <c r="G27" s="94"/>
      <c r="H27" s="96">
        <v>45779.0</v>
      </c>
      <c r="I27" s="93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ht="15.0" customHeight="1">
      <c r="A28" s="97" t="s">
        <v>89</v>
      </c>
      <c r="B28" s="75" t="s">
        <v>90</v>
      </c>
      <c r="H28" s="98"/>
      <c r="I28" s="99"/>
    </row>
    <row r="29" ht="15.0" customHeight="1">
      <c r="B29" s="75" t="s">
        <v>91</v>
      </c>
      <c r="H29" s="98">
        <v>46022.0</v>
      </c>
      <c r="I29" s="93"/>
    </row>
    <row r="30" ht="29.25" customHeight="1">
      <c r="B30" s="73" t="s">
        <v>92</v>
      </c>
      <c r="H30" s="76"/>
      <c r="I30" s="80"/>
    </row>
    <row r="31" ht="15.0" customHeight="1">
      <c r="B31" s="75" t="s">
        <v>93</v>
      </c>
      <c r="F31" s="17"/>
      <c r="H31" s="79" t="s">
        <v>94</v>
      </c>
      <c r="I31" s="80"/>
    </row>
    <row r="32" ht="15.0" customHeight="1">
      <c r="B32" s="75" t="s">
        <v>95</v>
      </c>
      <c r="F32" s="17"/>
      <c r="H32" s="79" t="s">
        <v>30</v>
      </c>
      <c r="I32" s="80"/>
    </row>
    <row r="33" ht="15.0" customHeight="1">
      <c r="B33" s="75" t="s">
        <v>96</v>
      </c>
      <c r="H33" s="89" t="s">
        <v>94</v>
      </c>
      <c r="I33" s="17"/>
    </row>
    <row r="34" ht="15.75" customHeight="1">
      <c r="B34" s="65" t="s">
        <v>97</v>
      </c>
      <c r="C34" s="65"/>
      <c r="D34" s="65"/>
      <c r="E34" s="65"/>
      <c r="F34" s="65"/>
      <c r="G34" s="65"/>
      <c r="H34" s="89" t="s">
        <v>30</v>
      </c>
      <c r="I34" s="100"/>
    </row>
    <row r="35" ht="15.75" customHeight="1">
      <c r="B35" s="65" t="s">
        <v>98</v>
      </c>
      <c r="C35" s="65"/>
      <c r="D35" s="65"/>
      <c r="E35" s="65"/>
      <c r="F35" s="65"/>
      <c r="G35" s="65"/>
      <c r="H35" s="89" t="s">
        <v>30</v>
      </c>
      <c r="I35" s="100"/>
    </row>
    <row r="36" ht="15.0" customHeight="1">
      <c r="B36" s="75" t="s">
        <v>99</v>
      </c>
      <c r="F36" s="17"/>
      <c r="H36" s="89" t="s">
        <v>100</v>
      </c>
      <c r="I36" s="80"/>
    </row>
    <row r="37" ht="15.0" customHeight="1">
      <c r="B37" s="75" t="s">
        <v>101</v>
      </c>
      <c r="H37" s="79" t="s">
        <v>30</v>
      </c>
      <c r="I37" s="80"/>
    </row>
    <row r="38" ht="15.0" customHeight="1">
      <c r="B38" s="17" t="s">
        <v>102</v>
      </c>
      <c r="H38" s="79" t="s">
        <v>30</v>
      </c>
      <c r="I38" s="80"/>
    </row>
    <row r="39" ht="15.0" customHeight="1">
      <c r="B39" s="75" t="s">
        <v>103</v>
      </c>
      <c r="H39" s="79" t="s">
        <v>100</v>
      </c>
      <c r="I39" s="80"/>
    </row>
    <row r="40" ht="15.0" customHeight="1">
      <c r="B40" s="75" t="s">
        <v>104</v>
      </c>
      <c r="H40" s="79" t="s">
        <v>30</v>
      </c>
      <c r="I40" s="80" t="s">
        <v>105</v>
      </c>
    </row>
    <row r="41" ht="15.75" customHeight="1">
      <c r="B41" s="17" t="s">
        <v>106</v>
      </c>
      <c r="H41" s="101" t="str">
        <f>'Nouveau référentiel R12'!K3</f>
        <v>GK1545182N</v>
      </c>
      <c r="I41" s="102" t="s">
        <v>107</v>
      </c>
    </row>
    <row r="42" ht="15.0" customHeight="1">
      <c r="B42" s="75" t="s">
        <v>108</v>
      </c>
      <c r="H42" s="76" t="s">
        <v>30</v>
      </c>
      <c r="I42" s="80"/>
    </row>
    <row r="43" ht="15.0" customHeight="1">
      <c r="B43" s="75" t="s">
        <v>109</v>
      </c>
      <c r="H43" s="103"/>
      <c r="I43" s="17"/>
    </row>
    <row r="44" ht="13.5" customHeight="1">
      <c r="C44" s="65" t="s">
        <v>110</v>
      </c>
      <c r="D44" s="65"/>
      <c r="E44" s="65"/>
      <c r="F44" s="65"/>
      <c r="G44" s="65"/>
      <c r="H44" s="79"/>
      <c r="I44" s="65"/>
    </row>
    <row r="45" ht="13.5" customHeight="1">
      <c r="B45" s="75" t="s">
        <v>111</v>
      </c>
      <c r="C45" s="65"/>
      <c r="D45" s="65"/>
      <c r="E45" s="65"/>
      <c r="F45" s="65"/>
      <c r="G45" s="65"/>
      <c r="H45" s="79" t="s">
        <v>30</v>
      </c>
      <c r="I45" s="90"/>
    </row>
    <row r="46" ht="30.0" customHeight="1">
      <c r="B46" s="104" t="s">
        <v>112</v>
      </c>
      <c r="G46" s="105"/>
      <c r="H46" s="79" t="s">
        <v>100</v>
      </c>
      <c r="I46" s="80"/>
    </row>
    <row r="47" ht="32.25" customHeight="1">
      <c r="B47" s="106" t="s">
        <v>113</v>
      </c>
      <c r="G47" s="105"/>
      <c r="H47" s="79" t="s">
        <v>100</v>
      </c>
      <c r="I47" s="80"/>
    </row>
    <row r="48" ht="15.0" customHeight="1">
      <c r="B48" s="75" t="s">
        <v>114</v>
      </c>
      <c r="H48" s="79" t="s">
        <v>100</v>
      </c>
      <c r="I48" s="80"/>
    </row>
    <row r="49" ht="15.0" customHeight="1">
      <c r="B49" s="75" t="s">
        <v>115</v>
      </c>
      <c r="H49" s="79" t="s">
        <v>116</v>
      </c>
      <c r="I49" s="80" t="s">
        <v>117</v>
      </c>
    </row>
    <row r="50" ht="15.0" customHeight="1">
      <c r="B50" s="75" t="s">
        <v>118</v>
      </c>
      <c r="F50" s="75" t="s">
        <v>119</v>
      </c>
      <c r="H50" s="87">
        <v>30003.0</v>
      </c>
      <c r="I50" s="80"/>
    </row>
    <row r="51" ht="15.0" customHeight="1">
      <c r="F51" s="75" t="s">
        <v>120</v>
      </c>
      <c r="H51" s="107" t="s">
        <v>121</v>
      </c>
      <c r="I51" s="80"/>
    </row>
    <row r="52" ht="15.0" customHeight="1">
      <c r="F52" s="75" t="s">
        <v>122</v>
      </c>
      <c r="H52" s="108" t="s">
        <v>123</v>
      </c>
      <c r="I52" s="80"/>
    </row>
    <row r="53" ht="15.0" customHeight="1">
      <c r="F53" s="75" t="s">
        <v>124</v>
      </c>
      <c r="H53" s="109">
        <v>61.0</v>
      </c>
      <c r="I53" s="17"/>
    </row>
    <row r="54" ht="15.0" customHeight="1">
      <c r="B54" s="75" t="s">
        <v>125</v>
      </c>
      <c r="H54" s="79" t="s">
        <v>100</v>
      </c>
      <c r="I54" s="48"/>
    </row>
    <row r="55" ht="15.0" customHeight="1">
      <c r="B55" s="75" t="s">
        <v>126</v>
      </c>
      <c r="H55" s="110" t="s">
        <v>100</v>
      </c>
      <c r="I55" s="48"/>
    </row>
    <row r="56" ht="15.0" customHeight="1">
      <c r="H56" s="66"/>
      <c r="I56" s="80"/>
    </row>
    <row r="57" ht="14.25" customHeight="1">
      <c r="A57" s="65" t="s">
        <v>127</v>
      </c>
      <c r="B57" s="65"/>
      <c r="C57" s="65"/>
      <c r="D57" s="111">
        <v>45838.0</v>
      </c>
      <c r="E57" s="65"/>
      <c r="F57" s="65"/>
      <c r="G57" s="65"/>
      <c r="H57" s="76"/>
      <c r="I57" s="90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ht="15.0" customHeight="1">
      <c r="A58" s="75" t="s">
        <v>128</v>
      </c>
      <c r="H58" s="7" t="s">
        <v>22</v>
      </c>
      <c r="I58" s="80"/>
    </row>
    <row r="59" ht="15.0" customHeight="1">
      <c r="D59" s="17" t="s">
        <v>129</v>
      </c>
      <c r="H59" s="112" t="s">
        <v>24</v>
      </c>
      <c r="I59" s="80"/>
    </row>
    <row r="60" ht="15.0" customHeight="1">
      <c r="D60" s="17"/>
      <c r="H60" s="76" t="s">
        <v>26</v>
      </c>
      <c r="I60" s="80"/>
    </row>
    <row r="61" ht="15.0" customHeight="1">
      <c r="H61" s="76"/>
      <c r="I61" s="80"/>
    </row>
    <row r="62" ht="15.0" customHeight="1">
      <c r="H62" s="76"/>
      <c r="I62" s="80"/>
    </row>
    <row r="63" ht="15.75" customHeight="1">
      <c r="H63" s="76"/>
      <c r="I63" s="80"/>
    </row>
    <row r="64" ht="15.75" customHeight="1">
      <c r="H64" s="76"/>
      <c r="I64" s="80"/>
    </row>
    <row r="65" ht="15.75" customHeight="1">
      <c r="H65" s="76"/>
      <c r="I65" s="80"/>
    </row>
    <row r="66" ht="15.75" customHeight="1">
      <c r="H66" s="76"/>
      <c r="I66" s="80"/>
    </row>
    <row r="67" ht="15.75" customHeight="1">
      <c r="H67" s="76"/>
      <c r="I67" s="80"/>
    </row>
    <row r="68" ht="15.75" customHeight="1">
      <c r="H68" s="76"/>
      <c r="I68" s="80"/>
    </row>
    <row r="69" ht="15.75" customHeight="1">
      <c r="H69" s="76"/>
      <c r="I69" s="80"/>
    </row>
    <row r="70" ht="15.75" customHeight="1">
      <c r="H70" s="76"/>
      <c r="I70" s="80"/>
    </row>
    <row r="71" ht="15.75" customHeight="1">
      <c r="H71" s="76"/>
      <c r="I71" s="80"/>
    </row>
    <row r="72" ht="15.75" customHeight="1">
      <c r="H72" s="76"/>
      <c r="I72" s="80"/>
    </row>
    <row r="73" ht="15.75" customHeight="1">
      <c r="H73" s="76"/>
      <c r="I73" s="80"/>
    </row>
    <row r="74" ht="15.75" customHeight="1">
      <c r="H74" s="76"/>
      <c r="I74" s="80"/>
    </row>
    <row r="75" ht="15.75" customHeight="1">
      <c r="H75" s="76"/>
      <c r="I75" s="80"/>
    </row>
    <row r="76" ht="15.75" customHeight="1">
      <c r="H76" s="76"/>
      <c r="I76" s="80"/>
    </row>
    <row r="77" ht="15.75" customHeight="1">
      <c r="H77" s="76"/>
      <c r="I77" s="80"/>
    </row>
    <row r="78" ht="15.75" customHeight="1">
      <c r="H78" s="76"/>
      <c r="I78" s="80"/>
    </row>
    <row r="79" ht="15.75" customHeight="1">
      <c r="H79" s="76"/>
      <c r="I79" s="80"/>
    </row>
    <row r="80" ht="15.75" customHeight="1">
      <c r="H80" s="76"/>
      <c r="I80" s="80"/>
    </row>
    <row r="81" ht="15.75" customHeight="1">
      <c r="H81" s="76"/>
      <c r="I81" s="80"/>
    </row>
    <row r="82" ht="15.75" customHeight="1">
      <c r="H82" s="76"/>
      <c r="I82" s="80"/>
    </row>
    <row r="83" ht="15.75" customHeight="1">
      <c r="H83" s="76"/>
      <c r="I83" s="80"/>
    </row>
    <row r="84" ht="15.75" customHeight="1">
      <c r="H84" s="76"/>
      <c r="I84" s="80"/>
    </row>
    <row r="85" ht="15.75" customHeight="1">
      <c r="H85" s="76"/>
      <c r="I85" s="80"/>
    </row>
    <row r="86" ht="15.75" customHeight="1">
      <c r="H86" s="76"/>
      <c r="I86" s="80"/>
    </row>
    <row r="87" ht="15.75" customHeight="1">
      <c r="H87" s="76"/>
      <c r="I87" s="80"/>
    </row>
    <row r="88" ht="15.75" customHeight="1">
      <c r="H88" s="76"/>
      <c r="I88" s="80"/>
    </row>
    <row r="89" ht="15.75" customHeight="1">
      <c r="H89" s="76"/>
      <c r="I89" s="80"/>
    </row>
    <row r="90" ht="15.75" customHeight="1">
      <c r="H90" s="76"/>
      <c r="I90" s="80"/>
    </row>
    <row r="91" ht="15.75" customHeight="1">
      <c r="H91" s="76"/>
      <c r="I91" s="80"/>
    </row>
    <row r="92" ht="15.75" customHeight="1">
      <c r="H92" s="76"/>
      <c r="I92" s="80"/>
    </row>
    <row r="93" ht="15.75" customHeight="1">
      <c r="H93" s="76"/>
      <c r="I93" s="80"/>
    </row>
    <row r="94" ht="15.75" customHeight="1">
      <c r="H94" s="76"/>
      <c r="I94" s="80"/>
    </row>
    <row r="95" ht="15.75" customHeight="1">
      <c r="H95" s="76"/>
      <c r="I95" s="80"/>
    </row>
    <row r="96" ht="15.75" customHeight="1">
      <c r="H96" s="76"/>
      <c r="I96" s="80"/>
    </row>
    <row r="97" ht="15.75" customHeight="1">
      <c r="H97" s="76"/>
      <c r="I97" s="80"/>
    </row>
    <row r="98" ht="15.75" customHeight="1">
      <c r="H98" s="76"/>
      <c r="I98" s="80"/>
    </row>
    <row r="99" ht="15.75" customHeight="1">
      <c r="H99" s="76"/>
      <c r="I99" s="80"/>
    </row>
    <row r="100" ht="15.75" customHeight="1">
      <c r="H100" s="76"/>
      <c r="I100" s="80"/>
    </row>
    <row r="101" ht="15.75" customHeight="1">
      <c r="H101" s="76"/>
      <c r="I101" s="80"/>
    </row>
    <row r="102" ht="15.75" customHeight="1">
      <c r="H102" s="76"/>
      <c r="I102" s="80"/>
    </row>
    <row r="103" ht="15.75" customHeight="1">
      <c r="H103" s="76"/>
      <c r="I103" s="80"/>
    </row>
    <row r="104" ht="15.75" customHeight="1">
      <c r="H104" s="76"/>
      <c r="I104" s="80"/>
    </row>
    <row r="105" ht="15.75" customHeight="1">
      <c r="H105" s="76"/>
      <c r="I105" s="80"/>
    </row>
    <row r="106" ht="15.75" customHeight="1">
      <c r="H106" s="76"/>
      <c r="I106" s="80"/>
    </row>
    <row r="107" ht="15.75" customHeight="1">
      <c r="H107" s="76"/>
      <c r="I107" s="80"/>
    </row>
    <row r="108" ht="15.75" customHeight="1">
      <c r="H108" s="76"/>
      <c r="I108" s="80"/>
    </row>
    <row r="109" ht="15.75" customHeight="1">
      <c r="H109" s="76"/>
      <c r="I109" s="80"/>
    </row>
    <row r="110" ht="15.75" customHeight="1">
      <c r="H110" s="76"/>
      <c r="I110" s="80"/>
    </row>
    <row r="111" ht="15.75" customHeight="1">
      <c r="H111" s="76"/>
      <c r="I111" s="80"/>
    </row>
    <row r="112" ht="15.75" customHeight="1">
      <c r="H112" s="76"/>
      <c r="I112" s="80"/>
    </row>
    <row r="113" ht="15.75" customHeight="1">
      <c r="H113" s="76"/>
      <c r="I113" s="80"/>
    </row>
    <row r="114" ht="15.75" customHeight="1">
      <c r="H114" s="76"/>
      <c r="I114" s="80"/>
    </row>
    <row r="115" ht="15.75" customHeight="1">
      <c r="H115" s="76"/>
      <c r="I115" s="80"/>
    </row>
    <row r="116" ht="15.75" customHeight="1">
      <c r="H116" s="76"/>
      <c r="I116" s="80"/>
    </row>
    <row r="117" ht="15.75" customHeight="1">
      <c r="H117" s="76"/>
      <c r="I117" s="80"/>
    </row>
    <row r="118" ht="15.75" customHeight="1">
      <c r="H118" s="76"/>
      <c r="I118" s="80"/>
    </row>
    <row r="119" ht="15.75" customHeight="1">
      <c r="H119" s="76"/>
      <c r="I119" s="80"/>
    </row>
    <row r="120" ht="15.75" customHeight="1">
      <c r="H120" s="76"/>
      <c r="I120" s="80"/>
    </row>
    <row r="121" ht="15.75" customHeight="1">
      <c r="H121" s="76"/>
      <c r="I121" s="80"/>
    </row>
    <row r="122" ht="15.75" customHeight="1">
      <c r="H122" s="76"/>
      <c r="I122" s="80"/>
    </row>
    <row r="123" ht="15.75" customHeight="1">
      <c r="H123" s="76"/>
      <c r="I123" s="80"/>
    </row>
    <row r="124" ht="15.75" customHeight="1">
      <c r="H124" s="76"/>
      <c r="I124" s="80"/>
    </row>
    <row r="125" ht="15.75" customHeight="1">
      <c r="H125" s="76"/>
      <c r="I125" s="80"/>
    </row>
    <row r="126" ht="15.75" customHeight="1">
      <c r="H126" s="76"/>
      <c r="I126" s="80"/>
    </row>
    <row r="127" ht="15.75" customHeight="1">
      <c r="H127" s="76"/>
      <c r="I127" s="80"/>
    </row>
    <row r="128" ht="15.75" customHeight="1">
      <c r="H128" s="76"/>
      <c r="I128" s="80"/>
    </row>
    <row r="129" ht="15.75" customHeight="1">
      <c r="H129" s="76"/>
      <c r="I129" s="80"/>
    </row>
    <row r="130" ht="15.75" customHeight="1">
      <c r="H130" s="76"/>
      <c r="I130" s="80"/>
    </row>
    <row r="131" ht="15.75" customHeight="1">
      <c r="H131" s="76"/>
      <c r="I131" s="80"/>
    </row>
    <row r="132" ht="15.75" customHeight="1">
      <c r="H132" s="76"/>
      <c r="I132" s="80"/>
    </row>
    <row r="133" ht="15.75" customHeight="1">
      <c r="H133" s="76"/>
      <c r="I133" s="80"/>
    </row>
    <row r="134" ht="15.75" customHeight="1">
      <c r="H134" s="76"/>
      <c r="I134" s="80"/>
    </row>
    <row r="135" ht="15.75" customHeight="1">
      <c r="H135" s="76"/>
      <c r="I135" s="80"/>
    </row>
    <row r="136" ht="15.75" customHeight="1">
      <c r="H136" s="76"/>
      <c r="I136" s="80"/>
    </row>
    <row r="137" ht="15.75" customHeight="1">
      <c r="H137" s="76"/>
      <c r="I137" s="80"/>
    </row>
    <row r="138" ht="15.75" customHeight="1">
      <c r="H138" s="76"/>
      <c r="I138" s="80"/>
    </row>
    <row r="139" ht="15.75" customHeight="1">
      <c r="H139" s="76"/>
      <c r="I139" s="80"/>
    </row>
    <row r="140" ht="15.75" customHeight="1">
      <c r="H140" s="76"/>
      <c r="I140" s="80"/>
    </row>
    <row r="141" ht="15.75" customHeight="1">
      <c r="H141" s="76"/>
      <c r="I141" s="80"/>
    </row>
    <row r="142" ht="15.75" customHeight="1">
      <c r="H142" s="76"/>
      <c r="I142" s="80"/>
    </row>
    <row r="143" ht="15.75" customHeight="1">
      <c r="H143" s="76"/>
      <c r="I143" s="80"/>
    </row>
    <row r="144" ht="15.75" customHeight="1">
      <c r="H144" s="76"/>
      <c r="I144" s="80"/>
    </row>
    <row r="145" ht="15.75" customHeight="1">
      <c r="H145" s="76"/>
      <c r="I145" s="80"/>
    </row>
    <row r="146" ht="15.75" customHeight="1">
      <c r="H146" s="76"/>
      <c r="I146" s="80"/>
    </row>
    <row r="147" ht="15.75" customHeight="1">
      <c r="H147" s="76"/>
      <c r="I147" s="80"/>
    </row>
    <row r="148" ht="15.75" customHeight="1">
      <c r="H148" s="76"/>
      <c r="I148" s="80"/>
    </row>
    <row r="149" ht="15.75" customHeight="1">
      <c r="H149" s="76"/>
      <c r="I149" s="80"/>
    </row>
    <row r="150" ht="15.75" customHeight="1">
      <c r="H150" s="76"/>
      <c r="I150" s="80"/>
    </row>
    <row r="151" ht="15.75" customHeight="1">
      <c r="H151" s="76"/>
      <c r="I151" s="80"/>
    </row>
    <row r="152" ht="15.75" customHeight="1">
      <c r="H152" s="76"/>
      <c r="I152" s="80"/>
    </row>
    <row r="153" ht="15.75" customHeight="1">
      <c r="H153" s="76"/>
      <c r="I153" s="80"/>
    </row>
    <row r="154" ht="15.75" customHeight="1">
      <c r="H154" s="76"/>
      <c r="I154" s="80"/>
    </row>
    <row r="155" ht="15.75" customHeight="1">
      <c r="H155" s="76"/>
      <c r="I155" s="80"/>
    </row>
    <row r="156" ht="15.75" customHeight="1">
      <c r="H156" s="76"/>
      <c r="I156" s="80"/>
    </row>
    <row r="157" ht="15.75" customHeight="1">
      <c r="H157" s="76"/>
      <c r="I157" s="80"/>
    </row>
    <row r="158" ht="15.75" customHeight="1">
      <c r="H158" s="76"/>
      <c r="I158" s="80"/>
    </row>
    <row r="159" ht="15.75" customHeight="1">
      <c r="H159" s="76"/>
      <c r="I159" s="80"/>
    </row>
    <row r="160" ht="15.75" customHeight="1">
      <c r="H160" s="76"/>
      <c r="I160" s="80"/>
    </row>
    <row r="161" ht="15.75" customHeight="1">
      <c r="H161" s="76"/>
      <c r="I161" s="80"/>
    </row>
    <row r="162" ht="15.75" customHeight="1">
      <c r="H162" s="76"/>
      <c r="I162" s="80"/>
    </row>
    <row r="163" ht="15.75" customHeight="1">
      <c r="H163" s="76"/>
      <c r="I163" s="80"/>
    </row>
    <row r="164" ht="15.75" customHeight="1">
      <c r="H164" s="76"/>
      <c r="I164" s="80"/>
    </row>
    <row r="165" ht="15.75" customHeight="1">
      <c r="H165" s="76"/>
      <c r="I165" s="80"/>
    </row>
    <row r="166" ht="15.75" customHeight="1">
      <c r="H166" s="76"/>
      <c r="I166" s="80"/>
    </row>
    <row r="167" ht="15.75" customHeight="1">
      <c r="H167" s="76"/>
      <c r="I167" s="80"/>
    </row>
    <row r="168" ht="15.75" customHeight="1">
      <c r="H168" s="76"/>
      <c r="I168" s="80"/>
    </row>
    <row r="169" ht="15.75" customHeight="1">
      <c r="H169" s="76"/>
      <c r="I169" s="80"/>
    </row>
    <row r="170" ht="15.75" customHeight="1">
      <c r="H170" s="76"/>
      <c r="I170" s="80"/>
    </row>
    <row r="171" ht="15.75" customHeight="1">
      <c r="H171" s="76"/>
      <c r="I171" s="80"/>
    </row>
    <row r="172" ht="15.75" customHeight="1">
      <c r="H172" s="76"/>
      <c r="I172" s="80"/>
    </row>
    <row r="173" ht="15.75" customHeight="1">
      <c r="H173" s="76"/>
      <c r="I173" s="80"/>
    </row>
    <row r="174" ht="15.75" customHeight="1">
      <c r="H174" s="76"/>
      <c r="I174" s="80"/>
    </row>
    <row r="175" ht="15.75" customHeight="1">
      <c r="H175" s="76"/>
      <c r="I175" s="80"/>
    </row>
    <row r="176" ht="15.75" customHeight="1">
      <c r="H176" s="76"/>
      <c r="I176" s="80"/>
    </row>
    <row r="177" ht="15.75" customHeight="1">
      <c r="H177" s="76"/>
      <c r="I177" s="80"/>
    </row>
    <row r="178" ht="15.75" customHeight="1">
      <c r="H178" s="76"/>
      <c r="I178" s="80"/>
    </row>
    <row r="179" ht="15.75" customHeight="1">
      <c r="H179" s="76"/>
      <c r="I179" s="80"/>
    </row>
    <row r="180" ht="15.75" customHeight="1">
      <c r="H180" s="76"/>
      <c r="I180" s="80"/>
    </row>
    <row r="181" ht="15.75" customHeight="1">
      <c r="H181" s="76"/>
      <c r="I181" s="80"/>
    </row>
    <row r="182" ht="15.75" customHeight="1">
      <c r="H182" s="76"/>
      <c r="I182" s="80"/>
    </row>
    <row r="183" ht="15.75" customHeight="1">
      <c r="H183" s="76"/>
      <c r="I183" s="80"/>
    </row>
    <row r="184" ht="15.75" customHeight="1">
      <c r="H184" s="76"/>
      <c r="I184" s="80"/>
    </row>
    <row r="185" ht="15.75" customHeight="1">
      <c r="H185" s="76"/>
      <c r="I185" s="80"/>
    </row>
    <row r="186" ht="15.75" customHeight="1">
      <c r="H186" s="76"/>
      <c r="I186" s="80"/>
    </row>
    <row r="187" ht="15.75" customHeight="1">
      <c r="H187" s="76"/>
      <c r="I187" s="80"/>
    </row>
    <row r="188" ht="15.75" customHeight="1">
      <c r="H188" s="76"/>
      <c r="I188" s="80"/>
    </row>
    <row r="189" ht="15.75" customHeight="1">
      <c r="H189" s="76"/>
      <c r="I189" s="80"/>
    </row>
    <row r="190" ht="15.75" customHeight="1">
      <c r="H190" s="76"/>
      <c r="I190" s="80"/>
    </row>
    <row r="191" ht="15.75" customHeight="1">
      <c r="H191" s="76"/>
      <c r="I191" s="80"/>
    </row>
    <row r="192" ht="15.75" customHeight="1">
      <c r="H192" s="76"/>
      <c r="I192" s="80"/>
    </row>
    <row r="193" ht="15.75" customHeight="1">
      <c r="H193" s="76"/>
      <c r="I193" s="80"/>
    </row>
    <row r="194" ht="15.75" customHeight="1">
      <c r="H194" s="76"/>
      <c r="I194" s="80"/>
    </row>
    <row r="195" ht="15.75" customHeight="1">
      <c r="H195" s="76"/>
      <c r="I195" s="80"/>
    </row>
    <row r="196" ht="15.75" customHeight="1">
      <c r="H196" s="76"/>
      <c r="I196" s="80"/>
    </row>
    <row r="197" ht="15.75" customHeight="1">
      <c r="H197" s="76"/>
      <c r="I197" s="80"/>
    </row>
    <row r="198" ht="15.75" customHeight="1">
      <c r="H198" s="76"/>
      <c r="I198" s="80"/>
    </row>
    <row r="199" ht="15.75" customHeight="1">
      <c r="H199" s="76"/>
      <c r="I199" s="80"/>
    </row>
    <row r="200" ht="15.75" customHeight="1">
      <c r="H200" s="76"/>
      <c r="I200" s="80"/>
    </row>
    <row r="201" ht="15.75" customHeight="1">
      <c r="H201" s="76"/>
      <c r="I201" s="80"/>
    </row>
    <row r="202" ht="15.75" customHeight="1">
      <c r="H202" s="76"/>
      <c r="I202" s="80"/>
    </row>
    <row r="203" ht="15.75" customHeight="1">
      <c r="H203" s="76"/>
      <c r="I203" s="80"/>
    </row>
    <row r="204" ht="15.75" customHeight="1">
      <c r="H204" s="76"/>
      <c r="I204" s="80"/>
    </row>
    <row r="205" ht="15.75" customHeight="1">
      <c r="H205" s="76"/>
      <c r="I205" s="80"/>
    </row>
    <row r="206" ht="15.75" customHeight="1">
      <c r="H206" s="76"/>
      <c r="I206" s="80"/>
    </row>
    <row r="207" ht="15.75" customHeight="1">
      <c r="H207" s="76"/>
      <c r="I207" s="80"/>
    </row>
    <row r="208" ht="15.75" customHeight="1">
      <c r="H208" s="76"/>
      <c r="I208" s="80"/>
    </row>
    <row r="209" ht="15.75" customHeight="1">
      <c r="H209" s="76"/>
      <c r="I209" s="80"/>
    </row>
    <row r="210" ht="15.75" customHeight="1">
      <c r="H210" s="76"/>
      <c r="I210" s="80"/>
    </row>
    <row r="211" ht="15.75" customHeight="1">
      <c r="H211" s="76"/>
      <c r="I211" s="80"/>
    </row>
    <row r="212" ht="15.75" customHeight="1">
      <c r="H212" s="76"/>
      <c r="I212" s="80"/>
    </row>
    <row r="213" ht="15.75" customHeight="1">
      <c r="H213" s="76"/>
      <c r="I213" s="80"/>
    </row>
    <row r="214" ht="15.75" customHeight="1">
      <c r="H214" s="76"/>
      <c r="I214" s="80"/>
    </row>
    <row r="215" ht="15.75" customHeight="1">
      <c r="H215" s="76"/>
      <c r="I215" s="80"/>
    </row>
    <row r="216" ht="15.75" customHeight="1">
      <c r="H216" s="76"/>
      <c r="I216" s="80"/>
    </row>
    <row r="217" ht="15.75" customHeight="1">
      <c r="H217" s="76"/>
      <c r="I217" s="80"/>
    </row>
    <row r="218" ht="15.75" customHeight="1">
      <c r="H218" s="76"/>
      <c r="I218" s="80"/>
    </row>
    <row r="219" ht="15.75" customHeight="1">
      <c r="H219" s="76"/>
      <c r="I219" s="80"/>
    </row>
    <row r="220" ht="15.75" customHeight="1">
      <c r="H220" s="76"/>
      <c r="I220" s="80"/>
    </row>
    <row r="221" ht="15.75" customHeight="1">
      <c r="H221" s="76"/>
      <c r="I221" s="80"/>
    </row>
    <row r="222" ht="15.75" customHeight="1">
      <c r="H222" s="76"/>
      <c r="I222" s="80"/>
    </row>
    <row r="223" ht="15.75" customHeight="1">
      <c r="H223" s="76"/>
      <c r="I223" s="80"/>
    </row>
    <row r="224" ht="15.75" customHeight="1">
      <c r="H224" s="76"/>
      <c r="I224" s="80"/>
    </row>
    <row r="225" ht="15.75" customHeight="1">
      <c r="H225" s="76"/>
      <c r="I225" s="80"/>
    </row>
    <row r="226" ht="15.75" customHeight="1">
      <c r="H226" s="76"/>
      <c r="I226" s="80"/>
    </row>
    <row r="227" ht="15.75" customHeight="1">
      <c r="H227" s="76"/>
      <c r="I227" s="80"/>
    </row>
    <row r="228" ht="15.75" customHeight="1">
      <c r="H228" s="76"/>
      <c r="I228" s="80"/>
    </row>
    <row r="229" ht="15.75" customHeight="1">
      <c r="H229" s="76"/>
      <c r="I229" s="80"/>
    </row>
    <row r="230" ht="15.75" customHeight="1">
      <c r="H230" s="76"/>
      <c r="I230" s="80"/>
    </row>
    <row r="231" ht="15.75" customHeight="1">
      <c r="H231" s="76"/>
      <c r="I231" s="80"/>
    </row>
    <row r="232" ht="15.75" customHeight="1">
      <c r="H232" s="76"/>
      <c r="I232" s="80"/>
    </row>
    <row r="233" ht="15.75" customHeight="1">
      <c r="H233" s="76"/>
      <c r="I233" s="80"/>
    </row>
    <row r="234" ht="15.75" customHeight="1">
      <c r="H234" s="76"/>
      <c r="I234" s="80"/>
    </row>
    <row r="235" ht="15.75" customHeight="1">
      <c r="H235" s="76"/>
      <c r="I235" s="80"/>
    </row>
    <row r="236" ht="15.75" customHeight="1">
      <c r="H236" s="76"/>
      <c r="I236" s="80"/>
    </row>
    <row r="237" ht="15.75" customHeight="1">
      <c r="H237" s="76"/>
      <c r="I237" s="80"/>
    </row>
    <row r="238" ht="15.75" customHeight="1">
      <c r="H238" s="76"/>
      <c r="I238" s="80"/>
    </row>
    <row r="239" ht="15.75" customHeight="1">
      <c r="H239" s="76"/>
      <c r="I239" s="80"/>
    </row>
    <row r="240" ht="15.75" customHeight="1">
      <c r="H240" s="76"/>
      <c r="I240" s="80"/>
    </row>
    <row r="241" ht="15.75" customHeight="1">
      <c r="H241" s="76"/>
      <c r="I241" s="80"/>
    </row>
    <row r="242" ht="15.75" customHeight="1">
      <c r="H242" s="76"/>
      <c r="I242" s="80"/>
    </row>
    <row r="243" ht="15.75" customHeight="1">
      <c r="H243" s="76"/>
      <c r="I243" s="80"/>
    </row>
    <row r="244" ht="15.75" customHeight="1">
      <c r="H244" s="76"/>
      <c r="I244" s="80"/>
    </row>
    <row r="245" ht="15.75" customHeight="1">
      <c r="H245" s="76"/>
      <c r="I245" s="80"/>
    </row>
    <row r="246" ht="15.75" customHeight="1">
      <c r="H246" s="76"/>
      <c r="I246" s="80"/>
    </row>
    <row r="247" ht="15.75" customHeight="1">
      <c r="H247" s="76"/>
      <c r="I247" s="80"/>
    </row>
    <row r="248" ht="15.75" customHeight="1">
      <c r="H248" s="76"/>
      <c r="I248" s="80"/>
    </row>
    <row r="249" ht="15.75" customHeight="1">
      <c r="H249" s="76"/>
      <c r="I249" s="80"/>
    </row>
    <row r="250" ht="15.75" customHeight="1">
      <c r="H250" s="76"/>
      <c r="I250" s="80"/>
    </row>
    <row r="251" ht="15.75" customHeight="1">
      <c r="H251" s="76"/>
      <c r="I251" s="80"/>
    </row>
    <row r="252" ht="15.75" customHeight="1">
      <c r="H252" s="76"/>
      <c r="I252" s="80"/>
    </row>
    <row r="253" ht="15.75" customHeight="1">
      <c r="H253" s="76"/>
      <c r="I253" s="80"/>
    </row>
    <row r="254" ht="15.75" customHeight="1">
      <c r="H254" s="76"/>
      <c r="I254" s="80"/>
    </row>
    <row r="255" ht="15.75" customHeight="1">
      <c r="H255" s="76"/>
      <c r="I255" s="80"/>
    </row>
    <row r="256" ht="15.75" customHeight="1">
      <c r="H256" s="76"/>
      <c r="I256" s="80"/>
    </row>
    <row r="257" ht="15.75" customHeight="1">
      <c r="H257" s="76"/>
      <c r="I257" s="80"/>
    </row>
    <row r="258" ht="15.75" customHeight="1">
      <c r="H258" s="76"/>
      <c r="I258" s="80"/>
    </row>
    <row r="259" ht="15.75" customHeight="1">
      <c r="H259" s="76"/>
      <c r="I259" s="80"/>
    </row>
    <row r="260" ht="15.75" customHeight="1">
      <c r="H260" s="76"/>
      <c r="I260" s="80"/>
    </row>
    <row r="261" ht="15.75" customHeight="1">
      <c r="H261" s="76"/>
      <c r="I261" s="80"/>
    </row>
    <row r="262" ht="15.75" customHeight="1">
      <c r="H262" s="76"/>
      <c r="I262" s="80"/>
    </row>
    <row r="263" ht="15.75" customHeight="1">
      <c r="H263" s="76"/>
      <c r="I263" s="80"/>
    </row>
    <row r="264" ht="15.75" customHeight="1">
      <c r="H264" s="76"/>
      <c r="I264" s="80"/>
    </row>
    <row r="265" ht="15.75" customHeight="1">
      <c r="H265" s="76"/>
      <c r="I265" s="80"/>
    </row>
    <row r="266" ht="15.75" customHeight="1">
      <c r="H266" s="76"/>
      <c r="I266" s="80"/>
    </row>
    <row r="267" ht="15.75" customHeight="1">
      <c r="H267" s="76"/>
      <c r="I267" s="80"/>
    </row>
    <row r="268" ht="15.75" customHeight="1">
      <c r="H268" s="76"/>
      <c r="I268" s="80"/>
    </row>
    <row r="269" ht="15.75" customHeight="1">
      <c r="H269" s="76"/>
      <c r="I269" s="80"/>
    </row>
    <row r="270" ht="15.75" customHeight="1">
      <c r="H270" s="76"/>
      <c r="I270" s="80"/>
    </row>
    <row r="271" ht="15.75" customHeight="1">
      <c r="H271" s="76"/>
      <c r="I271" s="80"/>
    </row>
    <row r="272" ht="15.75" customHeight="1">
      <c r="H272" s="76"/>
      <c r="I272" s="80"/>
    </row>
    <row r="273" ht="15.75" customHeight="1">
      <c r="H273" s="76"/>
      <c r="I273" s="80"/>
    </row>
    <row r="274" ht="15.75" customHeight="1">
      <c r="H274" s="76"/>
      <c r="I274" s="80"/>
    </row>
    <row r="275" ht="15.75" customHeight="1">
      <c r="H275" s="76"/>
      <c r="I275" s="80"/>
    </row>
    <row r="276" ht="15.75" customHeight="1">
      <c r="H276" s="76"/>
      <c r="I276" s="80"/>
    </row>
    <row r="277" ht="15.75" customHeight="1">
      <c r="H277" s="76"/>
      <c r="I277" s="80"/>
    </row>
    <row r="278" ht="15.75" customHeight="1">
      <c r="H278" s="76"/>
      <c r="I278" s="80"/>
    </row>
    <row r="279" ht="15.75" customHeight="1">
      <c r="H279" s="76"/>
      <c r="I279" s="80"/>
    </row>
    <row r="280" ht="15.75" customHeight="1">
      <c r="H280" s="76"/>
      <c r="I280" s="80"/>
    </row>
    <row r="281" ht="15.75" customHeight="1">
      <c r="H281" s="76"/>
      <c r="I281" s="80"/>
    </row>
    <row r="282" ht="15.75" customHeight="1">
      <c r="H282" s="76"/>
      <c r="I282" s="80"/>
    </row>
    <row r="283" ht="15.75" customHeight="1">
      <c r="H283" s="76"/>
      <c r="I283" s="80"/>
    </row>
    <row r="284" ht="15.75" customHeight="1">
      <c r="H284" s="76"/>
      <c r="I284" s="80"/>
    </row>
    <row r="285" ht="15.75" customHeight="1">
      <c r="H285" s="76"/>
      <c r="I285" s="80"/>
    </row>
    <row r="286" ht="15.75" customHeight="1">
      <c r="H286" s="76"/>
      <c r="I286" s="80"/>
    </row>
    <row r="287" ht="15.75" customHeight="1">
      <c r="H287" s="76"/>
      <c r="I287" s="80"/>
    </row>
    <row r="288" ht="15.75" customHeight="1">
      <c r="H288" s="76"/>
      <c r="I288" s="80"/>
    </row>
    <row r="289" ht="15.75" customHeight="1">
      <c r="H289" s="76"/>
      <c r="I289" s="80"/>
    </row>
    <row r="290" ht="15.75" customHeight="1">
      <c r="H290" s="76"/>
      <c r="I290" s="80"/>
    </row>
    <row r="291" ht="15.75" customHeight="1">
      <c r="H291" s="76"/>
      <c r="I291" s="80"/>
    </row>
    <row r="292" ht="15.75" customHeight="1">
      <c r="H292" s="76"/>
      <c r="I292" s="80"/>
    </row>
    <row r="293" ht="15.75" customHeight="1">
      <c r="H293" s="76"/>
      <c r="I293" s="80"/>
    </row>
    <row r="294" ht="15.75" customHeight="1">
      <c r="H294" s="76"/>
      <c r="I294" s="80"/>
    </row>
    <row r="295" ht="15.75" customHeight="1">
      <c r="H295" s="76"/>
      <c r="I295" s="80"/>
    </row>
    <row r="296" ht="15.75" customHeight="1">
      <c r="H296" s="76"/>
      <c r="I296" s="80"/>
    </row>
    <row r="297" ht="15.75" customHeight="1">
      <c r="H297" s="76"/>
      <c r="I297" s="80"/>
    </row>
    <row r="298" ht="15.75" customHeight="1">
      <c r="H298" s="76"/>
      <c r="I298" s="80"/>
    </row>
    <row r="299" ht="15.75" customHeight="1">
      <c r="H299" s="76"/>
      <c r="I299" s="80"/>
    </row>
    <row r="300" ht="15.75" customHeight="1">
      <c r="H300" s="76"/>
      <c r="I300" s="80"/>
    </row>
    <row r="301" ht="15.75" customHeight="1">
      <c r="H301" s="76"/>
      <c r="I301" s="80"/>
    </row>
    <row r="302" ht="15.75" customHeight="1">
      <c r="H302" s="76"/>
      <c r="I302" s="80"/>
    </row>
    <row r="303" ht="15.75" customHeight="1">
      <c r="H303" s="76"/>
      <c r="I303" s="80"/>
    </row>
    <row r="304" ht="15.75" customHeight="1">
      <c r="H304" s="76"/>
      <c r="I304" s="80"/>
    </row>
    <row r="305" ht="15.75" customHeight="1">
      <c r="H305" s="76"/>
      <c r="I305" s="80"/>
    </row>
    <row r="306" ht="15.75" customHeight="1">
      <c r="H306" s="76"/>
      <c r="I306" s="80"/>
    </row>
    <row r="307" ht="15.75" customHeight="1">
      <c r="H307" s="76"/>
      <c r="I307" s="80"/>
    </row>
    <row r="308" ht="15.75" customHeight="1">
      <c r="H308" s="76"/>
      <c r="I308" s="80"/>
    </row>
    <row r="309" ht="15.75" customHeight="1">
      <c r="H309" s="76"/>
      <c r="I309" s="80"/>
    </row>
    <row r="310" ht="15.75" customHeight="1">
      <c r="H310" s="76"/>
      <c r="I310" s="80"/>
    </row>
    <row r="311" ht="15.75" customHeight="1">
      <c r="H311" s="76"/>
      <c r="I311" s="80"/>
    </row>
    <row r="312" ht="15.75" customHeight="1">
      <c r="H312" s="76"/>
      <c r="I312" s="80"/>
    </row>
    <row r="313" ht="15.75" customHeight="1">
      <c r="H313" s="76"/>
      <c r="I313" s="80"/>
    </row>
    <row r="314" ht="15.75" customHeight="1">
      <c r="H314" s="76"/>
      <c r="I314" s="80"/>
    </row>
    <row r="315" ht="15.75" customHeight="1">
      <c r="H315" s="76"/>
      <c r="I315" s="80"/>
    </row>
    <row r="316" ht="15.75" customHeight="1">
      <c r="H316" s="76"/>
      <c r="I316" s="80"/>
    </row>
    <row r="317" ht="15.75" customHeight="1">
      <c r="H317" s="76"/>
      <c r="I317" s="80"/>
    </row>
    <row r="318" ht="15.75" customHeight="1">
      <c r="H318" s="76"/>
      <c r="I318" s="80"/>
    </row>
    <row r="319" ht="15.75" customHeight="1">
      <c r="H319" s="76"/>
      <c r="I319" s="80"/>
    </row>
    <row r="320" ht="15.75" customHeight="1">
      <c r="H320" s="76"/>
      <c r="I320" s="80"/>
    </row>
    <row r="321" ht="15.75" customHeight="1">
      <c r="H321" s="76"/>
      <c r="I321" s="80"/>
    </row>
    <row r="322" ht="15.75" customHeight="1">
      <c r="H322" s="76"/>
      <c r="I322" s="80"/>
    </row>
    <row r="323" ht="15.75" customHeight="1">
      <c r="H323" s="76"/>
      <c r="I323" s="80"/>
    </row>
    <row r="324" ht="15.75" customHeight="1">
      <c r="H324" s="76"/>
      <c r="I324" s="80"/>
    </row>
    <row r="325" ht="15.75" customHeight="1">
      <c r="H325" s="76"/>
      <c r="I325" s="80"/>
    </row>
    <row r="326" ht="15.75" customHeight="1">
      <c r="H326" s="76"/>
      <c r="I326" s="80"/>
    </row>
    <row r="327" ht="15.75" customHeight="1">
      <c r="H327" s="76"/>
      <c r="I327" s="80"/>
    </row>
    <row r="328" ht="15.75" customHeight="1">
      <c r="H328" s="76"/>
      <c r="I328" s="80"/>
    </row>
    <row r="329" ht="15.75" customHeight="1">
      <c r="H329" s="76"/>
      <c r="I329" s="80"/>
    </row>
    <row r="330" ht="15.75" customHeight="1">
      <c r="H330" s="76"/>
      <c r="I330" s="80"/>
    </row>
    <row r="331" ht="15.75" customHeight="1">
      <c r="H331" s="76"/>
      <c r="I331" s="80"/>
    </row>
    <row r="332" ht="15.75" customHeight="1">
      <c r="H332" s="76"/>
      <c r="I332" s="80"/>
    </row>
    <row r="333" ht="15.75" customHeight="1">
      <c r="H333" s="76"/>
      <c r="I333" s="80"/>
    </row>
    <row r="334" ht="15.75" customHeight="1">
      <c r="H334" s="76"/>
      <c r="I334" s="80"/>
    </row>
    <row r="335" ht="15.75" customHeight="1">
      <c r="H335" s="76"/>
      <c r="I335" s="80"/>
    </row>
    <row r="336" ht="15.75" customHeight="1">
      <c r="H336" s="76"/>
      <c r="I336" s="80"/>
    </row>
    <row r="337" ht="15.75" customHeight="1">
      <c r="H337" s="76"/>
      <c r="I337" s="80"/>
    </row>
    <row r="338" ht="15.75" customHeight="1">
      <c r="H338" s="76"/>
      <c r="I338" s="80"/>
    </row>
    <row r="339" ht="15.75" customHeight="1">
      <c r="H339" s="76"/>
      <c r="I339" s="80"/>
    </row>
    <row r="340" ht="15.75" customHeight="1">
      <c r="H340" s="76"/>
      <c r="I340" s="80"/>
    </row>
    <row r="341" ht="15.75" customHeight="1">
      <c r="H341" s="76"/>
      <c r="I341" s="80"/>
    </row>
    <row r="342" ht="15.75" customHeight="1">
      <c r="H342" s="76"/>
      <c r="I342" s="80"/>
    </row>
    <row r="343" ht="15.75" customHeight="1">
      <c r="H343" s="76"/>
      <c r="I343" s="80"/>
    </row>
    <row r="344" ht="15.75" customHeight="1">
      <c r="H344" s="76"/>
      <c r="I344" s="80"/>
    </row>
    <row r="345" ht="15.75" customHeight="1">
      <c r="H345" s="76"/>
      <c r="I345" s="80"/>
    </row>
    <row r="346" ht="15.75" customHeight="1">
      <c r="H346" s="76"/>
      <c r="I346" s="80"/>
    </row>
    <row r="347" ht="15.75" customHeight="1">
      <c r="H347" s="76"/>
      <c r="I347" s="80"/>
    </row>
    <row r="348" ht="15.75" customHeight="1">
      <c r="H348" s="76"/>
      <c r="I348" s="80"/>
    </row>
    <row r="349" ht="15.75" customHeight="1">
      <c r="H349" s="76"/>
      <c r="I349" s="80"/>
    </row>
    <row r="350" ht="15.75" customHeight="1">
      <c r="H350" s="76"/>
      <c r="I350" s="80"/>
    </row>
    <row r="351" ht="15.75" customHeight="1">
      <c r="H351" s="76"/>
      <c r="I351" s="80"/>
    </row>
    <row r="352" ht="15.75" customHeight="1">
      <c r="H352" s="76"/>
      <c r="I352" s="80"/>
    </row>
    <row r="353" ht="15.75" customHeight="1">
      <c r="H353" s="76"/>
      <c r="I353" s="80"/>
    </row>
    <row r="354" ht="15.75" customHeight="1">
      <c r="H354" s="76"/>
      <c r="I354" s="80"/>
    </row>
    <row r="355" ht="15.75" customHeight="1">
      <c r="H355" s="76"/>
      <c r="I355" s="80"/>
    </row>
    <row r="356" ht="15.75" customHeight="1">
      <c r="H356" s="76"/>
      <c r="I356" s="80"/>
    </row>
    <row r="357" ht="15.75" customHeight="1">
      <c r="H357" s="76"/>
      <c r="I357" s="80"/>
    </row>
    <row r="358" ht="15.75" customHeight="1">
      <c r="H358" s="76"/>
      <c r="I358" s="80"/>
    </row>
    <row r="359" ht="15.75" customHeight="1">
      <c r="H359" s="76"/>
      <c r="I359" s="80"/>
    </row>
    <row r="360" ht="15.75" customHeight="1">
      <c r="H360" s="76"/>
      <c r="I360" s="80"/>
    </row>
    <row r="361" ht="15.75" customHeight="1">
      <c r="H361" s="76"/>
      <c r="I361" s="80"/>
    </row>
    <row r="362" ht="15.75" customHeight="1">
      <c r="H362" s="76"/>
      <c r="I362" s="80"/>
    </row>
    <row r="363" ht="15.75" customHeight="1">
      <c r="H363" s="76"/>
      <c r="I363" s="80"/>
    </row>
    <row r="364" ht="15.75" customHeight="1">
      <c r="H364" s="76"/>
      <c r="I364" s="80"/>
    </row>
    <row r="365" ht="15.75" customHeight="1">
      <c r="H365" s="76"/>
      <c r="I365" s="80"/>
    </row>
    <row r="366" ht="15.75" customHeight="1">
      <c r="H366" s="76"/>
      <c r="I366" s="80"/>
    </row>
    <row r="367" ht="15.75" customHeight="1">
      <c r="H367" s="76"/>
      <c r="I367" s="80"/>
    </row>
    <row r="368" ht="15.75" customHeight="1">
      <c r="H368" s="76"/>
      <c r="I368" s="80"/>
    </row>
    <row r="369" ht="15.75" customHeight="1">
      <c r="H369" s="76"/>
      <c r="I369" s="80"/>
    </row>
    <row r="370" ht="15.75" customHeight="1">
      <c r="H370" s="76"/>
      <c r="I370" s="80"/>
    </row>
    <row r="371" ht="15.75" customHeight="1">
      <c r="H371" s="76"/>
      <c r="I371" s="80"/>
    </row>
    <row r="372" ht="15.75" customHeight="1">
      <c r="H372" s="76"/>
      <c r="I372" s="80"/>
    </row>
    <row r="373" ht="15.75" customHeight="1">
      <c r="H373" s="76"/>
      <c r="I373" s="80"/>
    </row>
    <row r="374" ht="15.75" customHeight="1">
      <c r="H374" s="76"/>
      <c r="I374" s="80"/>
    </row>
    <row r="375" ht="15.75" customHeight="1">
      <c r="H375" s="76"/>
      <c r="I375" s="80"/>
    </row>
    <row r="376" ht="15.75" customHeight="1">
      <c r="H376" s="76"/>
      <c r="I376" s="80"/>
    </row>
    <row r="377" ht="15.75" customHeight="1">
      <c r="H377" s="76"/>
      <c r="I377" s="80"/>
    </row>
    <row r="378" ht="15.75" customHeight="1">
      <c r="H378" s="76"/>
      <c r="I378" s="80"/>
    </row>
    <row r="379" ht="15.75" customHeight="1">
      <c r="H379" s="76"/>
      <c r="I379" s="80"/>
    </row>
    <row r="380" ht="15.75" customHeight="1">
      <c r="H380" s="76"/>
      <c r="I380" s="80"/>
    </row>
    <row r="381" ht="15.75" customHeight="1">
      <c r="H381" s="76"/>
      <c r="I381" s="80"/>
    </row>
    <row r="382" ht="15.75" customHeight="1">
      <c r="H382" s="76"/>
      <c r="I382" s="80"/>
    </row>
    <row r="383" ht="15.75" customHeight="1">
      <c r="H383" s="76"/>
      <c r="I383" s="80"/>
    </row>
    <row r="384" ht="15.75" customHeight="1">
      <c r="H384" s="76"/>
      <c r="I384" s="80"/>
    </row>
    <row r="385" ht="15.75" customHeight="1">
      <c r="H385" s="76"/>
      <c r="I385" s="80"/>
    </row>
    <row r="386" ht="15.75" customHeight="1">
      <c r="H386" s="76"/>
      <c r="I386" s="80"/>
    </row>
    <row r="387" ht="15.75" customHeight="1">
      <c r="H387" s="76"/>
      <c r="I387" s="80"/>
    </row>
    <row r="388" ht="15.75" customHeight="1">
      <c r="H388" s="76"/>
      <c r="I388" s="80"/>
    </row>
    <row r="389" ht="15.75" customHeight="1">
      <c r="H389" s="76"/>
      <c r="I389" s="80"/>
    </row>
    <row r="390" ht="15.75" customHeight="1">
      <c r="H390" s="76"/>
      <c r="I390" s="80"/>
    </row>
    <row r="391" ht="15.75" customHeight="1">
      <c r="H391" s="76"/>
      <c r="I391" s="80"/>
    </row>
    <row r="392" ht="15.75" customHeight="1">
      <c r="H392" s="76"/>
      <c r="I392" s="80"/>
    </row>
    <row r="393" ht="15.75" customHeight="1">
      <c r="H393" s="76"/>
      <c r="I393" s="80"/>
    </row>
    <row r="394" ht="15.75" customHeight="1">
      <c r="H394" s="76"/>
      <c r="I394" s="80"/>
    </row>
    <row r="395" ht="15.75" customHeight="1">
      <c r="H395" s="76"/>
      <c r="I395" s="80"/>
    </row>
    <row r="396" ht="15.75" customHeight="1">
      <c r="H396" s="76"/>
      <c r="I396" s="80"/>
    </row>
    <row r="397" ht="15.75" customHeight="1">
      <c r="H397" s="76"/>
      <c r="I397" s="80"/>
    </row>
    <row r="398" ht="15.75" customHeight="1">
      <c r="H398" s="76"/>
      <c r="I398" s="80"/>
    </row>
    <row r="399" ht="15.75" customHeight="1">
      <c r="H399" s="76"/>
      <c r="I399" s="80"/>
    </row>
    <row r="400" ht="15.75" customHeight="1">
      <c r="H400" s="76"/>
      <c r="I400" s="80"/>
    </row>
    <row r="401" ht="15.75" customHeight="1">
      <c r="H401" s="76"/>
      <c r="I401" s="80"/>
    </row>
    <row r="402" ht="15.75" customHeight="1">
      <c r="H402" s="76"/>
      <c r="I402" s="80"/>
    </row>
    <row r="403" ht="15.75" customHeight="1">
      <c r="H403" s="76"/>
      <c r="I403" s="80"/>
    </row>
    <row r="404" ht="15.75" customHeight="1">
      <c r="H404" s="76"/>
      <c r="I404" s="80"/>
    </row>
    <row r="405" ht="15.75" customHeight="1">
      <c r="H405" s="76"/>
      <c r="I405" s="80"/>
    </row>
    <row r="406" ht="15.75" customHeight="1">
      <c r="H406" s="76"/>
      <c r="I406" s="80"/>
    </row>
    <row r="407" ht="15.75" customHeight="1">
      <c r="H407" s="76"/>
      <c r="I407" s="80"/>
    </row>
    <row r="408" ht="15.75" customHeight="1">
      <c r="H408" s="76"/>
      <c r="I408" s="80"/>
    </row>
    <row r="409" ht="15.75" customHeight="1">
      <c r="H409" s="76"/>
      <c r="I409" s="80"/>
    </row>
    <row r="410" ht="15.75" customHeight="1">
      <c r="H410" s="76"/>
      <c r="I410" s="80"/>
    </row>
    <row r="411" ht="15.75" customHeight="1">
      <c r="H411" s="76"/>
      <c r="I411" s="80"/>
    </row>
    <row r="412" ht="15.75" customHeight="1">
      <c r="H412" s="76"/>
      <c r="I412" s="80"/>
    </row>
    <row r="413" ht="15.75" customHeight="1">
      <c r="H413" s="76"/>
      <c r="I413" s="80"/>
    </row>
    <row r="414" ht="15.75" customHeight="1">
      <c r="H414" s="76"/>
      <c r="I414" s="80"/>
    </row>
    <row r="415" ht="15.75" customHeight="1">
      <c r="H415" s="76"/>
      <c r="I415" s="80"/>
    </row>
    <row r="416" ht="15.75" customHeight="1">
      <c r="H416" s="76"/>
      <c r="I416" s="80"/>
    </row>
    <row r="417" ht="15.75" customHeight="1">
      <c r="H417" s="76"/>
      <c r="I417" s="80"/>
    </row>
    <row r="418" ht="15.75" customHeight="1">
      <c r="H418" s="76"/>
      <c r="I418" s="80"/>
    </row>
    <row r="419" ht="15.75" customHeight="1">
      <c r="H419" s="76"/>
      <c r="I419" s="80"/>
    </row>
    <row r="420" ht="15.75" customHeight="1">
      <c r="H420" s="76"/>
      <c r="I420" s="80"/>
    </row>
    <row r="421" ht="15.75" customHeight="1">
      <c r="H421" s="76"/>
      <c r="I421" s="80"/>
    </row>
    <row r="422" ht="15.75" customHeight="1">
      <c r="H422" s="76"/>
      <c r="I422" s="80"/>
    </row>
    <row r="423" ht="15.75" customHeight="1">
      <c r="H423" s="76"/>
      <c r="I423" s="80"/>
    </row>
    <row r="424" ht="15.75" customHeight="1">
      <c r="H424" s="76"/>
      <c r="I424" s="80"/>
    </row>
    <row r="425" ht="15.75" customHeight="1">
      <c r="H425" s="76"/>
      <c r="I425" s="80"/>
    </row>
    <row r="426" ht="15.75" customHeight="1">
      <c r="H426" s="76"/>
      <c r="I426" s="80"/>
    </row>
    <row r="427" ht="15.75" customHeight="1">
      <c r="H427" s="76"/>
      <c r="I427" s="80"/>
    </row>
    <row r="428" ht="15.75" customHeight="1">
      <c r="H428" s="76"/>
      <c r="I428" s="80"/>
    </row>
    <row r="429" ht="15.75" customHeight="1">
      <c r="H429" s="76"/>
      <c r="I429" s="80"/>
    </row>
    <row r="430" ht="15.75" customHeight="1">
      <c r="H430" s="76"/>
      <c r="I430" s="80"/>
    </row>
    <row r="431" ht="15.75" customHeight="1">
      <c r="H431" s="76"/>
      <c r="I431" s="80"/>
    </row>
    <row r="432" ht="15.75" customHeight="1">
      <c r="H432" s="76"/>
      <c r="I432" s="80"/>
    </row>
    <row r="433" ht="15.75" customHeight="1">
      <c r="H433" s="76"/>
      <c r="I433" s="80"/>
    </row>
    <row r="434" ht="15.75" customHeight="1">
      <c r="H434" s="76"/>
      <c r="I434" s="80"/>
    </row>
    <row r="435" ht="15.75" customHeight="1">
      <c r="H435" s="76"/>
      <c r="I435" s="80"/>
    </row>
    <row r="436" ht="15.75" customHeight="1">
      <c r="H436" s="76"/>
      <c r="I436" s="80"/>
    </row>
    <row r="437" ht="15.75" customHeight="1">
      <c r="H437" s="76"/>
      <c r="I437" s="80"/>
    </row>
    <row r="438" ht="15.75" customHeight="1">
      <c r="H438" s="76"/>
      <c r="I438" s="80"/>
    </row>
    <row r="439" ht="15.75" customHeight="1">
      <c r="H439" s="76"/>
      <c r="I439" s="80"/>
    </row>
    <row r="440" ht="15.75" customHeight="1">
      <c r="H440" s="76"/>
      <c r="I440" s="80"/>
    </row>
    <row r="441" ht="15.75" customHeight="1">
      <c r="H441" s="76"/>
      <c r="I441" s="80"/>
    </row>
    <row r="442" ht="15.75" customHeight="1">
      <c r="H442" s="76"/>
      <c r="I442" s="80"/>
    </row>
    <row r="443" ht="15.75" customHeight="1">
      <c r="H443" s="76"/>
      <c r="I443" s="80"/>
    </row>
    <row r="444" ht="15.75" customHeight="1">
      <c r="H444" s="76"/>
      <c r="I444" s="80"/>
    </row>
    <row r="445" ht="15.75" customHeight="1">
      <c r="H445" s="76"/>
      <c r="I445" s="80"/>
    </row>
    <row r="446" ht="15.75" customHeight="1">
      <c r="H446" s="76"/>
      <c r="I446" s="80"/>
    </row>
    <row r="447" ht="15.75" customHeight="1">
      <c r="H447" s="76"/>
      <c r="I447" s="80"/>
    </row>
    <row r="448" ht="15.75" customHeight="1">
      <c r="H448" s="76"/>
      <c r="I448" s="80"/>
    </row>
    <row r="449" ht="15.75" customHeight="1">
      <c r="H449" s="76"/>
      <c r="I449" s="80"/>
    </row>
    <row r="450" ht="15.75" customHeight="1">
      <c r="H450" s="76"/>
      <c r="I450" s="80"/>
    </row>
    <row r="451" ht="15.75" customHeight="1">
      <c r="H451" s="76"/>
      <c r="I451" s="80"/>
    </row>
    <row r="452" ht="15.75" customHeight="1">
      <c r="H452" s="76"/>
      <c r="I452" s="80"/>
    </row>
    <row r="453" ht="15.75" customHeight="1">
      <c r="H453" s="76"/>
      <c r="I453" s="80"/>
    </row>
    <row r="454" ht="15.75" customHeight="1">
      <c r="H454" s="76"/>
      <c r="I454" s="80"/>
    </row>
    <row r="455" ht="15.75" customHeight="1">
      <c r="H455" s="76"/>
      <c r="I455" s="80"/>
    </row>
    <row r="456" ht="15.75" customHeight="1">
      <c r="H456" s="76"/>
      <c r="I456" s="80"/>
    </row>
    <row r="457" ht="15.75" customHeight="1">
      <c r="H457" s="76"/>
      <c r="I457" s="80"/>
    </row>
    <row r="458" ht="15.75" customHeight="1">
      <c r="H458" s="76"/>
      <c r="I458" s="80"/>
    </row>
    <row r="459" ht="15.75" customHeight="1">
      <c r="H459" s="76"/>
      <c r="I459" s="80"/>
    </row>
    <row r="460" ht="15.75" customHeight="1">
      <c r="H460" s="76"/>
      <c r="I460" s="80"/>
    </row>
    <row r="461" ht="15.75" customHeight="1">
      <c r="H461" s="76"/>
      <c r="I461" s="80"/>
    </row>
    <row r="462" ht="15.75" customHeight="1">
      <c r="H462" s="76"/>
      <c r="I462" s="80"/>
    </row>
    <row r="463" ht="15.75" customHeight="1">
      <c r="H463" s="76"/>
      <c r="I463" s="80"/>
    </row>
    <row r="464" ht="15.75" customHeight="1">
      <c r="H464" s="76"/>
      <c r="I464" s="80"/>
    </row>
    <row r="465" ht="15.75" customHeight="1">
      <c r="H465" s="76"/>
      <c r="I465" s="80"/>
    </row>
    <row r="466" ht="15.75" customHeight="1">
      <c r="H466" s="76"/>
      <c r="I466" s="80"/>
    </row>
    <row r="467" ht="15.75" customHeight="1">
      <c r="H467" s="76"/>
      <c r="I467" s="80"/>
    </row>
    <row r="468" ht="15.75" customHeight="1">
      <c r="H468" s="76"/>
      <c r="I468" s="80"/>
    </row>
    <row r="469" ht="15.75" customHeight="1">
      <c r="H469" s="76"/>
      <c r="I469" s="80"/>
    </row>
    <row r="470" ht="15.75" customHeight="1">
      <c r="H470" s="76"/>
      <c r="I470" s="80"/>
    </row>
    <row r="471" ht="15.75" customHeight="1">
      <c r="H471" s="76"/>
      <c r="I471" s="80"/>
    </row>
    <row r="472" ht="15.75" customHeight="1">
      <c r="H472" s="76"/>
      <c r="I472" s="80"/>
    </row>
    <row r="473" ht="15.75" customHeight="1">
      <c r="H473" s="76"/>
      <c r="I473" s="80"/>
    </row>
    <row r="474" ht="15.75" customHeight="1">
      <c r="H474" s="76"/>
      <c r="I474" s="80"/>
    </row>
    <row r="475" ht="15.75" customHeight="1">
      <c r="H475" s="76"/>
      <c r="I475" s="80"/>
    </row>
    <row r="476" ht="15.75" customHeight="1">
      <c r="H476" s="76"/>
      <c r="I476" s="80"/>
    </row>
    <row r="477" ht="15.75" customHeight="1">
      <c r="H477" s="76"/>
      <c r="I477" s="80"/>
    </row>
    <row r="478" ht="15.75" customHeight="1">
      <c r="H478" s="76"/>
      <c r="I478" s="80"/>
    </row>
    <row r="479" ht="15.75" customHeight="1">
      <c r="H479" s="76"/>
      <c r="I479" s="80"/>
    </row>
    <row r="480" ht="15.75" customHeight="1">
      <c r="H480" s="76"/>
      <c r="I480" s="80"/>
    </row>
    <row r="481" ht="15.75" customHeight="1">
      <c r="H481" s="76"/>
      <c r="I481" s="80"/>
    </row>
    <row r="482" ht="15.75" customHeight="1">
      <c r="H482" s="76"/>
      <c r="I482" s="80"/>
    </row>
    <row r="483" ht="15.75" customHeight="1">
      <c r="H483" s="76"/>
      <c r="I483" s="80"/>
    </row>
    <row r="484" ht="15.75" customHeight="1">
      <c r="H484" s="76"/>
      <c r="I484" s="80"/>
    </row>
    <row r="485" ht="15.75" customHeight="1">
      <c r="H485" s="76"/>
      <c r="I485" s="80"/>
    </row>
    <row r="486" ht="15.75" customHeight="1">
      <c r="H486" s="76"/>
      <c r="I486" s="80"/>
    </row>
    <row r="487" ht="15.75" customHeight="1">
      <c r="H487" s="76"/>
      <c r="I487" s="80"/>
    </row>
    <row r="488" ht="15.75" customHeight="1">
      <c r="H488" s="76"/>
      <c r="I488" s="80"/>
    </row>
    <row r="489" ht="15.75" customHeight="1">
      <c r="H489" s="76"/>
      <c r="I489" s="80"/>
    </row>
    <row r="490" ht="15.75" customHeight="1">
      <c r="H490" s="76"/>
      <c r="I490" s="80"/>
    </row>
    <row r="491" ht="15.75" customHeight="1">
      <c r="H491" s="76"/>
      <c r="I491" s="80"/>
    </row>
    <row r="492" ht="15.75" customHeight="1">
      <c r="H492" s="76"/>
      <c r="I492" s="80"/>
    </row>
    <row r="493" ht="15.75" customHeight="1">
      <c r="H493" s="76"/>
      <c r="I493" s="80"/>
    </row>
    <row r="494" ht="15.75" customHeight="1">
      <c r="H494" s="76"/>
      <c r="I494" s="80"/>
    </row>
    <row r="495" ht="15.75" customHeight="1">
      <c r="H495" s="76"/>
      <c r="I495" s="80"/>
    </row>
    <row r="496" ht="15.75" customHeight="1">
      <c r="H496" s="76"/>
      <c r="I496" s="80"/>
    </row>
    <row r="497" ht="15.75" customHeight="1">
      <c r="H497" s="76"/>
      <c r="I497" s="80"/>
    </row>
    <row r="498" ht="15.75" customHeight="1">
      <c r="H498" s="76"/>
      <c r="I498" s="80"/>
    </row>
    <row r="499" ht="15.75" customHeight="1">
      <c r="H499" s="76"/>
      <c r="I499" s="80"/>
    </row>
    <row r="500" ht="15.75" customHeight="1">
      <c r="H500" s="76"/>
      <c r="I500" s="80"/>
    </row>
    <row r="501" ht="15.75" customHeight="1">
      <c r="H501" s="76"/>
      <c r="I501" s="80"/>
    </row>
    <row r="502" ht="15.75" customHeight="1">
      <c r="H502" s="76"/>
      <c r="I502" s="80"/>
    </row>
    <row r="503" ht="15.75" customHeight="1">
      <c r="H503" s="76"/>
      <c r="I503" s="80"/>
    </row>
    <row r="504" ht="15.75" customHeight="1">
      <c r="H504" s="76"/>
      <c r="I504" s="80"/>
    </row>
    <row r="505" ht="15.75" customHeight="1">
      <c r="H505" s="76"/>
      <c r="I505" s="80"/>
    </row>
    <row r="506" ht="15.75" customHeight="1">
      <c r="H506" s="76"/>
      <c r="I506" s="80"/>
    </row>
    <row r="507" ht="15.75" customHeight="1">
      <c r="H507" s="76"/>
      <c r="I507" s="80"/>
    </row>
    <row r="508" ht="15.75" customHeight="1">
      <c r="H508" s="76"/>
      <c r="I508" s="80"/>
    </row>
    <row r="509" ht="15.75" customHeight="1">
      <c r="H509" s="76"/>
      <c r="I509" s="80"/>
    </row>
    <row r="510" ht="15.75" customHeight="1">
      <c r="H510" s="76"/>
      <c r="I510" s="80"/>
    </row>
    <row r="511" ht="15.75" customHeight="1">
      <c r="H511" s="76"/>
      <c r="I511" s="80"/>
    </row>
    <row r="512" ht="15.75" customHeight="1">
      <c r="H512" s="76"/>
      <c r="I512" s="80"/>
    </row>
    <row r="513" ht="15.75" customHeight="1">
      <c r="H513" s="76"/>
      <c r="I513" s="80"/>
    </row>
    <row r="514" ht="15.75" customHeight="1">
      <c r="H514" s="76"/>
      <c r="I514" s="80"/>
    </row>
    <row r="515" ht="15.75" customHeight="1">
      <c r="H515" s="76"/>
      <c r="I515" s="80"/>
    </row>
    <row r="516" ht="15.75" customHeight="1">
      <c r="H516" s="76"/>
      <c r="I516" s="80"/>
    </row>
    <row r="517" ht="15.75" customHeight="1">
      <c r="H517" s="76"/>
      <c r="I517" s="80"/>
    </row>
    <row r="518" ht="15.75" customHeight="1">
      <c r="H518" s="76"/>
      <c r="I518" s="80"/>
    </row>
    <row r="519" ht="15.75" customHeight="1">
      <c r="H519" s="76"/>
      <c r="I519" s="80"/>
    </row>
    <row r="520" ht="15.75" customHeight="1">
      <c r="H520" s="76"/>
      <c r="I520" s="80"/>
    </row>
    <row r="521" ht="15.75" customHeight="1">
      <c r="H521" s="76"/>
      <c r="I521" s="80"/>
    </row>
    <row r="522" ht="15.75" customHeight="1">
      <c r="H522" s="76"/>
      <c r="I522" s="80"/>
    </row>
    <row r="523" ht="15.75" customHeight="1">
      <c r="H523" s="76"/>
      <c r="I523" s="80"/>
    </row>
    <row r="524" ht="15.75" customHeight="1">
      <c r="H524" s="76"/>
      <c r="I524" s="80"/>
    </row>
    <row r="525" ht="15.75" customHeight="1">
      <c r="H525" s="76"/>
      <c r="I525" s="80"/>
    </row>
    <row r="526" ht="15.75" customHeight="1">
      <c r="H526" s="76"/>
      <c r="I526" s="80"/>
    </row>
    <row r="527" ht="15.75" customHeight="1">
      <c r="H527" s="76"/>
      <c r="I527" s="80"/>
    </row>
    <row r="528" ht="15.75" customHeight="1">
      <c r="H528" s="76"/>
      <c r="I528" s="80"/>
    </row>
    <row r="529" ht="15.75" customHeight="1">
      <c r="H529" s="76"/>
      <c r="I529" s="80"/>
    </row>
    <row r="530" ht="15.75" customHeight="1">
      <c r="H530" s="76"/>
      <c r="I530" s="80"/>
    </row>
    <row r="531" ht="15.75" customHeight="1">
      <c r="H531" s="76"/>
      <c r="I531" s="80"/>
    </row>
    <row r="532" ht="15.75" customHeight="1">
      <c r="H532" s="76"/>
      <c r="I532" s="80"/>
    </row>
    <row r="533" ht="15.75" customHeight="1">
      <c r="H533" s="76"/>
      <c r="I533" s="80"/>
    </row>
    <row r="534" ht="15.75" customHeight="1">
      <c r="H534" s="76"/>
      <c r="I534" s="80"/>
    </row>
    <row r="535" ht="15.75" customHeight="1">
      <c r="H535" s="76"/>
      <c r="I535" s="80"/>
    </row>
    <row r="536" ht="15.75" customHeight="1">
      <c r="H536" s="76"/>
      <c r="I536" s="80"/>
    </row>
    <row r="537" ht="15.75" customHeight="1">
      <c r="H537" s="76"/>
      <c r="I537" s="80"/>
    </row>
    <row r="538" ht="15.75" customHeight="1">
      <c r="H538" s="76"/>
      <c r="I538" s="80"/>
    </row>
    <row r="539" ht="15.75" customHeight="1">
      <c r="H539" s="76"/>
      <c r="I539" s="80"/>
    </row>
    <row r="540" ht="15.75" customHeight="1">
      <c r="H540" s="76"/>
      <c r="I540" s="80"/>
    </row>
    <row r="541" ht="15.75" customHeight="1">
      <c r="H541" s="76"/>
      <c r="I541" s="80"/>
    </row>
    <row r="542" ht="15.75" customHeight="1">
      <c r="H542" s="76"/>
      <c r="I542" s="80"/>
    </row>
    <row r="543" ht="15.75" customHeight="1">
      <c r="H543" s="76"/>
      <c r="I543" s="80"/>
    </row>
    <row r="544" ht="15.75" customHeight="1">
      <c r="H544" s="76"/>
      <c r="I544" s="80"/>
    </row>
    <row r="545" ht="15.75" customHeight="1">
      <c r="H545" s="76"/>
      <c r="I545" s="80"/>
    </row>
    <row r="546" ht="15.75" customHeight="1">
      <c r="H546" s="76"/>
      <c r="I546" s="80"/>
    </row>
    <row r="547" ht="15.75" customHeight="1">
      <c r="H547" s="76"/>
      <c r="I547" s="80"/>
    </row>
    <row r="548" ht="15.75" customHeight="1">
      <c r="H548" s="76"/>
      <c r="I548" s="80"/>
    </row>
    <row r="549" ht="15.75" customHeight="1">
      <c r="H549" s="76"/>
      <c r="I549" s="80"/>
    </row>
    <row r="550" ht="15.75" customHeight="1">
      <c r="H550" s="76"/>
      <c r="I550" s="80"/>
    </row>
    <row r="551" ht="15.75" customHeight="1">
      <c r="H551" s="76"/>
      <c r="I551" s="80"/>
    </row>
    <row r="552" ht="15.75" customHeight="1">
      <c r="H552" s="76"/>
      <c r="I552" s="80"/>
    </row>
    <row r="553" ht="15.75" customHeight="1">
      <c r="H553" s="76"/>
      <c r="I553" s="80"/>
    </row>
    <row r="554" ht="15.75" customHeight="1">
      <c r="H554" s="76"/>
      <c r="I554" s="80"/>
    </row>
    <row r="555" ht="15.75" customHeight="1">
      <c r="H555" s="76"/>
      <c r="I555" s="80"/>
    </row>
    <row r="556" ht="15.75" customHeight="1">
      <c r="H556" s="76"/>
      <c r="I556" s="80"/>
    </row>
    <row r="557" ht="15.75" customHeight="1">
      <c r="H557" s="76"/>
      <c r="I557" s="80"/>
    </row>
    <row r="558" ht="15.75" customHeight="1">
      <c r="H558" s="76"/>
      <c r="I558" s="80"/>
    </row>
    <row r="559" ht="15.75" customHeight="1">
      <c r="H559" s="76"/>
      <c r="I559" s="80"/>
    </row>
    <row r="560" ht="15.75" customHeight="1">
      <c r="H560" s="76"/>
      <c r="I560" s="80"/>
    </row>
    <row r="561" ht="15.75" customHeight="1">
      <c r="H561" s="76"/>
      <c r="I561" s="80"/>
    </row>
    <row r="562" ht="15.75" customHeight="1">
      <c r="H562" s="76"/>
      <c r="I562" s="80"/>
    </row>
    <row r="563" ht="15.75" customHeight="1">
      <c r="H563" s="76"/>
      <c r="I563" s="80"/>
    </row>
    <row r="564" ht="15.75" customHeight="1">
      <c r="H564" s="76"/>
      <c r="I564" s="80"/>
    </row>
    <row r="565" ht="15.75" customHeight="1">
      <c r="H565" s="76"/>
      <c r="I565" s="80"/>
    </row>
    <row r="566" ht="15.75" customHeight="1">
      <c r="H566" s="76"/>
      <c r="I566" s="80"/>
    </row>
    <row r="567" ht="15.75" customHeight="1">
      <c r="H567" s="76"/>
      <c r="I567" s="80"/>
    </row>
    <row r="568" ht="15.75" customHeight="1">
      <c r="H568" s="76"/>
      <c r="I568" s="80"/>
    </row>
    <row r="569" ht="15.75" customHeight="1">
      <c r="H569" s="76"/>
      <c r="I569" s="80"/>
    </row>
    <row r="570" ht="15.75" customHeight="1">
      <c r="H570" s="76"/>
      <c r="I570" s="80"/>
    </row>
    <row r="571" ht="15.75" customHeight="1">
      <c r="H571" s="76"/>
      <c r="I571" s="80"/>
    </row>
    <row r="572" ht="15.75" customHeight="1">
      <c r="H572" s="76"/>
      <c r="I572" s="80"/>
    </row>
    <row r="573" ht="15.75" customHeight="1">
      <c r="H573" s="76"/>
      <c r="I573" s="80"/>
    </row>
    <row r="574" ht="15.75" customHeight="1">
      <c r="H574" s="76"/>
      <c r="I574" s="80"/>
    </row>
    <row r="575" ht="15.75" customHeight="1">
      <c r="H575" s="76"/>
      <c r="I575" s="80"/>
    </row>
    <row r="576" ht="15.75" customHeight="1">
      <c r="H576" s="76"/>
      <c r="I576" s="80"/>
    </row>
    <row r="577" ht="15.75" customHeight="1">
      <c r="H577" s="76"/>
      <c r="I577" s="80"/>
    </row>
    <row r="578" ht="15.75" customHeight="1">
      <c r="H578" s="76"/>
      <c r="I578" s="80"/>
    </row>
    <row r="579" ht="15.75" customHeight="1">
      <c r="H579" s="76"/>
      <c r="I579" s="80"/>
    </row>
    <row r="580" ht="15.75" customHeight="1">
      <c r="H580" s="76"/>
      <c r="I580" s="80"/>
    </row>
    <row r="581" ht="15.75" customHeight="1">
      <c r="H581" s="76"/>
      <c r="I581" s="80"/>
    </row>
    <row r="582" ht="15.75" customHeight="1">
      <c r="H582" s="76"/>
      <c r="I582" s="80"/>
    </row>
    <row r="583" ht="15.75" customHeight="1">
      <c r="H583" s="76"/>
      <c r="I583" s="80"/>
    </row>
    <row r="584" ht="15.75" customHeight="1">
      <c r="H584" s="76"/>
      <c r="I584" s="80"/>
    </row>
    <row r="585" ht="15.75" customHeight="1">
      <c r="H585" s="76"/>
      <c r="I585" s="80"/>
    </row>
    <row r="586" ht="15.75" customHeight="1">
      <c r="H586" s="76"/>
      <c r="I586" s="80"/>
    </row>
    <row r="587" ht="15.75" customHeight="1">
      <c r="H587" s="76"/>
      <c r="I587" s="80"/>
    </row>
    <row r="588" ht="15.75" customHeight="1">
      <c r="H588" s="76"/>
      <c r="I588" s="80"/>
    </row>
    <row r="589" ht="15.75" customHeight="1">
      <c r="H589" s="76"/>
      <c r="I589" s="80"/>
    </row>
    <row r="590" ht="15.75" customHeight="1">
      <c r="H590" s="76"/>
      <c r="I590" s="80"/>
    </row>
    <row r="591" ht="15.75" customHeight="1">
      <c r="H591" s="76"/>
      <c r="I591" s="80"/>
    </row>
    <row r="592" ht="15.75" customHeight="1">
      <c r="H592" s="76"/>
      <c r="I592" s="80"/>
    </row>
    <row r="593" ht="15.75" customHeight="1">
      <c r="H593" s="76"/>
      <c r="I593" s="80"/>
    </row>
    <row r="594" ht="15.75" customHeight="1">
      <c r="H594" s="76"/>
      <c r="I594" s="80"/>
    </row>
    <row r="595" ht="15.75" customHeight="1">
      <c r="H595" s="76"/>
      <c r="I595" s="80"/>
    </row>
    <row r="596" ht="15.75" customHeight="1">
      <c r="H596" s="76"/>
      <c r="I596" s="80"/>
    </row>
    <row r="597" ht="15.75" customHeight="1">
      <c r="H597" s="76"/>
      <c r="I597" s="80"/>
    </row>
    <row r="598" ht="15.75" customHeight="1">
      <c r="H598" s="76"/>
      <c r="I598" s="80"/>
    </row>
    <row r="599" ht="15.75" customHeight="1">
      <c r="H599" s="76"/>
      <c r="I599" s="80"/>
    </row>
    <row r="600" ht="15.75" customHeight="1">
      <c r="H600" s="76"/>
      <c r="I600" s="80"/>
    </row>
    <row r="601" ht="15.75" customHeight="1">
      <c r="H601" s="76"/>
      <c r="I601" s="80"/>
    </row>
    <row r="602" ht="15.75" customHeight="1">
      <c r="H602" s="76"/>
      <c r="I602" s="80"/>
    </row>
    <row r="603" ht="15.75" customHeight="1">
      <c r="H603" s="76"/>
      <c r="I603" s="80"/>
    </row>
    <row r="604" ht="15.75" customHeight="1">
      <c r="H604" s="76"/>
      <c r="I604" s="80"/>
    </row>
    <row r="605" ht="15.75" customHeight="1">
      <c r="H605" s="76"/>
      <c r="I605" s="80"/>
    </row>
    <row r="606" ht="15.75" customHeight="1">
      <c r="H606" s="76"/>
      <c r="I606" s="80"/>
    </row>
    <row r="607" ht="15.75" customHeight="1">
      <c r="H607" s="76"/>
      <c r="I607" s="80"/>
    </row>
    <row r="608" ht="15.75" customHeight="1">
      <c r="H608" s="76"/>
      <c r="I608" s="80"/>
    </row>
    <row r="609" ht="15.75" customHeight="1">
      <c r="H609" s="76"/>
      <c r="I609" s="80"/>
    </row>
    <row r="610" ht="15.75" customHeight="1">
      <c r="H610" s="76"/>
      <c r="I610" s="80"/>
    </row>
    <row r="611" ht="15.75" customHeight="1">
      <c r="H611" s="76"/>
      <c r="I611" s="80"/>
    </row>
    <row r="612" ht="15.75" customHeight="1">
      <c r="H612" s="76"/>
      <c r="I612" s="80"/>
    </row>
    <row r="613" ht="15.75" customHeight="1">
      <c r="H613" s="76"/>
      <c r="I613" s="80"/>
    </row>
    <row r="614" ht="15.75" customHeight="1">
      <c r="H614" s="76"/>
      <c r="I614" s="80"/>
    </row>
    <row r="615" ht="15.75" customHeight="1">
      <c r="H615" s="76"/>
      <c r="I615" s="80"/>
    </row>
    <row r="616" ht="15.75" customHeight="1">
      <c r="H616" s="76"/>
      <c r="I616" s="80"/>
    </row>
    <row r="617" ht="15.75" customHeight="1">
      <c r="H617" s="76"/>
      <c r="I617" s="80"/>
    </row>
    <row r="618" ht="15.75" customHeight="1">
      <c r="H618" s="76"/>
      <c r="I618" s="80"/>
    </row>
    <row r="619" ht="15.75" customHeight="1">
      <c r="H619" s="76"/>
      <c r="I619" s="80"/>
    </row>
    <row r="620" ht="15.75" customHeight="1">
      <c r="H620" s="76"/>
      <c r="I620" s="80"/>
    </row>
    <row r="621" ht="15.75" customHeight="1">
      <c r="H621" s="76"/>
      <c r="I621" s="80"/>
    </row>
    <row r="622" ht="15.75" customHeight="1">
      <c r="H622" s="76"/>
      <c r="I622" s="80"/>
    </row>
    <row r="623" ht="15.75" customHeight="1">
      <c r="H623" s="76"/>
      <c r="I623" s="80"/>
    </row>
    <row r="624" ht="15.75" customHeight="1">
      <c r="H624" s="76"/>
      <c r="I624" s="80"/>
    </row>
    <row r="625" ht="15.75" customHeight="1">
      <c r="H625" s="76"/>
      <c r="I625" s="80"/>
    </row>
    <row r="626" ht="15.75" customHeight="1">
      <c r="H626" s="76"/>
      <c r="I626" s="80"/>
    </row>
    <row r="627" ht="15.75" customHeight="1">
      <c r="H627" s="76"/>
      <c r="I627" s="80"/>
    </row>
    <row r="628" ht="15.75" customHeight="1">
      <c r="H628" s="76"/>
      <c r="I628" s="80"/>
    </row>
    <row r="629" ht="15.75" customHeight="1">
      <c r="H629" s="76"/>
      <c r="I629" s="80"/>
    </row>
    <row r="630" ht="15.75" customHeight="1">
      <c r="H630" s="76"/>
      <c r="I630" s="80"/>
    </row>
    <row r="631" ht="15.75" customHeight="1">
      <c r="H631" s="76"/>
      <c r="I631" s="80"/>
    </row>
    <row r="632" ht="15.75" customHeight="1">
      <c r="H632" s="76"/>
      <c r="I632" s="80"/>
    </row>
    <row r="633" ht="15.75" customHeight="1">
      <c r="H633" s="76"/>
      <c r="I633" s="80"/>
    </row>
    <row r="634" ht="15.75" customHeight="1">
      <c r="H634" s="76"/>
      <c r="I634" s="80"/>
    </row>
    <row r="635" ht="15.75" customHeight="1">
      <c r="H635" s="76"/>
      <c r="I635" s="80"/>
    </row>
    <row r="636" ht="15.75" customHeight="1">
      <c r="H636" s="76"/>
      <c r="I636" s="80"/>
    </row>
    <row r="637" ht="15.75" customHeight="1">
      <c r="H637" s="76"/>
      <c r="I637" s="80"/>
    </row>
    <row r="638" ht="15.75" customHeight="1">
      <c r="H638" s="76"/>
      <c r="I638" s="80"/>
    </row>
    <row r="639" ht="15.75" customHeight="1">
      <c r="H639" s="76"/>
      <c r="I639" s="80"/>
    </row>
    <row r="640" ht="15.75" customHeight="1">
      <c r="H640" s="76"/>
      <c r="I640" s="80"/>
    </row>
    <row r="641" ht="15.75" customHeight="1">
      <c r="H641" s="76"/>
      <c r="I641" s="80"/>
    </row>
    <row r="642" ht="15.75" customHeight="1">
      <c r="H642" s="76"/>
      <c r="I642" s="80"/>
    </row>
    <row r="643" ht="15.75" customHeight="1">
      <c r="H643" s="76"/>
      <c r="I643" s="80"/>
    </row>
    <row r="644" ht="15.75" customHeight="1">
      <c r="H644" s="76"/>
      <c r="I644" s="80"/>
    </row>
    <row r="645" ht="15.75" customHeight="1">
      <c r="H645" s="76"/>
      <c r="I645" s="80"/>
    </row>
    <row r="646" ht="15.75" customHeight="1">
      <c r="H646" s="76"/>
      <c r="I646" s="80"/>
    </row>
    <row r="647" ht="15.75" customHeight="1">
      <c r="H647" s="76"/>
      <c r="I647" s="80"/>
    </row>
    <row r="648" ht="15.75" customHeight="1">
      <c r="H648" s="76"/>
      <c r="I648" s="80"/>
    </row>
    <row r="649" ht="15.75" customHeight="1">
      <c r="H649" s="76"/>
      <c r="I649" s="80"/>
    </row>
    <row r="650" ht="15.75" customHeight="1">
      <c r="H650" s="76"/>
      <c r="I650" s="80"/>
    </row>
    <row r="651" ht="15.75" customHeight="1">
      <c r="H651" s="76"/>
      <c r="I651" s="80"/>
    </row>
    <row r="652" ht="15.75" customHeight="1">
      <c r="H652" s="76"/>
      <c r="I652" s="80"/>
    </row>
    <row r="653" ht="15.75" customHeight="1">
      <c r="H653" s="76"/>
      <c r="I653" s="80"/>
    </row>
    <row r="654" ht="15.75" customHeight="1">
      <c r="H654" s="76"/>
      <c r="I654" s="80"/>
    </row>
    <row r="655" ht="15.75" customHeight="1">
      <c r="H655" s="76"/>
      <c r="I655" s="80"/>
    </row>
    <row r="656" ht="15.75" customHeight="1">
      <c r="H656" s="76"/>
      <c r="I656" s="80"/>
    </row>
    <row r="657" ht="15.75" customHeight="1">
      <c r="H657" s="76"/>
      <c r="I657" s="80"/>
    </row>
    <row r="658" ht="15.75" customHeight="1">
      <c r="H658" s="76"/>
      <c r="I658" s="80"/>
    </row>
    <row r="659" ht="15.75" customHeight="1">
      <c r="H659" s="76"/>
      <c r="I659" s="80"/>
    </row>
    <row r="660" ht="15.75" customHeight="1">
      <c r="H660" s="76"/>
      <c r="I660" s="80"/>
    </row>
    <row r="661" ht="15.75" customHeight="1">
      <c r="H661" s="76"/>
      <c r="I661" s="80"/>
    </row>
    <row r="662" ht="15.75" customHeight="1">
      <c r="H662" s="76"/>
      <c r="I662" s="80"/>
    </row>
    <row r="663" ht="15.75" customHeight="1">
      <c r="H663" s="76"/>
      <c r="I663" s="80"/>
    </row>
    <row r="664" ht="15.75" customHeight="1">
      <c r="H664" s="76"/>
      <c r="I664" s="80"/>
    </row>
    <row r="665" ht="15.75" customHeight="1">
      <c r="H665" s="76"/>
      <c r="I665" s="80"/>
    </row>
    <row r="666" ht="15.75" customHeight="1">
      <c r="H666" s="76"/>
      <c r="I666" s="80"/>
    </row>
    <row r="667" ht="15.75" customHeight="1">
      <c r="H667" s="76"/>
      <c r="I667" s="80"/>
    </row>
    <row r="668" ht="15.75" customHeight="1">
      <c r="H668" s="76"/>
      <c r="I668" s="80"/>
    </row>
    <row r="669" ht="15.75" customHeight="1">
      <c r="H669" s="76"/>
      <c r="I669" s="80"/>
    </row>
    <row r="670" ht="15.75" customHeight="1">
      <c r="H670" s="76"/>
      <c r="I670" s="80"/>
    </row>
    <row r="671" ht="15.75" customHeight="1">
      <c r="H671" s="76"/>
      <c r="I671" s="80"/>
    </row>
    <row r="672" ht="15.75" customHeight="1">
      <c r="H672" s="76"/>
      <c r="I672" s="80"/>
    </row>
    <row r="673" ht="15.75" customHeight="1">
      <c r="H673" s="76"/>
      <c r="I673" s="80"/>
    </row>
    <row r="674" ht="15.75" customHeight="1">
      <c r="H674" s="76"/>
      <c r="I674" s="80"/>
    </row>
    <row r="675" ht="15.75" customHeight="1">
      <c r="H675" s="76"/>
      <c r="I675" s="80"/>
    </row>
    <row r="676" ht="15.75" customHeight="1">
      <c r="H676" s="76"/>
      <c r="I676" s="80"/>
    </row>
    <row r="677" ht="15.75" customHeight="1">
      <c r="H677" s="76"/>
      <c r="I677" s="80"/>
    </row>
    <row r="678" ht="15.75" customHeight="1">
      <c r="H678" s="76"/>
      <c r="I678" s="80"/>
    </row>
    <row r="679" ht="15.75" customHeight="1">
      <c r="H679" s="76"/>
      <c r="I679" s="80"/>
    </row>
    <row r="680" ht="15.75" customHeight="1">
      <c r="H680" s="76"/>
      <c r="I680" s="80"/>
    </row>
    <row r="681" ht="15.75" customHeight="1">
      <c r="H681" s="76"/>
      <c r="I681" s="80"/>
    </row>
    <row r="682" ht="15.75" customHeight="1">
      <c r="H682" s="76"/>
      <c r="I682" s="80"/>
    </row>
    <row r="683" ht="15.75" customHeight="1">
      <c r="H683" s="76"/>
      <c r="I683" s="80"/>
    </row>
    <row r="684" ht="15.75" customHeight="1">
      <c r="H684" s="76"/>
      <c r="I684" s="80"/>
    </row>
    <row r="685" ht="15.75" customHeight="1">
      <c r="H685" s="76"/>
      <c r="I685" s="80"/>
    </row>
    <row r="686" ht="15.75" customHeight="1">
      <c r="H686" s="76"/>
      <c r="I686" s="80"/>
    </row>
    <row r="687" ht="15.75" customHeight="1">
      <c r="H687" s="76"/>
      <c r="I687" s="80"/>
    </row>
    <row r="688" ht="15.75" customHeight="1">
      <c r="H688" s="76"/>
      <c r="I688" s="80"/>
    </row>
    <row r="689" ht="15.75" customHeight="1">
      <c r="H689" s="76"/>
      <c r="I689" s="80"/>
    </row>
    <row r="690" ht="15.75" customHeight="1">
      <c r="H690" s="76"/>
      <c r="I690" s="80"/>
    </row>
    <row r="691" ht="15.75" customHeight="1">
      <c r="H691" s="76"/>
      <c r="I691" s="80"/>
    </row>
    <row r="692" ht="15.75" customHeight="1">
      <c r="H692" s="76"/>
      <c r="I692" s="80"/>
    </row>
    <row r="693" ht="15.75" customHeight="1">
      <c r="H693" s="76"/>
      <c r="I693" s="80"/>
    </row>
    <row r="694" ht="15.75" customHeight="1">
      <c r="H694" s="76"/>
      <c r="I694" s="80"/>
    </row>
    <row r="695" ht="15.75" customHeight="1">
      <c r="H695" s="76"/>
      <c r="I695" s="80"/>
    </row>
    <row r="696" ht="15.75" customHeight="1">
      <c r="H696" s="76"/>
      <c r="I696" s="80"/>
    </row>
    <row r="697" ht="15.75" customHeight="1">
      <c r="H697" s="76"/>
      <c r="I697" s="80"/>
    </row>
    <row r="698" ht="15.75" customHeight="1">
      <c r="H698" s="76"/>
      <c r="I698" s="80"/>
    </row>
    <row r="699" ht="15.75" customHeight="1">
      <c r="H699" s="76"/>
      <c r="I699" s="80"/>
    </row>
    <row r="700" ht="15.75" customHeight="1">
      <c r="H700" s="76"/>
      <c r="I700" s="80"/>
    </row>
    <row r="701" ht="15.75" customHeight="1">
      <c r="H701" s="76"/>
      <c r="I701" s="80"/>
    </row>
    <row r="702" ht="15.75" customHeight="1">
      <c r="H702" s="76"/>
      <c r="I702" s="80"/>
    </row>
    <row r="703" ht="15.75" customHeight="1">
      <c r="H703" s="76"/>
      <c r="I703" s="80"/>
    </row>
    <row r="704" ht="15.75" customHeight="1">
      <c r="H704" s="76"/>
      <c r="I704" s="80"/>
    </row>
    <row r="705" ht="15.75" customHeight="1">
      <c r="H705" s="76"/>
      <c r="I705" s="80"/>
    </row>
    <row r="706" ht="15.75" customHeight="1">
      <c r="H706" s="76"/>
      <c r="I706" s="80"/>
    </row>
    <row r="707" ht="15.75" customHeight="1">
      <c r="H707" s="76"/>
      <c r="I707" s="80"/>
    </row>
    <row r="708" ht="15.75" customHeight="1">
      <c r="H708" s="76"/>
      <c r="I708" s="80"/>
    </row>
    <row r="709" ht="15.75" customHeight="1">
      <c r="H709" s="76"/>
      <c r="I709" s="80"/>
    </row>
    <row r="710" ht="15.75" customHeight="1">
      <c r="H710" s="76"/>
      <c r="I710" s="80"/>
    </row>
    <row r="711" ht="15.75" customHeight="1">
      <c r="H711" s="76"/>
      <c r="I711" s="80"/>
    </row>
    <row r="712" ht="15.75" customHeight="1">
      <c r="H712" s="76"/>
      <c r="I712" s="80"/>
    </row>
    <row r="713" ht="15.75" customHeight="1">
      <c r="H713" s="76"/>
      <c r="I713" s="80"/>
    </row>
    <row r="714" ht="15.75" customHeight="1">
      <c r="H714" s="76"/>
      <c r="I714" s="80"/>
    </row>
    <row r="715" ht="15.75" customHeight="1">
      <c r="H715" s="76"/>
      <c r="I715" s="80"/>
    </row>
    <row r="716" ht="15.75" customHeight="1">
      <c r="H716" s="76"/>
      <c r="I716" s="80"/>
    </row>
    <row r="717" ht="15.75" customHeight="1">
      <c r="H717" s="76"/>
      <c r="I717" s="80"/>
    </row>
    <row r="718" ht="15.75" customHeight="1">
      <c r="H718" s="76"/>
      <c r="I718" s="80"/>
    </row>
    <row r="719" ht="15.75" customHeight="1">
      <c r="H719" s="76"/>
      <c r="I719" s="80"/>
    </row>
    <row r="720" ht="15.75" customHeight="1">
      <c r="H720" s="76"/>
      <c r="I720" s="80"/>
    </row>
    <row r="721" ht="15.75" customHeight="1">
      <c r="H721" s="76"/>
      <c r="I721" s="80"/>
    </row>
    <row r="722" ht="15.75" customHeight="1">
      <c r="H722" s="76"/>
      <c r="I722" s="80"/>
    </row>
    <row r="723" ht="15.75" customHeight="1">
      <c r="H723" s="76"/>
      <c r="I723" s="80"/>
    </row>
    <row r="724" ht="15.75" customHeight="1">
      <c r="H724" s="76"/>
      <c r="I724" s="80"/>
    </row>
    <row r="725" ht="15.75" customHeight="1">
      <c r="H725" s="76"/>
      <c r="I725" s="80"/>
    </row>
    <row r="726" ht="15.75" customHeight="1">
      <c r="H726" s="76"/>
      <c r="I726" s="80"/>
    </row>
    <row r="727" ht="15.75" customHeight="1">
      <c r="H727" s="76"/>
      <c r="I727" s="80"/>
    </row>
    <row r="728" ht="15.75" customHeight="1">
      <c r="H728" s="76"/>
      <c r="I728" s="80"/>
    </row>
    <row r="729" ht="15.75" customHeight="1">
      <c r="H729" s="76"/>
      <c r="I729" s="80"/>
    </row>
    <row r="730" ht="15.75" customHeight="1">
      <c r="H730" s="76"/>
      <c r="I730" s="80"/>
    </row>
    <row r="731" ht="15.75" customHeight="1">
      <c r="H731" s="76"/>
      <c r="I731" s="80"/>
    </row>
    <row r="732" ht="15.75" customHeight="1">
      <c r="H732" s="76"/>
      <c r="I732" s="80"/>
    </row>
    <row r="733" ht="15.75" customHeight="1">
      <c r="H733" s="76"/>
      <c r="I733" s="80"/>
    </row>
    <row r="734" ht="15.75" customHeight="1">
      <c r="H734" s="76"/>
      <c r="I734" s="80"/>
    </row>
    <row r="735" ht="15.75" customHeight="1">
      <c r="H735" s="76"/>
      <c r="I735" s="80"/>
    </row>
    <row r="736" ht="15.75" customHeight="1">
      <c r="H736" s="76"/>
      <c r="I736" s="80"/>
    </row>
    <row r="737" ht="15.75" customHeight="1">
      <c r="H737" s="76"/>
      <c r="I737" s="80"/>
    </row>
    <row r="738" ht="15.75" customHeight="1">
      <c r="H738" s="76"/>
      <c r="I738" s="80"/>
    </row>
    <row r="739" ht="15.75" customHeight="1">
      <c r="H739" s="76"/>
      <c r="I739" s="80"/>
    </row>
    <row r="740" ht="15.75" customHeight="1">
      <c r="H740" s="76"/>
      <c r="I740" s="80"/>
    </row>
    <row r="741" ht="15.75" customHeight="1">
      <c r="H741" s="76"/>
      <c r="I741" s="80"/>
    </row>
    <row r="742" ht="15.75" customHeight="1">
      <c r="H742" s="76"/>
      <c r="I742" s="80"/>
    </row>
    <row r="743" ht="15.75" customHeight="1">
      <c r="H743" s="76"/>
      <c r="I743" s="80"/>
    </row>
    <row r="744" ht="15.75" customHeight="1">
      <c r="H744" s="76"/>
      <c r="I744" s="80"/>
    </row>
    <row r="745" ht="15.75" customHeight="1">
      <c r="H745" s="76"/>
      <c r="I745" s="80"/>
    </row>
    <row r="746" ht="15.75" customHeight="1">
      <c r="H746" s="76"/>
      <c r="I746" s="80"/>
    </row>
    <row r="747" ht="15.75" customHeight="1">
      <c r="H747" s="76"/>
      <c r="I747" s="80"/>
    </row>
    <row r="748" ht="15.75" customHeight="1">
      <c r="H748" s="76"/>
      <c r="I748" s="80"/>
    </row>
    <row r="749" ht="15.75" customHeight="1">
      <c r="H749" s="76"/>
      <c r="I749" s="80"/>
    </row>
    <row r="750" ht="15.75" customHeight="1">
      <c r="H750" s="76"/>
      <c r="I750" s="80"/>
    </row>
    <row r="751" ht="15.75" customHeight="1">
      <c r="H751" s="76"/>
      <c r="I751" s="80"/>
    </row>
    <row r="752" ht="15.75" customHeight="1">
      <c r="H752" s="76"/>
      <c r="I752" s="80"/>
    </row>
    <row r="753" ht="15.75" customHeight="1">
      <c r="H753" s="76"/>
      <c r="I753" s="80"/>
    </row>
    <row r="754" ht="15.75" customHeight="1">
      <c r="H754" s="76"/>
      <c r="I754" s="80"/>
    </row>
    <row r="755" ht="15.75" customHeight="1">
      <c r="H755" s="76"/>
      <c r="I755" s="80"/>
    </row>
    <row r="756" ht="15.75" customHeight="1">
      <c r="H756" s="76"/>
      <c r="I756" s="80"/>
    </row>
    <row r="757" ht="15.75" customHeight="1">
      <c r="H757" s="76"/>
      <c r="I757" s="80"/>
    </row>
    <row r="758" ht="15.75" customHeight="1">
      <c r="H758" s="76"/>
      <c r="I758" s="80"/>
    </row>
    <row r="759" ht="15.75" customHeight="1">
      <c r="H759" s="76"/>
      <c r="I759" s="80"/>
    </row>
    <row r="760" ht="15.75" customHeight="1">
      <c r="H760" s="76"/>
      <c r="I760" s="80"/>
    </row>
    <row r="761" ht="15.75" customHeight="1">
      <c r="H761" s="76"/>
      <c r="I761" s="80"/>
    </row>
    <row r="762" ht="15.75" customHeight="1">
      <c r="H762" s="76"/>
      <c r="I762" s="80"/>
    </row>
    <row r="763" ht="15.75" customHeight="1">
      <c r="H763" s="76"/>
      <c r="I763" s="80"/>
    </row>
    <row r="764" ht="15.75" customHeight="1">
      <c r="H764" s="76"/>
      <c r="I764" s="80"/>
    </row>
    <row r="765" ht="15.75" customHeight="1">
      <c r="H765" s="76"/>
      <c r="I765" s="80"/>
    </row>
    <row r="766" ht="15.75" customHeight="1">
      <c r="H766" s="76"/>
      <c r="I766" s="80"/>
    </row>
    <row r="767" ht="15.75" customHeight="1">
      <c r="H767" s="76"/>
      <c r="I767" s="80"/>
    </row>
    <row r="768" ht="15.75" customHeight="1">
      <c r="H768" s="76"/>
      <c r="I768" s="80"/>
    </row>
    <row r="769" ht="15.75" customHeight="1">
      <c r="H769" s="76"/>
      <c r="I769" s="80"/>
    </row>
    <row r="770" ht="15.75" customHeight="1">
      <c r="H770" s="76"/>
      <c r="I770" s="80"/>
    </row>
    <row r="771" ht="15.75" customHeight="1">
      <c r="H771" s="76"/>
      <c r="I771" s="80"/>
    </row>
    <row r="772" ht="15.75" customHeight="1">
      <c r="H772" s="76"/>
      <c r="I772" s="80"/>
    </row>
    <row r="773" ht="15.75" customHeight="1">
      <c r="H773" s="76"/>
      <c r="I773" s="80"/>
    </row>
    <row r="774" ht="15.75" customHeight="1">
      <c r="H774" s="76"/>
      <c r="I774" s="80"/>
    </row>
    <row r="775" ht="15.75" customHeight="1">
      <c r="H775" s="76"/>
      <c r="I775" s="80"/>
    </row>
    <row r="776" ht="15.75" customHeight="1">
      <c r="H776" s="76"/>
      <c r="I776" s="80"/>
    </row>
    <row r="777" ht="15.75" customHeight="1">
      <c r="H777" s="76"/>
      <c r="I777" s="80"/>
    </row>
    <row r="778" ht="15.75" customHeight="1">
      <c r="H778" s="76"/>
      <c r="I778" s="80"/>
    </row>
    <row r="779" ht="15.75" customHeight="1">
      <c r="H779" s="76"/>
      <c r="I779" s="80"/>
    </row>
    <row r="780" ht="15.75" customHeight="1">
      <c r="H780" s="76"/>
      <c r="I780" s="80"/>
    </row>
    <row r="781" ht="15.75" customHeight="1">
      <c r="H781" s="76"/>
      <c r="I781" s="80"/>
    </row>
    <row r="782" ht="15.75" customHeight="1">
      <c r="H782" s="76"/>
      <c r="I782" s="80"/>
    </row>
    <row r="783" ht="15.75" customHeight="1">
      <c r="H783" s="76"/>
      <c r="I783" s="80"/>
    </row>
    <row r="784" ht="15.75" customHeight="1">
      <c r="H784" s="76"/>
      <c r="I784" s="80"/>
    </row>
    <row r="785" ht="15.75" customHeight="1">
      <c r="H785" s="76"/>
      <c r="I785" s="80"/>
    </row>
    <row r="786" ht="15.75" customHeight="1">
      <c r="H786" s="76"/>
      <c r="I786" s="80"/>
    </row>
    <row r="787" ht="15.75" customHeight="1">
      <c r="H787" s="76"/>
      <c r="I787" s="80"/>
    </row>
    <row r="788" ht="15.75" customHeight="1">
      <c r="H788" s="76"/>
      <c r="I788" s="80"/>
    </row>
    <row r="789" ht="15.75" customHeight="1">
      <c r="H789" s="76"/>
      <c r="I789" s="80"/>
    </row>
    <row r="790" ht="15.75" customHeight="1">
      <c r="H790" s="76"/>
      <c r="I790" s="80"/>
    </row>
    <row r="791" ht="15.75" customHeight="1">
      <c r="H791" s="76"/>
      <c r="I791" s="80"/>
    </row>
    <row r="792" ht="15.75" customHeight="1">
      <c r="H792" s="76"/>
      <c r="I792" s="80"/>
    </row>
    <row r="793" ht="15.75" customHeight="1">
      <c r="H793" s="76"/>
      <c r="I793" s="80"/>
    </row>
    <row r="794" ht="15.75" customHeight="1">
      <c r="H794" s="76"/>
      <c r="I794" s="80"/>
    </row>
    <row r="795" ht="15.75" customHeight="1">
      <c r="H795" s="76"/>
      <c r="I795" s="80"/>
    </row>
    <row r="796" ht="15.75" customHeight="1">
      <c r="H796" s="76"/>
      <c r="I796" s="80"/>
    </row>
    <row r="797" ht="15.75" customHeight="1">
      <c r="H797" s="76"/>
      <c r="I797" s="80"/>
    </row>
    <row r="798" ht="15.75" customHeight="1">
      <c r="H798" s="76"/>
      <c r="I798" s="80"/>
    </row>
    <row r="799" ht="15.75" customHeight="1">
      <c r="H799" s="76"/>
      <c r="I799" s="80"/>
    </row>
    <row r="800" ht="15.75" customHeight="1">
      <c r="H800" s="76"/>
      <c r="I800" s="80"/>
    </row>
    <row r="801" ht="15.75" customHeight="1">
      <c r="H801" s="76"/>
      <c r="I801" s="80"/>
    </row>
    <row r="802" ht="15.75" customHeight="1">
      <c r="H802" s="76"/>
      <c r="I802" s="80"/>
    </row>
    <row r="803" ht="15.75" customHeight="1">
      <c r="H803" s="76"/>
      <c r="I803" s="80"/>
    </row>
    <row r="804" ht="15.75" customHeight="1">
      <c r="H804" s="76"/>
      <c r="I804" s="80"/>
    </row>
    <row r="805" ht="15.75" customHeight="1">
      <c r="H805" s="76"/>
      <c r="I805" s="80"/>
    </row>
    <row r="806" ht="15.75" customHeight="1">
      <c r="H806" s="76"/>
      <c r="I806" s="80"/>
    </row>
    <row r="807" ht="15.75" customHeight="1">
      <c r="H807" s="76"/>
      <c r="I807" s="80"/>
    </row>
    <row r="808" ht="15.75" customHeight="1">
      <c r="H808" s="76"/>
      <c r="I808" s="80"/>
    </row>
    <row r="809" ht="15.75" customHeight="1">
      <c r="H809" s="76"/>
      <c r="I809" s="80"/>
    </row>
    <row r="810" ht="15.75" customHeight="1">
      <c r="H810" s="76"/>
      <c r="I810" s="80"/>
    </row>
    <row r="811" ht="15.75" customHeight="1">
      <c r="H811" s="76"/>
      <c r="I811" s="80"/>
    </row>
    <row r="812" ht="15.75" customHeight="1">
      <c r="H812" s="76"/>
      <c r="I812" s="80"/>
    </row>
    <row r="813" ht="15.75" customHeight="1">
      <c r="H813" s="76"/>
      <c r="I813" s="80"/>
    </row>
    <row r="814" ht="15.75" customHeight="1">
      <c r="H814" s="76"/>
      <c r="I814" s="80"/>
    </row>
    <row r="815" ht="15.75" customHeight="1">
      <c r="H815" s="76"/>
      <c r="I815" s="80"/>
    </row>
    <row r="816" ht="15.75" customHeight="1">
      <c r="H816" s="76"/>
      <c r="I816" s="80"/>
    </row>
    <row r="817" ht="15.75" customHeight="1">
      <c r="H817" s="76"/>
      <c r="I817" s="80"/>
    </row>
    <row r="818" ht="15.75" customHeight="1">
      <c r="H818" s="76"/>
      <c r="I818" s="80"/>
    </row>
    <row r="819" ht="15.75" customHeight="1">
      <c r="H819" s="76"/>
      <c r="I819" s="80"/>
    </row>
    <row r="820" ht="15.75" customHeight="1">
      <c r="H820" s="76"/>
      <c r="I820" s="80"/>
    </row>
    <row r="821" ht="15.75" customHeight="1">
      <c r="H821" s="76"/>
      <c r="I821" s="80"/>
    </row>
    <row r="822" ht="15.75" customHeight="1">
      <c r="H822" s="76"/>
      <c r="I822" s="80"/>
    </row>
    <row r="823" ht="15.75" customHeight="1">
      <c r="H823" s="76"/>
      <c r="I823" s="80"/>
    </row>
    <row r="824" ht="15.75" customHeight="1">
      <c r="H824" s="76"/>
      <c r="I824" s="80"/>
    </row>
    <row r="825" ht="15.75" customHeight="1">
      <c r="H825" s="76"/>
      <c r="I825" s="80"/>
    </row>
    <row r="826" ht="15.75" customHeight="1">
      <c r="H826" s="76"/>
      <c r="I826" s="80"/>
    </row>
    <row r="827" ht="15.75" customHeight="1">
      <c r="H827" s="76"/>
      <c r="I827" s="80"/>
    </row>
    <row r="828" ht="15.75" customHeight="1">
      <c r="H828" s="76"/>
      <c r="I828" s="80"/>
    </row>
    <row r="829" ht="15.75" customHeight="1">
      <c r="H829" s="76"/>
      <c r="I829" s="80"/>
    </row>
    <row r="830" ht="15.75" customHeight="1">
      <c r="H830" s="76"/>
      <c r="I830" s="80"/>
    </row>
    <row r="831" ht="15.75" customHeight="1">
      <c r="H831" s="76"/>
      <c r="I831" s="80"/>
    </row>
    <row r="832" ht="15.75" customHeight="1">
      <c r="H832" s="76"/>
      <c r="I832" s="80"/>
    </row>
    <row r="833" ht="15.75" customHeight="1">
      <c r="H833" s="76"/>
      <c r="I833" s="80"/>
    </row>
    <row r="834" ht="15.75" customHeight="1">
      <c r="H834" s="76"/>
      <c r="I834" s="80"/>
    </row>
    <row r="835" ht="15.75" customHeight="1">
      <c r="H835" s="76"/>
      <c r="I835" s="80"/>
    </row>
    <row r="836" ht="15.75" customHeight="1">
      <c r="H836" s="76"/>
      <c r="I836" s="80"/>
    </row>
    <row r="837" ht="15.75" customHeight="1">
      <c r="H837" s="76"/>
      <c r="I837" s="80"/>
    </row>
    <row r="838" ht="15.75" customHeight="1">
      <c r="H838" s="76"/>
      <c r="I838" s="80"/>
    </row>
    <row r="839" ht="15.75" customHeight="1">
      <c r="H839" s="76"/>
      <c r="I839" s="80"/>
    </row>
    <row r="840" ht="15.75" customHeight="1">
      <c r="H840" s="76"/>
      <c r="I840" s="80"/>
    </row>
    <row r="841" ht="15.75" customHeight="1">
      <c r="H841" s="76"/>
      <c r="I841" s="80"/>
    </row>
    <row r="842" ht="15.75" customHeight="1">
      <c r="H842" s="76"/>
      <c r="I842" s="80"/>
    </row>
    <row r="843" ht="15.75" customHeight="1">
      <c r="H843" s="76"/>
      <c r="I843" s="80"/>
    </row>
    <row r="844" ht="15.75" customHeight="1">
      <c r="H844" s="76"/>
      <c r="I844" s="80"/>
    </row>
    <row r="845" ht="15.75" customHeight="1">
      <c r="H845" s="76"/>
      <c r="I845" s="80"/>
    </row>
    <row r="846" ht="15.75" customHeight="1">
      <c r="H846" s="76"/>
      <c r="I846" s="80"/>
    </row>
    <row r="847" ht="15.75" customHeight="1">
      <c r="H847" s="76"/>
      <c r="I847" s="80"/>
    </row>
    <row r="848" ht="15.75" customHeight="1">
      <c r="H848" s="76"/>
      <c r="I848" s="80"/>
    </row>
    <row r="849" ht="15.75" customHeight="1">
      <c r="H849" s="76"/>
      <c r="I849" s="80"/>
    </row>
    <row r="850" ht="15.75" customHeight="1">
      <c r="H850" s="76"/>
      <c r="I850" s="80"/>
    </row>
    <row r="851" ht="15.75" customHeight="1">
      <c r="H851" s="76"/>
      <c r="I851" s="80"/>
    </row>
    <row r="852" ht="15.75" customHeight="1">
      <c r="H852" s="76"/>
      <c r="I852" s="80"/>
    </row>
    <row r="853" ht="15.75" customHeight="1">
      <c r="H853" s="76"/>
      <c r="I853" s="80"/>
    </row>
    <row r="854" ht="15.75" customHeight="1">
      <c r="H854" s="76"/>
      <c r="I854" s="80"/>
    </row>
    <row r="855" ht="15.75" customHeight="1">
      <c r="H855" s="76"/>
      <c r="I855" s="80"/>
    </row>
    <row r="856" ht="15.75" customHeight="1">
      <c r="H856" s="76"/>
      <c r="I856" s="80"/>
    </row>
    <row r="857" ht="15.75" customHeight="1">
      <c r="H857" s="76"/>
      <c r="I857" s="80"/>
    </row>
    <row r="858" ht="15.75" customHeight="1">
      <c r="H858" s="76"/>
      <c r="I858" s="80"/>
    </row>
    <row r="859" ht="15.75" customHeight="1">
      <c r="H859" s="76"/>
      <c r="I859" s="80"/>
    </row>
    <row r="860" ht="15.75" customHeight="1">
      <c r="H860" s="76"/>
      <c r="I860" s="80"/>
    </row>
    <row r="861" ht="15.75" customHeight="1">
      <c r="H861" s="76"/>
      <c r="I861" s="80"/>
    </row>
    <row r="862" ht="15.75" customHeight="1">
      <c r="H862" s="76"/>
      <c r="I862" s="80"/>
    </row>
    <row r="863" ht="15.75" customHeight="1">
      <c r="H863" s="76"/>
      <c r="I863" s="80"/>
    </row>
    <row r="864" ht="15.75" customHeight="1">
      <c r="H864" s="76"/>
      <c r="I864" s="80"/>
    </row>
    <row r="865" ht="15.75" customHeight="1">
      <c r="H865" s="76"/>
      <c r="I865" s="80"/>
    </row>
    <row r="866" ht="15.75" customHeight="1">
      <c r="H866" s="76"/>
      <c r="I866" s="80"/>
    </row>
    <row r="867" ht="15.75" customHeight="1">
      <c r="H867" s="76"/>
      <c r="I867" s="80"/>
    </row>
    <row r="868" ht="15.75" customHeight="1">
      <c r="H868" s="76"/>
      <c r="I868" s="80"/>
    </row>
    <row r="869" ht="15.75" customHeight="1">
      <c r="H869" s="76"/>
      <c r="I869" s="80"/>
    </row>
    <row r="870" ht="15.75" customHeight="1">
      <c r="H870" s="76"/>
      <c r="I870" s="80"/>
    </row>
    <row r="871" ht="15.75" customHeight="1">
      <c r="H871" s="76"/>
      <c r="I871" s="80"/>
    </row>
    <row r="872" ht="15.75" customHeight="1">
      <c r="H872" s="76"/>
      <c r="I872" s="80"/>
    </row>
    <row r="873" ht="15.75" customHeight="1">
      <c r="H873" s="76"/>
      <c r="I873" s="80"/>
    </row>
    <row r="874" ht="15.75" customHeight="1">
      <c r="H874" s="76"/>
      <c r="I874" s="80"/>
    </row>
    <row r="875" ht="15.75" customHeight="1">
      <c r="H875" s="76"/>
      <c r="I875" s="80"/>
    </row>
    <row r="876" ht="15.75" customHeight="1">
      <c r="H876" s="76"/>
      <c r="I876" s="80"/>
    </row>
    <row r="877" ht="15.75" customHeight="1">
      <c r="H877" s="76"/>
      <c r="I877" s="80"/>
    </row>
    <row r="878" ht="15.75" customHeight="1">
      <c r="H878" s="76"/>
      <c r="I878" s="80"/>
    </row>
    <row r="879" ht="15.75" customHeight="1">
      <c r="H879" s="76"/>
      <c r="I879" s="80"/>
    </row>
    <row r="880" ht="15.75" customHeight="1">
      <c r="H880" s="76"/>
      <c r="I880" s="80"/>
    </row>
    <row r="881" ht="15.75" customHeight="1">
      <c r="H881" s="76"/>
      <c r="I881" s="80"/>
    </row>
    <row r="882" ht="15.75" customHeight="1">
      <c r="H882" s="76"/>
      <c r="I882" s="80"/>
    </row>
    <row r="883" ht="15.75" customHeight="1">
      <c r="H883" s="76"/>
      <c r="I883" s="80"/>
    </row>
    <row r="884" ht="15.75" customHeight="1">
      <c r="H884" s="76"/>
      <c r="I884" s="80"/>
    </row>
    <row r="885" ht="15.75" customHeight="1">
      <c r="H885" s="76"/>
      <c r="I885" s="80"/>
    </row>
    <row r="886" ht="15.75" customHeight="1">
      <c r="H886" s="76"/>
      <c r="I886" s="80"/>
    </row>
    <row r="887" ht="15.75" customHeight="1">
      <c r="H887" s="76"/>
      <c r="I887" s="80"/>
    </row>
    <row r="888" ht="15.75" customHeight="1">
      <c r="H888" s="76"/>
      <c r="I888" s="80"/>
    </row>
    <row r="889" ht="15.75" customHeight="1">
      <c r="H889" s="76"/>
      <c r="I889" s="80"/>
    </row>
    <row r="890" ht="15.75" customHeight="1">
      <c r="H890" s="76"/>
      <c r="I890" s="80"/>
    </row>
    <row r="891" ht="15.75" customHeight="1">
      <c r="H891" s="76"/>
      <c r="I891" s="80"/>
    </row>
    <row r="892" ht="15.75" customHeight="1">
      <c r="H892" s="76"/>
      <c r="I892" s="80"/>
    </row>
    <row r="893" ht="15.75" customHeight="1">
      <c r="H893" s="76"/>
      <c r="I893" s="80"/>
    </row>
    <row r="894" ht="15.75" customHeight="1">
      <c r="H894" s="76"/>
      <c r="I894" s="80"/>
    </row>
    <row r="895" ht="15.75" customHeight="1">
      <c r="H895" s="76"/>
      <c r="I895" s="80"/>
    </row>
    <row r="896" ht="15.75" customHeight="1">
      <c r="H896" s="76"/>
      <c r="I896" s="80"/>
    </row>
    <row r="897" ht="15.75" customHeight="1">
      <c r="H897" s="76"/>
      <c r="I897" s="80"/>
    </row>
    <row r="898" ht="15.75" customHeight="1">
      <c r="H898" s="76"/>
      <c r="I898" s="80"/>
    </row>
    <row r="899" ht="15.75" customHeight="1">
      <c r="H899" s="76"/>
      <c r="I899" s="80"/>
    </row>
    <row r="900" ht="15.75" customHeight="1">
      <c r="H900" s="76"/>
      <c r="I900" s="80"/>
    </row>
    <row r="901" ht="15.75" customHeight="1">
      <c r="H901" s="76"/>
      <c r="I901" s="80"/>
    </row>
    <row r="902" ht="15.75" customHeight="1">
      <c r="H902" s="76"/>
      <c r="I902" s="80"/>
    </row>
    <row r="903" ht="15.75" customHeight="1">
      <c r="H903" s="76"/>
      <c r="I903" s="80"/>
    </row>
    <row r="904" ht="15.75" customHeight="1">
      <c r="H904" s="76"/>
      <c r="I904" s="80"/>
    </row>
    <row r="905" ht="15.75" customHeight="1">
      <c r="H905" s="76"/>
      <c r="I905" s="80"/>
    </row>
    <row r="906" ht="15.75" customHeight="1">
      <c r="H906" s="76"/>
      <c r="I906" s="80"/>
    </row>
    <row r="907" ht="15.75" customHeight="1">
      <c r="H907" s="76"/>
      <c r="I907" s="80"/>
    </row>
    <row r="908" ht="15.75" customHeight="1">
      <c r="H908" s="76"/>
      <c r="I908" s="80"/>
    </row>
    <row r="909" ht="15.75" customHeight="1">
      <c r="H909" s="76"/>
      <c r="I909" s="80"/>
    </row>
    <row r="910" ht="15.75" customHeight="1">
      <c r="H910" s="76"/>
      <c r="I910" s="80"/>
    </row>
    <row r="911" ht="15.75" customHeight="1">
      <c r="H911" s="76"/>
      <c r="I911" s="80"/>
    </row>
    <row r="912" ht="15.75" customHeight="1">
      <c r="H912" s="76"/>
      <c r="I912" s="80"/>
    </row>
    <row r="913" ht="15.75" customHeight="1">
      <c r="H913" s="76"/>
      <c r="I913" s="80"/>
    </row>
    <row r="914" ht="15.75" customHeight="1">
      <c r="H914" s="76"/>
      <c r="I914" s="80"/>
    </row>
    <row r="915" ht="15.75" customHeight="1">
      <c r="H915" s="76"/>
      <c r="I915" s="80"/>
    </row>
    <row r="916" ht="15.75" customHeight="1">
      <c r="H916" s="76"/>
      <c r="I916" s="80"/>
    </row>
    <row r="917" ht="15.75" customHeight="1">
      <c r="H917" s="76"/>
      <c r="I917" s="80"/>
    </row>
    <row r="918" ht="15.75" customHeight="1">
      <c r="H918" s="76"/>
      <c r="I918" s="80"/>
    </row>
    <row r="919" ht="15.75" customHeight="1">
      <c r="H919" s="76"/>
      <c r="I919" s="80"/>
    </row>
    <row r="920" ht="15.75" customHeight="1">
      <c r="H920" s="76"/>
      <c r="I920" s="80"/>
    </row>
    <row r="921" ht="15.75" customHeight="1">
      <c r="H921" s="76"/>
      <c r="I921" s="80"/>
    </row>
    <row r="922" ht="15.75" customHeight="1">
      <c r="H922" s="76"/>
      <c r="I922" s="80"/>
    </row>
    <row r="923" ht="15.75" customHeight="1">
      <c r="H923" s="76"/>
      <c r="I923" s="80"/>
    </row>
    <row r="924" ht="15.75" customHeight="1">
      <c r="H924" s="76"/>
      <c r="I924" s="80"/>
    </row>
    <row r="925" ht="15.75" customHeight="1">
      <c r="H925" s="76"/>
      <c r="I925" s="80"/>
    </row>
    <row r="926" ht="15.75" customHeight="1">
      <c r="H926" s="76"/>
      <c r="I926" s="80"/>
    </row>
    <row r="927" ht="15.75" customHeight="1">
      <c r="H927" s="76"/>
      <c r="I927" s="80"/>
    </row>
    <row r="928" ht="15.75" customHeight="1">
      <c r="H928" s="76"/>
      <c r="I928" s="80"/>
    </row>
    <row r="929" ht="15.75" customHeight="1">
      <c r="H929" s="76"/>
      <c r="I929" s="80"/>
    </row>
    <row r="930" ht="15.75" customHeight="1">
      <c r="H930" s="76"/>
      <c r="I930" s="80"/>
    </row>
    <row r="931" ht="15.75" customHeight="1">
      <c r="H931" s="76"/>
      <c r="I931" s="80"/>
    </row>
    <row r="932" ht="15.75" customHeight="1">
      <c r="H932" s="76"/>
      <c r="I932" s="80"/>
    </row>
    <row r="933" ht="15.75" customHeight="1">
      <c r="H933" s="76"/>
      <c r="I933" s="80"/>
    </row>
    <row r="934" ht="15.75" customHeight="1">
      <c r="H934" s="76"/>
      <c r="I934" s="80"/>
    </row>
    <row r="935" ht="15.75" customHeight="1">
      <c r="H935" s="76"/>
      <c r="I935" s="80"/>
    </row>
    <row r="936" ht="15.75" customHeight="1">
      <c r="H936" s="76"/>
      <c r="I936" s="80"/>
    </row>
    <row r="937" ht="15.75" customHeight="1">
      <c r="H937" s="76"/>
      <c r="I937" s="80"/>
    </row>
    <row r="938" ht="15.75" customHeight="1">
      <c r="H938" s="76"/>
      <c r="I938" s="80"/>
    </row>
    <row r="939" ht="15.75" customHeight="1">
      <c r="H939" s="76"/>
      <c r="I939" s="80"/>
    </row>
    <row r="940" ht="15.75" customHeight="1">
      <c r="H940" s="76"/>
      <c r="I940" s="80"/>
    </row>
    <row r="941" ht="15.75" customHeight="1">
      <c r="H941" s="76"/>
      <c r="I941" s="80"/>
    </row>
    <row r="942" ht="15.75" customHeight="1">
      <c r="H942" s="76"/>
      <c r="I942" s="80"/>
    </row>
    <row r="943" ht="15.75" customHeight="1">
      <c r="H943" s="76"/>
      <c r="I943" s="80"/>
    </row>
    <row r="944" ht="15.75" customHeight="1">
      <c r="H944" s="76"/>
      <c r="I944" s="80"/>
    </row>
    <row r="945" ht="15.75" customHeight="1">
      <c r="H945" s="76"/>
      <c r="I945" s="80"/>
    </row>
    <row r="946" ht="15.75" customHeight="1">
      <c r="H946" s="76"/>
      <c r="I946" s="80"/>
    </row>
    <row r="947" ht="15.75" customHeight="1">
      <c r="H947" s="76"/>
      <c r="I947" s="80"/>
    </row>
    <row r="948" ht="15.75" customHeight="1">
      <c r="H948" s="76"/>
      <c r="I948" s="80"/>
    </row>
    <row r="949" ht="15.75" customHeight="1">
      <c r="H949" s="76"/>
      <c r="I949" s="80"/>
    </row>
    <row r="950" ht="15.75" customHeight="1">
      <c r="H950" s="76"/>
      <c r="I950" s="80"/>
    </row>
    <row r="951" ht="15.75" customHeight="1">
      <c r="H951" s="76"/>
      <c r="I951" s="80"/>
    </row>
    <row r="952" ht="15.75" customHeight="1">
      <c r="H952" s="76"/>
      <c r="I952" s="80"/>
    </row>
    <row r="953" ht="15.75" customHeight="1">
      <c r="H953" s="76"/>
      <c r="I953" s="80"/>
    </row>
    <row r="954" ht="15.75" customHeight="1">
      <c r="H954" s="76"/>
      <c r="I954" s="80"/>
    </row>
    <row r="955" ht="15.75" customHeight="1">
      <c r="H955" s="76"/>
      <c r="I955" s="80"/>
    </row>
    <row r="956" ht="15.75" customHeight="1">
      <c r="H956" s="76"/>
      <c r="I956" s="80"/>
    </row>
    <row r="957" ht="15.75" customHeight="1">
      <c r="H957" s="76"/>
      <c r="I957" s="80"/>
    </row>
    <row r="958" ht="15.75" customHeight="1">
      <c r="H958" s="76"/>
      <c r="I958" s="80"/>
    </row>
    <row r="959" ht="15.75" customHeight="1">
      <c r="H959" s="76"/>
      <c r="I959" s="80"/>
    </row>
    <row r="960" ht="15.75" customHeight="1">
      <c r="H960" s="76"/>
      <c r="I960" s="80"/>
    </row>
    <row r="961" ht="15.75" customHeight="1">
      <c r="H961" s="76"/>
      <c r="I961" s="80"/>
    </row>
    <row r="962" ht="15.75" customHeight="1">
      <c r="H962" s="76"/>
      <c r="I962" s="80"/>
    </row>
    <row r="963" ht="15.75" customHeight="1">
      <c r="H963" s="76"/>
      <c r="I963" s="80"/>
    </row>
    <row r="964" ht="15.75" customHeight="1">
      <c r="H964" s="76"/>
      <c r="I964" s="80"/>
    </row>
    <row r="965" ht="15.75" customHeight="1">
      <c r="H965" s="76"/>
      <c r="I965" s="80"/>
    </row>
    <row r="966" ht="15.75" customHeight="1">
      <c r="H966" s="76"/>
      <c r="I966" s="80"/>
    </row>
    <row r="967" ht="15.75" customHeight="1">
      <c r="H967" s="76"/>
      <c r="I967" s="80"/>
    </row>
    <row r="968" ht="15.75" customHeight="1">
      <c r="H968" s="76"/>
      <c r="I968" s="80"/>
    </row>
    <row r="969" ht="15.75" customHeight="1">
      <c r="H969" s="76"/>
      <c r="I969" s="80"/>
    </row>
    <row r="970" ht="15.75" customHeight="1">
      <c r="H970" s="76"/>
      <c r="I970" s="80"/>
    </row>
    <row r="971" ht="15.75" customHeight="1">
      <c r="H971" s="76"/>
      <c r="I971" s="80"/>
    </row>
    <row r="972" ht="15.75" customHeight="1">
      <c r="H972" s="76"/>
      <c r="I972" s="80"/>
    </row>
    <row r="973" ht="15.75" customHeight="1">
      <c r="H973" s="76"/>
      <c r="I973" s="80"/>
    </row>
    <row r="974" ht="15.75" customHeight="1">
      <c r="H974" s="76"/>
      <c r="I974" s="80"/>
    </row>
    <row r="975" ht="15.75" customHeight="1">
      <c r="H975" s="76"/>
      <c r="I975" s="80"/>
    </row>
    <row r="976" ht="15.75" customHeight="1">
      <c r="H976" s="76"/>
      <c r="I976" s="80"/>
    </row>
    <row r="977" ht="15.75" customHeight="1">
      <c r="H977" s="76"/>
      <c r="I977" s="80"/>
    </row>
    <row r="978" ht="15.75" customHeight="1">
      <c r="H978" s="76"/>
      <c r="I978" s="80"/>
    </row>
    <row r="979" ht="15.75" customHeight="1">
      <c r="H979" s="76"/>
      <c r="I979" s="80"/>
    </row>
    <row r="980" ht="15.75" customHeight="1">
      <c r="H980" s="76"/>
      <c r="I980" s="80"/>
    </row>
    <row r="981" ht="15.75" customHeight="1">
      <c r="H981" s="76"/>
      <c r="I981" s="80"/>
    </row>
    <row r="982" ht="15.75" customHeight="1">
      <c r="H982" s="76"/>
      <c r="I982" s="80"/>
    </row>
    <row r="983" ht="15.75" customHeight="1">
      <c r="H983" s="76"/>
      <c r="I983" s="80"/>
    </row>
    <row r="984" ht="15.75" customHeight="1">
      <c r="H984" s="76"/>
      <c r="I984" s="80"/>
    </row>
    <row r="985" ht="15.75" customHeight="1">
      <c r="H985" s="76"/>
      <c r="I985" s="80"/>
    </row>
    <row r="986" ht="15.75" customHeight="1">
      <c r="H986" s="76"/>
      <c r="I986" s="80"/>
    </row>
    <row r="987" ht="15.75" customHeight="1">
      <c r="H987" s="76"/>
      <c r="I987" s="80"/>
    </row>
    <row r="988" ht="15.75" customHeight="1">
      <c r="H988" s="76"/>
      <c r="I988" s="80"/>
    </row>
    <row r="989" ht="15.75" customHeight="1">
      <c r="H989" s="76"/>
      <c r="I989" s="80"/>
    </row>
    <row r="990" ht="15.75" customHeight="1">
      <c r="H990" s="76"/>
      <c r="I990" s="80"/>
    </row>
    <row r="991" ht="15.75" customHeight="1">
      <c r="H991" s="76"/>
      <c r="I991" s="80"/>
    </row>
    <row r="992" ht="15.75" customHeight="1">
      <c r="H992" s="76"/>
      <c r="I992" s="80"/>
    </row>
    <row r="993" ht="15.75" customHeight="1">
      <c r="H993" s="76"/>
      <c r="I993" s="80"/>
    </row>
    <row r="994" ht="15.75" customHeight="1">
      <c r="H994" s="76"/>
      <c r="I994" s="80"/>
    </row>
    <row r="995" ht="15.75" customHeight="1">
      <c r="H995" s="76"/>
      <c r="I995" s="80"/>
    </row>
    <row r="996" ht="15.75" customHeight="1">
      <c r="H996" s="76"/>
      <c r="I996" s="80"/>
    </row>
    <row r="997" ht="15.75" customHeight="1">
      <c r="H997" s="76"/>
      <c r="I997" s="80"/>
    </row>
    <row r="998" ht="15.75" customHeight="1">
      <c r="H998" s="76"/>
      <c r="I998" s="80"/>
    </row>
    <row r="999" ht="15.75" customHeight="1">
      <c r="H999" s="76"/>
      <c r="I999" s="80"/>
    </row>
    <row r="1000" ht="15.75" customHeight="1">
      <c r="H1000" s="76"/>
      <c r="I1000" s="80"/>
    </row>
  </sheetData>
  <mergeCells count="7">
    <mergeCell ref="A1:H1"/>
    <mergeCell ref="B3:G3"/>
    <mergeCell ref="B4:H4"/>
    <mergeCell ref="A26:H26"/>
    <mergeCell ref="A28:A29"/>
    <mergeCell ref="B46:G46"/>
    <mergeCell ref="B47:G47"/>
  </mergeCells>
  <printOptions/>
  <pageMargins bottom="0.0" footer="0.0" header="0.0" left="0.0" right="0.0" top="0.0"/>
  <pageSetup paperSize="9" orientation="portrait"/>
  <headerFooter>
    <oddFooter>&amp;C&amp;F/&amp;A&amp;Rversion du 07/04/2005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12.43"/>
    <col customWidth="1" min="3" max="3" width="16.86"/>
    <col customWidth="1" min="4" max="4" width="27.43"/>
    <col customWidth="1" min="5" max="5" width="23.14"/>
    <col customWidth="1" min="6" max="6" width="19.86"/>
    <col customWidth="1" min="7" max="7" width="25.43"/>
    <col customWidth="1" min="8" max="9" width="9.57"/>
    <col customWidth="1" min="10" max="10" width="37.86"/>
    <col customWidth="1" min="11" max="11" width="18.57"/>
    <col customWidth="1" min="12" max="12" width="19.57"/>
    <col customWidth="1" min="13" max="13" width="20.0"/>
    <col customWidth="1" min="14" max="26" width="10.71"/>
  </cols>
  <sheetData>
    <row r="1" ht="12.75" customHeight="1">
      <c r="A1" s="17" t="s">
        <v>130</v>
      </c>
    </row>
    <row r="2" ht="12.75" customHeight="1">
      <c r="A2" s="113" t="s">
        <v>131</v>
      </c>
      <c r="B2" s="113" t="s">
        <v>132</v>
      </c>
      <c r="C2" s="113" t="s">
        <v>133</v>
      </c>
      <c r="D2" s="113" t="s">
        <v>134</v>
      </c>
      <c r="E2" s="113" t="s">
        <v>135</v>
      </c>
      <c r="F2" s="113" t="s">
        <v>136</v>
      </c>
      <c r="G2" s="113" t="s">
        <v>137</v>
      </c>
      <c r="H2" s="113" t="s">
        <v>138</v>
      </c>
      <c r="I2" s="113" t="s">
        <v>139</v>
      </c>
      <c r="J2" s="113" t="s">
        <v>140</v>
      </c>
      <c r="K2" s="114" t="s">
        <v>141</v>
      </c>
      <c r="L2" s="114" t="s">
        <v>142</v>
      </c>
      <c r="M2" s="114" t="s">
        <v>143</v>
      </c>
    </row>
    <row r="3" ht="12.75" customHeight="1">
      <c r="A3" s="115" t="s">
        <v>55</v>
      </c>
      <c r="B3" s="116" t="s">
        <v>80</v>
      </c>
      <c r="C3" s="117"/>
      <c r="D3" s="117"/>
      <c r="E3" s="118" t="s">
        <v>144</v>
      </c>
      <c r="F3" s="117" t="s">
        <v>145</v>
      </c>
      <c r="G3" s="117" t="s">
        <v>146</v>
      </c>
      <c r="H3" s="119" t="s">
        <v>94</v>
      </c>
      <c r="I3" s="119" t="s">
        <v>147</v>
      </c>
      <c r="J3" s="119" t="s">
        <v>148</v>
      </c>
      <c r="K3" s="120" t="s">
        <v>149</v>
      </c>
      <c r="L3" s="119" t="s">
        <v>150</v>
      </c>
      <c r="M3" s="117" t="s">
        <v>151</v>
      </c>
    </row>
    <row r="4" ht="12.75" customHeight="1">
      <c r="B4" s="48"/>
      <c r="C4" s="48"/>
    </row>
    <row r="5" ht="12.75" customHeight="1">
      <c r="B5" s="48"/>
      <c r="C5" s="48"/>
    </row>
    <row r="6" ht="12.75" customHeight="1"/>
    <row r="7" ht="12.75" customHeight="1">
      <c r="A7" s="17" t="s">
        <v>152</v>
      </c>
    </row>
    <row r="8" ht="12.75" customHeight="1">
      <c r="A8" s="121" t="s">
        <v>153</v>
      </c>
    </row>
    <row r="9" ht="12.75" customHeight="1">
      <c r="A9" s="122"/>
    </row>
    <row r="10" ht="12.75" customHeight="1"/>
    <row r="11" ht="12.75" customHeight="1">
      <c r="A11" s="123"/>
      <c r="B11" s="124" t="s">
        <v>154</v>
      </c>
      <c r="C11" s="123" t="s">
        <v>155</v>
      </c>
      <c r="D11" s="123" t="s">
        <v>156</v>
      </c>
      <c r="E11" s="123" t="s">
        <v>157</v>
      </c>
    </row>
    <row r="12" ht="12.75" customHeight="1">
      <c r="A12" s="115" t="s">
        <v>55</v>
      </c>
      <c r="B12" s="116" t="s">
        <v>80</v>
      </c>
      <c r="C12" s="123" t="str">
        <f>A16</f>
        <v>K24027237D</v>
      </c>
      <c r="D12" s="123" t="str">
        <f>A19</f>
        <v>D00337731J</v>
      </c>
      <c r="E12" s="123" t="s">
        <v>158</v>
      </c>
    </row>
    <row r="13" ht="12.75" customHeight="1"/>
    <row r="14" ht="12.75" customHeight="1"/>
    <row r="15" ht="12.75" customHeight="1">
      <c r="A15" s="125" t="s">
        <v>159</v>
      </c>
      <c r="B15" s="125" t="s">
        <v>160</v>
      </c>
      <c r="C15" s="125" t="s">
        <v>139</v>
      </c>
      <c r="D15" s="125" t="s">
        <v>161</v>
      </c>
      <c r="E15" s="125" t="s">
        <v>162</v>
      </c>
      <c r="F15" s="125" t="s">
        <v>163</v>
      </c>
      <c r="G15" s="125" t="s">
        <v>164</v>
      </c>
      <c r="H15" s="125" t="s">
        <v>165</v>
      </c>
      <c r="I15" s="125" t="s">
        <v>166</v>
      </c>
      <c r="J15" s="125" t="s">
        <v>167</v>
      </c>
      <c r="K15" s="125" t="s">
        <v>60</v>
      </c>
      <c r="L15" s="125" t="s">
        <v>168</v>
      </c>
      <c r="M15" s="125" t="s">
        <v>169</v>
      </c>
      <c r="N15" s="125" t="s">
        <v>170</v>
      </c>
      <c r="O15" s="125" t="s">
        <v>171</v>
      </c>
      <c r="P15" s="125" t="s">
        <v>172</v>
      </c>
      <c r="Q15" s="125" t="s">
        <v>173</v>
      </c>
      <c r="R15" s="125" t="s">
        <v>174</v>
      </c>
      <c r="S15" s="125" t="s">
        <v>175</v>
      </c>
      <c r="T15" s="17"/>
      <c r="U15" s="17"/>
      <c r="V15" s="17"/>
      <c r="W15" s="17"/>
      <c r="X15" s="17"/>
      <c r="Y15" s="17"/>
      <c r="Z15" s="17"/>
    </row>
    <row r="16" ht="12.75" customHeight="1">
      <c r="A16" s="115" t="s">
        <v>176</v>
      </c>
      <c r="B16" s="115" t="s">
        <v>177</v>
      </c>
      <c r="C16" s="115" t="s">
        <v>178</v>
      </c>
      <c r="D16" s="115" t="s">
        <v>55</v>
      </c>
      <c r="E16" s="17"/>
      <c r="F16" s="115">
        <v>9.4414094600012E13</v>
      </c>
      <c r="G16" s="17"/>
      <c r="H16" s="115" t="s">
        <v>179</v>
      </c>
      <c r="I16" s="115" t="s">
        <v>180</v>
      </c>
      <c r="J16" s="115" t="s">
        <v>181</v>
      </c>
      <c r="K16" s="115" t="s">
        <v>182</v>
      </c>
      <c r="L16" s="17"/>
      <c r="M16" s="115" t="s">
        <v>183</v>
      </c>
      <c r="N16" s="115" t="s">
        <v>30</v>
      </c>
      <c r="O16" s="115" t="s">
        <v>184</v>
      </c>
      <c r="P16" s="115" t="s">
        <v>185</v>
      </c>
      <c r="Q16" s="115">
        <v>0.0</v>
      </c>
      <c r="R16" s="115">
        <v>1.0</v>
      </c>
      <c r="S16" s="115" t="s">
        <v>186</v>
      </c>
    </row>
    <row r="17" ht="12.75" customHeight="1"/>
    <row r="18" ht="12.75" customHeight="1">
      <c r="A18" s="126" t="s">
        <v>159</v>
      </c>
      <c r="B18" s="126" t="s">
        <v>160</v>
      </c>
      <c r="C18" s="126" t="s">
        <v>139</v>
      </c>
      <c r="D18" s="126" t="s">
        <v>187</v>
      </c>
      <c r="E18" s="126" t="s">
        <v>188</v>
      </c>
      <c r="F18" s="126" t="s">
        <v>163</v>
      </c>
      <c r="G18" s="126" t="s">
        <v>189</v>
      </c>
      <c r="H18" s="126" t="s">
        <v>190</v>
      </c>
      <c r="I18" s="126" t="s">
        <v>191</v>
      </c>
      <c r="J18" s="126" t="s">
        <v>62</v>
      </c>
      <c r="K18" s="126" t="s">
        <v>192</v>
      </c>
      <c r="L18" s="126" t="s">
        <v>193</v>
      </c>
      <c r="M18" s="126" t="s">
        <v>194</v>
      </c>
      <c r="N18" s="126" t="s">
        <v>195</v>
      </c>
      <c r="O18" s="126" t="s">
        <v>196</v>
      </c>
      <c r="P18" s="126" t="s">
        <v>197</v>
      </c>
      <c r="Q18" s="126" t="s">
        <v>198</v>
      </c>
      <c r="R18" s="126" t="s">
        <v>199</v>
      </c>
      <c r="S18" s="17"/>
      <c r="T18" s="17"/>
      <c r="U18" s="17"/>
      <c r="V18" s="17"/>
      <c r="W18" s="17"/>
      <c r="X18" s="17"/>
      <c r="Y18" s="17"/>
      <c r="Z18" s="17"/>
    </row>
    <row r="19" ht="12.75" customHeight="1">
      <c r="A19" s="115" t="s">
        <v>184</v>
      </c>
      <c r="B19" s="115" t="s">
        <v>177</v>
      </c>
      <c r="C19" s="115" t="s">
        <v>178</v>
      </c>
      <c r="D19" s="115" t="s">
        <v>55</v>
      </c>
      <c r="E19" s="17"/>
      <c r="F19" s="115">
        <v>9.44140946E8</v>
      </c>
      <c r="G19" s="115" t="s">
        <v>185</v>
      </c>
      <c r="H19" s="115" t="s">
        <v>186</v>
      </c>
      <c r="I19" s="115">
        <v>5710.0</v>
      </c>
      <c r="J19" s="115" t="s">
        <v>200</v>
      </c>
      <c r="K19" s="115">
        <v>3511.0</v>
      </c>
      <c r="L19" s="115" t="s">
        <v>75</v>
      </c>
      <c r="M19" s="115" t="s">
        <v>80</v>
      </c>
      <c r="N19" s="115"/>
      <c r="O19" s="115"/>
      <c r="P19" s="17"/>
      <c r="Q19" s="115">
        <v>0.0</v>
      </c>
      <c r="R19" s="115">
        <v>1.0</v>
      </c>
      <c r="S19" s="17"/>
      <c r="T19" s="17"/>
      <c r="U19" s="17"/>
      <c r="V19" s="17"/>
      <c r="W19" s="17"/>
      <c r="X19" s="17"/>
      <c r="Y19" s="17"/>
      <c r="Z19" s="17"/>
    </row>
    <row r="20" ht="12.75" customHeight="1"/>
    <row r="21" ht="12.75" customHeight="1">
      <c r="A21" s="126" t="s">
        <v>159</v>
      </c>
      <c r="B21" s="126" t="s">
        <v>160</v>
      </c>
      <c r="C21" s="126" t="s">
        <v>139</v>
      </c>
      <c r="D21" s="126" t="s">
        <v>161</v>
      </c>
      <c r="E21" s="126" t="s">
        <v>201</v>
      </c>
      <c r="F21" s="126" t="s">
        <v>202</v>
      </c>
      <c r="G21" s="126" t="s">
        <v>203</v>
      </c>
      <c r="H21" s="126" t="s">
        <v>204</v>
      </c>
      <c r="I21" s="126" t="s">
        <v>205</v>
      </c>
      <c r="J21" s="126" t="s">
        <v>206</v>
      </c>
      <c r="K21" s="126" t="s">
        <v>207</v>
      </c>
      <c r="L21" s="126" t="s">
        <v>208</v>
      </c>
      <c r="M21" s="126" t="s">
        <v>209</v>
      </c>
      <c r="N21" s="126" t="s">
        <v>210</v>
      </c>
      <c r="O21" s="126" t="s">
        <v>211</v>
      </c>
    </row>
    <row r="22" ht="12.75" customHeight="1">
      <c r="A22" s="115" t="s">
        <v>149</v>
      </c>
      <c r="B22" s="115" t="s">
        <v>177</v>
      </c>
      <c r="C22" s="115" t="s">
        <v>178</v>
      </c>
      <c r="D22" s="115" t="s">
        <v>150</v>
      </c>
      <c r="E22" s="115" t="s">
        <v>151</v>
      </c>
      <c r="F22" s="115" t="s">
        <v>212</v>
      </c>
      <c r="G22" s="115" t="s">
        <v>144</v>
      </c>
      <c r="H22" s="115" t="s">
        <v>80</v>
      </c>
      <c r="I22" s="115">
        <v>0.0</v>
      </c>
      <c r="J22" s="115">
        <v>0.0</v>
      </c>
      <c r="K22" s="115">
        <v>0.0</v>
      </c>
      <c r="L22" s="115">
        <v>0.0</v>
      </c>
      <c r="M22" s="115" t="s">
        <v>213</v>
      </c>
      <c r="N22" s="17"/>
      <c r="O22" s="115" t="s">
        <v>214</v>
      </c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 gridLines="1"/>
  <pageMargins bottom="0.7480314960629921" footer="0.0" header="0.0" left="0.11811023622047245" right="0.11811023622047245" top="0.7480314960629921"/>
  <pageSetup paperSize="9" orientation="landscape"/>
  <headerFooter>
    <oddFooter>&amp;L&amp;D&amp;T&amp;C&amp;P&amp;R&amp;F&amp;A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47.43"/>
    <col customWidth="1" min="3" max="3" width="14.43"/>
    <col customWidth="1" min="4" max="4" width="19.14"/>
    <col customWidth="1" min="5" max="5" width="6.43"/>
    <col customWidth="1" min="6" max="6" width="11.43"/>
    <col customWidth="1" min="7" max="26" width="10.71"/>
  </cols>
  <sheetData>
    <row r="1" ht="12.75" customHeight="1">
      <c r="A1" s="127" t="s">
        <v>139</v>
      </c>
      <c r="B1" s="128" t="s">
        <v>215</v>
      </c>
      <c r="C1" s="128" t="s">
        <v>216</v>
      </c>
      <c r="D1" s="128" t="s">
        <v>217</v>
      </c>
      <c r="E1" s="128" t="s">
        <v>218</v>
      </c>
      <c r="F1" s="128" t="s">
        <v>60</v>
      </c>
      <c r="G1" s="128" t="s">
        <v>219</v>
      </c>
    </row>
    <row r="2" ht="12.75" customHeight="1">
      <c r="A2" s="129" t="s">
        <v>220</v>
      </c>
      <c r="B2" s="130" t="str">
        <f t="shared" ref="B2:C2" si="1">B11</f>
        <v>MIRECOURT ENERGIES (13595)</v>
      </c>
      <c r="C2" s="131" t="str">
        <f t="shared" si="1"/>
        <v>TSA 15503</v>
      </c>
      <c r="D2" s="132"/>
      <c r="E2" s="132">
        <v>59784.0</v>
      </c>
      <c r="F2" s="132" t="s">
        <v>221</v>
      </c>
      <c r="G2" s="132" t="s">
        <v>222</v>
      </c>
    </row>
    <row r="3" ht="12.75" customHeight="1"/>
    <row r="4" ht="12.75" customHeight="1"/>
    <row r="5" ht="12.75" customHeight="1"/>
    <row r="6" ht="12.75" customHeight="1">
      <c r="A6" s="48" t="s">
        <v>223</v>
      </c>
    </row>
    <row r="7" ht="12.75" customHeight="1">
      <c r="A7" s="133" t="s">
        <v>224</v>
      </c>
      <c r="B7" s="133" t="s">
        <v>225</v>
      </c>
    </row>
    <row r="8" ht="12.75" customHeight="1">
      <c r="A8" s="134" t="s">
        <v>94</v>
      </c>
      <c r="B8" s="135" t="s">
        <v>55</v>
      </c>
    </row>
    <row r="9" ht="12.75" customHeight="1"/>
    <row r="10" ht="12.75" customHeight="1">
      <c r="A10" s="136" t="s">
        <v>226</v>
      </c>
      <c r="B10" s="136" t="s">
        <v>140</v>
      </c>
      <c r="C10" s="136" t="s">
        <v>227</v>
      </c>
      <c r="D10" s="136" t="s">
        <v>228</v>
      </c>
      <c r="E10" s="136" t="s">
        <v>229</v>
      </c>
      <c r="F10" s="136" t="s">
        <v>230</v>
      </c>
    </row>
    <row r="11" ht="12.75" customHeight="1">
      <c r="A11" s="134" t="s">
        <v>94</v>
      </c>
      <c r="B11" s="79" t="s">
        <v>231</v>
      </c>
      <c r="C11" s="134" t="s">
        <v>232</v>
      </c>
      <c r="D11" s="134" t="s">
        <v>233</v>
      </c>
      <c r="E11" s="134" t="s">
        <v>234</v>
      </c>
      <c r="F11" s="134" t="s">
        <v>94</v>
      </c>
    </row>
    <row r="12" ht="12.75" customHeight="1"/>
    <row r="13" ht="12.75" customHeight="1"/>
    <row r="14" ht="12.75" customHeight="1">
      <c r="B14" s="48"/>
    </row>
    <row r="15" ht="12.75" customHeight="1"/>
    <row r="16" ht="12.75" customHeight="1"/>
    <row r="17" ht="12.75" customHeight="1">
      <c r="A17" s="48" t="s">
        <v>235</v>
      </c>
      <c r="B17" s="86" t="s">
        <v>68</v>
      </c>
    </row>
    <row r="18" ht="12.75" customHeight="1">
      <c r="A18" s="48" t="s">
        <v>236</v>
      </c>
      <c r="B18" s="79" t="s">
        <v>70</v>
      </c>
    </row>
    <row r="19" ht="12.75" customHeight="1"/>
    <row r="20" ht="12.75" customHeight="1">
      <c r="B20" s="48">
        <v>9.44140946E8</v>
      </c>
    </row>
    <row r="21" ht="12.75" customHeight="1"/>
    <row r="22" ht="12.75" customHeight="1">
      <c r="A22" s="75" t="s">
        <v>237</v>
      </c>
      <c r="B22" s="48" t="s">
        <v>55</v>
      </c>
    </row>
    <row r="23" ht="12.75" customHeight="1">
      <c r="B23" s="48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 gridLines="1"/>
  <pageMargins bottom="0.7480314960629921" footer="0.0" header="0.0" left="0.11811023622047245" right="0.11811023622047245" top="0.15748031496062992"/>
  <pageSetup paperSize="9" orientation="landscape"/>
  <headerFooter>
    <oddFooter>&amp;L&amp;D&amp;T&amp;C&amp;P&amp;R&amp;F&amp;A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13.86"/>
    <col customWidth="1" min="3" max="3" width="11.43"/>
    <col customWidth="1" min="4" max="4" width="7.43"/>
    <col customWidth="1" min="5" max="6" width="5.0"/>
    <col customWidth="1" min="7" max="7" width="10.57"/>
    <col customWidth="1" min="8" max="8" width="5.0"/>
    <col customWidth="1" min="9" max="26" width="11.43"/>
  </cols>
  <sheetData>
    <row r="1" ht="234.75" customHeight="1">
      <c r="A1" s="137" t="s">
        <v>238</v>
      </c>
      <c r="B1" s="137" t="s">
        <v>239</v>
      </c>
      <c r="C1" s="137" t="s">
        <v>240</v>
      </c>
      <c r="D1" s="137" t="s">
        <v>224</v>
      </c>
      <c r="E1" s="138" t="s">
        <v>241</v>
      </c>
      <c r="F1" s="138" t="s">
        <v>242</v>
      </c>
      <c r="G1" s="138" t="s">
        <v>243</v>
      </c>
      <c r="H1" s="138" t="s">
        <v>244</v>
      </c>
      <c r="I1" s="138" t="s">
        <v>245</v>
      </c>
      <c r="J1" s="138" t="s">
        <v>246</v>
      </c>
      <c r="K1" s="138" t="s">
        <v>247</v>
      </c>
      <c r="L1" s="138" t="s">
        <v>247</v>
      </c>
      <c r="M1" s="139" t="s">
        <v>248</v>
      </c>
      <c r="N1" s="139" t="s">
        <v>249</v>
      </c>
      <c r="O1" s="139" t="s">
        <v>250</v>
      </c>
      <c r="P1" s="139" t="s">
        <v>251</v>
      </c>
      <c r="Q1" s="139" t="s">
        <v>252</v>
      </c>
      <c r="R1" s="139" t="s">
        <v>253</v>
      </c>
      <c r="S1" s="139" t="s">
        <v>254</v>
      </c>
      <c r="T1" s="137"/>
      <c r="U1" s="137"/>
      <c r="V1" s="137"/>
      <c r="W1" s="137"/>
      <c r="X1" s="137"/>
      <c r="Y1" s="137"/>
      <c r="Z1" s="137"/>
    </row>
    <row r="2" ht="12.0" customHeight="1">
      <c r="A2" s="140"/>
      <c r="B2" s="140"/>
      <c r="C2" s="140"/>
      <c r="D2" s="140" t="s">
        <v>255</v>
      </c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2" t="s">
        <v>256</v>
      </c>
      <c r="S2" s="142" t="s">
        <v>256</v>
      </c>
      <c r="T2" s="143"/>
      <c r="U2" s="143"/>
      <c r="V2" s="143"/>
      <c r="W2" s="143"/>
      <c r="X2" s="143"/>
      <c r="Y2" s="143"/>
      <c r="Z2" s="143"/>
    </row>
    <row r="3" ht="12.0" customHeight="1">
      <c r="A3" s="140"/>
      <c r="B3" s="140"/>
      <c r="C3" s="140"/>
      <c r="D3" s="140" t="s">
        <v>255</v>
      </c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2" t="s">
        <v>256</v>
      </c>
      <c r="S3" s="142" t="s">
        <v>256</v>
      </c>
      <c r="T3" s="143"/>
      <c r="U3" s="143"/>
      <c r="V3" s="143"/>
      <c r="W3" s="143"/>
      <c r="X3" s="143"/>
      <c r="Y3" s="143"/>
      <c r="Z3" s="143"/>
    </row>
    <row r="4" ht="12.0" customHeight="1">
      <c r="A4" s="140"/>
      <c r="B4" s="140"/>
      <c r="C4" s="140"/>
      <c r="D4" s="140" t="s">
        <v>255</v>
      </c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2"/>
      <c r="S4" s="142"/>
      <c r="T4" s="143"/>
      <c r="U4" s="143"/>
      <c r="V4" s="143"/>
      <c r="W4" s="143"/>
      <c r="X4" s="143"/>
      <c r="Y4" s="143"/>
      <c r="Z4" s="143"/>
    </row>
    <row r="5" ht="12.0" customHeight="1">
      <c r="A5" s="144"/>
      <c r="B5" s="144"/>
      <c r="C5" s="144"/>
      <c r="D5" s="140" t="s">
        <v>255</v>
      </c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4"/>
      <c r="S5" s="144"/>
      <c r="T5" s="143"/>
      <c r="U5" s="143"/>
      <c r="V5" s="143"/>
      <c r="W5" s="143"/>
      <c r="X5" s="143"/>
      <c r="Y5" s="143"/>
      <c r="Z5" s="143"/>
    </row>
    <row r="6" ht="12.0" customHeight="1">
      <c r="A6" s="144"/>
      <c r="B6" s="144"/>
      <c r="C6" s="144"/>
      <c r="D6" s="140" t="s">
        <v>255</v>
      </c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4"/>
      <c r="S6" s="144"/>
      <c r="T6" s="143"/>
      <c r="U6" s="143"/>
      <c r="V6" s="143"/>
      <c r="W6" s="143"/>
      <c r="X6" s="143"/>
      <c r="Y6" s="143"/>
      <c r="Z6" s="143"/>
    </row>
    <row r="7" ht="12.0" customHeight="1">
      <c r="A7" s="144"/>
      <c r="B7" s="144"/>
      <c r="C7" s="144"/>
      <c r="D7" s="140" t="s">
        <v>255</v>
      </c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4"/>
      <c r="S7" s="144"/>
      <c r="T7" s="143"/>
      <c r="U7" s="143"/>
      <c r="V7" s="143"/>
      <c r="W7" s="143"/>
      <c r="X7" s="143"/>
      <c r="Y7" s="143"/>
      <c r="Z7" s="143"/>
    </row>
    <row r="8" ht="12.0" customHeight="1">
      <c r="A8" s="143"/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</row>
    <row r="9" ht="12.0" customHeight="1">
      <c r="A9" s="143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</row>
    <row r="10" ht="12.0" customHeight="1">
      <c r="A10" s="143"/>
      <c r="B10" s="143"/>
      <c r="C10" s="143"/>
      <c r="D10" s="143"/>
      <c r="E10" s="143"/>
      <c r="F10" s="143"/>
      <c r="G10" s="146" t="s">
        <v>257</v>
      </c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 ht="12.0" customHeight="1">
      <c r="A11" s="143"/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 ht="12.0" customHeight="1">
      <c r="A12" s="143"/>
      <c r="B12" s="143"/>
      <c r="C12" s="143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</row>
    <row r="13" ht="12.0" customHeight="1">
      <c r="A13" s="143"/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</row>
    <row r="14" ht="12.0" customHeight="1">
      <c r="A14" s="143"/>
      <c r="B14" s="143"/>
      <c r="C14" s="143"/>
      <c r="D14" s="143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 ht="12.0" customHeight="1">
      <c r="A15" s="143"/>
      <c r="B15" s="143"/>
      <c r="C15" s="143"/>
      <c r="D15" s="143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 ht="12.0" customHeight="1">
      <c r="A16" s="143"/>
      <c r="B16" s="143"/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 ht="12.0" customHeight="1">
      <c r="A17" s="143"/>
      <c r="B17" s="143"/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 ht="12.0" customHeight="1">
      <c r="A18" s="143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 ht="12.0" customHeight="1">
      <c r="A19" s="143"/>
      <c r="B19" s="143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 ht="12.0" customHeight="1">
      <c r="A20" s="143"/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</row>
    <row r="21" ht="12.0" customHeight="1">
      <c r="A21" s="143"/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</row>
    <row r="22" ht="12.0" customHeight="1">
      <c r="A22" s="143"/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</row>
    <row r="23" ht="12.0" customHeight="1">
      <c r="A23" s="143"/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</row>
    <row r="24" ht="12.0" customHeight="1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</row>
    <row r="25" ht="12.0" customHeight="1">
      <c r="A25" s="143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</row>
    <row r="26" ht="12.0" customHeight="1">
      <c r="A26" s="143"/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27" ht="12.0" customHeight="1">
      <c r="A27" s="143"/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</row>
    <row r="28" ht="12.0" customHeight="1">
      <c r="A28" s="143"/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</row>
    <row r="29" ht="12.0" customHeight="1">
      <c r="A29" s="143"/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</row>
    <row r="30" ht="12.0" customHeight="1">
      <c r="A30" s="143"/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</row>
    <row r="31" ht="12.0" customHeight="1">
      <c r="A31" s="143"/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</row>
    <row r="32" ht="12.0" customHeight="1">
      <c r="A32" s="143"/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</row>
    <row r="33" ht="12.0" customHeight="1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</row>
    <row r="34" ht="12.0" customHeight="1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 ht="12.0" customHeight="1">
      <c r="A35" s="143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 ht="12.0" customHeight="1">
      <c r="A36" s="143"/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</row>
    <row r="37" ht="12.0" customHeight="1">
      <c r="A37" s="143"/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</row>
    <row r="38" ht="12.0" customHeight="1">
      <c r="A38" s="143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</row>
    <row r="39" ht="12.0" customHeight="1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</row>
    <row r="40" ht="12.0" customHeight="1">
      <c r="A40" s="143"/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</row>
    <row r="41" ht="12.0" customHeight="1">
      <c r="A41" s="143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</row>
    <row r="42" ht="12.0" customHeight="1">
      <c r="A42" s="143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</row>
    <row r="43" ht="12.0" customHeight="1">
      <c r="A43" s="143"/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</row>
    <row r="44" ht="12.0" customHeight="1">
      <c r="A44" s="143"/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 ht="12.0" customHeight="1">
      <c r="A45" s="143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</row>
    <row r="46" ht="12.0" customHeight="1">
      <c r="A46" s="143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</row>
    <row r="47" ht="12.0" customHeight="1">
      <c r="A47" s="143"/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</row>
    <row r="48" ht="12.0" customHeight="1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</row>
    <row r="49" ht="12.0" customHeight="1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</row>
    <row r="50" ht="12.0" customHeight="1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</row>
    <row r="51" ht="12.0" customHeight="1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</row>
    <row r="52" ht="12.0" customHeight="1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</row>
    <row r="53" ht="12.0" customHeight="1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 ht="12.0" customHeight="1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</row>
    <row r="55" ht="12.0" customHeight="1">
      <c r="A55" s="143"/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</row>
    <row r="56" ht="12.0" customHeight="1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</row>
    <row r="57" ht="12.0" customHeight="1">
      <c r="A57" s="143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</row>
    <row r="58" ht="12.0" customHeight="1">
      <c r="A58" s="143"/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</row>
    <row r="59" ht="12.0" customHeight="1">
      <c r="A59" s="143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</row>
    <row r="60" ht="12.0" customHeight="1">
      <c r="A60" s="143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</row>
    <row r="61" ht="12.0" customHeight="1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</row>
    <row r="62" ht="12.0" customHeight="1">
      <c r="A62" s="143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</row>
    <row r="63" ht="12.0" customHeight="1">
      <c r="A63" s="143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</row>
    <row r="64" ht="12.0" customHeight="1">
      <c r="A64" s="143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</row>
    <row r="65" ht="12.0" customHeight="1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 ht="12.0" customHeight="1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</row>
    <row r="67" ht="12.0" customHeight="1">
      <c r="A67" s="143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</row>
    <row r="68" ht="12.0" customHeight="1">
      <c r="A68" s="143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</row>
    <row r="69" ht="12.0" customHeight="1">
      <c r="A69" s="143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</row>
    <row r="70" ht="12.0" customHeight="1">
      <c r="A70" s="143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</row>
    <row r="71" ht="12.0" customHeight="1">
      <c r="A71" s="143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</row>
    <row r="72" ht="12.0" customHeight="1">
      <c r="A72" s="143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</row>
    <row r="73" ht="12.0" customHeight="1">
      <c r="A73" s="143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</row>
    <row r="74" ht="12.0" customHeight="1">
      <c r="A74" s="143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</row>
    <row r="75" ht="12.0" customHeight="1">
      <c r="A75" s="143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</row>
    <row r="76" ht="12.0" customHeight="1">
      <c r="A76" s="143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</row>
    <row r="77" ht="12.0" customHeight="1">
      <c r="A77" s="143"/>
      <c r="B77" s="143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</row>
    <row r="78" ht="12.0" customHeight="1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</row>
    <row r="79" ht="12.0" customHeight="1">
      <c r="A79" s="143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</row>
    <row r="80" ht="12.0" customHeight="1">
      <c r="A80" s="143"/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</row>
    <row r="81" ht="12.0" customHeight="1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</row>
    <row r="82" ht="12.0" customHeight="1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</row>
    <row r="83" ht="12.0" customHeight="1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</row>
    <row r="84" ht="12.0" customHeight="1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</row>
    <row r="85" ht="12.0" customHeight="1">
      <c r="A85" s="143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</row>
    <row r="86" ht="12.0" customHeight="1">
      <c r="A86" s="143"/>
      <c r="B86" s="143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</row>
    <row r="87" ht="12.0" customHeight="1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</row>
    <row r="88" ht="12.0" customHeight="1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</row>
    <row r="89" ht="12.0" customHeight="1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</row>
    <row r="90" ht="12.0" customHeight="1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</row>
    <row r="91" ht="12.0" customHeight="1">
      <c r="A91" s="143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</row>
    <row r="92" ht="12.0" customHeight="1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</row>
    <row r="93" ht="12.0" customHeight="1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</row>
    <row r="94" ht="12.0" customHeight="1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</row>
    <row r="95" ht="12.0" customHeight="1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</row>
    <row r="96" ht="12.0" customHeight="1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</row>
    <row r="97" ht="12.0" customHeight="1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</row>
    <row r="98" ht="12.0" customHeight="1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</row>
    <row r="99" ht="12.0" customHeight="1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</row>
    <row r="100" ht="12.0" customHeight="1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</row>
    <row r="101" ht="12.0" customHeight="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</row>
    <row r="102" ht="12.0" customHeight="1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</row>
    <row r="103" ht="12.0" customHeight="1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</row>
    <row r="104" ht="12.0" customHeight="1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</row>
    <row r="105" ht="12.0" customHeight="1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</row>
    <row r="106" ht="12.0" customHeight="1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</row>
    <row r="107" ht="12.0" customHeight="1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</row>
    <row r="108" ht="12.0" customHeight="1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</row>
    <row r="109" ht="12.0" customHeight="1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</row>
    <row r="110" ht="12.0" customHeight="1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</row>
    <row r="111" ht="12.0" customHeight="1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</row>
    <row r="112" ht="12.0" customHeight="1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</row>
    <row r="113" ht="12.0" customHeight="1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</row>
    <row r="114" ht="12.0" customHeight="1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</row>
    <row r="115" ht="12.0" customHeight="1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</row>
    <row r="116" ht="12.0" customHeight="1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</row>
    <row r="117" ht="12.0" customHeight="1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</row>
    <row r="118" ht="12.0" customHeight="1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</row>
    <row r="119" ht="12.0" customHeight="1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</row>
    <row r="120" ht="12.0" customHeight="1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</row>
    <row r="121" ht="12.0" customHeight="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</row>
    <row r="122" ht="12.0" customHeight="1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</row>
    <row r="123" ht="12.0" customHeight="1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</row>
    <row r="124" ht="12.0" customHeight="1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</row>
    <row r="125" ht="12.0" customHeight="1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</row>
    <row r="126" ht="12.0" customHeight="1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</row>
    <row r="127" ht="12.0" customHeight="1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</row>
    <row r="128" ht="12.0" customHeight="1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</row>
    <row r="129" ht="12.0" customHeight="1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</row>
    <row r="130" ht="12.0" customHeight="1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</row>
    <row r="131" ht="12.0" customHeight="1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</row>
    <row r="132" ht="12.0" customHeight="1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</row>
    <row r="133" ht="12.0" customHeight="1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</row>
    <row r="134" ht="12.0" customHeight="1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</row>
    <row r="135" ht="12.0" customHeight="1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</row>
    <row r="136" ht="12.0" customHeight="1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</row>
    <row r="137" ht="12.0" customHeight="1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</row>
    <row r="138" ht="12.0" customHeight="1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</row>
    <row r="139" ht="12.0" customHeight="1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</row>
    <row r="140" ht="12.0" customHeight="1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</row>
    <row r="141" ht="12.0" customHeight="1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</row>
    <row r="142" ht="12.0" customHeight="1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</row>
    <row r="143" ht="12.0" customHeight="1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</row>
    <row r="144" ht="12.0" customHeight="1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</row>
    <row r="145" ht="12.0" customHeight="1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</row>
    <row r="146" ht="12.0" customHeight="1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</row>
    <row r="147" ht="12.0" customHeight="1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</row>
    <row r="148" ht="12.0" customHeight="1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</row>
    <row r="149" ht="12.0" customHeight="1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</row>
    <row r="150" ht="12.0" customHeight="1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</row>
    <row r="151" ht="12.0" customHeight="1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</row>
    <row r="152" ht="12.0" customHeight="1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</row>
    <row r="153" ht="12.0" customHeight="1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</row>
    <row r="154" ht="12.0" customHeight="1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</row>
    <row r="155" ht="12.0" customHeight="1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</row>
    <row r="156" ht="12.0" customHeight="1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</row>
    <row r="157" ht="12.0" customHeight="1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</row>
    <row r="158" ht="12.0" customHeight="1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</row>
    <row r="159" ht="12.0" customHeight="1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</row>
    <row r="160" ht="12.0" customHeight="1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</row>
    <row r="161" ht="12.0" customHeight="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</row>
    <row r="162" ht="12.0" customHeight="1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</row>
    <row r="163" ht="12.0" customHeight="1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</row>
    <row r="164" ht="12.0" customHeight="1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</row>
    <row r="165" ht="12.0" customHeight="1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</row>
    <row r="166" ht="12.0" customHeight="1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</row>
    <row r="167" ht="12.0" customHeight="1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</row>
    <row r="168" ht="12.0" customHeight="1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</row>
    <row r="169" ht="12.0" customHeight="1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</row>
    <row r="170" ht="12.0" customHeight="1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</row>
    <row r="171" ht="12.0" customHeight="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</row>
    <row r="172" ht="12.0" customHeight="1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</row>
    <row r="173" ht="12.0" customHeight="1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</row>
    <row r="174" ht="12.0" customHeight="1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</row>
    <row r="175" ht="12.0" customHeight="1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</row>
    <row r="176" ht="12.0" customHeight="1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</row>
    <row r="177" ht="12.0" customHeight="1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</row>
    <row r="178" ht="12.0" customHeight="1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</row>
    <row r="179" ht="12.0" customHeight="1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</row>
    <row r="180" ht="12.0" customHeight="1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</row>
    <row r="181" ht="12.0" customHeight="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</row>
    <row r="182" ht="12.0" customHeight="1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</row>
    <row r="183" ht="12.0" customHeight="1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</row>
    <row r="184" ht="12.0" customHeight="1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</row>
    <row r="185" ht="12.0" customHeight="1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</row>
    <row r="186" ht="12.0" customHeight="1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</row>
    <row r="187" ht="12.0" customHeight="1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</row>
    <row r="188" ht="12.0" customHeight="1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</row>
    <row r="189" ht="12.0" customHeight="1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</row>
    <row r="190" ht="12.0" customHeight="1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</row>
    <row r="191" ht="12.0" customHeight="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</row>
    <row r="192" ht="12.0" customHeight="1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</row>
    <row r="193" ht="12.0" customHeight="1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</row>
    <row r="194" ht="12.0" customHeight="1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</row>
    <row r="195" ht="12.0" customHeight="1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</row>
    <row r="196" ht="12.0" customHeight="1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</row>
    <row r="197" ht="12.0" customHeight="1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</row>
    <row r="198" ht="12.0" customHeight="1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</row>
    <row r="199" ht="12.0" customHeight="1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</row>
    <row r="200" ht="12.0" customHeight="1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</row>
    <row r="201" ht="12.0" customHeight="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</row>
    <row r="202" ht="12.0" customHeight="1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</row>
    <row r="203" ht="12.0" customHeight="1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</row>
    <row r="204" ht="12.0" customHeight="1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</row>
    <row r="205" ht="12.0" customHeight="1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</row>
    <row r="206" ht="12.0" customHeight="1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</row>
    <row r="207" ht="12.0" customHeight="1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</row>
    <row r="208" ht="12.0" customHeight="1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</row>
    <row r="209" ht="12.0" customHeight="1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</row>
    <row r="210" ht="12.0" customHeight="1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</row>
    <row r="211" ht="12.0" customHeight="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</row>
    <row r="212" ht="12.0" customHeight="1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</row>
    <row r="213" ht="12.0" customHeight="1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</row>
    <row r="214" ht="12.0" customHeight="1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</row>
    <row r="215" ht="12.0" customHeight="1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</row>
    <row r="216" ht="12.0" customHeight="1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</row>
    <row r="217" ht="12.0" customHeight="1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</row>
    <row r="218" ht="12.0" customHeight="1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</row>
    <row r="219" ht="12.0" customHeight="1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</row>
    <row r="220" ht="12.0" customHeight="1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</row>
    <row r="221" ht="12.0" customHeight="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</row>
    <row r="222" ht="12.0" customHeight="1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</row>
    <row r="223" ht="12.0" customHeight="1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</row>
    <row r="224" ht="12.0" customHeight="1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</row>
    <row r="225" ht="12.0" customHeight="1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</row>
    <row r="226" ht="12.0" customHeight="1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</row>
    <row r="227" ht="12.0" customHeight="1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</row>
    <row r="228" ht="12.0" customHeight="1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</row>
    <row r="229" ht="12.0" customHeight="1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</row>
    <row r="230" ht="12.0" customHeight="1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</row>
    <row r="231" ht="12.0" customHeight="1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</row>
    <row r="232" ht="12.0" customHeight="1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</row>
    <row r="233" ht="12.0" customHeight="1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</row>
    <row r="234" ht="12.0" customHeight="1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</row>
    <row r="235" ht="12.0" customHeight="1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</row>
    <row r="236" ht="12.0" customHeight="1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</row>
    <row r="237" ht="12.0" customHeight="1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</row>
    <row r="238" ht="12.0" customHeight="1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</row>
    <row r="239" ht="12.0" customHeight="1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</row>
    <row r="240" ht="12.0" customHeight="1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</row>
    <row r="241" ht="12.0" customHeight="1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</row>
    <row r="242" ht="12.0" customHeight="1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</row>
    <row r="243" ht="12.0" customHeight="1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</row>
    <row r="244" ht="12.0" customHeight="1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</row>
    <row r="245" ht="12.0" customHeight="1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</row>
    <row r="246" ht="12.0" customHeight="1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</row>
    <row r="247" ht="12.0" customHeight="1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</row>
    <row r="248" ht="12.0" customHeight="1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</row>
    <row r="249" ht="12.0" customHeight="1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</row>
    <row r="250" ht="12.0" customHeight="1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</row>
    <row r="251" ht="12.0" customHeight="1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</row>
    <row r="252" ht="12.0" customHeight="1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</row>
    <row r="253" ht="12.0" customHeight="1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</row>
    <row r="254" ht="12.0" customHeight="1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</row>
    <row r="255" ht="12.0" customHeight="1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</row>
    <row r="256" ht="12.0" customHeight="1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</row>
    <row r="257" ht="12.0" customHeight="1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</row>
    <row r="258" ht="12.0" customHeight="1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</row>
    <row r="259" ht="12.0" customHeight="1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</row>
    <row r="260" ht="12.0" customHeight="1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</row>
    <row r="261" ht="12.0" customHeight="1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</row>
    <row r="262" ht="12.0" customHeight="1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</row>
    <row r="263" ht="12.0" customHeight="1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</row>
    <row r="264" ht="12.0" customHeight="1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</row>
    <row r="265" ht="12.0" customHeight="1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</row>
    <row r="266" ht="12.0" customHeight="1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</row>
    <row r="267" ht="12.0" customHeight="1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</row>
    <row r="268" ht="12.0" customHeight="1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</row>
    <row r="269" ht="12.0" customHeight="1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</row>
    <row r="270" ht="12.0" customHeight="1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</row>
    <row r="271" ht="12.0" customHeight="1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</row>
    <row r="272" ht="12.0" customHeight="1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</row>
    <row r="273" ht="12.0" customHeight="1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</row>
    <row r="274" ht="12.0" customHeight="1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</row>
    <row r="275" ht="12.0" customHeight="1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</row>
    <row r="276" ht="12.0" customHeight="1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</row>
    <row r="277" ht="12.0" customHeight="1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</row>
    <row r="278" ht="12.0" customHeight="1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</row>
    <row r="279" ht="12.0" customHeight="1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</row>
    <row r="280" ht="12.0" customHeight="1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</row>
    <row r="281" ht="12.0" customHeight="1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</row>
    <row r="282" ht="12.0" customHeight="1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</row>
    <row r="283" ht="12.0" customHeight="1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</row>
    <row r="284" ht="12.0" customHeight="1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</row>
    <row r="285" ht="12.0" customHeight="1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</row>
    <row r="286" ht="12.0" customHeight="1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</row>
    <row r="287" ht="12.0" customHeight="1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</row>
    <row r="288" ht="12.0" customHeight="1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</row>
    <row r="289" ht="12.0" customHeight="1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</row>
    <row r="290" ht="12.0" customHeight="1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</row>
    <row r="291" ht="12.0" customHeight="1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</row>
    <row r="292" ht="12.0" customHeight="1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</row>
    <row r="293" ht="12.0" customHeight="1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</row>
    <row r="294" ht="12.0" customHeight="1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</row>
    <row r="295" ht="12.0" customHeight="1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</row>
    <row r="296" ht="12.0" customHeight="1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</row>
    <row r="297" ht="12.0" customHeight="1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</row>
    <row r="298" ht="12.0" customHeight="1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</row>
    <row r="299" ht="12.0" customHeight="1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</row>
    <row r="300" ht="12.0" customHeight="1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</row>
    <row r="301" ht="12.0" customHeight="1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</row>
    <row r="302" ht="12.0" customHeight="1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</row>
    <row r="303" ht="12.0" customHeight="1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</row>
    <row r="304" ht="12.0" customHeight="1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</row>
    <row r="305" ht="12.0" customHeight="1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</row>
    <row r="306" ht="12.0" customHeight="1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</row>
    <row r="307" ht="12.0" customHeight="1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</row>
    <row r="308" ht="12.0" customHeight="1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</row>
    <row r="309" ht="12.0" customHeight="1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</row>
    <row r="310" ht="12.0" customHeight="1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</row>
    <row r="311" ht="12.0" customHeight="1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</row>
    <row r="312" ht="12.0" customHeight="1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</row>
    <row r="313" ht="12.0" customHeight="1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</row>
    <row r="314" ht="12.0" customHeight="1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</row>
    <row r="315" ht="12.0" customHeight="1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</row>
    <row r="316" ht="12.0" customHeight="1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</row>
    <row r="317" ht="12.0" customHeight="1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</row>
    <row r="318" ht="12.0" customHeight="1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</row>
    <row r="319" ht="12.0" customHeight="1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</row>
    <row r="320" ht="12.0" customHeight="1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</row>
    <row r="321" ht="12.0" customHeight="1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</row>
    <row r="322" ht="12.0" customHeight="1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</row>
    <row r="323" ht="12.0" customHeight="1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</row>
    <row r="324" ht="12.0" customHeight="1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</row>
    <row r="325" ht="12.0" customHeight="1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</row>
    <row r="326" ht="12.0" customHeight="1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</row>
    <row r="327" ht="12.0" customHeight="1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</row>
    <row r="328" ht="12.0" customHeight="1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</row>
    <row r="329" ht="12.0" customHeight="1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</row>
    <row r="330" ht="12.0" customHeight="1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</row>
    <row r="331" ht="12.0" customHeight="1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</row>
    <row r="332" ht="12.0" customHeight="1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</row>
    <row r="333" ht="12.0" customHeight="1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</row>
    <row r="334" ht="12.0" customHeight="1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</row>
    <row r="335" ht="12.0" customHeight="1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</row>
    <row r="336" ht="12.0" customHeight="1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</row>
    <row r="337" ht="12.0" customHeight="1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</row>
    <row r="338" ht="12.0" customHeight="1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</row>
    <row r="339" ht="12.0" customHeight="1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</row>
    <row r="340" ht="12.0" customHeight="1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</row>
    <row r="341" ht="12.0" customHeight="1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</row>
    <row r="342" ht="12.0" customHeight="1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</row>
    <row r="343" ht="12.0" customHeight="1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</row>
    <row r="344" ht="12.0" customHeight="1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</row>
    <row r="345" ht="12.0" customHeight="1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</row>
    <row r="346" ht="12.0" customHeight="1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</row>
    <row r="347" ht="12.0" customHeight="1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</row>
    <row r="348" ht="12.0" customHeight="1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</row>
    <row r="349" ht="12.0" customHeight="1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</row>
    <row r="350" ht="12.0" customHeight="1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</row>
    <row r="351" ht="12.0" customHeight="1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</row>
    <row r="352" ht="12.0" customHeight="1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</row>
    <row r="353" ht="12.0" customHeight="1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</row>
    <row r="354" ht="12.0" customHeight="1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</row>
    <row r="355" ht="12.0" customHeight="1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</row>
    <row r="356" ht="12.0" customHeight="1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</row>
    <row r="357" ht="12.0" customHeight="1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</row>
    <row r="358" ht="12.0" customHeight="1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</row>
    <row r="359" ht="12.0" customHeight="1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</row>
    <row r="360" ht="12.0" customHeight="1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</row>
    <row r="361" ht="12.0" customHeight="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</row>
    <row r="362" ht="12.0" customHeight="1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</row>
    <row r="363" ht="12.0" customHeight="1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</row>
    <row r="364" ht="12.0" customHeight="1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</row>
    <row r="365" ht="12.0" customHeight="1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</row>
    <row r="366" ht="12.0" customHeight="1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</row>
    <row r="367" ht="12.0" customHeight="1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</row>
    <row r="368" ht="12.0" customHeight="1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</row>
    <row r="369" ht="12.0" customHeight="1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</row>
    <row r="370" ht="12.0" customHeight="1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</row>
    <row r="371" ht="12.0" customHeight="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</row>
    <row r="372" ht="12.0" customHeight="1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</row>
    <row r="373" ht="12.0" customHeight="1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</row>
    <row r="374" ht="12.0" customHeight="1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</row>
    <row r="375" ht="12.0" customHeight="1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</row>
    <row r="376" ht="12.0" customHeight="1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</row>
    <row r="377" ht="12.0" customHeight="1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</row>
    <row r="378" ht="12.0" customHeight="1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</row>
    <row r="379" ht="12.0" customHeight="1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</row>
    <row r="380" ht="12.0" customHeight="1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</row>
    <row r="381" ht="12.0" customHeight="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</row>
    <row r="382" ht="12.0" customHeight="1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</row>
    <row r="383" ht="12.0" customHeight="1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</row>
    <row r="384" ht="12.0" customHeight="1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</row>
    <row r="385" ht="12.0" customHeight="1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</row>
    <row r="386" ht="12.0" customHeight="1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</row>
    <row r="387" ht="12.0" customHeight="1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</row>
    <row r="388" ht="12.0" customHeight="1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</row>
    <row r="389" ht="12.0" customHeight="1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</row>
    <row r="390" ht="12.0" customHeight="1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</row>
    <row r="391" ht="12.0" customHeight="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</row>
    <row r="392" ht="12.0" customHeight="1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</row>
    <row r="393" ht="12.0" customHeight="1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</row>
    <row r="394" ht="12.0" customHeight="1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</row>
    <row r="395" ht="12.0" customHeight="1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</row>
    <row r="396" ht="12.0" customHeight="1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</row>
    <row r="397" ht="12.0" customHeight="1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</row>
    <row r="398" ht="12.0" customHeight="1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</row>
    <row r="399" ht="12.0" customHeight="1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</row>
    <row r="400" ht="12.0" customHeight="1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</row>
    <row r="401" ht="12.0" customHeight="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</row>
    <row r="402" ht="12.0" customHeight="1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</row>
    <row r="403" ht="12.0" customHeight="1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</row>
    <row r="404" ht="12.0" customHeight="1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</row>
    <row r="405" ht="12.0" customHeight="1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</row>
    <row r="406" ht="12.0" customHeight="1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</row>
    <row r="407" ht="12.0" customHeight="1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</row>
    <row r="408" ht="12.0" customHeight="1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</row>
    <row r="409" ht="12.0" customHeight="1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</row>
    <row r="410" ht="12.0" customHeight="1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</row>
    <row r="411" ht="12.0" customHeight="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</row>
    <row r="412" ht="12.0" customHeight="1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</row>
    <row r="413" ht="12.0" customHeight="1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</row>
    <row r="414" ht="12.0" customHeight="1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</row>
    <row r="415" ht="12.0" customHeight="1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</row>
    <row r="416" ht="12.0" customHeight="1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</row>
    <row r="417" ht="12.0" customHeight="1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</row>
    <row r="418" ht="12.0" customHeight="1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</row>
    <row r="419" ht="12.0" customHeight="1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</row>
    <row r="420" ht="12.0" customHeight="1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</row>
    <row r="421" ht="12.0" customHeight="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</row>
    <row r="422" ht="12.0" customHeight="1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</row>
    <row r="423" ht="12.0" customHeight="1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</row>
    <row r="424" ht="12.0" customHeight="1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</row>
    <row r="425" ht="12.0" customHeight="1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</row>
    <row r="426" ht="12.0" customHeight="1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</row>
    <row r="427" ht="12.0" customHeight="1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</row>
    <row r="428" ht="12.0" customHeight="1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</row>
    <row r="429" ht="12.0" customHeight="1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</row>
    <row r="430" ht="12.0" customHeight="1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</row>
    <row r="431" ht="12.0" customHeight="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</row>
    <row r="432" ht="12.0" customHeight="1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</row>
    <row r="433" ht="12.0" customHeight="1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</row>
    <row r="434" ht="12.0" customHeight="1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</row>
    <row r="435" ht="12.0" customHeight="1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</row>
    <row r="436" ht="12.0" customHeight="1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</row>
    <row r="437" ht="12.0" customHeight="1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</row>
    <row r="438" ht="12.0" customHeight="1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</row>
    <row r="439" ht="12.0" customHeight="1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</row>
    <row r="440" ht="12.0" customHeight="1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</row>
    <row r="441" ht="12.0" customHeight="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</row>
    <row r="442" ht="12.0" customHeight="1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</row>
    <row r="443" ht="12.0" customHeight="1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</row>
    <row r="444" ht="12.0" customHeight="1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</row>
    <row r="445" ht="12.0" customHeight="1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</row>
    <row r="446" ht="12.0" customHeight="1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</row>
    <row r="447" ht="12.0" customHeight="1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</row>
    <row r="448" ht="12.0" customHeight="1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</row>
    <row r="449" ht="12.0" customHeight="1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</row>
    <row r="450" ht="12.0" customHeight="1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</row>
    <row r="451" ht="12.0" customHeight="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</row>
    <row r="452" ht="12.0" customHeight="1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</row>
    <row r="453" ht="12.0" customHeight="1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</row>
    <row r="454" ht="12.0" customHeight="1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</row>
    <row r="455" ht="12.0" customHeight="1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</row>
    <row r="456" ht="12.0" customHeight="1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</row>
    <row r="457" ht="12.0" customHeight="1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</row>
    <row r="458" ht="12.0" customHeight="1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</row>
    <row r="459" ht="12.0" customHeight="1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</row>
    <row r="460" ht="12.0" customHeight="1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</row>
    <row r="461" ht="12.0" customHeight="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</row>
    <row r="462" ht="12.0" customHeight="1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</row>
    <row r="463" ht="12.0" customHeight="1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</row>
    <row r="464" ht="12.0" customHeight="1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</row>
    <row r="465" ht="12.0" customHeight="1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</row>
    <row r="466" ht="12.0" customHeight="1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</row>
    <row r="467" ht="12.0" customHeight="1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</row>
    <row r="468" ht="12.0" customHeight="1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</row>
    <row r="469" ht="12.0" customHeight="1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</row>
    <row r="470" ht="12.0" customHeight="1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</row>
    <row r="471" ht="12.0" customHeight="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</row>
    <row r="472" ht="12.0" customHeight="1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</row>
    <row r="473" ht="12.0" customHeight="1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</row>
    <row r="474" ht="12.0" customHeight="1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</row>
    <row r="475" ht="12.0" customHeight="1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</row>
    <row r="476" ht="12.0" customHeight="1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</row>
    <row r="477" ht="12.0" customHeight="1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</row>
    <row r="478" ht="12.0" customHeight="1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</row>
    <row r="479" ht="12.0" customHeight="1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</row>
    <row r="480" ht="12.0" customHeight="1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</row>
    <row r="481" ht="12.0" customHeight="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</row>
    <row r="482" ht="12.0" customHeight="1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</row>
    <row r="483" ht="12.0" customHeight="1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</row>
    <row r="484" ht="12.0" customHeight="1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</row>
    <row r="485" ht="12.0" customHeight="1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</row>
    <row r="486" ht="12.0" customHeight="1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</row>
    <row r="487" ht="12.0" customHeight="1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</row>
    <row r="488" ht="12.0" customHeight="1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</row>
    <row r="489" ht="12.0" customHeight="1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</row>
    <row r="490" ht="12.0" customHeight="1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</row>
    <row r="491" ht="12.0" customHeight="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</row>
    <row r="492" ht="12.0" customHeight="1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</row>
    <row r="493" ht="12.0" customHeight="1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</row>
    <row r="494" ht="12.0" customHeight="1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</row>
    <row r="495" ht="12.0" customHeight="1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</row>
    <row r="496" ht="12.0" customHeight="1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</row>
    <row r="497" ht="12.0" customHeight="1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</row>
    <row r="498" ht="12.0" customHeight="1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</row>
    <row r="499" ht="12.0" customHeight="1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</row>
    <row r="500" ht="12.0" customHeight="1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</row>
    <row r="501" ht="12.0" customHeight="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</row>
    <row r="502" ht="12.0" customHeight="1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</row>
    <row r="503" ht="12.0" customHeight="1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</row>
    <row r="504" ht="12.0" customHeight="1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</row>
    <row r="505" ht="12.0" customHeight="1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</row>
    <row r="506" ht="12.0" customHeight="1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</row>
    <row r="507" ht="12.0" customHeight="1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</row>
    <row r="508" ht="12.0" customHeight="1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</row>
    <row r="509" ht="12.0" customHeight="1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</row>
    <row r="510" ht="12.0" customHeight="1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</row>
    <row r="511" ht="12.0" customHeight="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</row>
    <row r="512" ht="12.0" customHeight="1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</row>
    <row r="513" ht="12.0" customHeight="1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</row>
    <row r="514" ht="12.0" customHeight="1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</row>
    <row r="515" ht="12.0" customHeight="1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</row>
    <row r="516" ht="12.0" customHeight="1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</row>
    <row r="517" ht="12.0" customHeight="1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</row>
    <row r="518" ht="12.0" customHeight="1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</row>
    <row r="519" ht="12.0" customHeight="1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</row>
    <row r="520" ht="12.0" customHeight="1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</row>
    <row r="521" ht="12.0" customHeight="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</row>
    <row r="522" ht="12.0" customHeight="1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</row>
    <row r="523" ht="12.0" customHeight="1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</row>
    <row r="524" ht="12.0" customHeight="1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</row>
    <row r="525" ht="12.0" customHeight="1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</row>
    <row r="526" ht="12.0" customHeight="1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</row>
    <row r="527" ht="12.0" customHeight="1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</row>
    <row r="528" ht="12.0" customHeight="1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</row>
    <row r="529" ht="12.0" customHeight="1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</row>
    <row r="530" ht="12.0" customHeight="1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</row>
    <row r="531" ht="12.0" customHeight="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</row>
    <row r="532" ht="12.0" customHeight="1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</row>
    <row r="533" ht="12.0" customHeight="1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</row>
    <row r="534" ht="12.0" customHeight="1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</row>
    <row r="535" ht="12.0" customHeight="1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</row>
    <row r="536" ht="12.0" customHeight="1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</row>
    <row r="537" ht="12.0" customHeight="1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</row>
    <row r="538" ht="12.0" customHeight="1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</row>
    <row r="539" ht="12.0" customHeight="1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</row>
    <row r="540" ht="12.0" customHeight="1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</row>
    <row r="541" ht="12.0" customHeight="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</row>
    <row r="542" ht="12.0" customHeight="1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</row>
    <row r="543" ht="12.0" customHeight="1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</row>
    <row r="544" ht="12.0" customHeight="1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</row>
    <row r="545" ht="12.0" customHeight="1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</row>
    <row r="546" ht="12.0" customHeight="1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</row>
    <row r="547" ht="12.0" customHeight="1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</row>
    <row r="548" ht="12.0" customHeight="1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</row>
    <row r="549" ht="12.0" customHeight="1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</row>
    <row r="550" ht="12.0" customHeight="1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</row>
    <row r="551" ht="12.0" customHeight="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</row>
    <row r="552" ht="12.0" customHeight="1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</row>
    <row r="553" ht="12.0" customHeight="1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</row>
    <row r="554" ht="12.0" customHeight="1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</row>
    <row r="555" ht="12.0" customHeight="1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</row>
    <row r="556" ht="12.0" customHeight="1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</row>
    <row r="557" ht="12.0" customHeight="1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</row>
    <row r="558" ht="12.0" customHeight="1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</row>
    <row r="559" ht="12.0" customHeight="1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</row>
    <row r="560" ht="12.0" customHeight="1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</row>
    <row r="561" ht="12.0" customHeight="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</row>
    <row r="562" ht="12.0" customHeight="1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</row>
    <row r="563" ht="12.0" customHeight="1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</row>
    <row r="564" ht="12.0" customHeight="1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</row>
    <row r="565" ht="12.0" customHeight="1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</row>
    <row r="566" ht="12.0" customHeight="1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</row>
    <row r="567" ht="12.0" customHeight="1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</row>
    <row r="568" ht="12.0" customHeight="1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</row>
    <row r="569" ht="12.0" customHeight="1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</row>
    <row r="570" ht="12.0" customHeight="1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</row>
    <row r="571" ht="12.0" customHeight="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</row>
    <row r="572" ht="12.0" customHeight="1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</row>
    <row r="573" ht="12.0" customHeight="1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</row>
    <row r="574" ht="12.0" customHeight="1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</row>
    <row r="575" ht="12.0" customHeight="1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</row>
    <row r="576" ht="12.0" customHeight="1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</row>
    <row r="577" ht="12.0" customHeight="1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</row>
    <row r="578" ht="12.0" customHeight="1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</row>
    <row r="579" ht="12.0" customHeight="1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</row>
    <row r="580" ht="12.0" customHeight="1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</row>
    <row r="581" ht="12.0" customHeight="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</row>
    <row r="582" ht="12.0" customHeight="1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</row>
    <row r="583" ht="12.0" customHeight="1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</row>
    <row r="584" ht="12.0" customHeight="1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</row>
    <row r="585" ht="12.0" customHeight="1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</row>
    <row r="586" ht="12.0" customHeight="1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</row>
    <row r="587" ht="12.0" customHeight="1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</row>
    <row r="588" ht="12.0" customHeight="1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</row>
    <row r="589" ht="12.0" customHeight="1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</row>
    <row r="590" ht="12.0" customHeight="1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</row>
    <row r="591" ht="12.0" customHeight="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</row>
    <row r="592" ht="12.0" customHeight="1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</row>
    <row r="593" ht="12.0" customHeight="1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</row>
    <row r="594" ht="12.0" customHeight="1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</row>
    <row r="595" ht="12.0" customHeight="1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</row>
    <row r="596" ht="12.0" customHeight="1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</row>
    <row r="597" ht="12.0" customHeight="1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</row>
    <row r="598" ht="12.0" customHeight="1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</row>
    <row r="599" ht="12.0" customHeight="1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</row>
    <row r="600" ht="12.0" customHeight="1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</row>
    <row r="601" ht="12.0" customHeight="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</row>
    <row r="602" ht="12.0" customHeight="1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</row>
    <row r="603" ht="12.0" customHeight="1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</row>
    <row r="604" ht="12.0" customHeight="1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</row>
    <row r="605" ht="12.0" customHeight="1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</row>
    <row r="606" ht="12.0" customHeight="1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</row>
    <row r="607" ht="12.0" customHeight="1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</row>
    <row r="608" ht="12.0" customHeight="1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</row>
    <row r="609" ht="12.0" customHeight="1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</row>
    <row r="610" ht="12.0" customHeight="1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</row>
    <row r="611" ht="12.0" customHeight="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</row>
    <row r="612" ht="12.0" customHeight="1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</row>
    <row r="613" ht="12.0" customHeight="1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</row>
    <row r="614" ht="12.0" customHeight="1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</row>
    <row r="615" ht="12.0" customHeight="1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</row>
    <row r="616" ht="12.0" customHeight="1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</row>
    <row r="617" ht="12.0" customHeight="1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</row>
    <row r="618" ht="12.0" customHeight="1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</row>
    <row r="619" ht="12.0" customHeight="1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</row>
    <row r="620" ht="12.0" customHeight="1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</row>
    <row r="621" ht="12.0" customHeight="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</row>
    <row r="622" ht="12.0" customHeight="1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</row>
    <row r="623" ht="12.0" customHeight="1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</row>
    <row r="624" ht="12.0" customHeight="1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</row>
    <row r="625" ht="12.0" customHeight="1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</row>
    <row r="626" ht="12.0" customHeight="1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</row>
    <row r="627" ht="12.0" customHeight="1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</row>
    <row r="628" ht="12.0" customHeight="1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</row>
    <row r="629" ht="12.0" customHeight="1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</row>
    <row r="630" ht="12.0" customHeight="1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</row>
    <row r="631" ht="12.0" customHeight="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</row>
    <row r="632" ht="12.0" customHeight="1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</row>
    <row r="633" ht="12.0" customHeight="1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</row>
    <row r="634" ht="12.0" customHeight="1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</row>
    <row r="635" ht="12.0" customHeight="1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</row>
    <row r="636" ht="12.0" customHeight="1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</row>
    <row r="637" ht="12.0" customHeight="1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</row>
    <row r="638" ht="12.0" customHeight="1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</row>
    <row r="639" ht="12.0" customHeight="1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</row>
    <row r="640" ht="12.0" customHeight="1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</row>
    <row r="641" ht="12.0" customHeight="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</row>
    <row r="642" ht="12.0" customHeight="1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</row>
    <row r="643" ht="12.0" customHeight="1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</row>
    <row r="644" ht="12.0" customHeight="1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</row>
    <row r="645" ht="12.0" customHeight="1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</row>
    <row r="646" ht="12.0" customHeight="1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</row>
    <row r="647" ht="12.0" customHeight="1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</row>
    <row r="648" ht="12.0" customHeight="1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</row>
    <row r="649" ht="12.0" customHeight="1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</row>
    <row r="650" ht="12.0" customHeight="1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</row>
    <row r="651" ht="12.0" customHeight="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</row>
    <row r="652" ht="12.0" customHeight="1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</row>
    <row r="653" ht="12.0" customHeight="1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</row>
    <row r="654" ht="12.0" customHeight="1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</row>
    <row r="655" ht="12.0" customHeight="1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</row>
    <row r="656" ht="12.0" customHeight="1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</row>
    <row r="657" ht="12.0" customHeight="1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</row>
    <row r="658" ht="12.0" customHeight="1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</row>
    <row r="659" ht="12.0" customHeight="1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</row>
    <row r="660" ht="12.0" customHeight="1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</row>
    <row r="661" ht="12.0" customHeight="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</row>
    <row r="662" ht="12.0" customHeight="1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</row>
    <row r="663" ht="12.0" customHeight="1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</row>
    <row r="664" ht="12.0" customHeight="1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</row>
    <row r="665" ht="12.0" customHeight="1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</row>
    <row r="666" ht="12.0" customHeight="1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</row>
    <row r="667" ht="12.0" customHeight="1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</row>
    <row r="668" ht="12.0" customHeight="1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</row>
    <row r="669" ht="12.0" customHeight="1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</row>
    <row r="670" ht="12.0" customHeight="1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</row>
    <row r="671" ht="12.0" customHeight="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</row>
    <row r="672" ht="12.0" customHeight="1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</row>
    <row r="673" ht="12.0" customHeight="1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</row>
    <row r="674" ht="12.0" customHeight="1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</row>
    <row r="675" ht="12.0" customHeight="1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</row>
    <row r="676" ht="12.0" customHeight="1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</row>
    <row r="677" ht="12.0" customHeight="1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</row>
    <row r="678" ht="12.0" customHeight="1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</row>
    <row r="679" ht="12.0" customHeight="1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</row>
    <row r="680" ht="12.0" customHeight="1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</row>
    <row r="681" ht="12.0" customHeight="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</row>
    <row r="682" ht="12.0" customHeight="1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</row>
    <row r="683" ht="12.0" customHeight="1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</row>
    <row r="684" ht="12.0" customHeight="1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</row>
    <row r="685" ht="12.0" customHeight="1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</row>
    <row r="686" ht="12.0" customHeight="1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</row>
    <row r="687" ht="12.0" customHeight="1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</row>
    <row r="688" ht="12.0" customHeight="1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</row>
    <row r="689" ht="12.0" customHeight="1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</row>
    <row r="690" ht="12.0" customHeight="1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</row>
    <row r="691" ht="12.0" customHeight="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</row>
    <row r="692" ht="12.0" customHeight="1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</row>
    <row r="693" ht="12.0" customHeight="1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</row>
    <row r="694" ht="12.0" customHeight="1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</row>
    <row r="695" ht="12.0" customHeight="1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</row>
    <row r="696" ht="12.0" customHeight="1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</row>
    <row r="697" ht="12.0" customHeight="1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</row>
    <row r="698" ht="12.0" customHeight="1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</row>
    <row r="699" ht="12.0" customHeight="1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</row>
    <row r="700" ht="12.0" customHeight="1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</row>
    <row r="701" ht="12.0" customHeight="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</row>
    <row r="702" ht="12.0" customHeight="1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</row>
    <row r="703" ht="12.0" customHeight="1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</row>
    <row r="704" ht="12.0" customHeight="1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</row>
    <row r="705" ht="12.0" customHeight="1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</row>
    <row r="706" ht="12.0" customHeight="1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</row>
    <row r="707" ht="12.0" customHeight="1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</row>
    <row r="708" ht="12.0" customHeight="1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</row>
    <row r="709" ht="12.0" customHeight="1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</row>
    <row r="710" ht="12.0" customHeight="1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</row>
    <row r="711" ht="12.0" customHeight="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</row>
    <row r="712" ht="12.0" customHeight="1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</row>
    <row r="713" ht="12.0" customHeight="1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</row>
    <row r="714" ht="12.0" customHeight="1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</row>
    <row r="715" ht="12.0" customHeight="1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</row>
    <row r="716" ht="12.0" customHeight="1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</row>
    <row r="717" ht="12.0" customHeight="1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</row>
    <row r="718" ht="12.0" customHeight="1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</row>
    <row r="719" ht="12.0" customHeight="1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</row>
    <row r="720" ht="12.0" customHeight="1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</row>
    <row r="721" ht="12.0" customHeight="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</row>
    <row r="722" ht="12.0" customHeight="1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</row>
    <row r="723" ht="12.0" customHeight="1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</row>
    <row r="724" ht="12.0" customHeight="1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</row>
    <row r="725" ht="12.0" customHeight="1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</row>
    <row r="726" ht="12.0" customHeight="1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</row>
    <row r="727" ht="12.0" customHeight="1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</row>
    <row r="728" ht="12.0" customHeight="1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</row>
    <row r="729" ht="12.0" customHeight="1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</row>
    <row r="730" ht="12.0" customHeight="1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</row>
    <row r="731" ht="12.0" customHeight="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</row>
    <row r="732" ht="12.0" customHeight="1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</row>
    <row r="733" ht="12.0" customHeight="1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</row>
    <row r="734" ht="12.0" customHeight="1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</row>
    <row r="735" ht="12.0" customHeight="1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</row>
    <row r="736" ht="12.0" customHeight="1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</row>
    <row r="737" ht="12.0" customHeight="1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</row>
    <row r="738" ht="12.0" customHeight="1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</row>
    <row r="739" ht="12.0" customHeight="1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</row>
    <row r="740" ht="12.0" customHeight="1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</row>
    <row r="741" ht="12.0" customHeight="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</row>
    <row r="742" ht="12.0" customHeight="1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</row>
    <row r="743" ht="12.0" customHeight="1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</row>
    <row r="744" ht="12.0" customHeight="1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</row>
    <row r="745" ht="12.0" customHeight="1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</row>
    <row r="746" ht="12.0" customHeight="1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</row>
    <row r="747" ht="12.0" customHeight="1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</row>
    <row r="748" ht="12.0" customHeight="1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</row>
    <row r="749" ht="12.0" customHeight="1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</row>
    <row r="750" ht="12.0" customHeight="1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</row>
    <row r="751" ht="12.0" customHeight="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</row>
    <row r="752" ht="12.0" customHeight="1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</row>
    <row r="753" ht="12.0" customHeight="1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</row>
    <row r="754" ht="12.0" customHeight="1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</row>
    <row r="755" ht="12.0" customHeight="1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</row>
    <row r="756" ht="12.0" customHeight="1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</row>
    <row r="757" ht="12.0" customHeight="1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</row>
    <row r="758" ht="12.0" customHeight="1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</row>
    <row r="759" ht="12.0" customHeight="1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</row>
    <row r="760" ht="12.0" customHeight="1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</row>
    <row r="761" ht="12.0" customHeight="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</row>
    <row r="762" ht="12.0" customHeight="1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</row>
    <row r="763" ht="12.0" customHeight="1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</row>
    <row r="764" ht="12.0" customHeight="1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</row>
    <row r="765" ht="12.0" customHeight="1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</row>
    <row r="766" ht="12.0" customHeight="1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</row>
    <row r="767" ht="12.0" customHeight="1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</row>
    <row r="768" ht="12.0" customHeight="1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</row>
    <row r="769" ht="12.0" customHeight="1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</row>
    <row r="770" ht="12.0" customHeight="1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</row>
    <row r="771" ht="12.0" customHeight="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</row>
    <row r="772" ht="12.0" customHeight="1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</row>
    <row r="773" ht="12.0" customHeight="1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</row>
    <row r="774" ht="12.0" customHeight="1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</row>
    <row r="775" ht="12.0" customHeight="1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</row>
    <row r="776" ht="12.0" customHeight="1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</row>
    <row r="777" ht="12.0" customHeight="1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</row>
    <row r="778" ht="12.0" customHeight="1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</row>
    <row r="779" ht="12.0" customHeight="1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</row>
    <row r="780" ht="12.0" customHeight="1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</row>
    <row r="781" ht="12.0" customHeight="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</row>
    <row r="782" ht="12.0" customHeight="1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</row>
    <row r="783" ht="12.0" customHeight="1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</row>
    <row r="784" ht="12.0" customHeight="1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</row>
    <row r="785" ht="12.0" customHeight="1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</row>
    <row r="786" ht="12.0" customHeight="1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</row>
    <row r="787" ht="12.0" customHeight="1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</row>
    <row r="788" ht="12.0" customHeight="1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</row>
    <row r="789" ht="12.0" customHeight="1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</row>
    <row r="790" ht="12.0" customHeight="1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</row>
    <row r="791" ht="12.0" customHeight="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</row>
    <row r="792" ht="12.0" customHeight="1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</row>
    <row r="793" ht="12.0" customHeight="1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</row>
    <row r="794" ht="12.0" customHeight="1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</row>
    <row r="795" ht="12.0" customHeight="1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</row>
    <row r="796" ht="12.0" customHeight="1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</row>
    <row r="797" ht="12.0" customHeight="1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</row>
    <row r="798" ht="12.0" customHeight="1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</row>
    <row r="799" ht="12.0" customHeight="1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</row>
    <row r="800" ht="12.0" customHeight="1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</row>
    <row r="801" ht="12.0" customHeight="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</row>
    <row r="802" ht="12.0" customHeight="1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</row>
    <row r="803" ht="12.0" customHeight="1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</row>
    <row r="804" ht="12.0" customHeight="1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</row>
    <row r="805" ht="12.0" customHeight="1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</row>
    <row r="806" ht="12.0" customHeight="1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</row>
    <row r="807" ht="12.0" customHeight="1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</row>
    <row r="808" ht="12.0" customHeight="1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</row>
    <row r="809" ht="12.0" customHeight="1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</row>
    <row r="810" ht="12.0" customHeight="1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</row>
    <row r="811" ht="12.0" customHeight="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</row>
    <row r="812" ht="12.0" customHeight="1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</row>
    <row r="813" ht="12.0" customHeight="1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</row>
    <row r="814" ht="12.0" customHeight="1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</row>
    <row r="815" ht="12.0" customHeight="1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</row>
    <row r="816" ht="12.0" customHeight="1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</row>
    <row r="817" ht="12.0" customHeight="1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</row>
    <row r="818" ht="12.0" customHeight="1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</row>
    <row r="819" ht="12.0" customHeight="1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</row>
    <row r="820" ht="12.0" customHeight="1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</row>
    <row r="821" ht="12.0" customHeight="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</row>
    <row r="822" ht="12.0" customHeight="1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</row>
    <row r="823" ht="12.0" customHeight="1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</row>
    <row r="824" ht="12.0" customHeight="1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</row>
    <row r="825" ht="12.0" customHeight="1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</row>
    <row r="826" ht="12.0" customHeight="1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</row>
    <row r="827" ht="12.0" customHeight="1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</row>
    <row r="828" ht="12.0" customHeight="1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</row>
    <row r="829" ht="12.0" customHeight="1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</row>
    <row r="830" ht="12.0" customHeight="1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</row>
    <row r="831" ht="12.0" customHeight="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</row>
    <row r="832" ht="12.0" customHeight="1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</row>
    <row r="833" ht="12.0" customHeight="1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</row>
    <row r="834" ht="12.0" customHeight="1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</row>
    <row r="835" ht="12.0" customHeight="1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</row>
    <row r="836" ht="12.0" customHeight="1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</row>
    <row r="837" ht="12.0" customHeight="1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</row>
    <row r="838" ht="12.0" customHeight="1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</row>
    <row r="839" ht="12.0" customHeight="1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</row>
    <row r="840" ht="12.0" customHeight="1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</row>
    <row r="841" ht="12.0" customHeight="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</row>
    <row r="842" ht="12.0" customHeight="1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</row>
    <row r="843" ht="12.0" customHeight="1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</row>
    <row r="844" ht="12.0" customHeight="1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</row>
    <row r="845" ht="12.0" customHeight="1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</row>
    <row r="846" ht="12.0" customHeight="1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</row>
    <row r="847" ht="12.0" customHeight="1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</row>
    <row r="848" ht="12.0" customHeight="1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</row>
    <row r="849" ht="12.0" customHeight="1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</row>
    <row r="850" ht="12.0" customHeight="1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</row>
    <row r="851" ht="12.0" customHeight="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</row>
    <row r="852" ht="12.0" customHeight="1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</row>
    <row r="853" ht="12.0" customHeight="1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</row>
    <row r="854" ht="12.0" customHeight="1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</row>
    <row r="855" ht="12.0" customHeight="1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</row>
    <row r="856" ht="12.0" customHeight="1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</row>
    <row r="857" ht="12.0" customHeight="1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</row>
    <row r="858" ht="12.0" customHeight="1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</row>
    <row r="859" ht="12.0" customHeight="1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</row>
    <row r="860" ht="12.0" customHeight="1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</row>
    <row r="861" ht="12.0" customHeight="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</row>
    <row r="862" ht="12.0" customHeight="1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</row>
    <row r="863" ht="12.0" customHeight="1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</row>
    <row r="864" ht="12.0" customHeight="1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</row>
    <row r="865" ht="12.0" customHeight="1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</row>
    <row r="866" ht="12.0" customHeight="1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</row>
    <row r="867" ht="12.0" customHeight="1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</row>
    <row r="868" ht="12.0" customHeight="1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</row>
    <row r="869" ht="12.0" customHeight="1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</row>
    <row r="870" ht="12.0" customHeight="1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</row>
    <row r="871" ht="12.0" customHeight="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</row>
    <row r="872" ht="12.0" customHeight="1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</row>
    <row r="873" ht="12.0" customHeight="1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</row>
    <row r="874" ht="12.0" customHeight="1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</row>
    <row r="875" ht="12.0" customHeight="1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</row>
    <row r="876" ht="12.0" customHeight="1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</row>
    <row r="877" ht="12.0" customHeight="1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</row>
    <row r="878" ht="12.0" customHeight="1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</row>
    <row r="879" ht="12.0" customHeight="1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</row>
    <row r="880" ht="12.0" customHeight="1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</row>
    <row r="881" ht="12.0" customHeight="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</row>
    <row r="882" ht="12.0" customHeight="1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</row>
    <row r="883" ht="12.0" customHeight="1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</row>
    <row r="884" ht="12.0" customHeight="1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</row>
    <row r="885" ht="12.0" customHeight="1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</row>
    <row r="886" ht="12.0" customHeight="1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</row>
    <row r="887" ht="12.0" customHeight="1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</row>
    <row r="888" ht="12.0" customHeight="1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</row>
    <row r="889" ht="12.0" customHeight="1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</row>
    <row r="890" ht="12.0" customHeight="1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</row>
    <row r="891" ht="12.0" customHeight="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</row>
    <row r="892" ht="12.0" customHeight="1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</row>
    <row r="893" ht="12.0" customHeight="1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</row>
    <row r="894" ht="12.0" customHeight="1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</row>
    <row r="895" ht="12.0" customHeight="1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</row>
    <row r="896" ht="12.0" customHeight="1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</row>
    <row r="897" ht="12.0" customHeight="1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</row>
    <row r="898" ht="12.0" customHeight="1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</row>
    <row r="899" ht="12.0" customHeight="1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</row>
    <row r="900" ht="12.0" customHeight="1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</row>
    <row r="901" ht="12.0" customHeight="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</row>
    <row r="902" ht="12.0" customHeight="1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</row>
    <row r="903" ht="12.0" customHeight="1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</row>
    <row r="904" ht="12.0" customHeight="1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</row>
    <row r="905" ht="12.0" customHeight="1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</row>
    <row r="906" ht="12.0" customHeight="1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</row>
    <row r="907" ht="12.0" customHeight="1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</row>
    <row r="908" ht="12.0" customHeight="1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</row>
    <row r="909" ht="12.0" customHeight="1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</row>
    <row r="910" ht="12.0" customHeight="1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</row>
    <row r="911" ht="12.0" customHeight="1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</row>
    <row r="912" ht="12.0" customHeight="1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</row>
    <row r="913" ht="12.0" customHeight="1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</row>
    <row r="914" ht="12.0" customHeight="1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</row>
    <row r="915" ht="12.0" customHeight="1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</row>
    <row r="916" ht="12.0" customHeight="1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</row>
    <row r="917" ht="12.0" customHeight="1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</row>
    <row r="918" ht="12.0" customHeight="1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</row>
    <row r="919" ht="12.0" customHeight="1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</row>
    <row r="920" ht="12.0" customHeight="1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</row>
    <row r="921" ht="12.0" customHeight="1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</row>
    <row r="922" ht="12.0" customHeight="1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</row>
    <row r="923" ht="12.0" customHeight="1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</row>
    <row r="924" ht="12.0" customHeight="1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</row>
    <row r="925" ht="12.0" customHeight="1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</row>
    <row r="926" ht="12.0" customHeight="1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</row>
    <row r="927" ht="12.0" customHeight="1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</row>
    <row r="928" ht="12.0" customHeight="1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</row>
    <row r="929" ht="12.0" customHeight="1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</row>
    <row r="930" ht="12.0" customHeight="1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</row>
    <row r="931" ht="12.0" customHeight="1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</row>
    <row r="932" ht="12.0" customHeight="1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</row>
    <row r="933" ht="12.0" customHeight="1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</row>
    <row r="934" ht="12.0" customHeight="1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</row>
    <row r="935" ht="12.0" customHeight="1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</row>
    <row r="936" ht="12.0" customHeight="1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</row>
    <row r="937" ht="12.0" customHeight="1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</row>
    <row r="938" ht="12.0" customHeight="1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</row>
    <row r="939" ht="12.0" customHeight="1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</row>
    <row r="940" ht="12.0" customHeight="1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</row>
    <row r="941" ht="12.0" customHeight="1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</row>
    <row r="942" ht="12.0" customHeight="1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</row>
    <row r="943" ht="12.0" customHeight="1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</row>
    <row r="944" ht="12.0" customHeight="1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</row>
    <row r="945" ht="12.0" customHeight="1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</row>
    <row r="946" ht="12.0" customHeight="1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</row>
    <row r="947" ht="12.0" customHeight="1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</row>
    <row r="948" ht="12.0" customHeight="1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</row>
    <row r="949" ht="12.0" customHeight="1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</row>
    <row r="950" ht="12.0" customHeight="1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</row>
    <row r="951" ht="12.0" customHeight="1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</row>
    <row r="952" ht="12.0" customHeight="1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</row>
    <row r="953" ht="12.0" customHeight="1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</row>
    <row r="954" ht="12.0" customHeight="1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</row>
    <row r="955" ht="12.0" customHeight="1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</row>
    <row r="956" ht="12.0" customHeight="1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</row>
    <row r="957" ht="12.0" customHeight="1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</row>
    <row r="958" ht="12.0" customHeight="1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</row>
    <row r="959" ht="12.0" customHeight="1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</row>
    <row r="960" ht="12.0" customHeight="1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</row>
    <row r="961" ht="12.0" customHeight="1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</row>
    <row r="962" ht="12.0" customHeight="1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</row>
    <row r="963" ht="12.0" customHeight="1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</row>
    <row r="964" ht="12.0" customHeight="1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</row>
    <row r="965" ht="12.0" customHeight="1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</row>
    <row r="966" ht="12.0" customHeight="1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</row>
    <row r="967" ht="12.0" customHeight="1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</row>
    <row r="968" ht="12.0" customHeight="1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</row>
    <row r="969" ht="12.0" customHeight="1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</row>
    <row r="970" ht="12.0" customHeight="1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</row>
    <row r="971" ht="12.0" customHeight="1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</row>
    <row r="972" ht="12.0" customHeight="1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</row>
    <row r="973" ht="12.0" customHeight="1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</row>
    <row r="974" ht="12.0" customHeight="1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</row>
    <row r="975" ht="12.0" customHeight="1">
      <c r="A975" s="143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</row>
    <row r="976" ht="12.0" customHeight="1">
      <c r="A976" s="143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</row>
    <row r="977" ht="12.0" customHeight="1">
      <c r="A977" s="143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</row>
    <row r="978" ht="12.0" customHeight="1">
      <c r="A978" s="143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</row>
    <row r="979" ht="12.0" customHeight="1">
      <c r="A979" s="143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</row>
    <row r="980" ht="12.0" customHeight="1">
      <c r="A980" s="143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</row>
    <row r="981" ht="12.0" customHeight="1">
      <c r="A981" s="143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</row>
    <row r="982" ht="12.0" customHeight="1">
      <c r="A982" s="143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</row>
    <row r="983" ht="12.0" customHeight="1">
      <c r="A983" s="143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</row>
    <row r="984" ht="12.0" customHeight="1">
      <c r="A984" s="143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</row>
    <row r="985" ht="12.0" customHeight="1">
      <c r="A985" s="143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</row>
    <row r="986" ht="12.0" customHeight="1">
      <c r="A986" s="143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</row>
    <row r="987" ht="12.0" customHeight="1">
      <c r="A987" s="143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</row>
    <row r="988" ht="12.0" customHeight="1">
      <c r="A988" s="143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</row>
    <row r="989" ht="12.0" customHeight="1">
      <c r="A989" s="143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</row>
    <row r="990" ht="12.0" customHeight="1">
      <c r="A990" s="143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</row>
    <row r="991" ht="12.0" customHeight="1">
      <c r="A991" s="143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</row>
    <row r="992" ht="12.0" customHeight="1">
      <c r="A992" s="143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</row>
    <row r="993" ht="12.0" customHeight="1">
      <c r="A993" s="143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</row>
    <row r="994" ht="12.0" customHeight="1">
      <c r="A994" s="143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</row>
    <row r="995" ht="12.0" customHeight="1">
      <c r="A995" s="143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</row>
    <row r="996" ht="12.0" customHeight="1">
      <c r="A996" s="143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</row>
    <row r="997" ht="12.0" customHeight="1">
      <c r="A997" s="143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</row>
    <row r="998" ht="12.0" customHeight="1">
      <c r="A998" s="143"/>
      <c r="B998" s="143"/>
      <c r="C998" s="143"/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</row>
    <row r="999" ht="12.0" customHeight="1">
      <c r="A999" s="143"/>
      <c r="B999" s="143"/>
      <c r="C999" s="143"/>
      <c r="D999" s="143"/>
      <c r="E999" s="143"/>
      <c r="F999" s="143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</row>
    <row r="1000" ht="12.0" customHeight="1">
      <c r="A1000" s="143"/>
      <c r="B1000" s="143"/>
      <c r="C1000" s="143"/>
      <c r="D1000" s="143"/>
      <c r="E1000" s="143"/>
      <c r="F1000" s="143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</row>
  </sheetData>
  <printOptions gridLines="1"/>
  <pageMargins bottom="0.984251968503937" footer="0.0" header="0.0" left="0.7874015748031497" right="0.7874015748031497" top="0.984251968503937"/>
  <pageSetup paperSize="9" orientation="landscape"/>
  <headerFooter>
    <oddFooter>&amp;L&amp;A/&amp;F YYYY= N° de sté XXX = Code de la région &amp;C&amp;D&amp;Rversion du 06/09/2005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1.43"/>
    <col customWidth="1" min="3" max="3" width="7.14"/>
    <col customWidth="1" min="4" max="4" width="30.57"/>
    <col customWidth="1" min="5" max="5" width="6.0"/>
    <col customWidth="1" min="6" max="6" width="5.86"/>
    <col customWidth="1" min="7" max="26" width="11.43"/>
  </cols>
  <sheetData>
    <row r="1" ht="12.0" customHeight="1">
      <c r="A1" s="146" t="s">
        <v>258</v>
      </c>
      <c r="B1" s="143"/>
      <c r="C1" s="147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</row>
    <row r="2" ht="12.0" customHeight="1">
      <c r="A2" s="143"/>
      <c r="B2" s="148"/>
      <c r="C2" s="147" t="s">
        <v>10</v>
      </c>
      <c r="D2" s="143"/>
      <c r="E2" s="143"/>
      <c r="F2" s="143"/>
      <c r="G2" s="149" t="str">
        <f>code</f>
        <v>0595</v>
      </c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</row>
    <row r="3" ht="12.0" customHeight="1">
      <c r="A3" s="143"/>
      <c r="B3" s="148"/>
      <c r="C3" s="147" t="s">
        <v>259</v>
      </c>
      <c r="D3" s="143"/>
      <c r="E3" s="143"/>
      <c r="F3" s="143"/>
      <c r="G3" s="146" t="str">
        <f>+sigle</f>
        <v>MIRECOURT ENERGIES</v>
      </c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</row>
    <row r="4" ht="12.0" customHeight="1">
      <c r="A4" s="143"/>
      <c r="B4" s="148"/>
      <c r="C4" s="147" t="s">
        <v>260</v>
      </c>
      <c r="D4" s="143"/>
      <c r="E4" s="143"/>
      <c r="F4" s="143"/>
      <c r="G4" s="150" t="str">
        <f>'BD STE ET AUTRES'!H7</f>
        <v/>
      </c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</row>
    <row r="5" ht="12.0" customHeight="1">
      <c r="A5" s="143"/>
      <c r="B5" s="143"/>
      <c r="C5" s="147" t="s">
        <v>261</v>
      </c>
      <c r="D5" s="143"/>
      <c r="E5" s="143"/>
      <c r="F5" s="143"/>
      <c r="G5" s="143" t="str">
        <f>geree</f>
        <v>OUI</v>
      </c>
      <c r="H5" s="143" t="str">
        <f>IF(geree="","",geree)</f>
        <v>OUI</v>
      </c>
      <c r="I5" s="143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</row>
    <row r="6" ht="12.0" customHeight="1">
      <c r="A6" s="143"/>
      <c r="B6" s="143"/>
      <c r="C6" s="147" t="s">
        <v>262</v>
      </c>
      <c r="D6" s="143"/>
      <c r="E6" s="143"/>
      <c r="F6" s="143"/>
      <c r="G6" s="143"/>
      <c r="H6" s="151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</row>
    <row r="7" ht="12.0" customHeight="1">
      <c r="A7" s="143"/>
      <c r="B7" s="143"/>
      <c r="C7" s="147" t="s">
        <v>263</v>
      </c>
      <c r="D7" s="143"/>
      <c r="E7" s="143"/>
      <c r="F7" s="143"/>
      <c r="G7" s="143"/>
      <c r="H7" s="151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</row>
    <row r="8" ht="12.0" customHeight="1">
      <c r="A8" s="143"/>
      <c r="B8" s="143"/>
      <c r="C8" s="147" t="s">
        <v>264</v>
      </c>
      <c r="D8" s="143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</row>
    <row r="9" ht="12.0" customHeight="1">
      <c r="A9" s="143"/>
      <c r="B9" s="143"/>
      <c r="C9" s="147" t="s">
        <v>265</v>
      </c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</row>
    <row r="10" ht="12.0" customHeight="1">
      <c r="A10" s="143"/>
      <c r="B10" s="143"/>
      <c r="C10" s="147" t="s">
        <v>266</v>
      </c>
      <c r="D10" s="143"/>
      <c r="E10" s="143"/>
      <c r="F10" s="143"/>
      <c r="G10" s="143" t="s">
        <v>267</v>
      </c>
      <c r="H10" s="143" t="s">
        <v>268</v>
      </c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</row>
    <row r="11" ht="12.0" customHeight="1">
      <c r="A11" s="143"/>
      <c r="B11" s="143"/>
      <c r="C11" s="147" t="s">
        <v>269</v>
      </c>
      <c r="D11" s="143"/>
      <c r="E11" s="143"/>
      <c r="F11" s="143"/>
      <c r="G11" s="143" t="str">
        <f>conso</f>
        <v>S2070</v>
      </c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</row>
    <row r="12" ht="12.0" customHeight="1">
      <c r="A12" s="143"/>
      <c r="B12" s="143"/>
      <c r="C12" s="147"/>
      <c r="D12" s="143"/>
      <c r="E12" s="143"/>
      <c r="F12" s="143"/>
      <c r="G12" s="143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</row>
    <row r="13" ht="12.0" customHeight="1">
      <c r="A13" s="143"/>
      <c r="B13" s="148"/>
      <c r="C13" s="147" t="s">
        <v>270</v>
      </c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</row>
    <row r="14" ht="12.0" customHeight="1">
      <c r="A14" s="143"/>
      <c r="B14" s="143"/>
      <c r="C14" s="147" t="s">
        <v>271</v>
      </c>
      <c r="D14" s="143"/>
      <c r="E14" s="143"/>
      <c r="F14" s="143"/>
      <c r="G14" s="143"/>
      <c r="H14" s="148" t="str">
        <f>cloture</f>
        <v/>
      </c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</row>
    <row r="15" ht="12.0" customHeight="1">
      <c r="A15" s="143"/>
      <c r="B15" s="143"/>
      <c r="C15" s="147" t="s">
        <v>272</v>
      </c>
      <c r="D15" s="143"/>
      <c r="E15" s="143" t="s">
        <v>273</v>
      </c>
      <c r="F15" s="143"/>
      <c r="G15" s="143"/>
      <c r="H15" s="143" t="str">
        <f>etab</f>
        <v>DCW</v>
      </c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</row>
    <row r="16" ht="12.0" customHeight="1">
      <c r="A16" s="143"/>
      <c r="B16" s="143"/>
      <c r="C16" s="147" t="s">
        <v>274</v>
      </c>
      <c r="D16" s="143"/>
      <c r="E16" s="143"/>
      <c r="F16" s="143"/>
      <c r="G16" s="143"/>
      <c r="H16" s="143" t="str">
        <f>lieudetenue</f>
        <v>DCW</v>
      </c>
      <c r="I16" s="143" t="s">
        <v>275</v>
      </c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</row>
    <row r="17" ht="12.0" customHeight="1">
      <c r="A17" s="143"/>
      <c r="B17" s="143"/>
      <c r="C17" s="147" t="s">
        <v>276</v>
      </c>
      <c r="D17" s="143"/>
      <c r="E17" s="143"/>
      <c r="F17" s="143"/>
      <c r="G17" s="143"/>
      <c r="H17" s="143" t="s">
        <v>277</v>
      </c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</row>
    <row r="18" ht="12.0" customHeight="1">
      <c r="A18" s="143"/>
      <c r="B18" s="143"/>
      <c r="C18" s="147" t="s">
        <v>278</v>
      </c>
      <c r="D18" s="143"/>
      <c r="E18" s="143"/>
      <c r="F18" s="143"/>
      <c r="G18" s="143"/>
      <c r="H18" s="143" t="str">
        <f>fraisste</f>
        <v/>
      </c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</row>
    <row r="19" ht="12.0" customHeight="1">
      <c r="A19" s="143"/>
      <c r="B19" s="143"/>
      <c r="C19" s="147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</row>
    <row r="20" ht="12.0" customHeight="1">
      <c r="A20" s="143"/>
      <c r="B20" s="148"/>
      <c r="C20" s="147" t="s">
        <v>279</v>
      </c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</row>
    <row r="21" ht="12.0" customHeight="1">
      <c r="A21" s="143"/>
      <c r="B21" s="148"/>
      <c r="C21" s="147" t="s">
        <v>280</v>
      </c>
      <c r="D21" s="143"/>
      <c r="E21" s="143"/>
      <c r="F21" s="143"/>
      <c r="G21" s="143" t="str">
        <f>adressesiege</f>
        <v>6, rue des Trézelots</v>
      </c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</row>
    <row r="22" ht="12.0" customHeight="1">
      <c r="A22" s="143"/>
      <c r="B22" s="148"/>
      <c r="C22" s="147" t="s">
        <v>281</v>
      </c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</row>
    <row r="23" ht="12.0" customHeight="1">
      <c r="A23" s="143"/>
      <c r="B23" s="148"/>
      <c r="C23" s="147" t="s">
        <v>282</v>
      </c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</row>
    <row r="24" ht="12.0" customHeight="1">
      <c r="A24" s="143"/>
      <c r="B24" s="148"/>
      <c r="C24" s="147" t="s">
        <v>283</v>
      </c>
      <c r="D24" s="143"/>
      <c r="E24" s="143"/>
      <c r="F24" s="143"/>
      <c r="G24" s="143">
        <f>cp</f>
        <v>54425</v>
      </c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</row>
    <row r="25" ht="12.0" customHeight="1">
      <c r="A25" s="143"/>
      <c r="B25" s="148"/>
      <c r="C25" s="147" t="s">
        <v>60</v>
      </c>
      <c r="D25" s="143"/>
      <c r="E25" s="143"/>
      <c r="F25" s="143"/>
      <c r="G25" s="143" t="str">
        <f>ville</f>
        <v>PULNOY</v>
      </c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</row>
    <row r="26" ht="12.0" customHeight="1">
      <c r="A26" s="143"/>
      <c r="B26" s="148"/>
      <c r="C26" s="147" t="s">
        <v>229</v>
      </c>
      <c r="D26" s="143"/>
      <c r="E26" s="143"/>
      <c r="F26" s="143"/>
      <c r="G26" s="143" t="s">
        <v>222</v>
      </c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</row>
    <row r="27" ht="12.0" customHeight="1">
      <c r="A27" s="143"/>
      <c r="B27" s="148"/>
      <c r="C27" s="147" t="s">
        <v>284</v>
      </c>
      <c r="D27" s="143"/>
      <c r="E27" s="143"/>
      <c r="F27" s="143"/>
      <c r="G27" s="143" t="str">
        <f>MID(siren,1,9)</f>
        <v>944140946</v>
      </c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</row>
    <row r="28" ht="12.0" customHeight="1">
      <c r="A28" s="143"/>
      <c r="B28" s="148"/>
      <c r="C28" s="147" t="s">
        <v>62</v>
      </c>
      <c r="D28" s="143"/>
      <c r="E28" s="143"/>
      <c r="F28" s="143"/>
      <c r="G28" s="143" t="str">
        <f>forme</f>
        <v>SAS</v>
      </c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</row>
    <row r="29" ht="12.0" customHeight="1">
      <c r="A29" s="143"/>
      <c r="B29" s="148"/>
      <c r="C29" s="147" t="s">
        <v>285</v>
      </c>
      <c r="D29" s="143"/>
      <c r="E29" s="143"/>
      <c r="F29" s="143"/>
      <c r="G29" s="143" t="str">
        <f>MID(siren,10,5)</f>
        <v>00012</v>
      </c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</row>
    <row r="30" ht="12.0" customHeight="1">
      <c r="A30" s="143"/>
      <c r="B30" s="148"/>
      <c r="C30" s="147" t="s">
        <v>286</v>
      </c>
      <c r="D30" s="143"/>
      <c r="E30" s="143"/>
      <c r="F30" s="143"/>
      <c r="G30" s="152">
        <f>capital</f>
        <v>50000</v>
      </c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</row>
    <row r="31" ht="12.0" customHeight="1">
      <c r="A31" s="143"/>
      <c r="B31" s="148"/>
      <c r="C31" s="147" t="s">
        <v>287</v>
      </c>
      <c r="D31" s="143"/>
      <c r="E31" s="143"/>
      <c r="F31" s="143"/>
      <c r="G31" s="153" t="str">
        <f>naf</f>
        <v>3511Z</v>
      </c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</row>
    <row r="32" ht="12.0" customHeight="1">
      <c r="A32" s="143"/>
      <c r="B32" s="148"/>
      <c r="C32" s="147" t="s">
        <v>288</v>
      </c>
      <c r="D32" s="143"/>
      <c r="E32" s="143"/>
      <c r="F32" s="143"/>
      <c r="G32" s="143" t="s">
        <v>28</v>
      </c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</row>
    <row r="33" ht="12.0" customHeight="1">
      <c r="A33" s="143"/>
      <c r="B33" s="148"/>
      <c r="C33" s="147" t="s">
        <v>289</v>
      </c>
      <c r="D33" s="143"/>
      <c r="E33" s="143"/>
      <c r="F33" s="143"/>
      <c r="G33" s="143" t="str">
        <f>villedepot</f>
        <v>NANCY</v>
      </c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</row>
    <row r="34" ht="12.0" customHeight="1">
      <c r="A34" s="143"/>
      <c r="B34" s="148"/>
      <c r="C34" s="147" t="s">
        <v>290</v>
      </c>
      <c r="D34" s="143"/>
      <c r="E34" s="143"/>
      <c r="F34" s="143"/>
      <c r="G34" s="154" t="str">
        <f>intracom</f>
        <v>FR55944140946</v>
      </c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</row>
    <row r="35" ht="12.0" customHeight="1">
      <c r="A35" s="143"/>
      <c r="B35" s="148"/>
      <c r="C35" s="147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</row>
    <row r="36" ht="12.0" customHeight="1">
      <c r="A36" s="143"/>
      <c r="B36" s="143" t="s">
        <v>291</v>
      </c>
      <c r="C36" s="147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</row>
    <row r="37" ht="12.0" customHeight="1">
      <c r="A37" s="143"/>
      <c r="B37" s="148"/>
      <c r="C37" s="147" t="s">
        <v>292</v>
      </c>
      <c r="D37" s="143"/>
      <c r="E37" s="143"/>
      <c r="F37" s="143"/>
      <c r="G37" s="143"/>
      <c r="H37" s="155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</row>
    <row r="38" ht="12.0" customHeight="1">
      <c r="A38" s="143"/>
      <c r="B38" s="143"/>
      <c r="C38" s="147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</row>
    <row r="39" ht="12.0" customHeight="1">
      <c r="A39" s="156"/>
      <c r="B39" s="143" t="s">
        <v>293</v>
      </c>
      <c r="C39" s="147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</row>
    <row r="40" ht="12.0" customHeight="1">
      <c r="A40" s="143"/>
      <c r="B40" s="143"/>
      <c r="C40" s="147"/>
      <c r="D40" s="143" t="s">
        <v>294</v>
      </c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</row>
    <row r="41" ht="12.0" customHeight="1">
      <c r="A41" s="143"/>
      <c r="B41" s="143"/>
      <c r="C41" s="147"/>
      <c r="D41" s="143" t="s">
        <v>295</v>
      </c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</row>
    <row r="42" ht="12.0" customHeight="1">
      <c r="A42" s="143"/>
      <c r="B42" s="143"/>
      <c r="C42" s="147"/>
      <c r="D42" s="143" t="s">
        <v>296</v>
      </c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</row>
    <row r="43" ht="12.0" customHeight="1">
      <c r="A43" s="143"/>
      <c r="B43" s="143"/>
      <c r="C43" s="147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</row>
    <row r="44" ht="12.0" customHeight="1">
      <c r="A44" s="143"/>
      <c r="B44" s="143"/>
      <c r="C44" s="143" t="s">
        <v>297</v>
      </c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</row>
    <row r="45" ht="12.0" customHeight="1">
      <c r="A45" s="143"/>
      <c r="B45" s="143"/>
      <c r="C45" s="147" t="s">
        <v>298</v>
      </c>
      <c r="D45" s="157"/>
      <c r="E45" s="157"/>
      <c r="F45" s="157"/>
      <c r="G45" s="157"/>
      <c r="H45" s="157"/>
      <c r="I45" s="157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</row>
    <row r="46" ht="12.0" hidden="1" customHeight="1">
      <c r="A46" s="143"/>
      <c r="B46" s="143"/>
      <c r="C46" s="147"/>
      <c r="D46" s="143" t="s">
        <v>299</v>
      </c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</row>
    <row r="47" ht="12.0" customHeight="1">
      <c r="A47" s="143"/>
      <c r="B47" s="143"/>
      <c r="C47" s="147" t="s">
        <v>300</v>
      </c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</row>
    <row r="48" ht="12.0" hidden="1" customHeight="1">
      <c r="A48" s="143"/>
      <c r="B48" s="143"/>
      <c r="C48" s="147"/>
      <c r="D48" s="143" t="s">
        <v>301</v>
      </c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</row>
    <row r="49" ht="12.0" customHeight="1">
      <c r="A49" s="143"/>
      <c r="B49" s="143"/>
      <c r="C49" s="147"/>
      <c r="D49" s="143" t="s">
        <v>302</v>
      </c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</row>
    <row r="50" ht="12.0" customHeight="1">
      <c r="A50" s="143"/>
      <c r="B50" s="143" t="s">
        <v>303</v>
      </c>
      <c r="C50" s="147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</row>
    <row r="51" ht="12.0" customHeight="1">
      <c r="A51" s="143"/>
      <c r="B51" s="143" t="s">
        <v>304</v>
      </c>
      <c r="C51" s="147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</row>
    <row r="52" ht="12.0" customHeight="1">
      <c r="A52" s="143" t="s">
        <v>305</v>
      </c>
      <c r="B52" s="143"/>
      <c r="C52" s="147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</row>
    <row r="53" ht="12.0" customHeight="1">
      <c r="A53" s="143" t="s">
        <v>306</v>
      </c>
      <c r="B53" s="143"/>
      <c r="C53" s="147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</row>
    <row r="54" ht="12.0" customHeight="1">
      <c r="A54" s="143" t="s">
        <v>307</v>
      </c>
      <c r="B54" s="143"/>
      <c r="C54" s="147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</row>
    <row r="55" ht="12.0" customHeight="1">
      <c r="A55" s="143" t="s">
        <v>308</v>
      </c>
      <c r="B55" s="143"/>
      <c r="C55" s="147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</row>
    <row r="56" ht="12.0" customHeight="1">
      <c r="A56" s="143" t="s">
        <v>309</v>
      </c>
      <c r="B56" s="143"/>
      <c r="C56" s="147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</row>
    <row r="57" ht="12.0" customHeight="1">
      <c r="A57" s="143" t="s">
        <v>310</v>
      </c>
      <c r="B57" s="143"/>
      <c r="C57" s="147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</row>
    <row r="58" ht="12.0" customHeight="1">
      <c r="A58" s="143" t="s">
        <v>311</v>
      </c>
      <c r="B58" s="143"/>
      <c r="C58" s="147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</row>
    <row r="59" ht="12.0" customHeight="1">
      <c r="A59" s="143" t="s">
        <v>312</v>
      </c>
      <c r="B59" s="143"/>
      <c r="C59" s="147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</row>
    <row r="60" ht="12.0" customHeight="1">
      <c r="A60" s="143" t="s">
        <v>313</v>
      </c>
      <c r="B60" s="143"/>
      <c r="C60" s="147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</row>
    <row r="61" ht="12.0" customHeight="1">
      <c r="A61" s="143" t="s">
        <v>314</v>
      </c>
      <c r="B61" s="143"/>
      <c r="C61" s="147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</row>
    <row r="62" ht="12.0" customHeight="1">
      <c r="A62" s="143" t="s">
        <v>315</v>
      </c>
      <c r="B62" s="143"/>
      <c r="C62" s="147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</row>
    <row r="63" ht="12.0" customHeight="1">
      <c r="A63" s="143" t="s">
        <v>316</v>
      </c>
      <c r="B63" s="143"/>
      <c r="C63" s="147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</row>
    <row r="64" ht="12.0" customHeight="1">
      <c r="A64" s="143"/>
      <c r="B64" s="143"/>
      <c r="C64" s="147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</row>
    <row r="65" ht="12.0" customHeight="1">
      <c r="A65" s="143"/>
      <c r="B65" s="143"/>
      <c r="C65" s="147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</row>
    <row r="66" ht="12.0" customHeight="1">
      <c r="A66" s="143"/>
      <c r="B66" s="143"/>
      <c r="C66" s="147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</row>
    <row r="67" ht="12.0" customHeight="1">
      <c r="A67" s="143"/>
      <c r="B67" s="143"/>
      <c r="C67" s="147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</row>
    <row r="68" ht="12.0" customHeight="1">
      <c r="A68" s="143"/>
      <c r="B68" s="143"/>
      <c r="C68" s="147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</row>
    <row r="69" ht="12.0" customHeight="1">
      <c r="A69" s="143"/>
      <c r="B69" s="143"/>
      <c r="C69" s="147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</row>
    <row r="70" ht="12.0" customHeight="1">
      <c r="A70" s="143"/>
      <c r="B70" s="143"/>
      <c r="C70" s="147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</row>
    <row r="71" ht="12.0" customHeight="1">
      <c r="A71" s="143"/>
      <c r="B71" s="143"/>
      <c r="C71" s="147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</row>
    <row r="72" ht="12.0" customHeight="1">
      <c r="A72" s="143"/>
      <c r="B72" s="143"/>
      <c r="C72" s="147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</row>
    <row r="73" ht="12.0" customHeight="1">
      <c r="A73" s="143"/>
      <c r="B73" s="143"/>
      <c r="C73" s="147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</row>
    <row r="74" ht="12.0" customHeight="1">
      <c r="A74" s="143"/>
      <c r="B74" s="143"/>
      <c r="C74" s="147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</row>
    <row r="75" ht="12.0" customHeight="1">
      <c r="A75" s="143"/>
      <c r="B75" s="143"/>
      <c r="C75" s="147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</row>
    <row r="76" ht="12.0" customHeight="1">
      <c r="A76" s="143"/>
      <c r="B76" s="143"/>
      <c r="C76" s="147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</row>
    <row r="77" ht="12.0" customHeight="1">
      <c r="A77" s="143"/>
      <c r="B77" s="143"/>
      <c r="C77" s="147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</row>
    <row r="78" ht="12.0" customHeight="1">
      <c r="A78" s="143"/>
      <c r="B78" s="143"/>
      <c r="C78" s="147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</row>
    <row r="79" ht="12.0" customHeight="1">
      <c r="A79" s="143"/>
      <c r="B79" s="143"/>
      <c r="C79" s="147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</row>
    <row r="80" ht="12.0" customHeight="1">
      <c r="A80" s="143"/>
      <c r="B80" s="143"/>
      <c r="C80" s="147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</row>
    <row r="81" ht="12.0" customHeight="1">
      <c r="A81" s="143"/>
      <c r="B81" s="143"/>
      <c r="C81" s="147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</row>
    <row r="82" ht="12.0" customHeight="1">
      <c r="A82" s="143"/>
      <c r="B82" s="143"/>
      <c r="C82" s="147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</row>
    <row r="83" ht="12.0" customHeight="1">
      <c r="A83" s="143"/>
      <c r="B83" s="143"/>
      <c r="C83" s="147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</row>
    <row r="84" ht="12.0" customHeight="1">
      <c r="A84" s="143"/>
      <c r="B84" s="143"/>
      <c r="C84" s="147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</row>
    <row r="85" ht="12.0" customHeight="1">
      <c r="A85" s="143"/>
      <c r="B85" s="143"/>
      <c r="C85" s="147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</row>
    <row r="86" ht="12.0" customHeight="1">
      <c r="A86" s="143"/>
      <c r="B86" s="143"/>
      <c r="C86" s="147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</row>
    <row r="87" ht="12.0" customHeight="1">
      <c r="A87" s="143"/>
      <c r="B87" s="143"/>
      <c r="C87" s="147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</row>
    <row r="88" ht="12.0" customHeight="1">
      <c r="A88" s="143"/>
      <c r="B88" s="143"/>
      <c r="C88" s="147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</row>
    <row r="89" ht="12.0" customHeight="1">
      <c r="A89" s="143"/>
      <c r="B89" s="143"/>
      <c r="C89" s="147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</row>
    <row r="90" ht="12.0" customHeight="1">
      <c r="A90" s="143"/>
      <c r="B90" s="143"/>
      <c r="C90" s="147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</row>
    <row r="91" ht="12.0" customHeight="1">
      <c r="A91" s="143"/>
      <c r="B91" s="143"/>
      <c r="C91" s="147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</row>
    <row r="92" ht="12.0" customHeight="1">
      <c r="A92" s="143"/>
      <c r="B92" s="143"/>
      <c r="C92" s="147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</row>
    <row r="93" ht="12.0" customHeight="1">
      <c r="A93" s="143"/>
      <c r="B93" s="143"/>
      <c r="C93" s="147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</row>
    <row r="94" ht="12.0" customHeight="1">
      <c r="A94" s="143"/>
      <c r="B94" s="143"/>
      <c r="C94" s="147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</row>
    <row r="95" ht="12.0" customHeight="1">
      <c r="A95" s="143"/>
      <c r="B95" s="143"/>
      <c r="C95" s="147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</row>
    <row r="96" ht="12.0" customHeight="1">
      <c r="A96" s="143"/>
      <c r="B96" s="143"/>
      <c r="C96" s="147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</row>
    <row r="97" ht="12.0" customHeight="1">
      <c r="A97" s="143"/>
      <c r="B97" s="143"/>
      <c r="C97" s="147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</row>
    <row r="98" ht="12.0" customHeight="1">
      <c r="A98" s="143"/>
      <c r="B98" s="143"/>
      <c r="C98" s="147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</row>
    <row r="99" ht="12.0" customHeight="1">
      <c r="A99" s="143"/>
      <c r="B99" s="143"/>
      <c r="C99" s="147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</row>
    <row r="100" ht="12.0" customHeight="1">
      <c r="A100" s="143"/>
      <c r="B100" s="143"/>
      <c r="C100" s="147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</row>
    <row r="101" ht="12.0" customHeight="1">
      <c r="A101" s="143"/>
      <c r="B101" s="143"/>
      <c r="C101" s="147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</row>
    <row r="102" ht="12.0" customHeight="1">
      <c r="A102" s="143"/>
      <c r="B102" s="143"/>
      <c r="C102" s="147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</row>
    <row r="103" ht="12.0" customHeight="1">
      <c r="A103" s="143"/>
      <c r="B103" s="143"/>
      <c r="C103" s="147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</row>
    <row r="104" ht="12.0" customHeight="1">
      <c r="A104" s="143"/>
      <c r="B104" s="143"/>
      <c r="C104" s="147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</row>
    <row r="105" ht="12.0" customHeight="1">
      <c r="A105" s="143"/>
      <c r="B105" s="143"/>
      <c r="C105" s="147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</row>
    <row r="106" ht="12.0" customHeight="1">
      <c r="A106" s="143"/>
      <c r="B106" s="143"/>
      <c r="C106" s="147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</row>
    <row r="107" ht="12.0" customHeight="1">
      <c r="A107" s="143"/>
      <c r="B107" s="143"/>
      <c r="C107" s="147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</row>
    <row r="108" ht="12.0" customHeight="1">
      <c r="A108" s="143"/>
      <c r="B108" s="143"/>
      <c r="C108" s="147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</row>
    <row r="109" ht="12.0" customHeight="1">
      <c r="A109" s="143"/>
      <c r="B109" s="143"/>
      <c r="C109" s="147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</row>
    <row r="110" ht="12.0" customHeight="1">
      <c r="A110" s="143"/>
      <c r="B110" s="143"/>
      <c r="C110" s="147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</row>
    <row r="111" ht="12.0" customHeight="1">
      <c r="A111" s="143"/>
      <c r="B111" s="143"/>
      <c r="C111" s="147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</row>
    <row r="112" ht="12.0" customHeight="1">
      <c r="A112" s="143"/>
      <c r="B112" s="143"/>
      <c r="C112" s="147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</row>
    <row r="113" ht="12.0" customHeight="1">
      <c r="A113" s="143"/>
      <c r="B113" s="143"/>
      <c r="C113" s="147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</row>
    <row r="114" ht="12.0" customHeight="1">
      <c r="A114" s="143"/>
      <c r="B114" s="143"/>
      <c r="C114" s="147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</row>
    <row r="115" ht="12.0" customHeight="1">
      <c r="A115" s="143"/>
      <c r="B115" s="143"/>
      <c r="C115" s="147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</row>
    <row r="116" ht="12.0" customHeight="1">
      <c r="A116" s="143"/>
      <c r="B116" s="143"/>
      <c r="C116" s="147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</row>
    <row r="117" ht="12.0" customHeight="1">
      <c r="A117" s="143"/>
      <c r="B117" s="143"/>
      <c r="C117" s="147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</row>
    <row r="118" ht="12.0" customHeight="1">
      <c r="A118" s="143"/>
      <c r="B118" s="143"/>
      <c r="C118" s="147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</row>
    <row r="119" ht="12.0" customHeight="1">
      <c r="A119" s="143"/>
      <c r="B119" s="143"/>
      <c r="C119" s="147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</row>
    <row r="120" ht="12.0" customHeight="1">
      <c r="A120" s="143"/>
      <c r="B120" s="143"/>
      <c r="C120" s="147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</row>
    <row r="121" ht="12.0" customHeight="1">
      <c r="A121" s="143"/>
      <c r="B121" s="143"/>
      <c r="C121" s="147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</row>
    <row r="122" ht="12.0" customHeight="1">
      <c r="A122" s="143"/>
      <c r="B122" s="143"/>
      <c r="C122" s="147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</row>
    <row r="123" ht="12.0" customHeight="1">
      <c r="A123" s="143"/>
      <c r="B123" s="143"/>
      <c r="C123" s="147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</row>
    <row r="124" ht="12.0" customHeight="1">
      <c r="A124" s="143"/>
      <c r="B124" s="143"/>
      <c r="C124" s="147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</row>
    <row r="125" ht="12.0" customHeight="1">
      <c r="A125" s="143"/>
      <c r="B125" s="143"/>
      <c r="C125" s="147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</row>
    <row r="126" ht="12.0" customHeight="1">
      <c r="A126" s="143"/>
      <c r="B126" s="143"/>
      <c r="C126" s="147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</row>
    <row r="127" ht="12.0" customHeight="1">
      <c r="A127" s="143"/>
      <c r="B127" s="143"/>
      <c r="C127" s="147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</row>
    <row r="128" ht="12.0" customHeight="1">
      <c r="A128" s="143"/>
      <c r="B128" s="143"/>
      <c r="C128" s="147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</row>
    <row r="129" ht="12.0" customHeight="1">
      <c r="A129" s="143"/>
      <c r="B129" s="143"/>
      <c r="C129" s="147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</row>
    <row r="130" ht="12.0" customHeight="1">
      <c r="A130" s="143"/>
      <c r="B130" s="143"/>
      <c r="C130" s="147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</row>
    <row r="131" ht="12.0" customHeight="1">
      <c r="A131" s="143"/>
      <c r="B131" s="143"/>
      <c r="C131" s="147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</row>
    <row r="132" ht="12.0" customHeight="1">
      <c r="A132" s="143"/>
      <c r="B132" s="143"/>
      <c r="C132" s="147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</row>
    <row r="133" ht="12.0" customHeight="1">
      <c r="A133" s="143"/>
      <c r="B133" s="143"/>
      <c r="C133" s="147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</row>
    <row r="134" ht="12.0" customHeight="1">
      <c r="A134" s="143"/>
      <c r="B134" s="143"/>
      <c r="C134" s="147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</row>
    <row r="135" ht="12.0" customHeight="1">
      <c r="A135" s="143"/>
      <c r="B135" s="143"/>
      <c r="C135" s="147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</row>
    <row r="136" ht="12.0" customHeight="1">
      <c r="A136" s="143"/>
      <c r="B136" s="143"/>
      <c r="C136" s="147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</row>
    <row r="137" ht="12.0" customHeight="1">
      <c r="A137" s="143"/>
      <c r="B137" s="143"/>
      <c r="C137" s="147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</row>
    <row r="138" ht="12.0" customHeight="1">
      <c r="A138" s="143"/>
      <c r="B138" s="143"/>
      <c r="C138" s="147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</row>
    <row r="139" ht="12.0" customHeight="1">
      <c r="A139" s="143"/>
      <c r="B139" s="143"/>
      <c r="C139" s="147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</row>
    <row r="140" ht="12.0" customHeight="1">
      <c r="A140" s="143"/>
      <c r="B140" s="143"/>
      <c r="C140" s="147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</row>
    <row r="141" ht="12.0" customHeight="1">
      <c r="A141" s="143"/>
      <c r="B141" s="143"/>
      <c r="C141" s="147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</row>
    <row r="142" ht="12.0" customHeight="1">
      <c r="A142" s="143"/>
      <c r="B142" s="143"/>
      <c r="C142" s="147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</row>
    <row r="143" ht="12.0" customHeight="1">
      <c r="A143" s="143"/>
      <c r="B143" s="143"/>
      <c r="C143" s="147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</row>
    <row r="144" ht="12.0" customHeight="1">
      <c r="A144" s="143"/>
      <c r="B144" s="143"/>
      <c r="C144" s="147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</row>
    <row r="145" ht="12.0" customHeight="1">
      <c r="A145" s="143"/>
      <c r="B145" s="143"/>
      <c r="C145" s="147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</row>
    <row r="146" ht="12.0" customHeight="1">
      <c r="A146" s="143"/>
      <c r="B146" s="143"/>
      <c r="C146" s="147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</row>
    <row r="147" ht="12.0" customHeight="1">
      <c r="A147" s="143"/>
      <c r="B147" s="143"/>
      <c r="C147" s="147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</row>
    <row r="148" ht="12.0" customHeight="1">
      <c r="A148" s="143"/>
      <c r="B148" s="143"/>
      <c r="C148" s="147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</row>
    <row r="149" ht="12.0" customHeight="1">
      <c r="A149" s="143"/>
      <c r="B149" s="143"/>
      <c r="C149" s="147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</row>
    <row r="150" ht="12.0" customHeight="1">
      <c r="A150" s="143"/>
      <c r="B150" s="143"/>
      <c r="C150" s="147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</row>
    <row r="151" ht="12.0" customHeight="1">
      <c r="A151" s="143"/>
      <c r="B151" s="143"/>
      <c r="C151" s="147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</row>
    <row r="152" ht="12.0" customHeight="1">
      <c r="A152" s="143"/>
      <c r="B152" s="143"/>
      <c r="C152" s="147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</row>
    <row r="153" ht="12.0" customHeight="1">
      <c r="A153" s="143"/>
      <c r="B153" s="143"/>
      <c r="C153" s="147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</row>
    <row r="154" ht="12.0" customHeight="1">
      <c r="A154" s="143"/>
      <c r="B154" s="143"/>
      <c r="C154" s="147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</row>
    <row r="155" ht="12.0" customHeight="1">
      <c r="A155" s="143"/>
      <c r="B155" s="143"/>
      <c r="C155" s="147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</row>
    <row r="156" ht="12.0" customHeight="1">
      <c r="A156" s="143"/>
      <c r="B156" s="143"/>
      <c r="C156" s="147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</row>
    <row r="157" ht="12.0" customHeight="1">
      <c r="A157" s="143"/>
      <c r="B157" s="143"/>
      <c r="C157" s="147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</row>
    <row r="158" ht="12.0" customHeight="1">
      <c r="A158" s="143"/>
      <c r="B158" s="143"/>
      <c r="C158" s="147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</row>
    <row r="159" ht="12.0" customHeight="1">
      <c r="A159" s="143"/>
      <c r="B159" s="143"/>
      <c r="C159" s="147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</row>
    <row r="160" ht="12.0" customHeight="1">
      <c r="A160" s="143"/>
      <c r="B160" s="143"/>
      <c r="C160" s="147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</row>
    <row r="161" ht="12.0" customHeight="1">
      <c r="A161" s="143"/>
      <c r="B161" s="143"/>
      <c r="C161" s="147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</row>
    <row r="162" ht="12.0" customHeight="1">
      <c r="A162" s="143"/>
      <c r="B162" s="143"/>
      <c r="C162" s="147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</row>
    <row r="163" ht="12.0" customHeight="1">
      <c r="A163" s="143"/>
      <c r="B163" s="143"/>
      <c r="C163" s="147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</row>
    <row r="164" ht="12.0" customHeight="1">
      <c r="A164" s="143"/>
      <c r="B164" s="143"/>
      <c r="C164" s="147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</row>
    <row r="165" ht="12.0" customHeight="1">
      <c r="A165" s="143"/>
      <c r="B165" s="143"/>
      <c r="C165" s="147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</row>
    <row r="166" ht="12.0" customHeight="1">
      <c r="A166" s="143"/>
      <c r="B166" s="143"/>
      <c r="C166" s="147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</row>
    <row r="167" ht="12.0" customHeight="1">
      <c r="A167" s="143"/>
      <c r="B167" s="143"/>
      <c r="C167" s="147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</row>
    <row r="168" ht="12.0" customHeight="1">
      <c r="A168" s="143"/>
      <c r="B168" s="143"/>
      <c r="C168" s="147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</row>
    <row r="169" ht="12.0" customHeight="1">
      <c r="A169" s="143"/>
      <c r="B169" s="143"/>
      <c r="C169" s="147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</row>
    <row r="170" ht="12.0" customHeight="1">
      <c r="A170" s="143"/>
      <c r="B170" s="143"/>
      <c r="C170" s="147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</row>
    <row r="171" ht="12.0" customHeight="1">
      <c r="A171" s="143"/>
      <c r="B171" s="143"/>
      <c r="C171" s="147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</row>
    <row r="172" ht="12.0" customHeight="1">
      <c r="A172" s="143"/>
      <c r="B172" s="143"/>
      <c r="C172" s="147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</row>
    <row r="173" ht="12.0" customHeight="1">
      <c r="A173" s="143"/>
      <c r="B173" s="143"/>
      <c r="C173" s="147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</row>
    <row r="174" ht="12.0" customHeight="1">
      <c r="A174" s="143"/>
      <c r="B174" s="143"/>
      <c r="C174" s="147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</row>
    <row r="175" ht="12.0" customHeight="1">
      <c r="A175" s="143"/>
      <c r="B175" s="143"/>
      <c r="C175" s="147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</row>
    <row r="176" ht="12.0" customHeight="1">
      <c r="A176" s="143"/>
      <c r="B176" s="143"/>
      <c r="C176" s="147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</row>
    <row r="177" ht="12.0" customHeight="1">
      <c r="A177" s="143"/>
      <c r="B177" s="143"/>
      <c r="C177" s="147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</row>
    <row r="178" ht="12.0" customHeight="1">
      <c r="A178" s="143"/>
      <c r="B178" s="143"/>
      <c r="C178" s="147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</row>
    <row r="179" ht="12.0" customHeight="1">
      <c r="A179" s="143"/>
      <c r="B179" s="143"/>
      <c r="C179" s="147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</row>
    <row r="180" ht="12.0" customHeight="1">
      <c r="A180" s="143"/>
      <c r="B180" s="143"/>
      <c r="C180" s="147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</row>
    <row r="181" ht="12.0" customHeight="1">
      <c r="A181" s="143"/>
      <c r="B181" s="143"/>
      <c r="C181" s="147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</row>
    <row r="182" ht="12.0" customHeight="1">
      <c r="A182" s="143"/>
      <c r="B182" s="143"/>
      <c r="C182" s="147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</row>
    <row r="183" ht="12.0" customHeight="1">
      <c r="A183" s="143"/>
      <c r="B183" s="143"/>
      <c r="C183" s="147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</row>
    <row r="184" ht="12.0" customHeight="1">
      <c r="A184" s="143"/>
      <c r="B184" s="143"/>
      <c r="C184" s="147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</row>
    <row r="185" ht="12.0" customHeight="1">
      <c r="A185" s="143"/>
      <c r="B185" s="143"/>
      <c r="C185" s="147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</row>
    <row r="186" ht="12.0" customHeight="1">
      <c r="A186" s="143"/>
      <c r="B186" s="143"/>
      <c r="C186" s="147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</row>
    <row r="187" ht="12.0" customHeight="1">
      <c r="A187" s="143"/>
      <c r="B187" s="143"/>
      <c r="C187" s="147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</row>
    <row r="188" ht="12.0" customHeight="1">
      <c r="A188" s="143"/>
      <c r="B188" s="143"/>
      <c r="C188" s="147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</row>
    <row r="189" ht="12.0" customHeight="1">
      <c r="A189" s="143"/>
      <c r="B189" s="143"/>
      <c r="C189" s="147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</row>
    <row r="190" ht="12.0" customHeight="1">
      <c r="A190" s="143"/>
      <c r="B190" s="143"/>
      <c r="C190" s="147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</row>
    <row r="191" ht="12.0" customHeight="1">
      <c r="A191" s="143"/>
      <c r="B191" s="143"/>
      <c r="C191" s="147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</row>
    <row r="192" ht="12.0" customHeight="1">
      <c r="A192" s="143"/>
      <c r="B192" s="143"/>
      <c r="C192" s="147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</row>
    <row r="193" ht="12.0" customHeight="1">
      <c r="A193" s="143"/>
      <c r="B193" s="143"/>
      <c r="C193" s="147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</row>
    <row r="194" ht="12.0" customHeight="1">
      <c r="A194" s="143"/>
      <c r="B194" s="143"/>
      <c r="C194" s="147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</row>
    <row r="195" ht="12.0" customHeight="1">
      <c r="A195" s="143"/>
      <c r="B195" s="143"/>
      <c r="C195" s="147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</row>
    <row r="196" ht="12.0" customHeight="1">
      <c r="A196" s="143"/>
      <c r="B196" s="143"/>
      <c r="C196" s="147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</row>
    <row r="197" ht="12.0" customHeight="1">
      <c r="A197" s="143"/>
      <c r="B197" s="143"/>
      <c r="C197" s="147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</row>
    <row r="198" ht="12.0" customHeight="1">
      <c r="A198" s="143"/>
      <c r="B198" s="143"/>
      <c r="C198" s="147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</row>
    <row r="199" ht="12.0" customHeight="1">
      <c r="A199" s="143"/>
      <c r="B199" s="143"/>
      <c r="C199" s="147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</row>
    <row r="200" ht="12.0" customHeight="1">
      <c r="A200" s="143"/>
      <c r="B200" s="143"/>
      <c r="C200" s="147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</row>
    <row r="201" ht="12.0" customHeight="1">
      <c r="A201" s="143"/>
      <c r="B201" s="143"/>
      <c r="C201" s="147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</row>
    <row r="202" ht="12.0" customHeight="1">
      <c r="A202" s="143"/>
      <c r="B202" s="143"/>
      <c r="C202" s="147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</row>
    <row r="203" ht="12.0" customHeight="1">
      <c r="A203" s="143"/>
      <c r="B203" s="143"/>
      <c r="C203" s="147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</row>
    <row r="204" ht="12.0" customHeight="1">
      <c r="A204" s="143"/>
      <c r="B204" s="143"/>
      <c r="C204" s="147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</row>
    <row r="205" ht="12.0" customHeight="1">
      <c r="A205" s="143"/>
      <c r="B205" s="143"/>
      <c r="C205" s="147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</row>
    <row r="206" ht="12.0" customHeight="1">
      <c r="A206" s="143"/>
      <c r="B206" s="143"/>
      <c r="C206" s="147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</row>
    <row r="207" ht="12.0" customHeight="1">
      <c r="A207" s="143"/>
      <c r="B207" s="143"/>
      <c r="C207" s="147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</row>
    <row r="208" ht="12.0" customHeight="1">
      <c r="A208" s="143"/>
      <c r="B208" s="143"/>
      <c r="C208" s="147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</row>
    <row r="209" ht="12.0" customHeight="1">
      <c r="A209" s="143"/>
      <c r="B209" s="143"/>
      <c r="C209" s="147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</row>
    <row r="210" ht="12.0" customHeight="1">
      <c r="A210" s="143"/>
      <c r="B210" s="143"/>
      <c r="C210" s="147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</row>
    <row r="211" ht="12.0" customHeight="1">
      <c r="A211" s="143"/>
      <c r="B211" s="143"/>
      <c r="C211" s="147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</row>
    <row r="212" ht="12.0" customHeight="1">
      <c r="A212" s="143"/>
      <c r="B212" s="143"/>
      <c r="C212" s="147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</row>
    <row r="213" ht="12.0" customHeight="1">
      <c r="A213" s="143"/>
      <c r="B213" s="143"/>
      <c r="C213" s="147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</row>
    <row r="214" ht="12.0" customHeight="1">
      <c r="A214" s="143"/>
      <c r="B214" s="143"/>
      <c r="C214" s="147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</row>
    <row r="215" ht="12.0" customHeight="1">
      <c r="A215" s="143"/>
      <c r="B215" s="143"/>
      <c r="C215" s="147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</row>
    <row r="216" ht="12.0" customHeight="1">
      <c r="A216" s="143"/>
      <c r="B216" s="143"/>
      <c r="C216" s="147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</row>
    <row r="217" ht="12.0" customHeight="1">
      <c r="A217" s="143"/>
      <c r="B217" s="143"/>
      <c r="C217" s="147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</row>
    <row r="218" ht="12.0" customHeight="1">
      <c r="A218" s="143"/>
      <c r="B218" s="143"/>
      <c r="C218" s="147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</row>
    <row r="219" ht="12.0" customHeight="1">
      <c r="A219" s="143"/>
      <c r="B219" s="143"/>
      <c r="C219" s="147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</row>
    <row r="220" ht="12.0" customHeight="1">
      <c r="A220" s="143"/>
      <c r="B220" s="143"/>
      <c r="C220" s="147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</row>
    <row r="221" ht="12.0" customHeight="1">
      <c r="A221" s="143"/>
      <c r="B221" s="143"/>
      <c r="C221" s="147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</row>
    <row r="222" ht="12.0" customHeight="1">
      <c r="A222" s="143"/>
      <c r="B222" s="143"/>
      <c r="C222" s="147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</row>
    <row r="223" ht="12.0" customHeight="1">
      <c r="A223" s="143"/>
      <c r="B223" s="143"/>
      <c r="C223" s="147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</row>
    <row r="224" ht="12.0" customHeight="1">
      <c r="A224" s="143"/>
      <c r="B224" s="143"/>
      <c r="C224" s="147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</row>
    <row r="225" ht="12.0" customHeight="1">
      <c r="A225" s="143"/>
      <c r="B225" s="143"/>
      <c r="C225" s="147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</row>
    <row r="226" ht="12.0" customHeight="1">
      <c r="A226" s="143"/>
      <c r="B226" s="143"/>
      <c r="C226" s="147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</row>
    <row r="227" ht="12.0" customHeight="1">
      <c r="A227" s="143"/>
      <c r="B227" s="143"/>
      <c r="C227" s="147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</row>
    <row r="228" ht="12.0" customHeight="1">
      <c r="A228" s="143"/>
      <c r="B228" s="143"/>
      <c r="C228" s="147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</row>
    <row r="229" ht="12.0" customHeight="1">
      <c r="A229" s="143"/>
      <c r="B229" s="143"/>
      <c r="C229" s="147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</row>
    <row r="230" ht="12.0" customHeight="1">
      <c r="A230" s="143"/>
      <c r="B230" s="143"/>
      <c r="C230" s="147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</row>
    <row r="231" ht="12.0" customHeight="1">
      <c r="A231" s="143"/>
      <c r="B231" s="143"/>
      <c r="C231" s="147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</row>
    <row r="232" ht="12.0" customHeight="1">
      <c r="A232" s="143"/>
      <c r="B232" s="143"/>
      <c r="C232" s="147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</row>
    <row r="233" ht="12.0" customHeight="1">
      <c r="A233" s="143"/>
      <c r="B233" s="143"/>
      <c r="C233" s="147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</row>
    <row r="234" ht="12.0" customHeight="1">
      <c r="A234" s="143"/>
      <c r="B234" s="143"/>
      <c r="C234" s="147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</row>
    <row r="235" ht="12.0" customHeight="1">
      <c r="A235" s="143"/>
      <c r="B235" s="143"/>
      <c r="C235" s="147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</row>
    <row r="236" ht="12.0" customHeight="1">
      <c r="A236" s="143"/>
      <c r="B236" s="143"/>
      <c r="C236" s="147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</row>
    <row r="237" ht="12.0" customHeight="1">
      <c r="A237" s="143"/>
      <c r="B237" s="143"/>
      <c r="C237" s="147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</row>
    <row r="238" ht="12.0" customHeight="1">
      <c r="A238" s="143"/>
      <c r="B238" s="143"/>
      <c r="C238" s="147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</row>
    <row r="239" ht="12.0" customHeight="1">
      <c r="A239" s="143"/>
      <c r="B239" s="143"/>
      <c r="C239" s="147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</row>
    <row r="240" ht="12.0" customHeight="1">
      <c r="A240" s="143"/>
      <c r="B240" s="143"/>
      <c r="C240" s="147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</row>
    <row r="241" ht="12.0" customHeight="1">
      <c r="A241" s="143"/>
      <c r="B241" s="143"/>
      <c r="C241" s="147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</row>
    <row r="242" ht="12.0" customHeight="1">
      <c r="A242" s="143"/>
      <c r="B242" s="143"/>
      <c r="C242" s="147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</row>
    <row r="243" ht="12.0" customHeight="1">
      <c r="A243" s="143"/>
      <c r="B243" s="143"/>
      <c r="C243" s="147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</row>
    <row r="244" ht="12.0" customHeight="1">
      <c r="A244" s="143"/>
      <c r="B244" s="143"/>
      <c r="C244" s="147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</row>
    <row r="245" ht="12.0" customHeight="1">
      <c r="A245" s="143"/>
      <c r="B245" s="143"/>
      <c r="C245" s="147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</row>
    <row r="246" ht="12.0" customHeight="1">
      <c r="A246" s="143"/>
      <c r="B246" s="143"/>
      <c r="C246" s="147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</row>
    <row r="247" ht="12.0" customHeight="1">
      <c r="A247" s="143"/>
      <c r="B247" s="143"/>
      <c r="C247" s="147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</row>
    <row r="248" ht="12.0" customHeight="1">
      <c r="A248" s="143"/>
      <c r="B248" s="143"/>
      <c r="C248" s="147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</row>
    <row r="249" ht="12.0" customHeight="1">
      <c r="A249" s="143"/>
      <c r="B249" s="143"/>
      <c r="C249" s="147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</row>
    <row r="250" ht="12.0" customHeight="1">
      <c r="A250" s="143"/>
      <c r="B250" s="143"/>
      <c r="C250" s="147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</row>
    <row r="251" ht="12.0" customHeight="1">
      <c r="A251" s="143"/>
      <c r="B251" s="143"/>
      <c r="C251" s="147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</row>
    <row r="252" ht="12.0" customHeight="1">
      <c r="A252" s="143"/>
      <c r="B252" s="143"/>
      <c r="C252" s="147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</row>
    <row r="253" ht="12.0" customHeight="1">
      <c r="A253" s="143"/>
      <c r="B253" s="143"/>
      <c r="C253" s="147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</row>
    <row r="254" ht="12.0" customHeight="1">
      <c r="A254" s="143"/>
      <c r="B254" s="143"/>
      <c r="C254" s="147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</row>
    <row r="255" ht="12.0" customHeight="1">
      <c r="A255" s="143"/>
      <c r="B255" s="143"/>
      <c r="C255" s="147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</row>
    <row r="256" ht="12.0" customHeight="1">
      <c r="A256" s="143"/>
      <c r="B256" s="143"/>
      <c r="C256" s="147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</row>
    <row r="257" ht="12.0" customHeight="1">
      <c r="A257" s="143"/>
      <c r="B257" s="143"/>
      <c r="C257" s="147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</row>
    <row r="258" ht="12.0" customHeight="1">
      <c r="A258" s="143"/>
      <c r="B258" s="143"/>
      <c r="C258" s="147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</row>
    <row r="259" ht="12.0" customHeight="1">
      <c r="A259" s="143"/>
      <c r="B259" s="143"/>
      <c r="C259" s="147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</row>
    <row r="260" ht="12.0" customHeight="1">
      <c r="A260" s="143"/>
      <c r="B260" s="143"/>
      <c r="C260" s="147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</row>
    <row r="261" ht="12.0" customHeight="1">
      <c r="A261" s="143"/>
      <c r="B261" s="143"/>
      <c r="C261" s="147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</row>
    <row r="262" ht="12.0" customHeight="1">
      <c r="A262" s="143"/>
      <c r="B262" s="143"/>
      <c r="C262" s="147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</row>
    <row r="263" ht="12.0" customHeight="1">
      <c r="A263" s="143"/>
      <c r="B263" s="143"/>
      <c r="C263" s="147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</row>
    <row r="264" ht="12.0" customHeight="1">
      <c r="A264" s="143"/>
      <c r="B264" s="143"/>
      <c r="C264" s="147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</row>
    <row r="265" ht="12.0" customHeight="1">
      <c r="A265" s="143"/>
      <c r="B265" s="143"/>
      <c r="C265" s="147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</row>
    <row r="266" ht="12.0" customHeight="1">
      <c r="A266" s="143"/>
      <c r="B266" s="143"/>
      <c r="C266" s="147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</row>
    <row r="267" ht="12.0" customHeight="1">
      <c r="A267" s="143"/>
      <c r="B267" s="143"/>
      <c r="C267" s="147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</row>
    <row r="268" ht="12.0" customHeight="1">
      <c r="A268" s="143"/>
      <c r="B268" s="143"/>
      <c r="C268" s="147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</row>
    <row r="269" ht="12.0" customHeight="1">
      <c r="A269" s="143"/>
      <c r="B269" s="143"/>
      <c r="C269" s="147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</row>
    <row r="270" ht="12.0" customHeight="1">
      <c r="A270" s="143"/>
      <c r="B270" s="143"/>
      <c r="C270" s="147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</row>
    <row r="271" ht="12.0" customHeight="1">
      <c r="A271" s="143"/>
      <c r="B271" s="143"/>
      <c r="C271" s="147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</row>
    <row r="272" ht="12.0" customHeight="1">
      <c r="A272" s="143"/>
      <c r="B272" s="143"/>
      <c r="C272" s="147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</row>
    <row r="273" ht="12.0" customHeight="1">
      <c r="A273" s="143"/>
      <c r="B273" s="143"/>
      <c r="C273" s="147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</row>
    <row r="274" ht="12.0" customHeight="1">
      <c r="A274" s="143"/>
      <c r="B274" s="143"/>
      <c r="C274" s="147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</row>
    <row r="275" ht="12.0" customHeight="1">
      <c r="A275" s="143"/>
      <c r="B275" s="143"/>
      <c r="C275" s="147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</row>
    <row r="276" ht="12.0" customHeight="1">
      <c r="A276" s="143"/>
      <c r="B276" s="143"/>
      <c r="C276" s="147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</row>
    <row r="277" ht="12.0" customHeight="1">
      <c r="A277" s="143"/>
      <c r="B277" s="143"/>
      <c r="C277" s="147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</row>
    <row r="278" ht="12.0" customHeight="1">
      <c r="A278" s="143"/>
      <c r="B278" s="143"/>
      <c r="C278" s="147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</row>
    <row r="279" ht="12.0" customHeight="1">
      <c r="A279" s="143"/>
      <c r="B279" s="143"/>
      <c r="C279" s="147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</row>
    <row r="280" ht="12.0" customHeight="1">
      <c r="A280" s="143"/>
      <c r="B280" s="143"/>
      <c r="C280" s="147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</row>
    <row r="281" ht="12.0" customHeight="1">
      <c r="A281" s="143"/>
      <c r="B281" s="143"/>
      <c r="C281" s="147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</row>
    <row r="282" ht="12.0" customHeight="1">
      <c r="A282" s="143"/>
      <c r="B282" s="143"/>
      <c r="C282" s="147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</row>
    <row r="283" ht="12.0" customHeight="1">
      <c r="A283" s="143"/>
      <c r="B283" s="143"/>
      <c r="C283" s="147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</row>
    <row r="284" ht="12.0" customHeight="1">
      <c r="A284" s="143"/>
      <c r="B284" s="143"/>
      <c r="C284" s="147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</row>
    <row r="285" ht="12.0" customHeight="1">
      <c r="A285" s="143"/>
      <c r="B285" s="143"/>
      <c r="C285" s="147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</row>
    <row r="286" ht="12.0" customHeight="1">
      <c r="A286" s="143"/>
      <c r="B286" s="143"/>
      <c r="C286" s="147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</row>
    <row r="287" ht="12.0" customHeight="1">
      <c r="A287" s="143"/>
      <c r="B287" s="143"/>
      <c r="C287" s="147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</row>
    <row r="288" ht="12.0" customHeight="1">
      <c r="A288" s="143"/>
      <c r="B288" s="143"/>
      <c r="C288" s="147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</row>
    <row r="289" ht="12.0" customHeight="1">
      <c r="A289" s="143"/>
      <c r="B289" s="143"/>
      <c r="C289" s="147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</row>
    <row r="290" ht="12.0" customHeight="1">
      <c r="A290" s="143"/>
      <c r="B290" s="143"/>
      <c r="C290" s="147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</row>
    <row r="291" ht="12.0" customHeight="1">
      <c r="A291" s="143"/>
      <c r="B291" s="143"/>
      <c r="C291" s="147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</row>
    <row r="292" ht="12.0" customHeight="1">
      <c r="A292" s="143"/>
      <c r="B292" s="143"/>
      <c r="C292" s="147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</row>
    <row r="293" ht="12.0" customHeight="1">
      <c r="A293" s="143"/>
      <c r="B293" s="143"/>
      <c r="C293" s="147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</row>
    <row r="294" ht="12.0" customHeight="1">
      <c r="A294" s="143"/>
      <c r="B294" s="143"/>
      <c r="C294" s="147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</row>
    <row r="295" ht="12.0" customHeight="1">
      <c r="A295" s="143"/>
      <c r="B295" s="143"/>
      <c r="C295" s="147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</row>
    <row r="296" ht="12.0" customHeight="1">
      <c r="A296" s="143"/>
      <c r="B296" s="143"/>
      <c r="C296" s="147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</row>
    <row r="297" ht="12.0" customHeight="1">
      <c r="A297" s="143"/>
      <c r="B297" s="143"/>
      <c r="C297" s="147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</row>
    <row r="298" ht="12.0" customHeight="1">
      <c r="A298" s="143"/>
      <c r="B298" s="143"/>
      <c r="C298" s="147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</row>
    <row r="299" ht="12.0" customHeight="1">
      <c r="A299" s="143"/>
      <c r="B299" s="143"/>
      <c r="C299" s="147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</row>
    <row r="300" ht="12.0" customHeight="1">
      <c r="A300" s="143"/>
      <c r="B300" s="143"/>
      <c r="C300" s="147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</row>
    <row r="301" ht="12.0" customHeight="1">
      <c r="A301" s="143"/>
      <c r="B301" s="143"/>
      <c r="C301" s="147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</row>
    <row r="302" ht="12.0" customHeight="1">
      <c r="A302" s="143"/>
      <c r="B302" s="143"/>
      <c r="C302" s="147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</row>
    <row r="303" ht="12.0" customHeight="1">
      <c r="A303" s="143"/>
      <c r="B303" s="143"/>
      <c r="C303" s="147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</row>
    <row r="304" ht="12.0" customHeight="1">
      <c r="A304" s="143"/>
      <c r="B304" s="143"/>
      <c r="C304" s="147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</row>
    <row r="305" ht="12.0" customHeight="1">
      <c r="A305" s="143"/>
      <c r="B305" s="143"/>
      <c r="C305" s="147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</row>
    <row r="306" ht="12.0" customHeight="1">
      <c r="A306" s="143"/>
      <c r="B306" s="143"/>
      <c r="C306" s="147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</row>
    <row r="307" ht="12.0" customHeight="1">
      <c r="A307" s="143"/>
      <c r="B307" s="143"/>
      <c r="C307" s="147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</row>
    <row r="308" ht="12.0" customHeight="1">
      <c r="A308" s="143"/>
      <c r="B308" s="143"/>
      <c r="C308" s="147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</row>
    <row r="309" ht="12.0" customHeight="1">
      <c r="A309" s="143"/>
      <c r="B309" s="143"/>
      <c r="C309" s="147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</row>
    <row r="310" ht="12.0" customHeight="1">
      <c r="A310" s="143"/>
      <c r="B310" s="143"/>
      <c r="C310" s="147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</row>
    <row r="311" ht="12.0" customHeight="1">
      <c r="A311" s="143"/>
      <c r="B311" s="143"/>
      <c r="C311" s="147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</row>
    <row r="312" ht="12.0" customHeight="1">
      <c r="A312" s="143"/>
      <c r="B312" s="143"/>
      <c r="C312" s="147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</row>
    <row r="313" ht="12.0" customHeight="1">
      <c r="A313" s="143"/>
      <c r="B313" s="143"/>
      <c r="C313" s="147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</row>
    <row r="314" ht="12.0" customHeight="1">
      <c r="A314" s="143"/>
      <c r="B314" s="143"/>
      <c r="C314" s="147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</row>
    <row r="315" ht="12.0" customHeight="1">
      <c r="A315" s="143"/>
      <c r="B315" s="143"/>
      <c r="C315" s="147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</row>
    <row r="316" ht="12.0" customHeight="1">
      <c r="A316" s="143"/>
      <c r="B316" s="143"/>
      <c r="C316" s="147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</row>
    <row r="317" ht="12.0" customHeight="1">
      <c r="A317" s="143"/>
      <c r="B317" s="143"/>
      <c r="C317" s="147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</row>
    <row r="318" ht="12.0" customHeight="1">
      <c r="A318" s="143"/>
      <c r="B318" s="143"/>
      <c r="C318" s="147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</row>
    <row r="319" ht="12.0" customHeight="1">
      <c r="A319" s="143"/>
      <c r="B319" s="143"/>
      <c r="C319" s="147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</row>
    <row r="320" ht="12.0" customHeight="1">
      <c r="A320" s="143"/>
      <c r="B320" s="143"/>
      <c r="C320" s="147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</row>
    <row r="321" ht="12.0" customHeight="1">
      <c r="A321" s="143"/>
      <c r="B321" s="143"/>
      <c r="C321" s="147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</row>
    <row r="322" ht="12.0" customHeight="1">
      <c r="A322" s="143"/>
      <c r="B322" s="143"/>
      <c r="C322" s="147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</row>
    <row r="323" ht="12.0" customHeight="1">
      <c r="A323" s="143"/>
      <c r="B323" s="143"/>
      <c r="C323" s="147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</row>
    <row r="324" ht="12.0" customHeight="1">
      <c r="A324" s="143"/>
      <c r="B324" s="143"/>
      <c r="C324" s="147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</row>
    <row r="325" ht="12.0" customHeight="1">
      <c r="A325" s="143"/>
      <c r="B325" s="143"/>
      <c r="C325" s="147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</row>
    <row r="326" ht="12.0" customHeight="1">
      <c r="A326" s="143"/>
      <c r="B326" s="143"/>
      <c r="C326" s="147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</row>
    <row r="327" ht="12.0" customHeight="1">
      <c r="A327" s="143"/>
      <c r="B327" s="143"/>
      <c r="C327" s="147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</row>
    <row r="328" ht="12.0" customHeight="1">
      <c r="A328" s="143"/>
      <c r="B328" s="143"/>
      <c r="C328" s="147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</row>
    <row r="329" ht="12.0" customHeight="1">
      <c r="A329" s="143"/>
      <c r="B329" s="143"/>
      <c r="C329" s="147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</row>
    <row r="330" ht="12.0" customHeight="1">
      <c r="A330" s="143"/>
      <c r="B330" s="143"/>
      <c r="C330" s="147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</row>
    <row r="331" ht="12.0" customHeight="1">
      <c r="A331" s="143"/>
      <c r="B331" s="143"/>
      <c r="C331" s="147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</row>
    <row r="332" ht="12.0" customHeight="1">
      <c r="A332" s="143"/>
      <c r="B332" s="143"/>
      <c r="C332" s="147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</row>
    <row r="333" ht="12.0" customHeight="1">
      <c r="A333" s="143"/>
      <c r="B333" s="143"/>
      <c r="C333" s="147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</row>
    <row r="334" ht="12.0" customHeight="1">
      <c r="A334" s="143"/>
      <c r="B334" s="143"/>
      <c r="C334" s="147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</row>
    <row r="335" ht="12.0" customHeight="1">
      <c r="A335" s="143"/>
      <c r="B335" s="143"/>
      <c r="C335" s="147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</row>
    <row r="336" ht="12.0" customHeight="1">
      <c r="A336" s="143"/>
      <c r="B336" s="143"/>
      <c r="C336" s="147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</row>
    <row r="337" ht="12.0" customHeight="1">
      <c r="A337" s="143"/>
      <c r="B337" s="143"/>
      <c r="C337" s="147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</row>
    <row r="338" ht="12.0" customHeight="1">
      <c r="A338" s="143"/>
      <c r="B338" s="143"/>
      <c r="C338" s="147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</row>
    <row r="339" ht="12.0" customHeight="1">
      <c r="A339" s="143"/>
      <c r="B339" s="143"/>
      <c r="C339" s="147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</row>
    <row r="340" ht="12.0" customHeight="1">
      <c r="A340" s="143"/>
      <c r="B340" s="143"/>
      <c r="C340" s="147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</row>
    <row r="341" ht="12.0" customHeight="1">
      <c r="A341" s="143"/>
      <c r="B341" s="143"/>
      <c r="C341" s="147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</row>
    <row r="342" ht="12.0" customHeight="1">
      <c r="A342" s="143"/>
      <c r="B342" s="143"/>
      <c r="C342" s="147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</row>
    <row r="343" ht="12.0" customHeight="1">
      <c r="A343" s="143"/>
      <c r="B343" s="143"/>
      <c r="C343" s="147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</row>
    <row r="344" ht="12.0" customHeight="1">
      <c r="A344" s="143"/>
      <c r="B344" s="143"/>
      <c r="C344" s="147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</row>
    <row r="345" ht="12.0" customHeight="1">
      <c r="A345" s="143"/>
      <c r="B345" s="143"/>
      <c r="C345" s="147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</row>
    <row r="346" ht="12.0" customHeight="1">
      <c r="A346" s="143"/>
      <c r="B346" s="143"/>
      <c r="C346" s="147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</row>
    <row r="347" ht="12.0" customHeight="1">
      <c r="A347" s="143"/>
      <c r="B347" s="143"/>
      <c r="C347" s="147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</row>
    <row r="348" ht="12.0" customHeight="1">
      <c r="A348" s="143"/>
      <c r="B348" s="143"/>
      <c r="C348" s="147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</row>
    <row r="349" ht="12.0" customHeight="1">
      <c r="A349" s="143"/>
      <c r="B349" s="143"/>
      <c r="C349" s="147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</row>
    <row r="350" ht="12.0" customHeight="1">
      <c r="A350" s="143"/>
      <c r="B350" s="143"/>
      <c r="C350" s="147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</row>
    <row r="351" ht="12.0" customHeight="1">
      <c r="A351" s="143"/>
      <c r="B351" s="143"/>
      <c r="C351" s="147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</row>
    <row r="352" ht="12.0" customHeight="1">
      <c r="A352" s="143"/>
      <c r="B352" s="143"/>
      <c r="C352" s="147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</row>
    <row r="353" ht="12.0" customHeight="1">
      <c r="A353" s="143"/>
      <c r="B353" s="143"/>
      <c r="C353" s="147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</row>
    <row r="354" ht="12.0" customHeight="1">
      <c r="A354" s="143"/>
      <c r="B354" s="143"/>
      <c r="C354" s="147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</row>
    <row r="355" ht="12.0" customHeight="1">
      <c r="A355" s="143"/>
      <c r="B355" s="143"/>
      <c r="C355" s="147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</row>
    <row r="356" ht="12.0" customHeight="1">
      <c r="A356" s="143"/>
      <c r="B356" s="143"/>
      <c r="C356" s="147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</row>
    <row r="357" ht="12.0" customHeight="1">
      <c r="A357" s="143"/>
      <c r="B357" s="143"/>
      <c r="C357" s="147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</row>
    <row r="358" ht="12.0" customHeight="1">
      <c r="A358" s="143"/>
      <c r="B358" s="143"/>
      <c r="C358" s="147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</row>
    <row r="359" ht="12.0" customHeight="1">
      <c r="A359" s="143"/>
      <c r="B359" s="143"/>
      <c r="C359" s="147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</row>
    <row r="360" ht="12.0" customHeight="1">
      <c r="A360" s="143"/>
      <c r="B360" s="143"/>
      <c r="C360" s="147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</row>
    <row r="361" ht="12.0" customHeight="1">
      <c r="A361" s="143"/>
      <c r="B361" s="143"/>
      <c r="C361" s="147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</row>
    <row r="362" ht="12.0" customHeight="1">
      <c r="A362" s="143"/>
      <c r="B362" s="143"/>
      <c r="C362" s="147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</row>
    <row r="363" ht="12.0" customHeight="1">
      <c r="A363" s="143"/>
      <c r="B363" s="143"/>
      <c r="C363" s="147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</row>
    <row r="364" ht="12.0" customHeight="1">
      <c r="A364" s="143"/>
      <c r="B364" s="143"/>
      <c r="C364" s="147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</row>
    <row r="365" ht="12.0" customHeight="1">
      <c r="A365" s="143"/>
      <c r="B365" s="143"/>
      <c r="C365" s="147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</row>
    <row r="366" ht="12.0" customHeight="1">
      <c r="A366" s="143"/>
      <c r="B366" s="143"/>
      <c r="C366" s="147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</row>
    <row r="367" ht="12.0" customHeight="1">
      <c r="A367" s="143"/>
      <c r="B367" s="143"/>
      <c r="C367" s="147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</row>
    <row r="368" ht="12.0" customHeight="1">
      <c r="A368" s="143"/>
      <c r="B368" s="143"/>
      <c r="C368" s="147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</row>
    <row r="369" ht="12.0" customHeight="1">
      <c r="A369" s="143"/>
      <c r="B369" s="143"/>
      <c r="C369" s="147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</row>
    <row r="370" ht="12.0" customHeight="1">
      <c r="A370" s="143"/>
      <c r="B370" s="143"/>
      <c r="C370" s="147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</row>
    <row r="371" ht="12.0" customHeight="1">
      <c r="A371" s="143"/>
      <c r="B371" s="143"/>
      <c r="C371" s="147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</row>
    <row r="372" ht="12.0" customHeight="1">
      <c r="A372" s="143"/>
      <c r="B372" s="143"/>
      <c r="C372" s="147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</row>
    <row r="373" ht="12.0" customHeight="1">
      <c r="A373" s="143"/>
      <c r="B373" s="143"/>
      <c r="C373" s="147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</row>
    <row r="374" ht="12.0" customHeight="1">
      <c r="A374" s="143"/>
      <c r="B374" s="143"/>
      <c r="C374" s="147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</row>
    <row r="375" ht="12.0" customHeight="1">
      <c r="A375" s="143"/>
      <c r="B375" s="143"/>
      <c r="C375" s="147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</row>
    <row r="376" ht="12.0" customHeight="1">
      <c r="A376" s="143"/>
      <c r="B376" s="143"/>
      <c r="C376" s="147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</row>
    <row r="377" ht="12.0" customHeight="1">
      <c r="A377" s="143"/>
      <c r="B377" s="143"/>
      <c r="C377" s="147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</row>
    <row r="378" ht="12.0" customHeight="1">
      <c r="A378" s="143"/>
      <c r="B378" s="143"/>
      <c r="C378" s="147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</row>
    <row r="379" ht="12.0" customHeight="1">
      <c r="A379" s="143"/>
      <c r="B379" s="143"/>
      <c r="C379" s="147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</row>
    <row r="380" ht="12.0" customHeight="1">
      <c r="A380" s="143"/>
      <c r="B380" s="143"/>
      <c r="C380" s="147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</row>
    <row r="381" ht="12.0" customHeight="1">
      <c r="A381" s="143"/>
      <c r="B381" s="143"/>
      <c r="C381" s="147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</row>
    <row r="382" ht="12.0" customHeight="1">
      <c r="A382" s="143"/>
      <c r="B382" s="143"/>
      <c r="C382" s="147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</row>
    <row r="383" ht="12.0" customHeight="1">
      <c r="A383" s="143"/>
      <c r="B383" s="143"/>
      <c r="C383" s="147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</row>
    <row r="384" ht="12.0" customHeight="1">
      <c r="A384" s="143"/>
      <c r="B384" s="143"/>
      <c r="C384" s="147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</row>
    <row r="385" ht="12.0" customHeight="1">
      <c r="A385" s="143"/>
      <c r="B385" s="143"/>
      <c r="C385" s="147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</row>
    <row r="386" ht="12.0" customHeight="1">
      <c r="A386" s="143"/>
      <c r="B386" s="143"/>
      <c r="C386" s="147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</row>
    <row r="387" ht="12.0" customHeight="1">
      <c r="A387" s="143"/>
      <c r="B387" s="143"/>
      <c r="C387" s="147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</row>
    <row r="388" ht="12.0" customHeight="1">
      <c r="A388" s="143"/>
      <c r="B388" s="143"/>
      <c r="C388" s="147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</row>
    <row r="389" ht="12.0" customHeight="1">
      <c r="A389" s="143"/>
      <c r="B389" s="143"/>
      <c r="C389" s="147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</row>
    <row r="390" ht="12.0" customHeight="1">
      <c r="A390" s="143"/>
      <c r="B390" s="143"/>
      <c r="C390" s="147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</row>
    <row r="391" ht="12.0" customHeight="1">
      <c r="A391" s="143"/>
      <c r="B391" s="143"/>
      <c r="C391" s="147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</row>
    <row r="392" ht="12.0" customHeight="1">
      <c r="A392" s="143"/>
      <c r="B392" s="143"/>
      <c r="C392" s="147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</row>
    <row r="393" ht="12.0" customHeight="1">
      <c r="A393" s="143"/>
      <c r="B393" s="143"/>
      <c r="C393" s="147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</row>
    <row r="394" ht="12.0" customHeight="1">
      <c r="A394" s="143"/>
      <c r="B394" s="143"/>
      <c r="C394" s="147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</row>
    <row r="395" ht="12.0" customHeight="1">
      <c r="A395" s="143"/>
      <c r="B395" s="143"/>
      <c r="C395" s="147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</row>
    <row r="396" ht="12.0" customHeight="1">
      <c r="A396" s="143"/>
      <c r="B396" s="143"/>
      <c r="C396" s="147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</row>
    <row r="397" ht="12.0" customHeight="1">
      <c r="A397" s="143"/>
      <c r="B397" s="143"/>
      <c r="C397" s="147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</row>
    <row r="398" ht="12.0" customHeight="1">
      <c r="A398" s="143"/>
      <c r="B398" s="143"/>
      <c r="C398" s="147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</row>
    <row r="399" ht="12.0" customHeight="1">
      <c r="A399" s="143"/>
      <c r="B399" s="143"/>
      <c r="C399" s="147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</row>
    <row r="400" ht="12.0" customHeight="1">
      <c r="A400" s="143"/>
      <c r="B400" s="143"/>
      <c r="C400" s="147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</row>
    <row r="401" ht="12.0" customHeight="1">
      <c r="A401" s="143"/>
      <c r="B401" s="143"/>
      <c r="C401" s="147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</row>
    <row r="402" ht="12.0" customHeight="1">
      <c r="A402" s="143"/>
      <c r="B402" s="143"/>
      <c r="C402" s="147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</row>
    <row r="403" ht="12.0" customHeight="1">
      <c r="A403" s="143"/>
      <c r="B403" s="143"/>
      <c r="C403" s="147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</row>
    <row r="404" ht="12.0" customHeight="1">
      <c r="A404" s="143"/>
      <c r="B404" s="143"/>
      <c r="C404" s="147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</row>
    <row r="405" ht="12.0" customHeight="1">
      <c r="A405" s="143"/>
      <c r="B405" s="143"/>
      <c r="C405" s="147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</row>
    <row r="406" ht="12.0" customHeight="1">
      <c r="A406" s="143"/>
      <c r="B406" s="143"/>
      <c r="C406" s="147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</row>
    <row r="407" ht="12.0" customHeight="1">
      <c r="A407" s="143"/>
      <c r="B407" s="143"/>
      <c r="C407" s="147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</row>
    <row r="408" ht="12.0" customHeight="1">
      <c r="A408" s="143"/>
      <c r="B408" s="143"/>
      <c r="C408" s="147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</row>
    <row r="409" ht="12.0" customHeight="1">
      <c r="A409" s="143"/>
      <c r="B409" s="143"/>
      <c r="C409" s="147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</row>
    <row r="410" ht="12.0" customHeight="1">
      <c r="A410" s="143"/>
      <c r="B410" s="143"/>
      <c r="C410" s="147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</row>
    <row r="411" ht="12.0" customHeight="1">
      <c r="A411" s="143"/>
      <c r="B411" s="143"/>
      <c r="C411" s="147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</row>
    <row r="412" ht="12.0" customHeight="1">
      <c r="A412" s="143"/>
      <c r="B412" s="143"/>
      <c r="C412" s="147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</row>
    <row r="413" ht="12.0" customHeight="1">
      <c r="A413" s="143"/>
      <c r="B413" s="143"/>
      <c r="C413" s="147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</row>
    <row r="414" ht="12.0" customHeight="1">
      <c r="A414" s="143"/>
      <c r="B414" s="143"/>
      <c r="C414" s="147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</row>
    <row r="415" ht="12.0" customHeight="1">
      <c r="A415" s="143"/>
      <c r="B415" s="143"/>
      <c r="C415" s="147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</row>
    <row r="416" ht="12.0" customHeight="1">
      <c r="A416" s="143"/>
      <c r="B416" s="143"/>
      <c r="C416" s="147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</row>
    <row r="417" ht="12.0" customHeight="1">
      <c r="A417" s="143"/>
      <c r="B417" s="143"/>
      <c r="C417" s="147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</row>
    <row r="418" ht="12.0" customHeight="1">
      <c r="A418" s="143"/>
      <c r="B418" s="143"/>
      <c r="C418" s="147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</row>
    <row r="419" ht="12.0" customHeight="1">
      <c r="A419" s="143"/>
      <c r="B419" s="143"/>
      <c r="C419" s="147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</row>
    <row r="420" ht="12.0" customHeight="1">
      <c r="A420" s="143"/>
      <c r="B420" s="143"/>
      <c r="C420" s="147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</row>
    <row r="421" ht="12.0" customHeight="1">
      <c r="A421" s="143"/>
      <c r="B421" s="143"/>
      <c r="C421" s="147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</row>
    <row r="422" ht="12.0" customHeight="1">
      <c r="A422" s="143"/>
      <c r="B422" s="143"/>
      <c r="C422" s="147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</row>
    <row r="423" ht="12.0" customHeight="1">
      <c r="A423" s="143"/>
      <c r="B423" s="143"/>
      <c r="C423" s="147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</row>
    <row r="424" ht="12.0" customHeight="1">
      <c r="A424" s="143"/>
      <c r="B424" s="143"/>
      <c r="C424" s="147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</row>
    <row r="425" ht="12.0" customHeight="1">
      <c r="A425" s="143"/>
      <c r="B425" s="143"/>
      <c r="C425" s="147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</row>
    <row r="426" ht="12.0" customHeight="1">
      <c r="A426" s="143"/>
      <c r="B426" s="143"/>
      <c r="C426" s="147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</row>
    <row r="427" ht="12.0" customHeight="1">
      <c r="A427" s="143"/>
      <c r="B427" s="143"/>
      <c r="C427" s="147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</row>
    <row r="428" ht="12.0" customHeight="1">
      <c r="A428" s="143"/>
      <c r="B428" s="143"/>
      <c r="C428" s="147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</row>
    <row r="429" ht="12.0" customHeight="1">
      <c r="A429" s="143"/>
      <c r="B429" s="143"/>
      <c r="C429" s="147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</row>
    <row r="430" ht="12.0" customHeight="1">
      <c r="A430" s="143"/>
      <c r="B430" s="143"/>
      <c r="C430" s="147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</row>
    <row r="431" ht="12.0" customHeight="1">
      <c r="A431" s="143"/>
      <c r="B431" s="143"/>
      <c r="C431" s="147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</row>
    <row r="432" ht="12.0" customHeight="1">
      <c r="A432" s="143"/>
      <c r="B432" s="143"/>
      <c r="C432" s="147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</row>
    <row r="433" ht="12.0" customHeight="1">
      <c r="A433" s="143"/>
      <c r="B433" s="143"/>
      <c r="C433" s="147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</row>
    <row r="434" ht="12.0" customHeight="1">
      <c r="A434" s="143"/>
      <c r="B434" s="143"/>
      <c r="C434" s="147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</row>
    <row r="435" ht="12.0" customHeight="1">
      <c r="A435" s="143"/>
      <c r="B435" s="143"/>
      <c r="C435" s="147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</row>
    <row r="436" ht="12.0" customHeight="1">
      <c r="A436" s="143"/>
      <c r="B436" s="143"/>
      <c r="C436" s="147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</row>
    <row r="437" ht="12.0" customHeight="1">
      <c r="A437" s="143"/>
      <c r="B437" s="143"/>
      <c r="C437" s="147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</row>
    <row r="438" ht="12.0" customHeight="1">
      <c r="A438" s="143"/>
      <c r="B438" s="143"/>
      <c r="C438" s="147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</row>
    <row r="439" ht="12.0" customHeight="1">
      <c r="A439" s="143"/>
      <c r="B439" s="143"/>
      <c r="C439" s="147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</row>
    <row r="440" ht="12.0" customHeight="1">
      <c r="A440" s="143"/>
      <c r="B440" s="143"/>
      <c r="C440" s="147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</row>
    <row r="441" ht="12.0" customHeight="1">
      <c r="A441" s="143"/>
      <c r="B441" s="143"/>
      <c r="C441" s="147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</row>
    <row r="442" ht="12.0" customHeight="1">
      <c r="A442" s="143"/>
      <c r="B442" s="143"/>
      <c r="C442" s="147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</row>
    <row r="443" ht="12.0" customHeight="1">
      <c r="A443" s="143"/>
      <c r="B443" s="143"/>
      <c r="C443" s="147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</row>
    <row r="444" ht="12.0" customHeight="1">
      <c r="A444" s="143"/>
      <c r="B444" s="143"/>
      <c r="C444" s="147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</row>
    <row r="445" ht="12.0" customHeight="1">
      <c r="A445" s="143"/>
      <c r="B445" s="143"/>
      <c r="C445" s="147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</row>
    <row r="446" ht="12.0" customHeight="1">
      <c r="A446" s="143"/>
      <c r="B446" s="143"/>
      <c r="C446" s="147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</row>
    <row r="447" ht="12.0" customHeight="1">
      <c r="A447" s="143"/>
      <c r="B447" s="143"/>
      <c r="C447" s="147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</row>
    <row r="448" ht="12.0" customHeight="1">
      <c r="A448" s="143"/>
      <c r="B448" s="143"/>
      <c r="C448" s="147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</row>
    <row r="449" ht="12.0" customHeight="1">
      <c r="A449" s="143"/>
      <c r="B449" s="143"/>
      <c r="C449" s="147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</row>
    <row r="450" ht="12.0" customHeight="1">
      <c r="A450" s="143"/>
      <c r="B450" s="143"/>
      <c r="C450" s="147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</row>
    <row r="451" ht="12.0" customHeight="1">
      <c r="A451" s="143"/>
      <c r="B451" s="143"/>
      <c r="C451" s="147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</row>
    <row r="452" ht="12.0" customHeight="1">
      <c r="A452" s="143"/>
      <c r="B452" s="143"/>
      <c r="C452" s="147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</row>
    <row r="453" ht="12.0" customHeight="1">
      <c r="A453" s="143"/>
      <c r="B453" s="143"/>
      <c r="C453" s="147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</row>
    <row r="454" ht="12.0" customHeight="1">
      <c r="A454" s="143"/>
      <c r="B454" s="143"/>
      <c r="C454" s="147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</row>
    <row r="455" ht="12.0" customHeight="1">
      <c r="A455" s="143"/>
      <c r="B455" s="143"/>
      <c r="C455" s="147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</row>
    <row r="456" ht="12.0" customHeight="1">
      <c r="A456" s="143"/>
      <c r="B456" s="143"/>
      <c r="C456" s="147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</row>
    <row r="457" ht="12.0" customHeight="1">
      <c r="A457" s="143"/>
      <c r="B457" s="143"/>
      <c r="C457" s="147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</row>
    <row r="458" ht="12.0" customHeight="1">
      <c r="A458" s="143"/>
      <c r="B458" s="143"/>
      <c r="C458" s="147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</row>
    <row r="459" ht="12.0" customHeight="1">
      <c r="A459" s="143"/>
      <c r="B459" s="143"/>
      <c r="C459" s="147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</row>
    <row r="460" ht="12.0" customHeight="1">
      <c r="A460" s="143"/>
      <c r="B460" s="143"/>
      <c r="C460" s="147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</row>
    <row r="461" ht="12.0" customHeight="1">
      <c r="A461" s="143"/>
      <c r="B461" s="143"/>
      <c r="C461" s="147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</row>
    <row r="462" ht="12.0" customHeight="1">
      <c r="A462" s="143"/>
      <c r="B462" s="143"/>
      <c r="C462" s="147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</row>
    <row r="463" ht="12.0" customHeight="1">
      <c r="A463" s="143"/>
      <c r="B463" s="143"/>
      <c r="C463" s="147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</row>
    <row r="464" ht="12.0" customHeight="1">
      <c r="A464" s="143"/>
      <c r="B464" s="143"/>
      <c r="C464" s="147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</row>
    <row r="465" ht="12.0" customHeight="1">
      <c r="A465" s="143"/>
      <c r="B465" s="143"/>
      <c r="C465" s="147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</row>
    <row r="466" ht="12.0" customHeight="1">
      <c r="A466" s="143"/>
      <c r="B466" s="143"/>
      <c r="C466" s="147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</row>
    <row r="467" ht="12.0" customHeight="1">
      <c r="A467" s="143"/>
      <c r="B467" s="143"/>
      <c r="C467" s="147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</row>
    <row r="468" ht="12.0" customHeight="1">
      <c r="A468" s="143"/>
      <c r="B468" s="143"/>
      <c r="C468" s="147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</row>
    <row r="469" ht="12.0" customHeight="1">
      <c r="A469" s="143"/>
      <c r="B469" s="143"/>
      <c r="C469" s="147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</row>
    <row r="470" ht="12.0" customHeight="1">
      <c r="A470" s="143"/>
      <c r="B470" s="143"/>
      <c r="C470" s="147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</row>
    <row r="471" ht="12.0" customHeight="1">
      <c r="A471" s="143"/>
      <c r="B471" s="143"/>
      <c r="C471" s="147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</row>
    <row r="472" ht="12.0" customHeight="1">
      <c r="A472" s="143"/>
      <c r="B472" s="143"/>
      <c r="C472" s="147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</row>
    <row r="473" ht="12.0" customHeight="1">
      <c r="A473" s="143"/>
      <c r="B473" s="143"/>
      <c r="C473" s="147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</row>
    <row r="474" ht="12.0" customHeight="1">
      <c r="A474" s="143"/>
      <c r="B474" s="143"/>
      <c r="C474" s="147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</row>
    <row r="475" ht="12.0" customHeight="1">
      <c r="A475" s="143"/>
      <c r="B475" s="143"/>
      <c r="C475" s="147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</row>
    <row r="476" ht="12.0" customHeight="1">
      <c r="A476" s="143"/>
      <c r="B476" s="143"/>
      <c r="C476" s="147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</row>
    <row r="477" ht="12.0" customHeight="1">
      <c r="A477" s="143"/>
      <c r="B477" s="143"/>
      <c r="C477" s="147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</row>
    <row r="478" ht="12.0" customHeight="1">
      <c r="A478" s="143"/>
      <c r="B478" s="143"/>
      <c r="C478" s="147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</row>
    <row r="479" ht="12.0" customHeight="1">
      <c r="A479" s="143"/>
      <c r="B479" s="143"/>
      <c r="C479" s="147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</row>
    <row r="480" ht="12.0" customHeight="1">
      <c r="A480" s="143"/>
      <c r="B480" s="143"/>
      <c r="C480" s="147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</row>
    <row r="481" ht="12.0" customHeight="1">
      <c r="A481" s="143"/>
      <c r="B481" s="143"/>
      <c r="C481" s="147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</row>
    <row r="482" ht="12.0" customHeight="1">
      <c r="A482" s="143"/>
      <c r="B482" s="143"/>
      <c r="C482" s="147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</row>
    <row r="483" ht="12.0" customHeight="1">
      <c r="A483" s="143"/>
      <c r="B483" s="143"/>
      <c r="C483" s="147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</row>
    <row r="484" ht="12.0" customHeight="1">
      <c r="A484" s="143"/>
      <c r="B484" s="143"/>
      <c r="C484" s="147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</row>
    <row r="485" ht="12.0" customHeight="1">
      <c r="A485" s="143"/>
      <c r="B485" s="143"/>
      <c r="C485" s="147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</row>
    <row r="486" ht="12.0" customHeight="1">
      <c r="A486" s="143"/>
      <c r="B486" s="143"/>
      <c r="C486" s="147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</row>
    <row r="487" ht="12.0" customHeight="1">
      <c r="A487" s="143"/>
      <c r="B487" s="143"/>
      <c r="C487" s="147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</row>
    <row r="488" ht="12.0" customHeight="1">
      <c r="A488" s="143"/>
      <c r="B488" s="143"/>
      <c r="C488" s="147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</row>
    <row r="489" ht="12.0" customHeight="1">
      <c r="A489" s="143"/>
      <c r="B489" s="143"/>
      <c r="C489" s="147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</row>
    <row r="490" ht="12.0" customHeight="1">
      <c r="A490" s="143"/>
      <c r="B490" s="143"/>
      <c r="C490" s="147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</row>
    <row r="491" ht="12.0" customHeight="1">
      <c r="A491" s="143"/>
      <c r="B491" s="143"/>
      <c r="C491" s="147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</row>
    <row r="492" ht="12.0" customHeight="1">
      <c r="A492" s="143"/>
      <c r="B492" s="143"/>
      <c r="C492" s="147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</row>
    <row r="493" ht="12.0" customHeight="1">
      <c r="A493" s="143"/>
      <c r="B493" s="143"/>
      <c r="C493" s="147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</row>
    <row r="494" ht="12.0" customHeight="1">
      <c r="A494" s="143"/>
      <c r="B494" s="143"/>
      <c r="C494" s="147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</row>
    <row r="495" ht="12.0" customHeight="1">
      <c r="A495" s="143"/>
      <c r="B495" s="143"/>
      <c r="C495" s="147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</row>
    <row r="496" ht="12.0" customHeight="1">
      <c r="A496" s="143"/>
      <c r="B496" s="143"/>
      <c r="C496" s="147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</row>
    <row r="497" ht="12.0" customHeight="1">
      <c r="A497" s="143"/>
      <c r="B497" s="143"/>
      <c r="C497" s="147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</row>
    <row r="498" ht="12.0" customHeight="1">
      <c r="A498" s="143"/>
      <c r="B498" s="143"/>
      <c r="C498" s="147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</row>
    <row r="499" ht="12.0" customHeight="1">
      <c r="A499" s="143"/>
      <c r="B499" s="143"/>
      <c r="C499" s="147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</row>
    <row r="500" ht="12.0" customHeight="1">
      <c r="A500" s="143"/>
      <c r="B500" s="143"/>
      <c r="C500" s="147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</row>
    <row r="501" ht="12.0" customHeight="1">
      <c r="A501" s="143"/>
      <c r="B501" s="143"/>
      <c r="C501" s="147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</row>
    <row r="502" ht="12.0" customHeight="1">
      <c r="A502" s="143"/>
      <c r="B502" s="143"/>
      <c r="C502" s="147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</row>
    <row r="503" ht="12.0" customHeight="1">
      <c r="A503" s="143"/>
      <c r="B503" s="143"/>
      <c r="C503" s="147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</row>
    <row r="504" ht="12.0" customHeight="1">
      <c r="A504" s="143"/>
      <c r="B504" s="143"/>
      <c r="C504" s="147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</row>
    <row r="505" ht="12.0" customHeight="1">
      <c r="A505" s="143"/>
      <c r="B505" s="143"/>
      <c r="C505" s="147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</row>
    <row r="506" ht="12.0" customHeight="1">
      <c r="A506" s="143"/>
      <c r="B506" s="143"/>
      <c r="C506" s="147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</row>
    <row r="507" ht="12.0" customHeight="1">
      <c r="A507" s="143"/>
      <c r="B507" s="143"/>
      <c r="C507" s="147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</row>
    <row r="508" ht="12.0" customHeight="1">
      <c r="A508" s="143"/>
      <c r="B508" s="143"/>
      <c r="C508" s="147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</row>
    <row r="509" ht="12.0" customHeight="1">
      <c r="A509" s="143"/>
      <c r="B509" s="143"/>
      <c r="C509" s="147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</row>
    <row r="510" ht="12.0" customHeight="1">
      <c r="A510" s="143"/>
      <c r="B510" s="143"/>
      <c r="C510" s="147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</row>
    <row r="511" ht="12.0" customHeight="1">
      <c r="A511" s="143"/>
      <c r="B511" s="143"/>
      <c r="C511" s="147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</row>
    <row r="512" ht="12.0" customHeight="1">
      <c r="A512" s="143"/>
      <c r="B512" s="143"/>
      <c r="C512" s="147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</row>
    <row r="513" ht="12.0" customHeight="1">
      <c r="A513" s="143"/>
      <c r="B513" s="143"/>
      <c r="C513" s="147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</row>
    <row r="514" ht="12.0" customHeight="1">
      <c r="A514" s="143"/>
      <c r="B514" s="143"/>
      <c r="C514" s="147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</row>
    <row r="515" ht="12.0" customHeight="1">
      <c r="A515" s="143"/>
      <c r="B515" s="143"/>
      <c r="C515" s="147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</row>
    <row r="516" ht="12.0" customHeight="1">
      <c r="A516" s="143"/>
      <c r="B516" s="143"/>
      <c r="C516" s="147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</row>
    <row r="517" ht="12.0" customHeight="1">
      <c r="A517" s="143"/>
      <c r="B517" s="143"/>
      <c r="C517" s="147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</row>
    <row r="518" ht="12.0" customHeight="1">
      <c r="A518" s="143"/>
      <c r="B518" s="143"/>
      <c r="C518" s="147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</row>
    <row r="519" ht="12.0" customHeight="1">
      <c r="A519" s="143"/>
      <c r="B519" s="143"/>
      <c r="C519" s="147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</row>
    <row r="520" ht="12.0" customHeight="1">
      <c r="A520" s="143"/>
      <c r="B520" s="143"/>
      <c r="C520" s="147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</row>
    <row r="521" ht="12.0" customHeight="1">
      <c r="A521" s="143"/>
      <c r="B521" s="143"/>
      <c r="C521" s="147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</row>
    <row r="522" ht="12.0" customHeight="1">
      <c r="A522" s="143"/>
      <c r="B522" s="143"/>
      <c r="C522" s="147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</row>
    <row r="523" ht="12.0" customHeight="1">
      <c r="A523" s="143"/>
      <c r="B523" s="143"/>
      <c r="C523" s="147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</row>
    <row r="524" ht="12.0" customHeight="1">
      <c r="A524" s="143"/>
      <c r="B524" s="143"/>
      <c r="C524" s="147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</row>
    <row r="525" ht="12.0" customHeight="1">
      <c r="A525" s="143"/>
      <c r="B525" s="143"/>
      <c r="C525" s="147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</row>
    <row r="526" ht="12.0" customHeight="1">
      <c r="A526" s="143"/>
      <c r="B526" s="143"/>
      <c r="C526" s="147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</row>
    <row r="527" ht="12.0" customHeight="1">
      <c r="A527" s="143"/>
      <c r="B527" s="143"/>
      <c r="C527" s="147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</row>
    <row r="528" ht="12.0" customHeight="1">
      <c r="A528" s="143"/>
      <c r="B528" s="143"/>
      <c r="C528" s="147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</row>
    <row r="529" ht="12.0" customHeight="1">
      <c r="A529" s="143"/>
      <c r="B529" s="143"/>
      <c r="C529" s="147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</row>
    <row r="530" ht="12.0" customHeight="1">
      <c r="A530" s="143"/>
      <c r="B530" s="143"/>
      <c r="C530" s="147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</row>
    <row r="531" ht="12.0" customHeight="1">
      <c r="A531" s="143"/>
      <c r="B531" s="143"/>
      <c r="C531" s="147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</row>
    <row r="532" ht="12.0" customHeight="1">
      <c r="A532" s="143"/>
      <c r="B532" s="143"/>
      <c r="C532" s="147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</row>
    <row r="533" ht="12.0" customHeight="1">
      <c r="A533" s="143"/>
      <c r="B533" s="143"/>
      <c r="C533" s="147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</row>
    <row r="534" ht="12.0" customHeight="1">
      <c r="A534" s="143"/>
      <c r="B534" s="143"/>
      <c r="C534" s="147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</row>
    <row r="535" ht="12.0" customHeight="1">
      <c r="A535" s="143"/>
      <c r="B535" s="143"/>
      <c r="C535" s="147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</row>
    <row r="536" ht="12.0" customHeight="1">
      <c r="A536" s="143"/>
      <c r="B536" s="143"/>
      <c r="C536" s="147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</row>
    <row r="537" ht="12.0" customHeight="1">
      <c r="A537" s="143"/>
      <c r="B537" s="143"/>
      <c r="C537" s="147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</row>
    <row r="538" ht="12.0" customHeight="1">
      <c r="A538" s="143"/>
      <c r="B538" s="143"/>
      <c r="C538" s="147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</row>
    <row r="539" ht="12.0" customHeight="1">
      <c r="A539" s="143"/>
      <c r="B539" s="143"/>
      <c r="C539" s="147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</row>
    <row r="540" ht="12.0" customHeight="1">
      <c r="A540" s="143"/>
      <c r="B540" s="143"/>
      <c r="C540" s="147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</row>
    <row r="541" ht="12.0" customHeight="1">
      <c r="A541" s="143"/>
      <c r="B541" s="143"/>
      <c r="C541" s="147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</row>
    <row r="542" ht="12.0" customHeight="1">
      <c r="A542" s="143"/>
      <c r="B542" s="143"/>
      <c r="C542" s="147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</row>
    <row r="543" ht="12.0" customHeight="1">
      <c r="A543" s="143"/>
      <c r="B543" s="143"/>
      <c r="C543" s="147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</row>
    <row r="544" ht="12.0" customHeight="1">
      <c r="A544" s="143"/>
      <c r="B544" s="143"/>
      <c r="C544" s="147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</row>
    <row r="545" ht="12.0" customHeight="1">
      <c r="A545" s="143"/>
      <c r="B545" s="143"/>
      <c r="C545" s="147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</row>
    <row r="546" ht="12.0" customHeight="1">
      <c r="A546" s="143"/>
      <c r="B546" s="143"/>
      <c r="C546" s="147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</row>
    <row r="547" ht="12.0" customHeight="1">
      <c r="A547" s="143"/>
      <c r="B547" s="143"/>
      <c r="C547" s="147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</row>
    <row r="548" ht="12.0" customHeight="1">
      <c r="A548" s="143"/>
      <c r="B548" s="143"/>
      <c r="C548" s="147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</row>
    <row r="549" ht="12.0" customHeight="1">
      <c r="A549" s="143"/>
      <c r="B549" s="143"/>
      <c r="C549" s="147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</row>
    <row r="550" ht="12.0" customHeight="1">
      <c r="A550" s="143"/>
      <c r="B550" s="143"/>
      <c r="C550" s="147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</row>
    <row r="551" ht="12.0" customHeight="1">
      <c r="A551" s="143"/>
      <c r="B551" s="143"/>
      <c r="C551" s="147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</row>
    <row r="552" ht="12.0" customHeight="1">
      <c r="A552" s="143"/>
      <c r="B552" s="143"/>
      <c r="C552" s="147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</row>
    <row r="553" ht="12.0" customHeight="1">
      <c r="A553" s="143"/>
      <c r="B553" s="143"/>
      <c r="C553" s="147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</row>
    <row r="554" ht="12.0" customHeight="1">
      <c r="A554" s="143"/>
      <c r="B554" s="143"/>
      <c r="C554" s="147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</row>
    <row r="555" ht="12.0" customHeight="1">
      <c r="A555" s="143"/>
      <c r="B555" s="143"/>
      <c r="C555" s="147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</row>
    <row r="556" ht="12.0" customHeight="1">
      <c r="A556" s="143"/>
      <c r="B556" s="143"/>
      <c r="C556" s="147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</row>
    <row r="557" ht="12.0" customHeight="1">
      <c r="A557" s="143"/>
      <c r="B557" s="143"/>
      <c r="C557" s="147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</row>
    <row r="558" ht="12.0" customHeight="1">
      <c r="A558" s="143"/>
      <c r="B558" s="143"/>
      <c r="C558" s="147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</row>
    <row r="559" ht="12.0" customHeight="1">
      <c r="A559" s="143"/>
      <c r="B559" s="143"/>
      <c r="C559" s="147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</row>
    <row r="560" ht="12.0" customHeight="1">
      <c r="A560" s="143"/>
      <c r="B560" s="143"/>
      <c r="C560" s="147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</row>
    <row r="561" ht="12.0" customHeight="1">
      <c r="A561" s="143"/>
      <c r="B561" s="143"/>
      <c r="C561" s="147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</row>
    <row r="562" ht="12.0" customHeight="1">
      <c r="A562" s="143"/>
      <c r="B562" s="143"/>
      <c r="C562" s="147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</row>
    <row r="563" ht="12.0" customHeight="1">
      <c r="A563" s="143"/>
      <c r="B563" s="143"/>
      <c r="C563" s="147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</row>
    <row r="564" ht="12.0" customHeight="1">
      <c r="A564" s="143"/>
      <c r="B564" s="143"/>
      <c r="C564" s="147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</row>
    <row r="565" ht="12.0" customHeight="1">
      <c r="A565" s="143"/>
      <c r="B565" s="143"/>
      <c r="C565" s="147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</row>
    <row r="566" ht="12.0" customHeight="1">
      <c r="A566" s="143"/>
      <c r="B566" s="143"/>
      <c r="C566" s="147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</row>
    <row r="567" ht="12.0" customHeight="1">
      <c r="A567" s="143"/>
      <c r="B567" s="143"/>
      <c r="C567" s="147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</row>
    <row r="568" ht="12.0" customHeight="1">
      <c r="A568" s="143"/>
      <c r="B568" s="143"/>
      <c r="C568" s="147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</row>
    <row r="569" ht="12.0" customHeight="1">
      <c r="A569" s="143"/>
      <c r="B569" s="143"/>
      <c r="C569" s="147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</row>
    <row r="570" ht="12.0" customHeight="1">
      <c r="A570" s="143"/>
      <c r="B570" s="143"/>
      <c r="C570" s="147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</row>
    <row r="571" ht="12.0" customHeight="1">
      <c r="A571" s="143"/>
      <c r="B571" s="143"/>
      <c r="C571" s="147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</row>
    <row r="572" ht="12.0" customHeight="1">
      <c r="A572" s="143"/>
      <c r="B572" s="143"/>
      <c r="C572" s="147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</row>
    <row r="573" ht="12.0" customHeight="1">
      <c r="A573" s="143"/>
      <c r="B573" s="143"/>
      <c r="C573" s="147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</row>
    <row r="574" ht="12.0" customHeight="1">
      <c r="A574" s="143"/>
      <c r="B574" s="143"/>
      <c r="C574" s="147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</row>
    <row r="575" ht="12.0" customHeight="1">
      <c r="A575" s="143"/>
      <c r="B575" s="143"/>
      <c r="C575" s="147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</row>
    <row r="576" ht="12.0" customHeight="1">
      <c r="A576" s="143"/>
      <c r="B576" s="143"/>
      <c r="C576" s="147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</row>
    <row r="577" ht="12.0" customHeight="1">
      <c r="A577" s="143"/>
      <c r="B577" s="143"/>
      <c r="C577" s="147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</row>
    <row r="578" ht="12.0" customHeight="1">
      <c r="A578" s="143"/>
      <c r="B578" s="143"/>
      <c r="C578" s="147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</row>
    <row r="579" ht="12.0" customHeight="1">
      <c r="A579" s="143"/>
      <c r="B579" s="143"/>
      <c r="C579" s="147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</row>
    <row r="580" ht="12.0" customHeight="1">
      <c r="A580" s="143"/>
      <c r="B580" s="143"/>
      <c r="C580" s="147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</row>
    <row r="581" ht="12.0" customHeight="1">
      <c r="A581" s="143"/>
      <c r="B581" s="143"/>
      <c r="C581" s="147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</row>
    <row r="582" ht="12.0" customHeight="1">
      <c r="A582" s="143"/>
      <c r="B582" s="143"/>
      <c r="C582" s="147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</row>
    <row r="583" ht="12.0" customHeight="1">
      <c r="A583" s="143"/>
      <c r="B583" s="143"/>
      <c r="C583" s="147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</row>
    <row r="584" ht="12.0" customHeight="1">
      <c r="A584" s="143"/>
      <c r="B584" s="143"/>
      <c r="C584" s="147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</row>
    <row r="585" ht="12.0" customHeight="1">
      <c r="A585" s="143"/>
      <c r="B585" s="143"/>
      <c r="C585" s="147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</row>
    <row r="586" ht="12.0" customHeight="1">
      <c r="A586" s="143"/>
      <c r="B586" s="143"/>
      <c r="C586" s="147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</row>
    <row r="587" ht="12.0" customHeight="1">
      <c r="A587" s="143"/>
      <c r="B587" s="143"/>
      <c r="C587" s="147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</row>
    <row r="588" ht="12.0" customHeight="1">
      <c r="A588" s="143"/>
      <c r="B588" s="143"/>
      <c r="C588" s="147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</row>
    <row r="589" ht="12.0" customHeight="1">
      <c r="A589" s="143"/>
      <c r="B589" s="143"/>
      <c r="C589" s="147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</row>
    <row r="590" ht="12.0" customHeight="1">
      <c r="A590" s="143"/>
      <c r="B590" s="143"/>
      <c r="C590" s="147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</row>
    <row r="591" ht="12.0" customHeight="1">
      <c r="A591" s="143"/>
      <c r="B591" s="143"/>
      <c r="C591" s="147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</row>
    <row r="592" ht="12.0" customHeight="1">
      <c r="A592" s="143"/>
      <c r="B592" s="143"/>
      <c r="C592" s="147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</row>
    <row r="593" ht="12.0" customHeight="1">
      <c r="A593" s="143"/>
      <c r="B593" s="143"/>
      <c r="C593" s="147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</row>
    <row r="594" ht="12.0" customHeight="1">
      <c r="A594" s="143"/>
      <c r="B594" s="143"/>
      <c r="C594" s="147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</row>
    <row r="595" ht="12.0" customHeight="1">
      <c r="A595" s="143"/>
      <c r="B595" s="143"/>
      <c r="C595" s="147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</row>
    <row r="596" ht="12.0" customHeight="1">
      <c r="A596" s="143"/>
      <c r="B596" s="143"/>
      <c r="C596" s="147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</row>
    <row r="597" ht="12.0" customHeight="1">
      <c r="A597" s="143"/>
      <c r="B597" s="143"/>
      <c r="C597" s="147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</row>
    <row r="598" ht="12.0" customHeight="1">
      <c r="A598" s="143"/>
      <c r="B598" s="143"/>
      <c r="C598" s="147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</row>
    <row r="599" ht="12.0" customHeight="1">
      <c r="A599" s="143"/>
      <c r="B599" s="143"/>
      <c r="C599" s="147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</row>
    <row r="600" ht="12.0" customHeight="1">
      <c r="A600" s="143"/>
      <c r="B600" s="143"/>
      <c r="C600" s="147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</row>
    <row r="601" ht="12.0" customHeight="1">
      <c r="A601" s="143"/>
      <c r="B601" s="143"/>
      <c r="C601" s="147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</row>
    <row r="602" ht="12.0" customHeight="1">
      <c r="A602" s="143"/>
      <c r="B602" s="143"/>
      <c r="C602" s="147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</row>
    <row r="603" ht="12.0" customHeight="1">
      <c r="A603" s="143"/>
      <c r="B603" s="143"/>
      <c r="C603" s="147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</row>
    <row r="604" ht="12.0" customHeight="1">
      <c r="A604" s="143"/>
      <c r="B604" s="143"/>
      <c r="C604" s="147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</row>
    <row r="605" ht="12.0" customHeight="1">
      <c r="A605" s="143"/>
      <c r="B605" s="143"/>
      <c r="C605" s="147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</row>
    <row r="606" ht="12.0" customHeight="1">
      <c r="A606" s="143"/>
      <c r="B606" s="143"/>
      <c r="C606" s="147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</row>
    <row r="607" ht="12.0" customHeight="1">
      <c r="A607" s="143"/>
      <c r="B607" s="143"/>
      <c r="C607" s="147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</row>
    <row r="608" ht="12.0" customHeight="1">
      <c r="A608" s="143"/>
      <c r="B608" s="143"/>
      <c r="C608" s="147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</row>
    <row r="609" ht="12.0" customHeight="1">
      <c r="A609" s="143"/>
      <c r="B609" s="143"/>
      <c r="C609" s="147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</row>
    <row r="610" ht="12.0" customHeight="1">
      <c r="A610" s="143"/>
      <c r="B610" s="143"/>
      <c r="C610" s="147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</row>
    <row r="611" ht="12.0" customHeight="1">
      <c r="A611" s="143"/>
      <c r="B611" s="143"/>
      <c r="C611" s="147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</row>
    <row r="612" ht="12.0" customHeight="1">
      <c r="A612" s="143"/>
      <c r="B612" s="143"/>
      <c r="C612" s="147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</row>
    <row r="613" ht="12.0" customHeight="1">
      <c r="A613" s="143"/>
      <c r="B613" s="143"/>
      <c r="C613" s="147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</row>
    <row r="614" ht="12.0" customHeight="1">
      <c r="A614" s="143"/>
      <c r="B614" s="143"/>
      <c r="C614" s="147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</row>
    <row r="615" ht="12.0" customHeight="1">
      <c r="A615" s="143"/>
      <c r="B615" s="143"/>
      <c r="C615" s="147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</row>
    <row r="616" ht="12.0" customHeight="1">
      <c r="A616" s="143"/>
      <c r="B616" s="143"/>
      <c r="C616" s="147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</row>
    <row r="617" ht="12.0" customHeight="1">
      <c r="A617" s="143"/>
      <c r="B617" s="143"/>
      <c r="C617" s="147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</row>
    <row r="618" ht="12.0" customHeight="1">
      <c r="A618" s="143"/>
      <c r="B618" s="143"/>
      <c r="C618" s="147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</row>
    <row r="619" ht="12.0" customHeight="1">
      <c r="A619" s="143"/>
      <c r="B619" s="143"/>
      <c r="C619" s="147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</row>
    <row r="620" ht="12.0" customHeight="1">
      <c r="A620" s="143"/>
      <c r="B620" s="143"/>
      <c r="C620" s="147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</row>
    <row r="621" ht="12.0" customHeight="1">
      <c r="A621" s="143"/>
      <c r="B621" s="143"/>
      <c r="C621" s="147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</row>
    <row r="622" ht="12.0" customHeight="1">
      <c r="A622" s="143"/>
      <c r="B622" s="143"/>
      <c r="C622" s="147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</row>
    <row r="623" ht="12.0" customHeight="1">
      <c r="A623" s="143"/>
      <c r="B623" s="143"/>
      <c r="C623" s="147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</row>
    <row r="624" ht="12.0" customHeight="1">
      <c r="A624" s="143"/>
      <c r="B624" s="143"/>
      <c r="C624" s="147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</row>
    <row r="625" ht="12.0" customHeight="1">
      <c r="A625" s="143"/>
      <c r="B625" s="143"/>
      <c r="C625" s="147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</row>
    <row r="626" ht="12.0" customHeight="1">
      <c r="A626" s="143"/>
      <c r="B626" s="143"/>
      <c r="C626" s="147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</row>
    <row r="627" ht="12.0" customHeight="1">
      <c r="A627" s="143"/>
      <c r="B627" s="143"/>
      <c r="C627" s="147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</row>
    <row r="628" ht="12.0" customHeight="1">
      <c r="A628" s="143"/>
      <c r="B628" s="143"/>
      <c r="C628" s="147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</row>
    <row r="629" ht="12.0" customHeight="1">
      <c r="A629" s="143"/>
      <c r="B629" s="143"/>
      <c r="C629" s="147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</row>
    <row r="630" ht="12.0" customHeight="1">
      <c r="A630" s="143"/>
      <c r="B630" s="143"/>
      <c r="C630" s="147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</row>
    <row r="631" ht="12.0" customHeight="1">
      <c r="A631" s="143"/>
      <c r="B631" s="143"/>
      <c r="C631" s="147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</row>
    <row r="632" ht="12.0" customHeight="1">
      <c r="A632" s="143"/>
      <c r="B632" s="143"/>
      <c r="C632" s="147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</row>
    <row r="633" ht="12.0" customHeight="1">
      <c r="A633" s="143"/>
      <c r="B633" s="143"/>
      <c r="C633" s="147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</row>
    <row r="634" ht="12.0" customHeight="1">
      <c r="A634" s="143"/>
      <c r="B634" s="143"/>
      <c r="C634" s="147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</row>
    <row r="635" ht="12.0" customHeight="1">
      <c r="A635" s="143"/>
      <c r="B635" s="143"/>
      <c r="C635" s="147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</row>
    <row r="636" ht="12.0" customHeight="1">
      <c r="A636" s="143"/>
      <c r="B636" s="143"/>
      <c r="C636" s="147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</row>
    <row r="637" ht="12.0" customHeight="1">
      <c r="A637" s="143"/>
      <c r="B637" s="143"/>
      <c r="C637" s="147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</row>
    <row r="638" ht="12.0" customHeight="1">
      <c r="A638" s="143"/>
      <c r="B638" s="143"/>
      <c r="C638" s="147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</row>
    <row r="639" ht="12.0" customHeight="1">
      <c r="A639" s="143"/>
      <c r="B639" s="143"/>
      <c r="C639" s="147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</row>
    <row r="640" ht="12.0" customHeight="1">
      <c r="A640" s="143"/>
      <c r="B640" s="143"/>
      <c r="C640" s="147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</row>
    <row r="641" ht="12.0" customHeight="1">
      <c r="A641" s="143"/>
      <c r="B641" s="143"/>
      <c r="C641" s="147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</row>
    <row r="642" ht="12.0" customHeight="1">
      <c r="A642" s="143"/>
      <c r="B642" s="143"/>
      <c r="C642" s="147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</row>
    <row r="643" ht="12.0" customHeight="1">
      <c r="A643" s="143"/>
      <c r="B643" s="143"/>
      <c r="C643" s="147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</row>
    <row r="644" ht="12.0" customHeight="1">
      <c r="A644" s="143"/>
      <c r="B644" s="143"/>
      <c r="C644" s="147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</row>
    <row r="645" ht="12.0" customHeight="1">
      <c r="A645" s="143"/>
      <c r="B645" s="143"/>
      <c r="C645" s="147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</row>
    <row r="646" ht="12.0" customHeight="1">
      <c r="A646" s="143"/>
      <c r="B646" s="143"/>
      <c r="C646" s="147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</row>
    <row r="647" ht="12.0" customHeight="1">
      <c r="A647" s="143"/>
      <c r="B647" s="143"/>
      <c r="C647" s="147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</row>
    <row r="648" ht="12.0" customHeight="1">
      <c r="A648" s="143"/>
      <c r="B648" s="143"/>
      <c r="C648" s="147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</row>
    <row r="649" ht="12.0" customHeight="1">
      <c r="A649" s="143"/>
      <c r="B649" s="143"/>
      <c r="C649" s="147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</row>
    <row r="650" ht="12.0" customHeight="1">
      <c r="A650" s="143"/>
      <c r="B650" s="143"/>
      <c r="C650" s="147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</row>
    <row r="651" ht="12.0" customHeight="1">
      <c r="A651" s="143"/>
      <c r="B651" s="143"/>
      <c r="C651" s="147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</row>
    <row r="652" ht="12.0" customHeight="1">
      <c r="A652" s="143"/>
      <c r="B652" s="143"/>
      <c r="C652" s="147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</row>
    <row r="653" ht="12.0" customHeight="1">
      <c r="A653" s="143"/>
      <c r="B653" s="143"/>
      <c r="C653" s="147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</row>
    <row r="654" ht="12.0" customHeight="1">
      <c r="A654" s="143"/>
      <c r="B654" s="143"/>
      <c r="C654" s="147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</row>
    <row r="655" ht="12.0" customHeight="1">
      <c r="A655" s="143"/>
      <c r="B655" s="143"/>
      <c r="C655" s="147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</row>
    <row r="656" ht="12.0" customHeight="1">
      <c r="A656" s="143"/>
      <c r="B656" s="143"/>
      <c r="C656" s="147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</row>
    <row r="657" ht="12.0" customHeight="1">
      <c r="A657" s="143"/>
      <c r="B657" s="143"/>
      <c r="C657" s="147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</row>
    <row r="658" ht="12.0" customHeight="1">
      <c r="A658" s="143"/>
      <c r="B658" s="143"/>
      <c r="C658" s="147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</row>
    <row r="659" ht="12.0" customHeight="1">
      <c r="A659" s="143"/>
      <c r="B659" s="143"/>
      <c r="C659" s="147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</row>
    <row r="660" ht="12.0" customHeight="1">
      <c r="A660" s="143"/>
      <c r="B660" s="143"/>
      <c r="C660" s="147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</row>
    <row r="661" ht="12.0" customHeight="1">
      <c r="A661" s="143"/>
      <c r="B661" s="143"/>
      <c r="C661" s="147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</row>
    <row r="662" ht="12.0" customHeight="1">
      <c r="A662" s="143"/>
      <c r="B662" s="143"/>
      <c r="C662" s="147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</row>
    <row r="663" ht="12.0" customHeight="1">
      <c r="A663" s="143"/>
      <c r="B663" s="143"/>
      <c r="C663" s="147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</row>
    <row r="664" ht="12.0" customHeight="1">
      <c r="A664" s="143"/>
      <c r="B664" s="143"/>
      <c r="C664" s="147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</row>
    <row r="665" ht="12.0" customHeight="1">
      <c r="A665" s="143"/>
      <c r="B665" s="143"/>
      <c r="C665" s="147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</row>
    <row r="666" ht="12.0" customHeight="1">
      <c r="A666" s="143"/>
      <c r="B666" s="143"/>
      <c r="C666" s="147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</row>
    <row r="667" ht="12.0" customHeight="1">
      <c r="A667" s="143"/>
      <c r="B667" s="143"/>
      <c r="C667" s="147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</row>
    <row r="668" ht="12.0" customHeight="1">
      <c r="A668" s="143"/>
      <c r="B668" s="143"/>
      <c r="C668" s="147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</row>
    <row r="669" ht="12.0" customHeight="1">
      <c r="A669" s="143"/>
      <c r="B669" s="143"/>
      <c r="C669" s="147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</row>
    <row r="670" ht="12.0" customHeight="1">
      <c r="A670" s="143"/>
      <c r="B670" s="143"/>
      <c r="C670" s="147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</row>
    <row r="671" ht="12.0" customHeight="1">
      <c r="A671" s="143"/>
      <c r="B671" s="143"/>
      <c r="C671" s="147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</row>
    <row r="672" ht="12.0" customHeight="1">
      <c r="A672" s="143"/>
      <c r="B672" s="143"/>
      <c r="C672" s="147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</row>
    <row r="673" ht="12.0" customHeight="1">
      <c r="A673" s="143"/>
      <c r="B673" s="143"/>
      <c r="C673" s="147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</row>
    <row r="674" ht="12.0" customHeight="1">
      <c r="A674" s="143"/>
      <c r="B674" s="143"/>
      <c r="C674" s="147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</row>
    <row r="675" ht="12.0" customHeight="1">
      <c r="A675" s="143"/>
      <c r="B675" s="143"/>
      <c r="C675" s="147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</row>
    <row r="676" ht="12.0" customHeight="1">
      <c r="A676" s="143"/>
      <c r="B676" s="143"/>
      <c r="C676" s="147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</row>
    <row r="677" ht="12.0" customHeight="1">
      <c r="A677" s="143"/>
      <c r="B677" s="143"/>
      <c r="C677" s="147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</row>
    <row r="678" ht="12.0" customHeight="1">
      <c r="A678" s="143"/>
      <c r="B678" s="143"/>
      <c r="C678" s="147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</row>
    <row r="679" ht="12.0" customHeight="1">
      <c r="A679" s="143"/>
      <c r="B679" s="143"/>
      <c r="C679" s="147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</row>
    <row r="680" ht="12.0" customHeight="1">
      <c r="A680" s="143"/>
      <c r="B680" s="143"/>
      <c r="C680" s="147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</row>
    <row r="681" ht="12.0" customHeight="1">
      <c r="A681" s="143"/>
      <c r="B681" s="143"/>
      <c r="C681" s="147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</row>
    <row r="682" ht="12.0" customHeight="1">
      <c r="A682" s="143"/>
      <c r="B682" s="143"/>
      <c r="C682" s="147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</row>
    <row r="683" ht="12.0" customHeight="1">
      <c r="A683" s="143"/>
      <c r="B683" s="143"/>
      <c r="C683" s="147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</row>
    <row r="684" ht="12.0" customHeight="1">
      <c r="A684" s="143"/>
      <c r="B684" s="143"/>
      <c r="C684" s="147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</row>
    <row r="685" ht="12.0" customHeight="1">
      <c r="A685" s="143"/>
      <c r="B685" s="143"/>
      <c r="C685" s="147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</row>
    <row r="686" ht="12.0" customHeight="1">
      <c r="A686" s="143"/>
      <c r="B686" s="143"/>
      <c r="C686" s="147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</row>
    <row r="687" ht="12.0" customHeight="1">
      <c r="A687" s="143"/>
      <c r="B687" s="143"/>
      <c r="C687" s="147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</row>
    <row r="688" ht="12.0" customHeight="1">
      <c r="A688" s="143"/>
      <c r="B688" s="143"/>
      <c r="C688" s="147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</row>
    <row r="689" ht="12.0" customHeight="1">
      <c r="A689" s="143"/>
      <c r="B689" s="143"/>
      <c r="C689" s="147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</row>
    <row r="690" ht="12.0" customHeight="1">
      <c r="A690" s="143"/>
      <c r="B690" s="143"/>
      <c r="C690" s="147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</row>
    <row r="691" ht="12.0" customHeight="1">
      <c r="A691" s="143"/>
      <c r="B691" s="143"/>
      <c r="C691" s="147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</row>
    <row r="692" ht="12.0" customHeight="1">
      <c r="A692" s="143"/>
      <c r="B692" s="143"/>
      <c r="C692" s="147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</row>
    <row r="693" ht="12.0" customHeight="1">
      <c r="A693" s="143"/>
      <c r="B693" s="143"/>
      <c r="C693" s="147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</row>
    <row r="694" ht="12.0" customHeight="1">
      <c r="A694" s="143"/>
      <c r="B694" s="143"/>
      <c r="C694" s="147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</row>
    <row r="695" ht="12.0" customHeight="1">
      <c r="A695" s="143"/>
      <c r="B695" s="143"/>
      <c r="C695" s="147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</row>
    <row r="696" ht="12.0" customHeight="1">
      <c r="A696" s="143"/>
      <c r="B696" s="143"/>
      <c r="C696" s="147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</row>
    <row r="697" ht="12.0" customHeight="1">
      <c r="A697" s="143"/>
      <c r="B697" s="143"/>
      <c r="C697" s="147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</row>
    <row r="698" ht="12.0" customHeight="1">
      <c r="A698" s="143"/>
      <c r="B698" s="143"/>
      <c r="C698" s="147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</row>
    <row r="699" ht="12.0" customHeight="1">
      <c r="A699" s="143"/>
      <c r="B699" s="143"/>
      <c r="C699" s="147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</row>
    <row r="700" ht="12.0" customHeight="1">
      <c r="A700" s="143"/>
      <c r="B700" s="143"/>
      <c r="C700" s="147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</row>
    <row r="701" ht="12.0" customHeight="1">
      <c r="A701" s="143"/>
      <c r="B701" s="143"/>
      <c r="C701" s="147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</row>
    <row r="702" ht="12.0" customHeight="1">
      <c r="A702" s="143"/>
      <c r="B702" s="143"/>
      <c r="C702" s="147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</row>
    <row r="703" ht="12.0" customHeight="1">
      <c r="A703" s="143"/>
      <c r="B703" s="143"/>
      <c r="C703" s="147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</row>
    <row r="704" ht="12.0" customHeight="1">
      <c r="A704" s="143"/>
      <c r="B704" s="143"/>
      <c r="C704" s="147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</row>
    <row r="705" ht="12.0" customHeight="1">
      <c r="A705" s="143"/>
      <c r="B705" s="143"/>
      <c r="C705" s="147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</row>
    <row r="706" ht="12.0" customHeight="1">
      <c r="A706" s="143"/>
      <c r="B706" s="143"/>
      <c r="C706" s="147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</row>
    <row r="707" ht="12.0" customHeight="1">
      <c r="A707" s="143"/>
      <c r="B707" s="143"/>
      <c r="C707" s="147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</row>
    <row r="708" ht="12.0" customHeight="1">
      <c r="A708" s="143"/>
      <c r="B708" s="143"/>
      <c r="C708" s="147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</row>
    <row r="709" ht="12.0" customHeight="1">
      <c r="A709" s="143"/>
      <c r="B709" s="143"/>
      <c r="C709" s="147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</row>
    <row r="710" ht="12.0" customHeight="1">
      <c r="A710" s="143"/>
      <c r="B710" s="143"/>
      <c r="C710" s="147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</row>
    <row r="711" ht="12.0" customHeight="1">
      <c r="A711" s="143"/>
      <c r="B711" s="143"/>
      <c r="C711" s="147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</row>
    <row r="712" ht="12.0" customHeight="1">
      <c r="A712" s="143"/>
      <c r="B712" s="143"/>
      <c r="C712" s="147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</row>
    <row r="713" ht="12.0" customHeight="1">
      <c r="A713" s="143"/>
      <c r="B713" s="143"/>
      <c r="C713" s="147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</row>
    <row r="714" ht="12.0" customHeight="1">
      <c r="A714" s="143"/>
      <c r="B714" s="143"/>
      <c r="C714" s="147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</row>
    <row r="715" ht="12.0" customHeight="1">
      <c r="A715" s="143"/>
      <c r="B715" s="143"/>
      <c r="C715" s="147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</row>
    <row r="716" ht="12.0" customHeight="1">
      <c r="A716" s="143"/>
      <c r="B716" s="143"/>
      <c r="C716" s="147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</row>
    <row r="717" ht="12.0" customHeight="1">
      <c r="A717" s="143"/>
      <c r="B717" s="143"/>
      <c r="C717" s="147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</row>
    <row r="718" ht="12.0" customHeight="1">
      <c r="A718" s="143"/>
      <c r="B718" s="143"/>
      <c r="C718" s="147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</row>
    <row r="719" ht="12.0" customHeight="1">
      <c r="A719" s="143"/>
      <c r="B719" s="143"/>
      <c r="C719" s="147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</row>
    <row r="720" ht="12.0" customHeight="1">
      <c r="A720" s="143"/>
      <c r="B720" s="143"/>
      <c r="C720" s="147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</row>
    <row r="721" ht="12.0" customHeight="1">
      <c r="A721" s="143"/>
      <c r="B721" s="143"/>
      <c r="C721" s="147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</row>
    <row r="722" ht="12.0" customHeight="1">
      <c r="A722" s="143"/>
      <c r="B722" s="143"/>
      <c r="C722" s="147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</row>
    <row r="723" ht="12.0" customHeight="1">
      <c r="A723" s="143"/>
      <c r="B723" s="143"/>
      <c r="C723" s="147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</row>
    <row r="724" ht="12.0" customHeight="1">
      <c r="A724" s="143"/>
      <c r="B724" s="143"/>
      <c r="C724" s="147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</row>
    <row r="725" ht="12.0" customHeight="1">
      <c r="A725" s="143"/>
      <c r="B725" s="143"/>
      <c r="C725" s="147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</row>
    <row r="726" ht="12.0" customHeight="1">
      <c r="A726" s="143"/>
      <c r="B726" s="143"/>
      <c r="C726" s="147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</row>
    <row r="727" ht="12.0" customHeight="1">
      <c r="A727" s="143"/>
      <c r="B727" s="143"/>
      <c r="C727" s="147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</row>
    <row r="728" ht="12.0" customHeight="1">
      <c r="A728" s="143"/>
      <c r="B728" s="143"/>
      <c r="C728" s="147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</row>
    <row r="729" ht="12.0" customHeight="1">
      <c r="A729" s="143"/>
      <c r="B729" s="143"/>
      <c r="C729" s="147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</row>
    <row r="730" ht="12.0" customHeight="1">
      <c r="A730" s="143"/>
      <c r="B730" s="143"/>
      <c r="C730" s="147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</row>
    <row r="731" ht="12.0" customHeight="1">
      <c r="A731" s="143"/>
      <c r="B731" s="143"/>
      <c r="C731" s="147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</row>
    <row r="732" ht="12.0" customHeight="1">
      <c r="A732" s="143"/>
      <c r="B732" s="143"/>
      <c r="C732" s="147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</row>
    <row r="733" ht="12.0" customHeight="1">
      <c r="A733" s="143"/>
      <c r="B733" s="143"/>
      <c r="C733" s="147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</row>
    <row r="734" ht="12.0" customHeight="1">
      <c r="A734" s="143"/>
      <c r="B734" s="143"/>
      <c r="C734" s="147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</row>
    <row r="735" ht="12.0" customHeight="1">
      <c r="A735" s="143"/>
      <c r="B735" s="143"/>
      <c r="C735" s="147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</row>
    <row r="736" ht="12.0" customHeight="1">
      <c r="A736" s="143"/>
      <c r="B736" s="143"/>
      <c r="C736" s="147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</row>
    <row r="737" ht="12.0" customHeight="1">
      <c r="A737" s="143"/>
      <c r="B737" s="143"/>
      <c r="C737" s="147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</row>
    <row r="738" ht="12.0" customHeight="1">
      <c r="A738" s="143"/>
      <c r="B738" s="143"/>
      <c r="C738" s="147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</row>
    <row r="739" ht="12.0" customHeight="1">
      <c r="A739" s="143"/>
      <c r="B739" s="143"/>
      <c r="C739" s="147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</row>
    <row r="740" ht="12.0" customHeight="1">
      <c r="A740" s="143"/>
      <c r="B740" s="143"/>
      <c r="C740" s="147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</row>
    <row r="741" ht="12.0" customHeight="1">
      <c r="A741" s="143"/>
      <c r="B741" s="143"/>
      <c r="C741" s="147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</row>
    <row r="742" ht="12.0" customHeight="1">
      <c r="A742" s="143"/>
      <c r="B742" s="143"/>
      <c r="C742" s="147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</row>
    <row r="743" ht="12.0" customHeight="1">
      <c r="A743" s="143"/>
      <c r="B743" s="143"/>
      <c r="C743" s="147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</row>
    <row r="744" ht="12.0" customHeight="1">
      <c r="A744" s="143"/>
      <c r="B744" s="143"/>
      <c r="C744" s="147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</row>
    <row r="745" ht="12.0" customHeight="1">
      <c r="A745" s="143"/>
      <c r="B745" s="143"/>
      <c r="C745" s="147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</row>
    <row r="746" ht="12.0" customHeight="1">
      <c r="A746" s="143"/>
      <c r="B746" s="143"/>
      <c r="C746" s="147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</row>
    <row r="747" ht="12.0" customHeight="1">
      <c r="A747" s="143"/>
      <c r="B747" s="143"/>
      <c r="C747" s="147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</row>
    <row r="748" ht="12.0" customHeight="1">
      <c r="A748" s="143"/>
      <c r="B748" s="143"/>
      <c r="C748" s="147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</row>
    <row r="749" ht="12.0" customHeight="1">
      <c r="A749" s="143"/>
      <c r="B749" s="143"/>
      <c r="C749" s="147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</row>
    <row r="750" ht="12.0" customHeight="1">
      <c r="A750" s="143"/>
      <c r="B750" s="143"/>
      <c r="C750" s="147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</row>
    <row r="751" ht="12.0" customHeight="1">
      <c r="A751" s="143"/>
      <c r="B751" s="143"/>
      <c r="C751" s="147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</row>
    <row r="752" ht="12.0" customHeight="1">
      <c r="A752" s="143"/>
      <c r="B752" s="143"/>
      <c r="C752" s="147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</row>
    <row r="753" ht="12.0" customHeight="1">
      <c r="A753" s="143"/>
      <c r="B753" s="143"/>
      <c r="C753" s="147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</row>
    <row r="754" ht="12.0" customHeight="1">
      <c r="A754" s="143"/>
      <c r="B754" s="143"/>
      <c r="C754" s="147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</row>
    <row r="755" ht="12.0" customHeight="1">
      <c r="A755" s="143"/>
      <c r="B755" s="143"/>
      <c r="C755" s="147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</row>
    <row r="756" ht="12.0" customHeight="1">
      <c r="A756" s="143"/>
      <c r="B756" s="143"/>
      <c r="C756" s="147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</row>
    <row r="757" ht="12.0" customHeight="1">
      <c r="A757" s="143"/>
      <c r="B757" s="143"/>
      <c r="C757" s="147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</row>
    <row r="758" ht="12.0" customHeight="1">
      <c r="A758" s="143"/>
      <c r="B758" s="143"/>
      <c r="C758" s="147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</row>
    <row r="759" ht="12.0" customHeight="1">
      <c r="A759" s="143"/>
      <c r="B759" s="143"/>
      <c r="C759" s="147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</row>
    <row r="760" ht="12.0" customHeight="1">
      <c r="A760" s="143"/>
      <c r="B760" s="143"/>
      <c r="C760" s="147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</row>
    <row r="761" ht="12.0" customHeight="1">
      <c r="A761" s="143"/>
      <c r="B761" s="143"/>
      <c r="C761" s="147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</row>
    <row r="762" ht="12.0" customHeight="1">
      <c r="A762" s="143"/>
      <c r="B762" s="143"/>
      <c r="C762" s="147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</row>
    <row r="763" ht="12.0" customHeight="1">
      <c r="A763" s="143"/>
      <c r="B763" s="143"/>
      <c r="C763" s="147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</row>
    <row r="764" ht="12.0" customHeight="1">
      <c r="A764" s="143"/>
      <c r="B764" s="143"/>
      <c r="C764" s="147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</row>
    <row r="765" ht="12.0" customHeight="1">
      <c r="A765" s="143"/>
      <c r="B765" s="143"/>
      <c r="C765" s="147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</row>
    <row r="766" ht="12.0" customHeight="1">
      <c r="A766" s="143"/>
      <c r="B766" s="143"/>
      <c r="C766" s="147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</row>
    <row r="767" ht="12.0" customHeight="1">
      <c r="A767" s="143"/>
      <c r="B767" s="143"/>
      <c r="C767" s="147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</row>
    <row r="768" ht="12.0" customHeight="1">
      <c r="A768" s="143"/>
      <c r="B768" s="143"/>
      <c r="C768" s="147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</row>
    <row r="769" ht="12.0" customHeight="1">
      <c r="A769" s="143"/>
      <c r="B769" s="143"/>
      <c r="C769" s="147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</row>
    <row r="770" ht="12.0" customHeight="1">
      <c r="A770" s="143"/>
      <c r="B770" s="143"/>
      <c r="C770" s="147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</row>
    <row r="771" ht="12.0" customHeight="1">
      <c r="A771" s="143"/>
      <c r="B771" s="143"/>
      <c r="C771" s="147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</row>
    <row r="772" ht="12.0" customHeight="1">
      <c r="A772" s="143"/>
      <c r="B772" s="143"/>
      <c r="C772" s="147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</row>
    <row r="773" ht="12.0" customHeight="1">
      <c r="A773" s="143"/>
      <c r="B773" s="143"/>
      <c r="C773" s="147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</row>
    <row r="774" ht="12.0" customHeight="1">
      <c r="A774" s="143"/>
      <c r="B774" s="143"/>
      <c r="C774" s="147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</row>
    <row r="775" ht="12.0" customHeight="1">
      <c r="A775" s="143"/>
      <c r="B775" s="143"/>
      <c r="C775" s="147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</row>
    <row r="776" ht="12.0" customHeight="1">
      <c r="A776" s="143"/>
      <c r="B776" s="143"/>
      <c r="C776" s="147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</row>
    <row r="777" ht="12.0" customHeight="1">
      <c r="A777" s="143"/>
      <c r="B777" s="143"/>
      <c r="C777" s="147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</row>
    <row r="778" ht="12.0" customHeight="1">
      <c r="A778" s="143"/>
      <c r="B778" s="143"/>
      <c r="C778" s="147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</row>
    <row r="779" ht="12.0" customHeight="1">
      <c r="A779" s="143"/>
      <c r="B779" s="143"/>
      <c r="C779" s="147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</row>
    <row r="780" ht="12.0" customHeight="1">
      <c r="A780" s="143"/>
      <c r="B780" s="143"/>
      <c r="C780" s="147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</row>
    <row r="781" ht="12.0" customHeight="1">
      <c r="A781" s="143"/>
      <c r="B781" s="143"/>
      <c r="C781" s="147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</row>
    <row r="782" ht="12.0" customHeight="1">
      <c r="A782" s="143"/>
      <c r="B782" s="143"/>
      <c r="C782" s="147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</row>
    <row r="783" ht="12.0" customHeight="1">
      <c r="A783" s="143"/>
      <c r="B783" s="143"/>
      <c r="C783" s="147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</row>
    <row r="784" ht="12.0" customHeight="1">
      <c r="A784" s="143"/>
      <c r="B784" s="143"/>
      <c r="C784" s="147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</row>
    <row r="785" ht="12.0" customHeight="1">
      <c r="A785" s="143"/>
      <c r="B785" s="143"/>
      <c r="C785" s="147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</row>
    <row r="786" ht="12.0" customHeight="1">
      <c r="A786" s="143"/>
      <c r="B786" s="143"/>
      <c r="C786" s="147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</row>
    <row r="787" ht="12.0" customHeight="1">
      <c r="A787" s="143"/>
      <c r="B787" s="143"/>
      <c r="C787" s="147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</row>
    <row r="788" ht="12.0" customHeight="1">
      <c r="A788" s="143"/>
      <c r="B788" s="143"/>
      <c r="C788" s="147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</row>
    <row r="789" ht="12.0" customHeight="1">
      <c r="A789" s="143"/>
      <c r="B789" s="143"/>
      <c r="C789" s="147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</row>
    <row r="790" ht="12.0" customHeight="1">
      <c r="A790" s="143"/>
      <c r="B790" s="143"/>
      <c r="C790" s="147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</row>
    <row r="791" ht="12.0" customHeight="1">
      <c r="A791" s="143"/>
      <c r="B791" s="143"/>
      <c r="C791" s="147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</row>
    <row r="792" ht="12.0" customHeight="1">
      <c r="A792" s="143"/>
      <c r="B792" s="143"/>
      <c r="C792" s="147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</row>
    <row r="793" ht="12.0" customHeight="1">
      <c r="A793" s="143"/>
      <c r="B793" s="143"/>
      <c r="C793" s="147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</row>
    <row r="794" ht="12.0" customHeight="1">
      <c r="A794" s="143"/>
      <c r="B794" s="143"/>
      <c r="C794" s="147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</row>
    <row r="795" ht="12.0" customHeight="1">
      <c r="A795" s="143"/>
      <c r="B795" s="143"/>
      <c r="C795" s="147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</row>
    <row r="796" ht="12.0" customHeight="1">
      <c r="A796" s="143"/>
      <c r="B796" s="143"/>
      <c r="C796" s="147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</row>
    <row r="797" ht="12.0" customHeight="1">
      <c r="A797" s="143"/>
      <c r="B797" s="143"/>
      <c r="C797" s="147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</row>
    <row r="798" ht="12.0" customHeight="1">
      <c r="A798" s="143"/>
      <c r="B798" s="143"/>
      <c r="C798" s="147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</row>
    <row r="799" ht="12.0" customHeight="1">
      <c r="A799" s="143"/>
      <c r="B799" s="143"/>
      <c r="C799" s="147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</row>
    <row r="800" ht="12.0" customHeight="1">
      <c r="A800" s="143"/>
      <c r="B800" s="143"/>
      <c r="C800" s="147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</row>
    <row r="801" ht="12.0" customHeight="1">
      <c r="A801" s="143"/>
      <c r="B801" s="143"/>
      <c r="C801" s="147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</row>
    <row r="802" ht="12.0" customHeight="1">
      <c r="A802" s="143"/>
      <c r="B802" s="143"/>
      <c r="C802" s="147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</row>
    <row r="803" ht="12.0" customHeight="1">
      <c r="A803" s="143"/>
      <c r="B803" s="143"/>
      <c r="C803" s="147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</row>
    <row r="804" ht="12.0" customHeight="1">
      <c r="A804" s="143"/>
      <c r="B804" s="143"/>
      <c r="C804" s="147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</row>
    <row r="805" ht="12.0" customHeight="1">
      <c r="A805" s="143"/>
      <c r="B805" s="143"/>
      <c r="C805" s="147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</row>
    <row r="806" ht="12.0" customHeight="1">
      <c r="A806" s="143"/>
      <c r="B806" s="143"/>
      <c r="C806" s="147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</row>
    <row r="807" ht="12.0" customHeight="1">
      <c r="A807" s="143"/>
      <c r="B807" s="143"/>
      <c r="C807" s="147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</row>
    <row r="808" ht="12.0" customHeight="1">
      <c r="A808" s="143"/>
      <c r="B808" s="143"/>
      <c r="C808" s="147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</row>
    <row r="809" ht="12.0" customHeight="1">
      <c r="A809" s="143"/>
      <c r="B809" s="143"/>
      <c r="C809" s="147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</row>
    <row r="810" ht="12.0" customHeight="1">
      <c r="A810" s="143"/>
      <c r="B810" s="143"/>
      <c r="C810" s="147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</row>
    <row r="811" ht="12.0" customHeight="1">
      <c r="A811" s="143"/>
      <c r="B811" s="143"/>
      <c r="C811" s="147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</row>
    <row r="812" ht="12.0" customHeight="1">
      <c r="A812" s="143"/>
      <c r="B812" s="143"/>
      <c r="C812" s="147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</row>
    <row r="813" ht="12.0" customHeight="1">
      <c r="A813" s="143"/>
      <c r="B813" s="143"/>
      <c r="C813" s="147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</row>
    <row r="814" ht="12.0" customHeight="1">
      <c r="A814" s="143"/>
      <c r="B814" s="143"/>
      <c r="C814" s="147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</row>
    <row r="815" ht="12.0" customHeight="1">
      <c r="A815" s="143"/>
      <c r="B815" s="143"/>
      <c r="C815" s="147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</row>
    <row r="816" ht="12.0" customHeight="1">
      <c r="A816" s="143"/>
      <c r="B816" s="143"/>
      <c r="C816" s="147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</row>
    <row r="817" ht="12.0" customHeight="1">
      <c r="A817" s="143"/>
      <c r="B817" s="143"/>
      <c r="C817" s="147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</row>
    <row r="818" ht="12.0" customHeight="1">
      <c r="A818" s="143"/>
      <c r="B818" s="143"/>
      <c r="C818" s="147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</row>
    <row r="819" ht="12.0" customHeight="1">
      <c r="A819" s="143"/>
      <c r="B819" s="143"/>
      <c r="C819" s="147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</row>
    <row r="820" ht="12.0" customHeight="1">
      <c r="A820" s="143"/>
      <c r="B820" s="143"/>
      <c r="C820" s="147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</row>
    <row r="821" ht="12.0" customHeight="1">
      <c r="A821" s="143"/>
      <c r="B821" s="143"/>
      <c r="C821" s="147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</row>
    <row r="822" ht="12.0" customHeight="1">
      <c r="A822" s="143"/>
      <c r="B822" s="143"/>
      <c r="C822" s="147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</row>
    <row r="823" ht="12.0" customHeight="1">
      <c r="A823" s="143"/>
      <c r="B823" s="143"/>
      <c r="C823" s="147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</row>
    <row r="824" ht="12.0" customHeight="1">
      <c r="A824" s="143"/>
      <c r="B824" s="143"/>
      <c r="C824" s="147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</row>
    <row r="825" ht="12.0" customHeight="1">
      <c r="A825" s="143"/>
      <c r="B825" s="143"/>
      <c r="C825" s="147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</row>
    <row r="826" ht="12.0" customHeight="1">
      <c r="A826" s="143"/>
      <c r="B826" s="143"/>
      <c r="C826" s="147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</row>
    <row r="827" ht="12.0" customHeight="1">
      <c r="A827" s="143"/>
      <c r="B827" s="143"/>
      <c r="C827" s="147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</row>
    <row r="828" ht="12.0" customHeight="1">
      <c r="A828" s="143"/>
      <c r="B828" s="143"/>
      <c r="C828" s="147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</row>
    <row r="829" ht="12.0" customHeight="1">
      <c r="A829" s="143"/>
      <c r="B829" s="143"/>
      <c r="C829" s="147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</row>
    <row r="830" ht="12.0" customHeight="1">
      <c r="A830" s="143"/>
      <c r="B830" s="143"/>
      <c r="C830" s="147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</row>
    <row r="831" ht="12.0" customHeight="1">
      <c r="A831" s="143"/>
      <c r="B831" s="143"/>
      <c r="C831" s="147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</row>
    <row r="832" ht="12.0" customHeight="1">
      <c r="A832" s="143"/>
      <c r="B832" s="143"/>
      <c r="C832" s="147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</row>
    <row r="833" ht="12.0" customHeight="1">
      <c r="A833" s="143"/>
      <c r="B833" s="143"/>
      <c r="C833" s="147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</row>
    <row r="834" ht="12.0" customHeight="1">
      <c r="A834" s="143"/>
      <c r="B834" s="143"/>
      <c r="C834" s="147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</row>
    <row r="835" ht="12.0" customHeight="1">
      <c r="A835" s="143"/>
      <c r="B835" s="143"/>
      <c r="C835" s="147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</row>
    <row r="836" ht="12.0" customHeight="1">
      <c r="A836" s="143"/>
      <c r="B836" s="143"/>
      <c r="C836" s="147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</row>
    <row r="837" ht="12.0" customHeight="1">
      <c r="A837" s="143"/>
      <c r="B837" s="143"/>
      <c r="C837" s="147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</row>
    <row r="838" ht="12.0" customHeight="1">
      <c r="A838" s="143"/>
      <c r="B838" s="143"/>
      <c r="C838" s="147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</row>
    <row r="839" ht="12.0" customHeight="1">
      <c r="A839" s="143"/>
      <c r="B839" s="143"/>
      <c r="C839" s="147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</row>
    <row r="840" ht="12.0" customHeight="1">
      <c r="A840" s="143"/>
      <c r="B840" s="143"/>
      <c r="C840" s="147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</row>
    <row r="841" ht="12.0" customHeight="1">
      <c r="A841" s="143"/>
      <c r="B841" s="143"/>
      <c r="C841" s="147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</row>
    <row r="842" ht="12.0" customHeight="1">
      <c r="A842" s="143"/>
      <c r="B842" s="143"/>
      <c r="C842" s="147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</row>
    <row r="843" ht="12.0" customHeight="1">
      <c r="A843" s="143"/>
      <c r="B843" s="143"/>
      <c r="C843" s="147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</row>
    <row r="844" ht="12.0" customHeight="1">
      <c r="A844" s="143"/>
      <c r="B844" s="143"/>
      <c r="C844" s="147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</row>
    <row r="845" ht="12.0" customHeight="1">
      <c r="A845" s="143"/>
      <c r="B845" s="143"/>
      <c r="C845" s="147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</row>
    <row r="846" ht="12.0" customHeight="1">
      <c r="A846" s="143"/>
      <c r="B846" s="143"/>
      <c r="C846" s="147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</row>
    <row r="847" ht="12.0" customHeight="1">
      <c r="A847" s="143"/>
      <c r="B847" s="143"/>
      <c r="C847" s="147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</row>
    <row r="848" ht="12.0" customHeight="1">
      <c r="A848" s="143"/>
      <c r="B848" s="143"/>
      <c r="C848" s="147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</row>
    <row r="849" ht="12.0" customHeight="1">
      <c r="A849" s="143"/>
      <c r="B849" s="143"/>
      <c r="C849" s="147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</row>
    <row r="850" ht="12.0" customHeight="1">
      <c r="A850" s="143"/>
      <c r="B850" s="143"/>
      <c r="C850" s="147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</row>
    <row r="851" ht="12.0" customHeight="1">
      <c r="A851" s="143"/>
      <c r="B851" s="143"/>
      <c r="C851" s="147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</row>
    <row r="852" ht="12.0" customHeight="1">
      <c r="A852" s="143"/>
      <c r="B852" s="143"/>
      <c r="C852" s="147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</row>
    <row r="853" ht="12.0" customHeight="1">
      <c r="A853" s="143"/>
      <c r="B853" s="143"/>
      <c r="C853" s="147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</row>
    <row r="854" ht="12.0" customHeight="1">
      <c r="A854" s="143"/>
      <c r="B854" s="143"/>
      <c r="C854" s="147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</row>
    <row r="855" ht="12.0" customHeight="1">
      <c r="A855" s="143"/>
      <c r="B855" s="143"/>
      <c r="C855" s="147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</row>
    <row r="856" ht="12.0" customHeight="1">
      <c r="A856" s="143"/>
      <c r="B856" s="143"/>
      <c r="C856" s="147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</row>
    <row r="857" ht="12.0" customHeight="1">
      <c r="A857" s="143"/>
      <c r="B857" s="143"/>
      <c r="C857" s="147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</row>
    <row r="858" ht="12.0" customHeight="1">
      <c r="A858" s="143"/>
      <c r="B858" s="143"/>
      <c r="C858" s="147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</row>
    <row r="859" ht="12.0" customHeight="1">
      <c r="A859" s="143"/>
      <c r="B859" s="143"/>
      <c r="C859" s="147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</row>
    <row r="860" ht="12.0" customHeight="1">
      <c r="A860" s="143"/>
      <c r="B860" s="143"/>
      <c r="C860" s="147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</row>
    <row r="861" ht="12.0" customHeight="1">
      <c r="A861" s="143"/>
      <c r="B861" s="143"/>
      <c r="C861" s="147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</row>
    <row r="862" ht="12.0" customHeight="1">
      <c r="A862" s="143"/>
      <c r="B862" s="143"/>
      <c r="C862" s="147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</row>
    <row r="863" ht="12.0" customHeight="1">
      <c r="A863" s="143"/>
      <c r="B863" s="143"/>
      <c r="C863" s="147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</row>
    <row r="864" ht="12.0" customHeight="1">
      <c r="A864" s="143"/>
      <c r="B864" s="143"/>
      <c r="C864" s="147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</row>
    <row r="865" ht="12.0" customHeight="1">
      <c r="A865" s="143"/>
      <c r="B865" s="143"/>
      <c r="C865" s="147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</row>
    <row r="866" ht="12.0" customHeight="1">
      <c r="A866" s="143"/>
      <c r="B866" s="143"/>
      <c r="C866" s="147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</row>
    <row r="867" ht="12.0" customHeight="1">
      <c r="A867" s="143"/>
      <c r="B867" s="143"/>
      <c r="C867" s="147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</row>
    <row r="868" ht="12.0" customHeight="1">
      <c r="A868" s="143"/>
      <c r="B868" s="143"/>
      <c r="C868" s="147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</row>
    <row r="869" ht="12.0" customHeight="1">
      <c r="A869" s="143"/>
      <c r="B869" s="143"/>
      <c r="C869" s="147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</row>
    <row r="870" ht="12.0" customHeight="1">
      <c r="A870" s="143"/>
      <c r="B870" s="143"/>
      <c r="C870" s="147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</row>
    <row r="871" ht="12.0" customHeight="1">
      <c r="A871" s="143"/>
      <c r="B871" s="143"/>
      <c r="C871" s="147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</row>
    <row r="872" ht="12.0" customHeight="1">
      <c r="A872" s="143"/>
      <c r="B872" s="143"/>
      <c r="C872" s="147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</row>
    <row r="873" ht="12.0" customHeight="1">
      <c r="A873" s="143"/>
      <c r="B873" s="143"/>
      <c r="C873" s="147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</row>
    <row r="874" ht="12.0" customHeight="1">
      <c r="A874" s="143"/>
      <c r="B874" s="143"/>
      <c r="C874" s="147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</row>
    <row r="875" ht="12.0" customHeight="1">
      <c r="A875" s="143"/>
      <c r="B875" s="143"/>
      <c r="C875" s="147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</row>
    <row r="876" ht="12.0" customHeight="1">
      <c r="A876" s="143"/>
      <c r="B876" s="143"/>
      <c r="C876" s="147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</row>
    <row r="877" ht="12.0" customHeight="1">
      <c r="A877" s="143"/>
      <c r="B877" s="143"/>
      <c r="C877" s="147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</row>
    <row r="878" ht="12.0" customHeight="1">
      <c r="A878" s="143"/>
      <c r="B878" s="143"/>
      <c r="C878" s="147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</row>
    <row r="879" ht="12.0" customHeight="1">
      <c r="A879" s="143"/>
      <c r="B879" s="143"/>
      <c r="C879" s="147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</row>
    <row r="880" ht="12.0" customHeight="1">
      <c r="A880" s="143"/>
      <c r="B880" s="143"/>
      <c r="C880" s="147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</row>
    <row r="881" ht="12.0" customHeight="1">
      <c r="A881" s="143"/>
      <c r="B881" s="143"/>
      <c r="C881" s="147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</row>
    <row r="882" ht="12.0" customHeight="1">
      <c r="A882" s="143"/>
      <c r="B882" s="143"/>
      <c r="C882" s="147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</row>
    <row r="883" ht="12.0" customHeight="1">
      <c r="A883" s="143"/>
      <c r="B883" s="143"/>
      <c r="C883" s="147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</row>
    <row r="884" ht="12.0" customHeight="1">
      <c r="A884" s="143"/>
      <c r="B884" s="143"/>
      <c r="C884" s="147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</row>
    <row r="885" ht="12.0" customHeight="1">
      <c r="A885" s="143"/>
      <c r="B885" s="143"/>
      <c r="C885" s="147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</row>
    <row r="886" ht="12.0" customHeight="1">
      <c r="A886" s="143"/>
      <c r="B886" s="143"/>
      <c r="C886" s="147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</row>
    <row r="887" ht="12.0" customHeight="1">
      <c r="A887" s="143"/>
      <c r="B887" s="143"/>
      <c r="C887" s="147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</row>
    <row r="888" ht="12.0" customHeight="1">
      <c r="A888" s="143"/>
      <c r="B888" s="143"/>
      <c r="C888" s="147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</row>
    <row r="889" ht="12.0" customHeight="1">
      <c r="A889" s="143"/>
      <c r="B889" s="143"/>
      <c r="C889" s="147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</row>
    <row r="890" ht="12.0" customHeight="1">
      <c r="A890" s="143"/>
      <c r="B890" s="143"/>
      <c r="C890" s="147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</row>
    <row r="891" ht="12.0" customHeight="1">
      <c r="A891" s="143"/>
      <c r="B891" s="143"/>
      <c r="C891" s="147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</row>
    <row r="892" ht="12.0" customHeight="1">
      <c r="A892" s="143"/>
      <c r="B892" s="143"/>
      <c r="C892" s="147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</row>
    <row r="893" ht="12.0" customHeight="1">
      <c r="A893" s="143"/>
      <c r="B893" s="143"/>
      <c r="C893" s="147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</row>
    <row r="894" ht="12.0" customHeight="1">
      <c r="A894" s="143"/>
      <c r="B894" s="143"/>
      <c r="C894" s="147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</row>
    <row r="895" ht="12.0" customHeight="1">
      <c r="A895" s="143"/>
      <c r="B895" s="143"/>
      <c r="C895" s="147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</row>
    <row r="896" ht="12.0" customHeight="1">
      <c r="A896" s="143"/>
      <c r="B896" s="143"/>
      <c r="C896" s="147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</row>
    <row r="897" ht="12.0" customHeight="1">
      <c r="A897" s="143"/>
      <c r="B897" s="143"/>
      <c r="C897" s="147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</row>
    <row r="898" ht="12.0" customHeight="1">
      <c r="A898" s="143"/>
      <c r="B898" s="143"/>
      <c r="C898" s="147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</row>
    <row r="899" ht="12.0" customHeight="1">
      <c r="A899" s="143"/>
      <c r="B899" s="143"/>
      <c r="C899" s="147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</row>
    <row r="900" ht="12.0" customHeight="1">
      <c r="A900" s="143"/>
      <c r="B900" s="143"/>
      <c r="C900" s="147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</row>
    <row r="901" ht="12.0" customHeight="1">
      <c r="A901" s="143"/>
      <c r="B901" s="143"/>
      <c r="C901" s="147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</row>
    <row r="902" ht="12.0" customHeight="1">
      <c r="A902" s="143"/>
      <c r="B902" s="143"/>
      <c r="C902" s="147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</row>
    <row r="903" ht="12.0" customHeight="1">
      <c r="A903" s="143"/>
      <c r="B903" s="143"/>
      <c r="C903" s="147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</row>
    <row r="904" ht="12.0" customHeight="1">
      <c r="A904" s="143"/>
      <c r="B904" s="143"/>
      <c r="C904" s="147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</row>
    <row r="905" ht="12.0" customHeight="1">
      <c r="A905" s="143"/>
      <c r="B905" s="143"/>
      <c r="C905" s="147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</row>
    <row r="906" ht="12.0" customHeight="1">
      <c r="A906" s="143"/>
      <c r="B906" s="143"/>
      <c r="C906" s="147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</row>
    <row r="907" ht="12.0" customHeight="1">
      <c r="A907" s="143"/>
      <c r="B907" s="143"/>
      <c r="C907" s="147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</row>
    <row r="908" ht="12.0" customHeight="1">
      <c r="A908" s="143"/>
      <c r="B908" s="143"/>
      <c r="C908" s="147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</row>
    <row r="909" ht="12.0" customHeight="1">
      <c r="A909" s="143"/>
      <c r="B909" s="143"/>
      <c r="C909" s="147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</row>
    <row r="910" ht="12.0" customHeight="1">
      <c r="A910" s="143"/>
      <c r="B910" s="143"/>
      <c r="C910" s="147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</row>
    <row r="911" ht="12.0" customHeight="1">
      <c r="A911" s="143"/>
      <c r="B911" s="143"/>
      <c r="C911" s="147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</row>
    <row r="912" ht="12.0" customHeight="1">
      <c r="A912" s="143"/>
      <c r="B912" s="143"/>
      <c r="C912" s="147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</row>
    <row r="913" ht="12.0" customHeight="1">
      <c r="A913" s="143"/>
      <c r="B913" s="143"/>
      <c r="C913" s="147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</row>
    <row r="914" ht="12.0" customHeight="1">
      <c r="A914" s="143"/>
      <c r="B914" s="143"/>
      <c r="C914" s="147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</row>
    <row r="915" ht="12.0" customHeight="1">
      <c r="A915" s="143"/>
      <c r="B915" s="143"/>
      <c r="C915" s="147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</row>
    <row r="916" ht="12.0" customHeight="1">
      <c r="A916" s="143"/>
      <c r="B916" s="143"/>
      <c r="C916" s="147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</row>
    <row r="917" ht="12.0" customHeight="1">
      <c r="A917" s="143"/>
      <c r="B917" s="143"/>
      <c r="C917" s="147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</row>
    <row r="918" ht="12.0" customHeight="1">
      <c r="A918" s="143"/>
      <c r="B918" s="143"/>
      <c r="C918" s="147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</row>
    <row r="919" ht="12.0" customHeight="1">
      <c r="A919" s="143"/>
      <c r="B919" s="143"/>
      <c r="C919" s="147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</row>
    <row r="920" ht="12.0" customHeight="1">
      <c r="A920" s="143"/>
      <c r="B920" s="143"/>
      <c r="C920" s="147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</row>
    <row r="921" ht="12.0" customHeight="1">
      <c r="A921" s="143"/>
      <c r="B921" s="143"/>
      <c r="C921" s="147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</row>
    <row r="922" ht="12.0" customHeight="1">
      <c r="A922" s="143"/>
      <c r="B922" s="143"/>
      <c r="C922" s="147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</row>
    <row r="923" ht="12.0" customHeight="1">
      <c r="A923" s="143"/>
      <c r="B923" s="143"/>
      <c r="C923" s="147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</row>
    <row r="924" ht="12.0" customHeight="1">
      <c r="A924" s="143"/>
      <c r="B924" s="143"/>
      <c r="C924" s="147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</row>
    <row r="925" ht="12.0" customHeight="1">
      <c r="A925" s="143"/>
      <c r="B925" s="143"/>
      <c r="C925" s="147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</row>
    <row r="926" ht="12.0" customHeight="1">
      <c r="A926" s="143"/>
      <c r="B926" s="143"/>
      <c r="C926" s="147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</row>
    <row r="927" ht="12.0" customHeight="1">
      <c r="A927" s="143"/>
      <c r="B927" s="143"/>
      <c r="C927" s="147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</row>
    <row r="928" ht="12.0" customHeight="1">
      <c r="A928" s="143"/>
      <c r="B928" s="143"/>
      <c r="C928" s="147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</row>
    <row r="929" ht="12.0" customHeight="1">
      <c r="A929" s="143"/>
      <c r="B929" s="143"/>
      <c r="C929" s="147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</row>
    <row r="930" ht="12.0" customHeight="1">
      <c r="A930" s="143"/>
      <c r="B930" s="143"/>
      <c r="C930" s="147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</row>
    <row r="931" ht="12.0" customHeight="1">
      <c r="A931" s="143"/>
      <c r="B931" s="143"/>
      <c r="C931" s="147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</row>
    <row r="932" ht="12.0" customHeight="1">
      <c r="A932" s="143"/>
      <c r="B932" s="143"/>
      <c r="C932" s="147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</row>
    <row r="933" ht="12.0" customHeight="1">
      <c r="A933" s="143"/>
      <c r="B933" s="143"/>
      <c r="C933" s="147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</row>
    <row r="934" ht="12.0" customHeight="1">
      <c r="A934" s="143"/>
      <c r="B934" s="143"/>
      <c r="C934" s="147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</row>
    <row r="935" ht="12.0" customHeight="1">
      <c r="A935" s="143"/>
      <c r="B935" s="143"/>
      <c r="C935" s="147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</row>
    <row r="936" ht="12.0" customHeight="1">
      <c r="A936" s="143"/>
      <c r="B936" s="143"/>
      <c r="C936" s="147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</row>
    <row r="937" ht="12.0" customHeight="1">
      <c r="A937" s="143"/>
      <c r="B937" s="143"/>
      <c r="C937" s="147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</row>
    <row r="938" ht="12.0" customHeight="1">
      <c r="A938" s="143"/>
      <c r="B938" s="143"/>
      <c r="C938" s="147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</row>
    <row r="939" ht="12.0" customHeight="1">
      <c r="A939" s="143"/>
      <c r="B939" s="143"/>
      <c r="C939" s="147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</row>
    <row r="940" ht="12.0" customHeight="1">
      <c r="A940" s="143"/>
      <c r="B940" s="143"/>
      <c r="C940" s="147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</row>
    <row r="941" ht="12.0" customHeight="1">
      <c r="A941" s="143"/>
      <c r="B941" s="143"/>
      <c r="C941" s="147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</row>
    <row r="942" ht="12.0" customHeight="1">
      <c r="A942" s="143"/>
      <c r="B942" s="143"/>
      <c r="C942" s="147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</row>
    <row r="943" ht="12.0" customHeight="1">
      <c r="A943" s="143"/>
      <c r="B943" s="143"/>
      <c r="C943" s="147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</row>
    <row r="944" ht="12.0" customHeight="1">
      <c r="A944" s="143"/>
      <c r="B944" s="143"/>
      <c r="C944" s="147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</row>
    <row r="945" ht="12.0" customHeight="1">
      <c r="A945" s="143"/>
      <c r="B945" s="143"/>
      <c r="C945" s="147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</row>
    <row r="946" ht="12.0" customHeight="1">
      <c r="A946" s="143"/>
      <c r="B946" s="143"/>
      <c r="C946" s="147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</row>
    <row r="947" ht="12.0" customHeight="1">
      <c r="A947" s="143"/>
      <c r="B947" s="143"/>
      <c r="C947" s="147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</row>
    <row r="948" ht="12.0" customHeight="1">
      <c r="A948" s="143"/>
      <c r="B948" s="143"/>
      <c r="C948" s="147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</row>
    <row r="949" ht="12.0" customHeight="1">
      <c r="A949" s="143"/>
      <c r="B949" s="143"/>
      <c r="C949" s="147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</row>
    <row r="950" ht="12.0" customHeight="1">
      <c r="A950" s="143"/>
      <c r="B950" s="143"/>
      <c r="C950" s="147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</row>
    <row r="951" ht="12.0" customHeight="1">
      <c r="A951" s="143"/>
      <c r="B951" s="143"/>
      <c r="C951" s="147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</row>
    <row r="952" ht="12.0" customHeight="1">
      <c r="A952" s="143"/>
      <c r="B952" s="143"/>
      <c r="C952" s="147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</row>
    <row r="953" ht="12.0" customHeight="1">
      <c r="A953" s="143"/>
      <c r="B953" s="143"/>
      <c r="C953" s="147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</row>
    <row r="954" ht="12.0" customHeight="1">
      <c r="A954" s="143"/>
      <c r="B954" s="143"/>
      <c r="C954" s="147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</row>
    <row r="955" ht="12.0" customHeight="1">
      <c r="A955" s="143"/>
      <c r="B955" s="143"/>
      <c r="C955" s="147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</row>
    <row r="956" ht="12.0" customHeight="1">
      <c r="A956" s="143"/>
      <c r="B956" s="143"/>
      <c r="C956" s="147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</row>
    <row r="957" ht="12.0" customHeight="1">
      <c r="A957" s="143"/>
      <c r="B957" s="143"/>
      <c r="C957" s="147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</row>
    <row r="958" ht="12.0" customHeight="1">
      <c r="A958" s="143"/>
      <c r="B958" s="143"/>
      <c r="C958" s="147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</row>
    <row r="959" ht="12.0" customHeight="1">
      <c r="A959" s="143"/>
      <c r="B959" s="143"/>
      <c r="C959" s="147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</row>
    <row r="960" ht="12.0" customHeight="1">
      <c r="A960" s="143"/>
      <c r="B960" s="143"/>
      <c r="C960" s="147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</row>
    <row r="961" ht="12.0" customHeight="1">
      <c r="A961" s="143"/>
      <c r="B961" s="143"/>
      <c r="C961" s="147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</row>
    <row r="962" ht="12.0" customHeight="1">
      <c r="A962" s="143"/>
      <c r="B962" s="143"/>
      <c r="C962" s="147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</row>
    <row r="963" ht="12.0" customHeight="1">
      <c r="A963" s="143"/>
      <c r="B963" s="143"/>
      <c r="C963" s="147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</row>
    <row r="964" ht="12.0" customHeight="1">
      <c r="A964" s="143"/>
      <c r="B964" s="143"/>
      <c r="C964" s="147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</row>
    <row r="965" ht="12.0" customHeight="1">
      <c r="A965" s="143"/>
      <c r="B965" s="143"/>
      <c r="C965" s="147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</row>
    <row r="966" ht="12.0" customHeight="1">
      <c r="A966" s="143"/>
      <c r="B966" s="143"/>
      <c r="C966" s="147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</row>
    <row r="967" ht="12.0" customHeight="1">
      <c r="A967" s="143"/>
      <c r="B967" s="143"/>
      <c r="C967" s="147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</row>
    <row r="968" ht="12.0" customHeight="1">
      <c r="A968" s="143"/>
      <c r="B968" s="143"/>
      <c r="C968" s="147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</row>
    <row r="969" ht="12.0" customHeight="1">
      <c r="A969" s="143"/>
      <c r="B969" s="143"/>
      <c r="C969" s="147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</row>
    <row r="970" ht="12.0" customHeight="1">
      <c r="A970" s="143"/>
      <c r="B970" s="143"/>
      <c r="C970" s="147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</row>
    <row r="971" ht="12.0" customHeight="1">
      <c r="A971" s="143"/>
      <c r="B971" s="143"/>
      <c r="C971" s="147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</row>
    <row r="972" ht="12.0" customHeight="1">
      <c r="A972" s="143"/>
      <c r="B972" s="143"/>
      <c r="C972" s="147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</row>
    <row r="973" ht="12.0" customHeight="1">
      <c r="A973" s="143"/>
      <c r="B973" s="143"/>
      <c r="C973" s="147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</row>
    <row r="974" ht="12.0" customHeight="1">
      <c r="A974" s="143"/>
      <c r="B974" s="143"/>
      <c r="C974" s="147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</row>
    <row r="975" ht="12.0" customHeight="1">
      <c r="A975" s="143"/>
      <c r="B975" s="143"/>
      <c r="C975" s="147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</row>
    <row r="976" ht="12.0" customHeight="1">
      <c r="A976" s="143"/>
      <c r="B976" s="143"/>
      <c r="C976" s="147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</row>
    <row r="977" ht="12.0" customHeight="1">
      <c r="A977" s="143"/>
      <c r="B977" s="143"/>
      <c r="C977" s="147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</row>
    <row r="978" ht="12.0" customHeight="1">
      <c r="A978" s="143"/>
      <c r="B978" s="143"/>
      <c r="C978" s="147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</row>
    <row r="979" ht="12.0" customHeight="1">
      <c r="A979" s="143"/>
      <c r="B979" s="143"/>
      <c r="C979" s="147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</row>
    <row r="980" ht="12.0" customHeight="1">
      <c r="A980" s="143"/>
      <c r="B980" s="143"/>
      <c r="C980" s="147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</row>
    <row r="981" ht="12.0" customHeight="1">
      <c r="A981" s="143"/>
      <c r="B981" s="143"/>
      <c r="C981" s="147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</row>
    <row r="982" ht="12.0" customHeight="1">
      <c r="A982" s="143"/>
      <c r="B982" s="143"/>
      <c r="C982" s="147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</row>
    <row r="983" ht="12.0" customHeight="1">
      <c r="A983" s="143"/>
      <c r="B983" s="143"/>
      <c r="C983" s="147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</row>
    <row r="984" ht="12.0" customHeight="1">
      <c r="A984" s="143"/>
      <c r="B984" s="143"/>
      <c r="C984" s="147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</row>
    <row r="985" ht="12.0" customHeight="1">
      <c r="A985" s="143"/>
      <c r="B985" s="143"/>
      <c r="C985" s="147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</row>
    <row r="986" ht="12.0" customHeight="1">
      <c r="A986" s="143"/>
      <c r="B986" s="143"/>
      <c r="C986" s="147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</row>
    <row r="987" ht="12.0" customHeight="1">
      <c r="A987" s="143"/>
      <c r="B987" s="143"/>
      <c r="C987" s="147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</row>
    <row r="988" ht="12.0" customHeight="1">
      <c r="A988" s="143"/>
      <c r="B988" s="143"/>
      <c r="C988" s="147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</row>
    <row r="989" ht="12.0" customHeight="1">
      <c r="A989" s="143"/>
      <c r="B989" s="143"/>
      <c r="C989" s="147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</row>
    <row r="990" ht="12.0" customHeight="1">
      <c r="A990" s="143"/>
      <c r="B990" s="143"/>
      <c r="C990" s="147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</row>
    <row r="991" ht="12.0" customHeight="1">
      <c r="A991" s="143"/>
      <c r="B991" s="143"/>
      <c r="C991" s="147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</row>
    <row r="992" ht="12.0" customHeight="1">
      <c r="A992" s="143"/>
      <c r="B992" s="143"/>
      <c r="C992" s="147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</row>
    <row r="993" ht="12.0" customHeight="1">
      <c r="A993" s="143"/>
      <c r="B993" s="143"/>
      <c r="C993" s="147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</row>
    <row r="994" ht="12.0" customHeight="1">
      <c r="A994" s="143"/>
      <c r="B994" s="143"/>
      <c r="C994" s="147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</row>
    <row r="995" ht="12.0" customHeight="1">
      <c r="A995" s="143"/>
      <c r="B995" s="143"/>
      <c r="C995" s="147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</row>
    <row r="996" ht="12.0" customHeight="1">
      <c r="A996" s="143"/>
      <c r="B996" s="143"/>
      <c r="C996" s="147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</row>
    <row r="997" ht="12.0" customHeight="1">
      <c r="A997" s="143"/>
      <c r="B997" s="143"/>
      <c r="C997" s="147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</row>
    <row r="998" ht="12.0" customHeight="1">
      <c r="A998" s="143"/>
      <c r="B998" s="143"/>
      <c r="C998" s="147"/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</row>
    <row r="999" ht="12.0" customHeight="1">
      <c r="A999" s="143"/>
      <c r="B999" s="143"/>
      <c r="C999" s="147"/>
      <c r="D999" s="143"/>
      <c r="E999" s="143"/>
      <c r="F999" s="143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</row>
    <row r="1000" ht="12.0" customHeight="1">
      <c r="A1000" s="143"/>
      <c r="B1000" s="143"/>
      <c r="C1000" s="147"/>
      <c r="D1000" s="143"/>
      <c r="E1000" s="143"/>
      <c r="F1000" s="143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</row>
  </sheetData>
  <printOptions/>
  <pageMargins bottom="0.984251969" footer="0.0" header="0.0" left="0.787401575" right="0.787401575" top="0.984251969"/>
  <pageSetup paperSize="9" orientation="portrait"/>
  <headerFooter>
    <oddFooter>&amp;L&amp;F/&amp;A&amp;C&amp;D&amp;Rversion du 07/04/2005 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1999-03-09T10:58:01Z</dcterms:created>
  <dc:creator>cgc</dc:creator>
</cp:coreProperties>
</file>