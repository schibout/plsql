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1\"/>
    </mc:Choice>
  </mc:AlternateContent>
  <bookViews>
    <workbookView xWindow="290" yWindow="50" windowWidth="15870" windowHeight="5840" tabRatio="723" activeTab="7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<sst xmlns="http://schemas.openxmlformats.org/spreadsheetml/2006/main" count="551" uniqueCount="143">
  <si>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</si>
  <si>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</si>
  <si>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</si>
  <si>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</si>
  <si>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</si>
  <si>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</si>
  <si>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</si>
  <si>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</si>
  <si>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</si>
  <si>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</si>
  <si>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</si>
  <si>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</si>
  <si>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</si>
  <si>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</si>
  <si>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</si>
  <si>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</si>
  <si>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</si>
  <si>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</si>
  <si>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</si>
  <si>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</si>
  <si>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</si>
  <si>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</si>
  <si>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</si>
  <si>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</si>
  <si>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</si>
  <si>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</si>
  <si>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</si>
  <si>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</si>
  <si>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</si>
  <si>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</si>
  <si>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</si>
  <si>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</si>
  <si>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</si>
  <si>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</si>
  <si>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</si>
  <si>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</si>
  <si>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</si>
  <si>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</si>
  <si>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</si>
  <si>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</si>
  <si>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</si>
  <si>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</si>
  <si>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</si>
  <si>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</si>
  <si>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</si>
  <si>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</si>
  <si>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</si>
  <si>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</si>
  <si>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</si>
  <si>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</si>
  <si>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</si>
  <si>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</si>
  <si>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</si>
  <si>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</si>
  <si>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</si>
  <si>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</si>
  <si>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</si>
  <si>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</si>
  <si>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</si>
  <si>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</si>
  <si>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</si>
  <si>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</si>
  <si>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</si>
  <si>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</si>
  <si>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</si>
  <si>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</si>
  <si>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</si>
  <si>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</si>
  <si>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</si>
  <si>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</si>
  <si>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</si>
  <si>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</si>
  <si>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</si>
  <si>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</si>
  <si>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</si>
  <si>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</si>
  <si>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</si>
  <si>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</si>
  <si>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</si>
  <si>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</si>
  <si>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</si>
  <si>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</si>
  <si>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</si>
  <si>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</si>
  <si>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</si>
  <si>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</si>
  <si>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</si>
  <si>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</si>
  <si>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</si>
  <si>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</si>
  <si>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</si>
  <si>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</si>
  <si>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</si>
  <si>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</si>
  <si>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</si>
  <si>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</si>
  <si>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</si>
  <si>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</si>
  <si>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</si>
  <si>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</si>
  <si>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</si>
  <si>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</si>
  <si>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</si>
  <si>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</si>
  <si>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</si>
  <si>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</si>
  <si>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</si>
  <si>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</si>
  <si>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</si>
  <si>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</si>
  <si>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</si>
  <si>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</si>
  <si>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</si>
  <si>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</si>
  <si>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</si>
  <si>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</si>
  <si>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</si>
  <si>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</si>
  <si>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</si>
  <si>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</si>
  <si>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</si>
  <si>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</si>
  <si>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</si>
  <si>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</si>
  <si>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</si>
  <si>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</si>
  <si>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</si>
  <si>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</si>
  <si>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</si>
  <si>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</si>
  <si>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</si>
  <si>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</si>
  <si>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</si>
  <si>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</si>
  <si>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</si>
  <si>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</si>
  <si>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0507</t>
  </si>
  <si>
    <t>MOTTEO</t>
  </si>
  <si>
    <t>YS2123</t>
  </si>
  <si>
    <t>290, ESPLANADE MAURICE JUSTIN</t>
  </si>
  <si>
    <t>LA GRANDE MOTTE</t>
  </si>
  <si>
    <t>TSA 25504</t>
  </si>
  <si>
    <t>FB0088164L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</si>
</sst>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Normal="100" workbookViewId="0">
      <pane xSplit="6" ySplit="1" topLeftCell="G2" activePane="bottomRight" state="frozenSplit"/>
      <selection activeCell="E38" sqref="E38"/>
      <selection pane="topRight" activeCell="E38" sqref="E38"/>
      <selection pane="bottomLeft" activeCell="E38" sqref="E38"/>
      <selection pane="bottomRight" activeCell="L10" sqref="L10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3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3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/>
      <c r="C9" s="15"/>
      <c r="F9" s="4"/>
      <c r="H9" s="4"/>
      <c r="I9" s="17"/>
      <c r="J9" s="20"/>
      <c r="K9" s="18"/>
      <c r="L9" s="16"/>
      <c r="O9" s="10"/>
      <c r="P9" s="19"/>
      <c r="R9" s="23"/>
    </row>
    <row r="10" spans="1:19" ht="16" thickBot="1" x14ac:dyDescent="0.4">
      <c r="A10" s="1" t="s">
        <v>136</v>
      </c>
      <c r="B10" s="6" t="s">
        <v>43</v>
      </c>
      <c r="C10" s="15" t="s">
        <v>137</v>
      </c>
      <c r="D10" s="6" t="s">
        <v>74</v>
      </c>
      <c r="E10" s="6" t="s">
        <v>34</v>
      </c>
      <c r="F10" s="4" t="s">
        <v>34</v>
      </c>
      <c r="G10" s="6" t="s">
        <v>138</v>
      </c>
      <c r="H10" s="4" t="s">
        <v>43</v>
      </c>
      <c r="I10" s="17" t="s">
        <v>137</v>
      </c>
      <c r="J10" s="6" t="s">
        <v>139</v>
      </c>
      <c r="K10" s="18">
        <v>34280</v>
      </c>
      <c r="L10" s="16" t="s">
        <v>140</v>
      </c>
      <c r="M10" s="6">
        <v>24507</v>
      </c>
      <c r="N10" s="6" t="s">
        <v>141</v>
      </c>
      <c r="O10" s="10" t="s">
        <v>99</v>
      </c>
      <c r="P10" s="19">
        <v>513566</v>
      </c>
      <c r="Q10" s="6" t="s">
        <v>108</v>
      </c>
      <c r="R10" s="23" t="s">
        <v>142</v>
      </c>
      <c r="S10" s="6"/>
    </row>
    <row r="11" spans="1:19" ht="16" thickBot="1" x14ac:dyDescent="0.4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E38" sqref="E38"/>
      <selection pane="bottomLeft" activeCell="E38" sqref="E38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G39" sqref="G39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>*FN</v>
      </c>
      <c r="B10" s="6" t="str">
        <f>IF(LEN('A créer'!G10)=0,"",'A créer'!G10)</f>
        <v>YS2123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MOTTEO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Normal="100" workbookViewId="0">
      <pane xSplit="1" ySplit="1" topLeftCell="AC2" activePane="bottomRight" state="frozenSplit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Normal="100" workbookViewId="0">
      <pane xSplit="1" ySplit="1" topLeftCell="B2" activePane="bottomRight" state="frozenSplit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 t="str">
        <f>IF('A créer'!D10="Oui",IF(AND(LEN('A créer'!B10)&gt;0,'A créer'!B10&lt;&gt;'A créer'!H10)=TRUE,'A créer'!G10,""),'A créer'!G10)</f>
        <v/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Normal="100" workbookViewId="0">
      <pane ySplit="1" topLeftCell="A2" activePane="bottomLeft" state="frozenSplit"/>
      <selection activeCell="E38" sqref="E38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513566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BNP PARIBAS 0507 MOTTEO/DEW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94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zoomScaleNormal="100" workbookViewId="0">
      <pane ySplit="1" topLeftCell="A2" activePane="bottomLeft" state="frozenSplit"/>
      <selection activeCell="E38" sqref="E38"/>
      <selection pane="bottomLeft" activeCell="B10" sqref="B10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>*FN</v>
      </c>
      <c r="B10" t="str">
        <f>IF(LEN('A créer'!C10)=0,"",CONCATENATE(,'A créer'!B10,'A créer'!A10))</f>
        <v>DEW0507</v>
      </c>
      <c r="C10" s="2" t="str">
        <f>IF(LEN('A créer'!C10)=0,"","Tab")</f>
        <v>Tab</v>
      </c>
      <c r="D10" t="str">
        <f>IF(LEN('A créer'!C10)=0,"",CONCATENATE(,'A créer'!B10,'A créer'!A10,"-",'A créer'!C10))</f>
        <v>DEW0507-MOTTEO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FB0088164L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DEW_0507PF FPS 0507 MOTTEO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tabSelected="1" zoomScaleNormal="100" workbookViewId="0">
      <pane xSplit="1" ySplit="1" topLeftCell="B2" activePane="bottomRight" state="frozenSplit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0507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DEW0507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Normal="100" workbookViewId="0">
      <pane xSplit="1" ySplit="1" topLeftCell="B2" activePane="bottomRight" state="frozenSplit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0507</v>
      </c>
      <c r="E10" s="2" t="str">
        <f>IF(LEN('A créer'!C10)=0,"","Tab")</f>
        <v>Tab</v>
      </c>
      <c r="F10" t="str">
        <f>IF(LEN('A créer'!C10)=0,"",'A créer'!B10)</f>
        <v>DEW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Normal="100" workbookViewId="0">
      <pane xSplit="1" ySplit="1" topLeftCell="Q2" activePane="bottomRight" state="frozenSplit"/>
      <selection activeCell="E38" sqref="E38"/>
      <selection pane="topRight" activeCell="E38" sqref="E38"/>
      <selection pane="bottomLeft" activeCell="E38" sqref="E38"/>
      <selection pane="bottomRight" activeCell="AS10" sqref="AS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DEW0507</v>
      </c>
      <c r="T10" s="2" t="s">
        <v>4</v>
      </c>
      <c r="U10" s="6" t="str">
        <f>IF('A créer'!F10="Oui",'A créer'!C10,IF(LEN('A créer'!F10)=0,"",CONCATENATE('A créer'!C10," (",'A créer'!M10,")")))</f>
        <v>MOTTEO (24507)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 t="str">
        <f>IF('A créer'!F10="Oui",'A créer'!J10,IF(LEN('A créer'!F10)=0,"",'A créer'!N10))</f>
        <v>TSA 25504</v>
      </c>
      <c r="Z10" s="2" t="str">
        <f>IF(LEN('A créer'!D10)=0,"","Tab")</f>
        <v>Tab</v>
      </c>
      <c r="AA10" s="4" t="str">
        <f>IF('A créer'!F10="Oui","",IF(LEN('A créer'!F10)=0,"",'A créer'!O10))</f>
        <v>59784 LILLE CEDEX 9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">
        <v>43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E38" sqref="E38"/>
      <selection pane="bottomLeft" activeCell="G10" sqref="G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0507</v>
      </c>
      <c r="D10" s="2" t="str">
        <f>IF(LEN('A créer'!C10)=0,"","Tab")</f>
        <v>Tab</v>
      </c>
      <c r="E10" t="str">
        <f>IF(LEN('A créer'!C10)=0,"",'A créer'!B10)</f>
        <v>DEW</v>
      </c>
      <c r="F10" s="2" t="str">
        <f>IF(LEN('A créer'!C10)=0,"","Tab")</f>
        <v>Tab</v>
      </c>
      <c r="G10" t="str">
        <f>IF(LEN('A créer'!C10)=0,"",'A créer'!G10)</f>
        <v>YS2123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E38" sqref="E38"/>
      <selection pane="bottomLeft" activeCell="E38" sqref="E38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513566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E38" sqref="E38"/>
      <selection pane="bottomLeft" activeCell="E38" sqref="E38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>TAB</v>
      </c>
      <c r="B10" s="6" t="str">
        <f>CONCATENATE('A créer'!B10,'A créer'!A10)</f>
        <v>DEW0507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E38" sqref="E38"/>
      <selection pane="bottomLeft" activeCell="E38" sqref="E38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DEW0507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E38" sqref="E38"/>
      <selection pane="topRight" activeCell="E38" sqref="E38"/>
      <selection pane="bottomLeft" activeCell="E38" sqref="E38"/>
      <selection pane="bottomRight" activeCell="E38" sqref="E38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DEW0507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DEW0507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créer'!$E10&gt;0)),"","*ML(103,118)")</f>
        <v>*ML(103,118)</v>
      </c>
      <c r="P10" s="2" t="str">
        <f>IF(OR(LEN('A créer'!$C10)=0,'A créer'!$E10="Oui"),"","*FN")</f>
        <v>*FN</v>
      </c>
      <c r="Q10" s="6" t="str">
        <f>IF(OR(LEN('A créer'!$C10)=0,'A créer'!$E10="Oui"),"",'A créer'!A10)</f>
        <v>0507</v>
      </c>
      <c r="R10" s="2" t="str">
        <f>IF(OR(LEN('A créer'!$C10)=0,'A créer'!$E10="Oui"),"","TAB")</f>
        <v>TAB</v>
      </c>
      <c r="S10" s="6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6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6" t="str">
        <f>IF(OR(LEN('A créer'!$C10)=0,'A créer'!$E10="Oui"),"",CONCATENATE('A créer'!B10,'A créer'!A10))</f>
        <v>DEW0507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E38" sqref="E38"/>
      <selection pane="bottomLeft" activeCell="E38" sqref="E38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DEW0507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E38" sqref="E38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2025-01-20T13:22:44Z</dcterms:modified>
</cp:coreProperties>
</file>