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ove\Documents\Data\PROJETS\Softaplay\202303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52511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<sst xmlns="http://schemas.openxmlformats.org/spreadsheetml/2006/main" count="473" uniqueCount="107">
  <si>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</si>
  <si>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</si>
  <si>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</si>
  <si>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</si>
  <si>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</si>
  <si>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</si>
  <si>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</si>
  <si>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</si>
  <si>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</si>
  <si>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</si>
  <si>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</si>
  <si>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</si>
  <si>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</si>
  <si>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</si>
  <si>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</si>
  <si>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</si>
  <si>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</si>
  <si>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</si>
  <si>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</si>
  <si>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</si>
  <si>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</si>
  <si>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</si>
  <si>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</si>
  <si>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</si>
  <si>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</si>
  <si>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</si>
  <si>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</si>
  <si>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</si>
  <si>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</si>
  <si>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</si>
  <si>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</si>
  <si>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</si>
  <si>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</si>
  <si>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</si>
  <si>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</si>
  <si>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</si>
  <si>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</si>
  <si>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</si>
  <si>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</si>
  <si>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</si>
  <si>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</si>
  <si>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</si>
  <si>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</si>
  <si>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</si>
  <si>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</si>
  <si>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</si>
  <si>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</si>
  <si>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</si>
  <si>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</si>
  <si>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</si>
  <si>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</si>
  <si>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</si>
  <si>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</si>
  <si>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</si>
  <si>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</si>
  <si>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</si>
  <si>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</si>
  <si>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</si>
  <si>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</si>
  <si>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</si>
  <si>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</si>
  <si>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</si>
  <si>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</si>
  <si>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</si>
  <si>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</si>
  <si>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</si>
  <si>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</si>
  <si>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</si>
  <si>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</si>
  <si>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</si>
  <si>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</si>
  <si>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</si>
  <si>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</si>
  <si>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</si>
  <si>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</si>
  <si>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</si>
  <si>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</si>
  <si>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</si>
  <si>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</si>
  <si>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</si>
  <si>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</si>
  <si>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</si>
  <si>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</si>
  <si>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</si>
  <si>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</si>
  <si>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</si>
  <si>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</si>
  <si>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</si>
  <si>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</si>
  <si>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</si>
  <si>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</si>
  <si>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</si>
  <si>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</si>
  <si>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</si>
  <si>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</si>
  <si>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</si>
  <si>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</si>
  <si>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59 784 LILLE CEDEX 9</t>
  </si>
  <si>
    <t>0382</t>
  </si>
  <si>
    <t>SOCIETE VALMY DEFENSE 88</t>
  </si>
  <si>
    <t>SV688</t>
  </si>
  <si>
    <t>SVD 88</t>
  </si>
  <si>
    <t>37,AVENUE DU MARECHAL DE LATTRE DE TASSIGNY</t>
  </si>
  <si>
    <t>SAINT-ANDRE LEZ LILLE</t>
  </si>
  <si>
    <t>TSA - 95502</t>
  </si>
  <si>
    <t>BNP PARIBAS</t>
  </si>
  <si>
    <t>FB0081581F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</si>
</sst>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1.28515625" bestFit="1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98</v>
      </c>
      <c r="B2" s="6" t="s">
        <v>42</v>
      </c>
      <c r="C2" s="15" t="s">
        <v>99</v>
      </c>
      <c r="D2" s="6" t="s">
        <v>74</v>
      </c>
      <c r="E2" s="6" t="s">
        <v>34</v>
      </c>
      <c r="F2" s="6" t="s">
        <v>34</v>
      </c>
      <c r="G2" s="6" t="s">
        <v>100</v>
      </c>
      <c r="H2" s="4" t="s">
        <v>42</v>
      </c>
      <c r="I2" s="17" t="s">
        <v>101</v>
      </c>
      <c r="J2" s="6" t="s">
        <v>102</v>
      </c>
      <c r="K2" s="18">
        <v>59350</v>
      </c>
      <c r="L2" s="16" t="s">
        <v>103</v>
      </c>
      <c r="M2" s="6">
        <v>92382</v>
      </c>
      <c r="N2" s="6" t="s">
        <v>104</v>
      </c>
      <c r="O2" s="10" t="s">
        <v>97</v>
      </c>
      <c r="P2" s="19">
        <v>513447</v>
      </c>
      <c r="Q2" s="6" t="s">
        <v>105</v>
      </c>
      <c r="R2" s="24" t="s">
        <v>106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4"/>
      <c r="I5" s="17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B3" sqref="B3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SV688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SOCIETE VALMY DEFENSE 88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513447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0382 SOCIETE VALMY DEFENSE 88/DSW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94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DSW0382</v>
      </c>
      <c r="C2" s="2" t="str">
        <f>IF(LEN('A créer'!C2)=0,"","Tab")</f>
        <v>Tab</v>
      </c>
      <c r="D2" t="str">
        <f>IF(LEN('A créer'!C2)=0,"",CONCATENATE(,'A créer'!B2,'A créer'!A2,"-",'A créer'!C2))</f>
        <v>DSW0382-SOCIETE VALMY DEFENSE 88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FB0081581F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DSW_0382PF FPS 0382 SOCIETE VALMY DEFENSE 88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0382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DSW0382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0382</v>
      </c>
      <c r="E2" s="2" t="str">
        <f>IF(LEN('A créer'!C2)=0,"","Tab")</f>
        <v>Tab</v>
      </c>
      <c r="F2" t="str">
        <f>IF(LEN('A créer'!C2)=0,"",'A créer'!B2)</f>
        <v>DSW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AQ2" sqref="AQ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DSW0382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SOCIETE VALMY DEFENSE 88 (92382)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- 95502</v>
      </c>
      <c r="Z2" s="2" t="str">
        <f>IF(LEN('A créer'!D2)=0,"","Tab")</f>
        <v>Tab</v>
      </c>
      <c r="AA2" s="4" t="str">
        <f>IF('A créer'!F2="Oui","",IF(LEN('A créer'!F2)=0,"",'A créer'!O2))</f>
        <v>59 784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0382</v>
      </c>
      <c r="D2" s="2" t="str">
        <f>IF(LEN('A créer'!C2)=0,"","Tab")</f>
        <v>Tab</v>
      </c>
      <c r="E2" t="str">
        <f>IF(LEN('A créer'!C2)=0,"",'A créer'!B2)</f>
        <v>DSW</v>
      </c>
      <c r="F2" s="2" t="str">
        <f>IF(LEN('A créer'!C2)=0,"","Tab")</f>
        <v>Tab</v>
      </c>
      <c r="G2" t="str">
        <f>IF(LEN('A créer'!C2)=0,"",'A créer'!G2)</f>
        <v>SV688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I9" sqref="I9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513447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DSW0382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A2" sqref="A2:E8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DSW0382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I4" sqref="I4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DSW0382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DSW0382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0382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DSW0382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DSW0382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A9:C9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JOVE Lionel</cp:lastModifiedBy>
  <dcterms:created xsi:type="dcterms:W3CDTF">2021-03-23T15:13:40Z</dcterms:created>
  <dcterms:modified xsi:type="dcterms:W3CDTF">2023-03-17T13:49:56Z</dcterms:modified>
</cp:coreProperties>
</file>