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405\"/>
    </mc:Choice>
  </mc:AlternateContent>
  <bookViews>
    <workbookView xWindow="290" yWindow="50" windowWidth="15870" windowHeight="5840" tabRatio="723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R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R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J11" i="5"/>
  <c r="AK11" i="5"/>
  <c r="AL11" i="5"/>
  <c r="AO11" i="5"/>
  <c r="AP11" i="5"/>
  <c r="AQ11" i="5"/>
  <c r="AR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R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<sst xmlns="http://schemas.openxmlformats.org/spreadsheetml/2006/main" count="535" uniqueCount="136">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</sst>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6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0" applyNumberFormat="1" applyFont="1" applyFill="1" applyBorder="1" applyAlignment="1">
      <alignment horizontal="center"/>
    </xf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tabSelected="1" zoomScale="90" zoomScaleNormal="90" workbookViewId="0">
      <pane xSplit="6" ySplit="1" topLeftCell="L2" activePane="bottomRight" state="frozenSplit"/>
      <selection pane="topRight" activeCell="F1" sqref="F1"/>
      <selection pane="bottomLeft" activeCell="A2" sqref="A2"/>
      <selection pane="bottomRight" activeCell="R6" sqref="R6:R7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4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3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2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4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4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4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4"/>
    </row>
    <row r="9" spans="1:19" s="6" customFormat="1" ht="16" thickBot="1" x14ac:dyDescent="0.4">
      <c r="A9" s="1"/>
      <c r="C9" s="15"/>
      <c r="H9" s="4"/>
      <c r="I9" s="17"/>
      <c r="K9" s="18"/>
      <c r="L9" s="16"/>
      <c r="O9" s="10"/>
      <c r="P9" s="19"/>
      <c r="R9" s="24"/>
    </row>
    <row r="10" spans="1:19" ht="16" thickBot="1" x14ac:dyDescent="0.4">
      <c r="A10" s="1"/>
      <c r="B10" s="6"/>
      <c r="C10" s="15"/>
      <c r="D10" s="6"/>
      <c r="E10" s="6"/>
      <c r="F10" s="6"/>
      <c r="G10" s="6"/>
      <c r="H10" s="4"/>
      <c r="I10" s="17"/>
      <c r="J10" s="6"/>
      <c r="K10" s="18"/>
      <c r="L10" s="16"/>
      <c r="M10" s="6"/>
      <c r="N10" s="6"/>
      <c r="O10" s="10"/>
      <c r="P10" s="19"/>
      <c r="Q10" s="6"/>
      <c r="R10" s="24"/>
      <c r="S10" s="6"/>
    </row>
    <row r="11" spans="1:19" ht="16" thickBot="1" x14ac:dyDescent="0.4">
      <c r="A11" s="1"/>
      <c r="B11" s="6"/>
      <c r="C11" s="15"/>
      <c r="D11" s="6"/>
      <c r="E11" s="6"/>
      <c r="F11" s="6"/>
      <c r="G11" s="6"/>
      <c r="H11" s="4"/>
      <c r="I11" s="17"/>
      <c r="J11" s="6"/>
      <c r="K11" s="18"/>
      <c r="L11" s="16"/>
      <c r="M11" s="6"/>
      <c r="N11" s="6"/>
      <c r="O11" s="10"/>
      <c r="P11" s="19"/>
      <c r="Q11" s="6"/>
      <c r="R11" s="21"/>
      <c r="S11" s="6"/>
    </row>
    <row r="12" spans="1:19" ht="16" thickBot="1" x14ac:dyDescent="0.4">
      <c r="A12" s="1"/>
      <c r="B12" s="6"/>
      <c r="C12" s="15"/>
      <c r="D12" s="6"/>
      <c r="E12" s="6"/>
      <c r="F12" s="6"/>
      <c r="H12" s="4"/>
      <c r="I12" s="17"/>
      <c r="J12" s="6"/>
      <c r="K12" s="18"/>
      <c r="L12" s="16"/>
      <c r="M12" s="6"/>
      <c r="N12" s="6"/>
      <c r="O12" s="10"/>
      <c r="P12" s="19"/>
      <c r="Q12" s="6"/>
      <c r="R12" s="24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4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4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2" activePane="bottomLeft" state="frozenSplit"/>
      <selection pane="bottomLeft" activeCell="D2" sqref="D2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="80" zoomScaleNormal="80" workbookViewId="0">
      <pane ySplit="1" topLeftCell="A2" activePane="bottomLeft" state="frozenSplit"/>
      <selection pane="bottomLeft" activeCell="D5" sqref="D5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/>
      </c>
      <c r="B9" s="6" t="str">
        <f>IF(LEN('A créer'!G9)=0,"",'A créer'!G9)</f>
        <v/>
      </c>
      <c r="C9" s="2" t="str">
        <f>IF(LEN('A créer'!G9)=0,"","Tab")</f>
        <v/>
      </c>
      <c r="D9" s="6" t="str">
        <f>IF(LEN('A créer'!G9)=0,IF(LEN('A créer'!G9)&gt;0,CONCATENATE('A créer'!C9," ",'A créer'!B9),""),'A créer'!C9)</f>
        <v/>
      </c>
      <c r="E9" s="2" t="str">
        <f>IF(LEN('A créer'!G9)=0,"","Tab")</f>
        <v/>
      </c>
      <c r="F9" s="2" t="str">
        <f>IF(LEN('A créer'!G9)=0,"","*SAVE")</f>
        <v/>
      </c>
    </row>
    <row r="10" spans="1:6" x14ac:dyDescent="0.35">
      <c r="A10" s="2" t="str">
        <f>IF(LEN('A créer'!G10)=0,"","*FN")</f>
        <v/>
      </c>
      <c r="B10" s="6" t="str">
        <f>IF(LEN('A créer'!G10)=0,"",'A créer'!G10)</f>
        <v/>
      </c>
      <c r="C10" s="2" t="str">
        <f>IF(LEN('A créer'!G10)=0,"","Tab")</f>
        <v/>
      </c>
      <c r="D10" s="6" t="str">
        <f>IF(LEN('A créer'!G10)=0,IF(LEN('A créer'!G10)&gt;0,CONCATENATE('A créer'!C10," ",'A créer'!B10),""),'A créer'!C10)</f>
        <v/>
      </c>
      <c r="E10" s="2" t="str">
        <f>IF(LEN('A créer'!G10)=0,"","Tab")</f>
        <v/>
      </c>
      <c r="F10" s="2" t="str">
        <f>IF(LEN('A créer'!G10)=0,"","*SAVE")</f>
        <v/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C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30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A2" sqref="A2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>
        <f>IF('A créer'!D9="Oui",IF(AND(LEN('A créer'!B9)&gt;0,'A créer'!B9&lt;&gt;'A créer'!H9)=TRUE,'A créer'!G9,""),'A créer'!G9)</f>
        <v>0</v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>
        <f>IF('A créer'!D10="Oui",IF(AND(LEN('A créer'!B10)&gt;0,'A créer'!B10&lt;&gt;'A créer'!H10)=TRUE,'A créer'!G10,""),'A créer'!G10)</f>
        <v>0</v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0"/>
  <sheetViews>
    <sheetView zoomScale="80" zoomScaleNormal="80" workbookViewId="0">
      <pane ySplit="1" topLeftCell="A2" activePane="bottomLeft" state="frozenSplit"/>
      <selection pane="bottomLeft" activeCell="D6" sqref="D6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/>
      </c>
      <c r="B9" s="6" t="str">
        <f>IF(AND(LEN('A créer'!P9)=0,OR('A créer'!D9="Oui",LEN('A créer'!D9)=0))=TRUE,"",'A créer'!P9)</f>
        <v/>
      </c>
      <c r="C9" s="2" t="str">
        <f>IF(AND(LEN('A créer'!P9)=0,OR('A créer'!D9="Oui",LEN('A créer'!D9)=0))=TRUE,"","Tab")</f>
        <v/>
      </c>
      <c r="D9" s="6" t="str">
        <f>IF(AND(LEN('A créer'!P9)=0,OR('A créer'!D9="Oui",LEN('A créer'!D9)=0))=TRUE,"",CONCATENATE('A créer'!Q9," ",'A créer'!A9," ",'A créer'!C9,"/",'A créer'!B9))</f>
        <v/>
      </c>
      <c r="E9" s="2" t="str">
        <f>IF(AND(LEN('A créer'!P9)=0,OR('A créer'!D9="Oui",LEN('A créer'!D9)=0))=TRUE,"","Tab 4")</f>
        <v/>
      </c>
      <c r="F9" s="2" t="str">
        <f>IF(AND(LEN('A créer'!P9)=0,OR('A créer'!D9="Oui",LEN('A créer'!D9)=0))=TRUE,"","Tab")</f>
        <v/>
      </c>
      <c r="G9" s="2" t="str">
        <f>IF(AND(LEN('A créer'!P9)=0,OR('A créer'!D9="Oui",LEN('A créer'!D9)=0))=TRUE,"","Tab")</f>
        <v/>
      </c>
      <c r="H9" s="6" t="str">
        <f>IF(AND(LEN('A créer'!P9)=0,OR('A créer'!D9="Oui",LEN('A créer'!D9)=0))=TRUE,"","Non")</f>
        <v/>
      </c>
      <c r="I9" s="2" t="str">
        <f>IF(AND(LEN('A créer'!P9)=0,OR('A créer'!D9="Oui",LEN('A créer'!D9)=0))=TRUE,"","Tab")</f>
        <v/>
      </c>
      <c r="J9" s="6" t="str">
        <f>IF(AND(LEN('A créer'!P9)=0,OR('A créer'!D9="Oui",LEN('A créer'!D9)=0))=TRUE,"","Oui")</f>
        <v/>
      </c>
      <c r="K9" s="2" t="str">
        <f>IF(AND(LEN('A créer'!P9)=0,OR('A créer'!D9="Oui",LEN('A créer'!D9)=0))=TRUE,"","Tab")</f>
        <v/>
      </c>
      <c r="L9" s="6" t="str">
        <f>IF(AND(LEN('A créer'!P9)=0,OR('A créer'!D9="Oui",LEN('A créer'!D9)=0))=TRUE,"","Actif")</f>
        <v/>
      </c>
      <c r="M9" s="2" t="str">
        <f>IF(AND(LEN('A créer'!P9)=0,OR('A créer'!D9="Oui",LEN('A créer'!D9)=0))=TRUE,"","Tab")</f>
        <v/>
      </c>
      <c r="N9" s="6" t="str">
        <f>IF(AND(LEN('A créer'!P9)=0,OR('A créer'!D9="Oui",LEN('A créer'!D9)=0))=TRUE,"","Non")</f>
        <v/>
      </c>
      <c r="O9" s="2" t="str">
        <f>IF(AND(LEN('A créer'!P9)=0,OR('A créer'!D9="Oui",LEN('A créer'!D9)=0))=TRUE,"","Tab")</f>
        <v/>
      </c>
      <c r="P9" s="6" t="str">
        <f>IF(AND(LEN('A créer'!P9)=0,OR('A créer'!D9="Oui",LEN('A créer'!D9)=0))=TRUE,"","Non")</f>
        <v/>
      </c>
      <c r="Q9" s="2" t="str">
        <f>IF(AND(LEN('A créer'!P9)=0,OR('A créer'!D9="Oui",LEN('A créer'!D9)=0))=TRUE,"","Tab")</f>
        <v/>
      </c>
      <c r="R9" s="2" t="str">
        <f>IF(AND(LEN('A créer'!P9)=0,OR('A créer'!D9="Oui",LEN('A créer'!D9)=0))=TRUE,"","ENT")</f>
        <v/>
      </c>
      <c r="S9" s="2" t="s">
        <v>94</v>
      </c>
      <c r="T9" s="2" t="str">
        <f>IF(AND(LEN('A créer'!P9)=0,OR('A créer'!D9="Oui",LEN('A créer'!D9)=0))=TRUE,"","Tab")</f>
        <v/>
      </c>
      <c r="U9" s="2" t="str">
        <f>IF(AND(LEN('A créer'!P9)=0,OR('A créer'!D9="Oui",LEN('A créer'!D9)=0))=TRUE,"","Tab")</f>
        <v/>
      </c>
      <c r="V9" s="2" t="str">
        <f>IF(AND(LEN('A créer'!P9)=0,OR('A créer'!D9="Oui",LEN('A créer'!D9)=0))=TRUE,"","Tab")</f>
        <v/>
      </c>
      <c r="W9" s="4" t="str">
        <f>IF(AND(LEN('A créer'!P9)=0,OR('A créer'!D9="Oui",LEN('A créer'!D9)=0))=TRUE,"","Non")</f>
        <v/>
      </c>
      <c r="X9" s="2" t="str">
        <f>IF(AND(LEN('A créer'!P9)=0,OR('A créer'!D9="Oui",LEN('A créer'!D9)=0))=TRUE,"","ENT")</f>
        <v/>
      </c>
      <c r="Y9" s="2" t="str">
        <f>IF(AND(LEN('A créer'!P9)=0,OR('A créer'!D9="Oui",LEN('A créer'!D9)=0))=TRUE,"","*SAVE")</f>
        <v/>
      </c>
    </row>
    <row r="10" spans="1:25" x14ac:dyDescent="0.35">
      <c r="A10" s="2" t="str">
        <f>IF(AND(LEN('A créer'!P10)=0,OR('A créer'!D10="Oui",LEN('A créer'!D10)=0))=TRUE,"","*FN")</f>
        <v/>
      </c>
      <c r="B10" s="6" t="str">
        <f>IF(AND(LEN('A créer'!P10)=0,OR('A créer'!D10="Oui",LEN('A créer'!D10)=0))=TRUE,"",'A créer'!P10)</f>
        <v/>
      </c>
      <c r="C10" s="2" t="str">
        <f>IF(AND(LEN('A créer'!P10)=0,OR('A créer'!D10="Oui",LEN('A créer'!D10)=0))=TRUE,"","Tab")</f>
        <v/>
      </c>
      <c r="D10" s="6" t="str">
        <f>IF(AND(LEN('A créer'!P10)=0,OR('A créer'!D10="Oui",LEN('A créer'!D10)=0))=TRUE,"",CONCATENATE('A créer'!Q10," ",'A créer'!A10," ",'A créer'!C10,"/",'A créer'!B10))</f>
        <v/>
      </c>
      <c r="E10" s="2" t="str">
        <f>IF(AND(LEN('A créer'!P10)=0,OR('A créer'!D10="Oui",LEN('A créer'!D10)=0))=TRUE,"","Tab 4")</f>
        <v/>
      </c>
      <c r="F10" s="2" t="str">
        <f>IF(AND(LEN('A créer'!P10)=0,OR('A créer'!D10="Oui",LEN('A créer'!D10)=0))=TRUE,"","Tab")</f>
        <v/>
      </c>
      <c r="G10" s="2" t="str">
        <f>IF(AND(LEN('A créer'!P10)=0,OR('A créer'!D10="Oui",LEN('A créer'!D10)=0))=TRUE,"","Tab")</f>
        <v/>
      </c>
      <c r="H10" s="6" t="str">
        <f>IF(AND(LEN('A créer'!P10)=0,OR('A créer'!D10="Oui",LEN('A créer'!D10)=0))=TRUE,"","Non")</f>
        <v/>
      </c>
      <c r="I10" s="2" t="str">
        <f>IF(AND(LEN('A créer'!P10)=0,OR('A créer'!D10="Oui",LEN('A créer'!D10)=0))=TRUE,"","Tab")</f>
        <v/>
      </c>
      <c r="J10" s="6" t="str">
        <f>IF(AND(LEN('A créer'!P10)=0,OR('A créer'!D10="Oui",LEN('A créer'!D10)=0))=TRUE,"","Oui")</f>
        <v/>
      </c>
      <c r="K10" s="2" t="str">
        <f>IF(AND(LEN('A créer'!P10)=0,OR('A créer'!D10="Oui",LEN('A créer'!D10)=0))=TRUE,"","Tab")</f>
        <v/>
      </c>
      <c r="L10" s="6" t="str">
        <f>IF(AND(LEN('A créer'!P10)=0,OR('A créer'!D10="Oui",LEN('A créer'!D10)=0))=TRUE,"","Actif")</f>
        <v/>
      </c>
      <c r="M10" s="2" t="str">
        <f>IF(AND(LEN('A créer'!P10)=0,OR('A créer'!D10="Oui",LEN('A créer'!D10)=0))=TRUE,"","Tab")</f>
        <v/>
      </c>
      <c r="N10" s="6" t="str">
        <f>IF(AND(LEN('A créer'!P10)=0,OR('A créer'!D10="Oui",LEN('A créer'!D10)=0))=TRUE,"","Non")</f>
        <v/>
      </c>
      <c r="O10" s="2" t="str">
        <f>IF(AND(LEN('A créer'!P10)=0,OR('A créer'!D10="Oui",LEN('A créer'!D10)=0))=TRUE,"","Tab")</f>
        <v/>
      </c>
      <c r="P10" s="6" t="str">
        <f>IF(AND(LEN('A créer'!P10)=0,OR('A créer'!D10="Oui",LEN('A créer'!D10)=0))=TRUE,"","Non")</f>
        <v/>
      </c>
      <c r="Q10" s="2" t="str">
        <f>IF(AND(LEN('A créer'!P10)=0,OR('A créer'!D10="Oui",LEN('A créer'!D10)=0))=TRUE,"","Tab")</f>
        <v/>
      </c>
      <c r="R10" s="2" t="str">
        <f>IF(AND(LEN('A créer'!P10)=0,OR('A créer'!D10="Oui",LEN('A créer'!D10)=0))=TRUE,"","ENT")</f>
        <v/>
      </c>
      <c r="S10" s="2" t="s">
        <v>94</v>
      </c>
      <c r="T10" s="2" t="str">
        <f>IF(AND(LEN('A créer'!P10)=0,OR('A créer'!D10="Oui",LEN('A créer'!D10)=0))=TRUE,"","Tab")</f>
        <v/>
      </c>
      <c r="U10" s="2" t="str">
        <f>IF(AND(LEN('A créer'!P10)=0,OR('A créer'!D10="Oui",LEN('A créer'!D10)=0))=TRUE,"","Tab")</f>
        <v/>
      </c>
      <c r="V10" s="2" t="str">
        <f>IF(AND(LEN('A créer'!P10)=0,OR('A créer'!D10="Oui",LEN('A créer'!D10)=0))=TRUE,"","Tab")</f>
        <v/>
      </c>
      <c r="W10" s="4" t="str">
        <f>IF(AND(LEN('A créer'!P10)=0,OR('A créer'!D10="Oui",LEN('A créer'!D10)=0))=TRUE,"","Non")</f>
        <v/>
      </c>
      <c r="X10" s="2" t="str">
        <f>IF(AND(LEN('A créer'!P10)=0,OR('A créer'!D10="Oui",LEN('A créer'!D10)=0))=TRUE,"","ENT")</f>
        <v/>
      </c>
      <c r="Y10" s="2" t="str">
        <f>IF(AND(LEN('A créer'!P10)=0,OR('A créer'!D10="Oui",LEN('A créer'!D10)=0))=TRUE,"","*SAVE")</f>
        <v/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topLeftCell="C1" zoomScale="80" zoomScaleNormal="80" workbookViewId="0">
      <pane ySplit="1" topLeftCell="A2" activePane="bottomLeft" state="frozenSplit"/>
      <selection pane="bottomLeft" activeCell="A2" sqref="A2:R5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/>
      </c>
      <c r="B9" t="str">
        <f>IF(LEN('A créer'!C9)=0,"",CONCATENATE(,'A créer'!B9,'A créer'!A9))</f>
        <v/>
      </c>
      <c r="C9" s="2" t="str">
        <f>IF(LEN('A créer'!C9)=0,"","Tab")</f>
        <v/>
      </c>
      <c r="D9" t="str">
        <f>IF(LEN('A créer'!C9)=0,"",CONCATENATE(,'A créer'!B9,'A créer'!A9,"-",'A créer'!C9))</f>
        <v/>
      </c>
      <c r="E9" s="2" t="str">
        <f>IF(LEN('A créer'!C9)=0,"","Tab 4")</f>
        <v/>
      </c>
      <c r="F9" s="2" t="str">
        <f>IF(LEN('A créer'!C9)=0,"","Tab")</f>
        <v/>
      </c>
      <c r="G9" s="2" t="str">
        <f>IF(LEN('A créer'!C9)=0,"","Tab")</f>
        <v/>
      </c>
      <c r="H9" s="2" t="str">
        <f>IF(LEN('A créer'!C9)=0,"","ENT")</f>
        <v/>
      </c>
      <c r="I9" s="2" t="str">
        <f>IF(LEN('A créer'!C9)=0,"","*SAVE")</f>
        <v/>
      </c>
      <c r="J9" s="2" t="str">
        <f>IF(LEN('A créer'!R9)=0,"","*FN")</f>
        <v/>
      </c>
      <c r="K9" t="str">
        <f>IF(LEN('A créer'!R9)=0,"",'A créer'!R9)</f>
        <v/>
      </c>
      <c r="L9" s="2" t="str">
        <f>IF(LEN('A créer'!R9)=0,"","Tab")</f>
        <v/>
      </c>
      <c r="M9" t="str">
        <f>IF(LEN('A créer'!R9)=0,"",CONCATENATE(,'A créer'!B9,"_",'A créer'!A9,"PF FPS ",'A créer'!A9," ",'A créer'!C9))</f>
        <v/>
      </c>
      <c r="N9" s="2" t="str">
        <f>IF(LEN('A créer'!R9)=0,"","Tab 4")</f>
        <v/>
      </c>
      <c r="O9" s="2" t="str">
        <f>IF(LEN('A créer'!R9)=0,"","Tab")</f>
        <v/>
      </c>
      <c r="P9" s="2" t="str">
        <f>IF(LEN('A créer'!R9)=0,"","Tab")</f>
        <v/>
      </c>
      <c r="Q9" s="2" t="str">
        <f>IF(LEN('A créer'!R9)=0,"","ENT")</f>
        <v/>
      </c>
      <c r="R9" s="2" t="str">
        <f>IF(LEN('A créer'!R9)=0,"","*SAVE")</f>
        <v/>
      </c>
    </row>
    <row r="10" spans="1:18" x14ac:dyDescent="0.35">
      <c r="A10" s="2" t="str">
        <f>IF(LEN('A créer'!C10)=0,"","*FN")</f>
        <v/>
      </c>
      <c r="B10" t="str">
        <f>IF(LEN('A créer'!C10)=0,"",CONCATENATE(,'A créer'!B10,'A créer'!A10))</f>
        <v/>
      </c>
      <c r="C10" s="2" t="str">
        <f>IF(LEN('A créer'!C10)=0,"","Tab")</f>
        <v/>
      </c>
      <c r="D10" t="str">
        <f>IF(LEN('A créer'!C10)=0,"",CONCATENATE(,'A créer'!B10,'A créer'!A10,"-",'A créer'!C10))</f>
        <v/>
      </c>
      <c r="E10" s="2" t="str">
        <f>IF(LEN('A créer'!C10)=0,"","Tab 4")</f>
        <v/>
      </c>
      <c r="F10" s="2" t="str">
        <f>IF(LEN('A créer'!C10)=0,"","Tab")</f>
        <v/>
      </c>
      <c r="G10" s="2" t="str">
        <f>IF(LEN('A créer'!C10)=0,"","Tab")</f>
        <v/>
      </c>
      <c r="H10" s="2" t="str">
        <f>IF(LEN('A créer'!C10)=0,"","ENT")</f>
        <v/>
      </c>
      <c r="I10" s="2" t="str">
        <f>IF(LEN('A créer'!C10)=0,"","*SAVE")</f>
        <v/>
      </c>
      <c r="J10" s="2" t="str">
        <f>IF(LEN('A créer'!R10)=0,"","*FN")</f>
        <v/>
      </c>
      <c r="K10" t="str">
        <f>IF(LEN('A créer'!R10)=0,"",'A créer'!R10)</f>
        <v/>
      </c>
      <c r="L10" s="2" t="str">
        <f>IF(LEN('A créer'!R10)=0,"","Tab")</f>
        <v/>
      </c>
      <c r="M10" t="str">
        <f>IF(LEN('A créer'!R10)=0,"",CONCATENATE(,'A créer'!B10,"_",'A créer'!A10,"PF FPS ",'A créer'!A10," ",'A créer'!C10))</f>
        <v/>
      </c>
      <c r="N10" s="2" t="str">
        <f>IF(LEN('A créer'!R10)=0,"","Tab 4")</f>
        <v/>
      </c>
      <c r="O10" s="2" t="str">
        <f>IF(LEN('A créer'!R10)=0,"","Tab")</f>
        <v/>
      </c>
      <c r="P10" s="2" t="str">
        <f>IF(LEN('A créer'!R10)=0,"","Tab")</f>
        <v/>
      </c>
      <c r="Q10" s="2" t="str">
        <f>IF(LEN('A créer'!R10)=0,"","ENT")</f>
        <v/>
      </c>
      <c r="R10" s="2" t="str">
        <f>IF(LEN('A créer'!R10)=0,"","*SAVE")</f>
        <v/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Z31"/>
  <sheetViews>
    <sheetView zoomScale="80" zoomScaleNormal="80" workbookViewId="0">
      <pane xSplit="1" ySplit="1" topLeftCell="B2" activePane="bottomRight" state="frozenSplit"/>
      <selection pane="topRight"/>
      <selection pane="bottomLeft" activeCell="A2" sqref="A2"/>
      <selection pane="bottomRight" activeCell="D4" sqref="D4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/>
      </c>
      <c r="B9" s="3" t="str">
        <f>IF(LEN('A créer'!C9)=0,"","\E")</f>
        <v/>
      </c>
      <c r="C9" s="2" t="str">
        <f>IF(LEN('A créer'!C9)=0,"","Tab")</f>
        <v/>
      </c>
      <c r="D9" s="6" t="str">
        <f>IF(LEN('A créer'!C9)=0,"",'A créer'!A9)</f>
        <v/>
      </c>
      <c r="E9" s="2" t="str">
        <f>IF(LEN('A créer'!C9)=0,"","Tab")</f>
        <v/>
      </c>
      <c r="F9" s="6" t="str">
        <f>IF(LEN('A créer'!C9)=0,"",0)</f>
        <v/>
      </c>
      <c r="G9" s="2" t="str">
        <f>IF(LEN('A créer'!C9)=0,"","Tab")</f>
        <v/>
      </c>
      <c r="H9" s="6" t="str">
        <f>IF(LEN('A créer'!C9)=0,"","ZZZ")</f>
        <v/>
      </c>
      <c r="I9" s="6" t="str">
        <f>IF(LEN('A créer'!C9)=0,"","0")</f>
        <v/>
      </c>
      <c r="J9" s="2" t="str">
        <f>IF(LEN('A créer'!C9)=0,"","Tab")</f>
        <v/>
      </c>
      <c r="K9" s="6" t="str">
        <f>IF(LEN('A créer'!C9)=0,"","ZZZZZZ")</f>
        <v/>
      </c>
      <c r="L9" s="6" t="str">
        <f>IF(LEN('A créer'!C9)=0,"","0")</f>
        <v/>
      </c>
      <c r="M9" s="2" t="str">
        <f>IF(LEN('A créer'!C9)=0,"","Tab")</f>
        <v/>
      </c>
      <c r="N9" s="6" t="str">
        <f>IF(LEN('A créer'!C9)=0,"","ZZZZZ")</f>
        <v/>
      </c>
      <c r="O9" s="6" t="str">
        <f>IF(LEN('A créer'!C9)=0,"",CONCATENATE('A créer'!B9,'A créer'!A9))</f>
        <v/>
      </c>
      <c r="P9" s="2" t="str">
        <f>IF(LEN('A créer'!C9)=0,"","Tab")</f>
        <v/>
      </c>
      <c r="Q9" s="6" t="str">
        <f>IF(LEN('A créer'!C9)=0,"","0")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créer'!C9)=0,"","0")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créer'!C9)=0,"","0")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créer'!C9)=0,"","0")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créer'!C9)=0,"","0")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créer'!C9)=0,"","0")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créer'!C9)=0,"","0")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/>
      </c>
      <c r="B10" s="3" t="str">
        <f>IF(LEN('A créer'!C10)=0,"","\E")</f>
        <v/>
      </c>
      <c r="C10" s="2" t="str">
        <f>IF(LEN('A créer'!C10)=0,"","Tab")</f>
        <v/>
      </c>
      <c r="D10" s="6" t="str">
        <f>IF(LEN('A créer'!C10)=0,"",'A créer'!A10)</f>
        <v/>
      </c>
      <c r="E10" s="2" t="str">
        <f>IF(LEN('A créer'!C10)=0,"","Tab")</f>
        <v/>
      </c>
      <c r="F10" s="6" t="str">
        <f>IF(LEN('A créer'!C10)=0,"",0)</f>
        <v/>
      </c>
      <c r="G10" s="2" t="str">
        <f>IF(LEN('A créer'!C10)=0,"","Tab")</f>
        <v/>
      </c>
      <c r="H10" s="6" t="str">
        <f>IF(LEN('A créer'!C10)=0,"","ZZZ")</f>
        <v/>
      </c>
      <c r="I10" s="6" t="str">
        <f>IF(LEN('A créer'!C10)=0,"","0")</f>
        <v/>
      </c>
      <c r="J10" s="2" t="str">
        <f>IF(LEN('A créer'!C10)=0,"","Tab")</f>
        <v/>
      </c>
      <c r="K10" s="6" t="str">
        <f>IF(LEN('A créer'!C10)=0,"","ZZZZZZ")</f>
        <v/>
      </c>
      <c r="L10" s="6" t="str">
        <f>IF(LEN('A créer'!C10)=0,"","0")</f>
        <v/>
      </c>
      <c r="M10" s="2" t="str">
        <f>IF(LEN('A créer'!C10)=0,"","Tab")</f>
        <v/>
      </c>
      <c r="N10" s="6" t="str">
        <f>IF(LEN('A créer'!C10)=0,"","ZZZZZ")</f>
        <v/>
      </c>
      <c r="O10" s="6" t="str">
        <f>IF(LEN('A créer'!C10)=0,"",CONCATENATE('A créer'!B10,'A créer'!A10))</f>
        <v/>
      </c>
      <c r="P10" s="2" t="str">
        <f>IF(LEN('A créer'!C10)=0,"","Tab")</f>
        <v/>
      </c>
      <c r="Q10" s="6" t="str">
        <f>IF(LEN('A créer'!C10)=0,"","0")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créer'!C10)=0,"","0")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créer'!C10)=0,"","0")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créer'!C10)=0,"","0")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créer'!C10)=0,"","0")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créer'!C10)=0,"","0")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créer'!C10)=0,"","0")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30"/>
  <sheetViews>
    <sheetView zoomScale="80" zoomScaleNormal="80" workbookViewId="0">
      <pane xSplit="1" ySplit="1" topLeftCell="B2" activePane="bottomRight" state="frozenSplit"/>
      <selection activeCell="Z1" sqref="Z1"/>
      <selection pane="topRight"/>
      <selection pane="bottomLeft" activeCell="A2" sqref="A2"/>
      <selection pane="bottomRight" activeCell="D2" sqref="D2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/>
      </c>
      <c r="B9" s="3" t="str">
        <f>IF(LEN('A créer'!C9)=0,"","\I")</f>
        <v/>
      </c>
      <c r="C9" s="2" t="str">
        <f>IF(LEN('A créer'!C9)=0,"","Tab")</f>
        <v/>
      </c>
      <c r="D9" t="str">
        <f>IF(LEN('A créer'!C9)=0,"",'A créer'!A9)</f>
        <v/>
      </c>
      <c r="E9" s="2" t="str">
        <f>IF(LEN('A créer'!C9)=0,"","Tab")</f>
        <v/>
      </c>
      <c r="F9" t="str">
        <f>IF(LEN('A créer'!C9)=0,"",'A créer'!B9)</f>
        <v/>
      </c>
      <c r="G9" s="2" t="str">
        <f>IF(LEN('A créer'!C9)=0,"","Tab")</f>
        <v/>
      </c>
      <c r="H9" t="str">
        <f>IF(LEN('A créer'!C9)=0,"",0)</f>
        <v/>
      </c>
      <c r="I9" s="2" t="str">
        <f>IF(LEN('A créer'!C9)=0,"","Tab")</f>
        <v/>
      </c>
      <c r="J9" t="str">
        <f>IF(LEN('A créer'!C9)=0,"","ZZZZZZ")</f>
        <v/>
      </c>
      <c r="K9" t="str">
        <f>IF(LEN('A créer'!C9)=0,"",0)</f>
        <v/>
      </c>
      <c r="L9" s="2" t="str">
        <f>IF(LEN('A créer'!C9)=0,"","Tab")</f>
        <v/>
      </c>
      <c r="M9" s="6" t="str">
        <f>IF(LEN('A créer'!C9)=0,"","ZZZZZ")</f>
        <v/>
      </c>
      <c r="N9" s="6" t="str">
        <f>IF(LEN('A créer'!C9)=0,"",0)</f>
        <v/>
      </c>
      <c r="O9" s="2" t="str">
        <f>IF(LEN('A créer'!C9)=0,"","Tab")</f>
        <v/>
      </c>
      <c r="P9" s="6" t="str">
        <f>IF(LEN('A créer'!C9)=0,"","ZZZZZZZ")</f>
        <v/>
      </c>
      <c r="Q9" s="6" t="str">
        <f>IF(LEN('A créer'!C9)=0,"",0)</f>
        <v/>
      </c>
      <c r="R9" s="2" t="str">
        <f>IF(LEN('A créer'!C9)=0,"","Tab")</f>
        <v/>
      </c>
      <c r="S9" s="6" t="str">
        <f>IF(LEN('A créer'!C9)=0,"","ZZZZZZZZZZ")</f>
        <v/>
      </c>
      <c r="T9" s="6" t="str">
        <f>IF(LEN('A créer'!C9)=0,"",0)</f>
        <v/>
      </c>
      <c r="U9" s="2" t="str">
        <f>IF(LEN('A créer'!C9)=0,"","Tab")</f>
        <v/>
      </c>
      <c r="V9" s="6" t="str">
        <f>IF(LEN('A créer'!C9)=0,"","ZZZZZZZZZZ")</f>
        <v/>
      </c>
      <c r="W9" s="6" t="str">
        <f>IF(LEN('A créer'!C9)=0,"",0)</f>
        <v/>
      </c>
      <c r="X9" s="2" t="str">
        <f>IF(LEN('A créer'!C9)=0,"","Tab")</f>
        <v/>
      </c>
      <c r="Y9" s="6" t="str">
        <f>IF(LEN('A créer'!C9)=0,"","ZZZZZZZZZZZZZZZ")</f>
        <v/>
      </c>
      <c r="Z9" s="6" t="str">
        <f>IF(LEN('A créer'!C9)=0,"",0)</f>
        <v/>
      </c>
      <c r="AA9" s="2" t="str">
        <f>IF(LEN('A créer'!C9)=0,"","Tab")</f>
        <v/>
      </c>
      <c r="AB9" s="6" t="str">
        <f>IF(LEN('A créer'!C9)=0,"","ZZZ")</f>
        <v/>
      </c>
      <c r="AC9" s="6" t="str">
        <f>IF(LEN('A créer'!C9)=0,"",0)</f>
        <v/>
      </c>
      <c r="AD9" s="2" t="str">
        <f>IF(LEN('A créer'!C9)=0,"","Tab")</f>
        <v/>
      </c>
      <c r="AE9" s="6" t="str">
        <f>IF(LEN('A créer'!C9)=0,"","ZZZZZZZZZZ")</f>
        <v/>
      </c>
      <c r="AF9" s="6" t="str">
        <f>IF(LEN('A créer'!C9)=0,"",0)</f>
        <v/>
      </c>
      <c r="AG9" s="2" t="str">
        <f>IF(LEN('A créer'!C9)=0,"","Tab")</f>
        <v/>
      </c>
      <c r="AH9" s="6" t="str">
        <f>IF(LEN('A créer'!C9)=0,"","ZZZZZZZZZZ")</f>
        <v/>
      </c>
      <c r="AI9" s="6" t="str">
        <f>IF(LEN('A créer'!C9)=0,"",0)</f>
        <v/>
      </c>
      <c r="AJ9" s="2" t="str">
        <f>IF(LEN('A créer'!C9)=0,"","Tab")</f>
        <v/>
      </c>
      <c r="AK9" s="6" t="str">
        <f>IF(LEN('A créer'!C9)=0,"","ZZZZZZZZZZ")</f>
        <v/>
      </c>
      <c r="AL9" s="2" t="str">
        <f>IF(LEN('A créer'!C9)=0,"","ENT")</f>
        <v/>
      </c>
      <c r="AM9" s="2" t="str">
        <f>IF(LEN('A créer'!C9)=0,"","*SAVE")</f>
        <v/>
      </c>
    </row>
    <row r="10" spans="1:39" x14ac:dyDescent="0.35">
      <c r="A10" s="2" t="str">
        <f>IF(LEN('A créer'!C10)=0,"","*FN")</f>
        <v/>
      </c>
      <c r="B10" s="3" t="str">
        <f>IF(LEN('A créer'!C10)=0,"","\I")</f>
        <v/>
      </c>
      <c r="C10" s="2" t="str">
        <f>IF(LEN('A créer'!C10)=0,"","Tab")</f>
        <v/>
      </c>
      <c r="D10" t="str">
        <f>IF(LEN('A créer'!C10)=0,"",'A créer'!A10)</f>
        <v/>
      </c>
      <c r="E10" s="2" t="str">
        <f>IF(LEN('A créer'!C10)=0,"","Tab")</f>
        <v/>
      </c>
      <c r="F10" t="str">
        <f>IF(LEN('A créer'!C10)=0,"",'A créer'!B10)</f>
        <v/>
      </c>
      <c r="G10" s="2" t="str">
        <f>IF(LEN('A créer'!C10)=0,"","Tab")</f>
        <v/>
      </c>
      <c r="H10" t="str">
        <f>IF(LEN('A créer'!C10)=0,"",0)</f>
        <v/>
      </c>
      <c r="I10" s="2" t="str">
        <f>IF(LEN('A créer'!C10)=0,"","Tab")</f>
        <v/>
      </c>
      <c r="J10" t="str">
        <f>IF(LEN('A créer'!C10)=0,"","ZZZZZZ")</f>
        <v/>
      </c>
      <c r="K10" t="str">
        <f>IF(LEN('A créer'!C10)=0,"",0)</f>
        <v/>
      </c>
      <c r="L10" s="2" t="str">
        <f>IF(LEN('A créer'!C10)=0,"","Tab")</f>
        <v/>
      </c>
      <c r="M10" s="6" t="str">
        <f>IF(LEN('A créer'!C10)=0,"","ZZZZZ")</f>
        <v/>
      </c>
      <c r="N10" s="6" t="str">
        <f>IF(LEN('A créer'!C10)=0,"",0)</f>
        <v/>
      </c>
      <c r="O10" s="2" t="str">
        <f>IF(LEN('A créer'!C10)=0,"","Tab")</f>
        <v/>
      </c>
      <c r="P10" s="6" t="str">
        <f>IF(LEN('A créer'!C10)=0,"","ZZZZZZZ")</f>
        <v/>
      </c>
      <c r="Q10" s="6" t="str">
        <f>IF(LEN('A créer'!C10)=0,"",0)</f>
        <v/>
      </c>
      <c r="R10" s="2" t="str">
        <f>IF(LEN('A créer'!C10)=0,"","Tab")</f>
        <v/>
      </c>
      <c r="S10" s="6" t="str">
        <f>IF(LEN('A créer'!C10)=0,"","ZZZZZZZZZZ")</f>
        <v/>
      </c>
      <c r="T10" s="6" t="str">
        <f>IF(LEN('A créer'!C10)=0,"",0)</f>
        <v/>
      </c>
      <c r="U10" s="2" t="str">
        <f>IF(LEN('A créer'!C10)=0,"","Tab")</f>
        <v/>
      </c>
      <c r="V10" s="6" t="str">
        <f>IF(LEN('A créer'!C10)=0,"","ZZZZZZZZZZ")</f>
        <v/>
      </c>
      <c r="W10" s="6" t="str">
        <f>IF(LEN('A créer'!C10)=0,"",0)</f>
        <v/>
      </c>
      <c r="X10" s="2" t="str">
        <f>IF(LEN('A créer'!C10)=0,"","Tab")</f>
        <v/>
      </c>
      <c r="Y10" s="6" t="str">
        <f>IF(LEN('A créer'!C10)=0,"","ZZZZZZZZZZZZZZZ")</f>
        <v/>
      </c>
      <c r="Z10" s="6" t="str">
        <f>IF(LEN('A créer'!C10)=0,"",0)</f>
        <v/>
      </c>
      <c r="AA10" s="2" t="str">
        <f>IF(LEN('A créer'!C10)=0,"","Tab")</f>
        <v/>
      </c>
      <c r="AB10" s="6" t="str">
        <f>IF(LEN('A créer'!C10)=0,"","ZZZ")</f>
        <v/>
      </c>
      <c r="AC10" s="6" t="str">
        <f>IF(LEN('A créer'!C10)=0,"",0)</f>
        <v/>
      </c>
      <c r="AD10" s="2" t="str">
        <f>IF(LEN('A créer'!C10)=0,"","Tab")</f>
        <v/>
      </c>
      <c r="AE10" s="6" t="str">
        <f>IF(LEN('A créer'!C10)=0,"","ZZZZZZZZZZ")</f>
        <v/>
      </c>
      <c r="AF10" s="6" t="str">
        <f>IF(LEN('A créer'!C10)=0,"",0)</f>
        <v/>
      </c>
      <c r="AG10" s="2" t="str">
        <f>IF(LEN('A créer'!C10)=0,"","Tab")</f>
        <v/>
      </c>
      <c r="AH10" s="6" t="str">
        <f>IF(LEN('A créer'!C10)=0,"","ZZZZZZZZZZ")</f>
        <v/>
      </c>
      <c r="AI10" s="6" t="str">
        <f>IF(LEN('A créer'!C10)=0,"",0)</f>
        <v/>
      </c>
      <c r="AJ10" s="2" t="str">
        <f>IF(LEN('A créer'!C10)=0,"","Tab")</f>
        <v/>
      </c>
      <c r="AK10" s="6" t="str">
        <f>IF(LEN('A créer'!C10)=0,"","ZZZZZZZZZZ")</f>
        <v/>
      </c>
      <c r="AL10" s="2" t="str">
        <f>IF(LEN('A créer'!C10)=0,"","ENT")</f>
        <v/>
      </c>
      <c r="AM10" s="2" t="str">
        <f>IF(LEN('A créer'!C10)=0,"","*SAVE")</f>
        <v/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="80" zoomScaleNormal="80" workbookViewId="0">
      <pane xSplit="1" ySplit="1" topLeftCell="M2" activePane="bottomRight" state="frozenSplit"/>
      <selection activeCell="G1" sqref="G1"/>
      <selection pane="topRight"/>
      <selection pane="bottomLeft" activeCell="A2" sqref="A2"/>
      <selection pane="bottomRight" activeCell="AA6" sqref="AA6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/>
      </c>
      <c r="R9" s="2" t="str">
        <f>IF(LEN('A créer'!D9)=0,"","Tab")</f>
        <v/>
      </c>
      <c r="S9" s="6" t="str">
        <f>IF(LEN('A créer'!D9)=0,"",CONCATENATE('A créer'!B9,'A créer'!A9))</f>
        <v/>
      </c>
      <c r="T9" s="2" t="s">
        <v>4</v>
      </c>
      <c r="U9" s="6" t="str">
        <f>IF('A créer'!F9="Oui",'A créer'!C9,IF(LEN('A créer'!F9)=0,"",CONCATENATE('A créer'!C9," (",'A créer'!M9,")")))</f>
        <v/>
      </c>
      <c r="V9" s="2" t="str">
        <f>IF(LEN('A créer'!D9)=0,"","Tab")</f>
        <v/>
      </c>
      <c r="W9" s="2" t="str">
        <f>IF(LEN('A créer'!D9)=0,"","Tab")</f>
        <v/>
      </c>
      <c r="X9" s="2" t="str">
        <f>IF(LEN('A créer'!D9)=0,"","Tab")</f>
        <v/>
      </c>
      <c r="Y9" s="6" t="str">
        <f>IF('A créer'!F9="Oui",'A créer'!J9,IF(LEN('A créer'!F9)=0,"",'A créer'!N9))</f>
        <v/>
      </c>
      <c r="Z9" s="2" t="str">
        <f>IF(LEN('A créer'!D9)=0,"","Tab")</f>
        <v/>
      </c>
      <c r="AA9" s="4" t="str">
        <f>IF('A créer'!F9="Oui","",IF(LEN('A créer'!F9)=0,"",'A créer'!O9))</f>
        <v/>
      </c>
      <c r="AB9" s="2" t="str">
        <f>IF(LEN('A créer'!D9)=0,"","Tab")</f>
        <v/>
      </c>
      <c r="AC9" s="4" t="str">
        <f>IF('A créer'!F9="Oui","",IF(LEN('A créer'!F9)=0,"","contactfournisseur@csp.dalkia.fr"))</f>
        <v/>
      </c>
      <c r="AD9" s="2" t="str">
        <f>IF(LEN('A créer'!D9)=0,"","Tab")</f>
        <v/>
      </c>
      <c r="AE9" s="2" t="str">
        <f>IF(LEN('A créer'!D9)=0,"","Tab")</f>
        <v/>
      </c>
      <c r="AF9" s="6" t="str">
        <f>IF('A créer'!F9="Oui","",IF(LEN('A créer'!F9)=0,"","ATTENTION adresse UNIQUEMENT pour la comptabilité fournisseurs"))</f>
        <v/>
      </c>
      <c r="AG9" s="2" t="str">
        <f>IF(LEN('A créer'!D9)=0,"","Tab")</f>
        <v/>
      </c>
      <c r="AH9" s="4" t="str">
        <f>IF('A créer'!F9="Oui",'A créer'!K9,IF(LEN('A créer'!F9)=0,"",""))</f>
        <v/>
      </c>
      <c r="AI9" s="2" t="str">
        <f>IF(OR(LEN('A créer'!D9)=0,LEN(AH9)&gt;0),"","Tab")</f>
        <v/>
      </c>
      <c r="AJ9" s="6" t="str">
        <f>IF('A créer'!F9="Oui",'A créer'!L9,IF(LEN('A créer'!F9)=0,"","NOUVELLE ADRESSE FACTURATION"))</f>
        <v/>
      </c>
      <c r="AK9" s="2" t="str">
        <f>IF(LEN('A créer'!D9)=0,"","Tab")</f>
        <v/>
      </c>
      <c r="AL9" s="2" t="str">
        <f>IF(LEN('A créer'!D9)=0,"","ENT")</f>
        <v/>
      </c>
      <c r="AM9" s="2" t="str">
        <f>IF(LEN('A créer'!D9)=0,"","Tab 4")</f>
        <v/>
      </c>
      <c r="AN9" s="2" t="str">
        <f>IF(LEN('A créer'!D9)=0,"","Tab 4")</f>
        <v/>
      </c>
      <c r="AO9" s="2" t="str">
        <f>IF(LEN('A créer'!D9)=0,"","Tab")</f>
        <v/>
      </c>
      <c r="AP9" s="2" t="str">
        <f>IF(LEN('A créer'!D9)=0,"","Tab")</f>
        <v/>
      </c>
      <c r="AQ9" s="2" t="str">
        <f>IF(LEN('A créer'!D9)=0,"","Tab")</f>
        <v/>
      </c>
      <c r="AR9" s="4" t="str">
        <f>IF(OR('A créer'!D9="Oui",LEN('A créer'!D9)=0),"",IF(LEN('A créer'!F9)=0,"",'A créer'!B9))</f>
        <v/>
      </c>
      <c r="AS9" s="2" t="str">
        <f>IF(LEN('A créer'!D9)=0,"","Tab")</f>
        <v/>
      </c>
      <c r="AT9" s="2" t="str">
        <f>IF(LEN('A créer'!D9)=0,"","ENT")</f>
        <v/>
      </c>
      <c r="AU9" s="2" t="str">
        <f>IF(LEN('A créer'!D9)=0,"","*SAVE")</f>
        <v/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/>
      </c>
      <c r="R10" s="2" t="str">
        <f>IF(LEN('A créer'!D10)=0,"","Tab")</f>
        <v/>
      </c>
      <c r="S10" s="6" t="str">
        <f>IF(LEN('A créer'!D10)=0,"",CONCATENATE('A créer'!B10,'A créer'!A10))</f>
        <v/>
      </c>
      <c r="T10" s="2" t="s">
        <v>4</v>
      </c>
      <c r="U10" s="6" t="str">
        <f>IF('A créer'!F10="Oui",'A créer'!C10,IF(LEN('A créer'!F10)=0,"",CONCATENATE('A créer'!C10," (",'A créer'!M10,")")))</f>
        <v/>
      </c>
      <c r="V10" s="2" t="str">
        <f>IF(LEN('A créer'!D10)=0,"","Tab")</f>
        <v/>
      </c>
      <c r="W10" s="2" t="str">
        <f>IF(LEN('A créer'!D10)=0,"","Tab")</f>
        <v/>
      </c>
      <c r="X10" s="2" t="str">
        <f>IF(LEN('A créer'!D10)=0,"","Tab")</f>
        <v/>
      </c>
      <c r="Y10" s="6" t="str">
        <f>IF('A créer'!F10="Oui",'A créer'!J10,IF(LEN('A créer'!F10)=0,"",'A créer'!N10))</f>
        <v/>
      </c>
      <c r="Z10" s="2" t="str">
        <f>IF(LEN('A créer'!D10)=0,"","Tab")</f>
        <v/>
      </c>
      <c r="AA10" s="4" t="str">
        <f>IF('A créer'!F10="Oui","",IF(LEN('A créer'!F10)=0,"",'A créer'!O10))</f>
        <v/>
      </c>
      <c r="AB10" s="2" t="str">
        <f>IF(LEN('A créer'!D10)=0,"","Tab")</f>
        <v/>
      </c>
      <c r="AC10" s="4" t="str">
        <f>IF('A créer'!F10="Oui","",IF(LEN('A créer'!F10)=0,"","contactfournisseur@csp.dalkia.fr"))</f>
        <v/>
      </c>
      <c r="AD10" s="2" t="str">
        <f>IF(LEN('A créer'!D10)=0,"","Tab")</f>
        <v/>
      </c>
      <c r="AE10" s="2" t="str">
        <f>IF(LEN('A créer'!D10)=0,"","Tab")</f>
        <v/>
      </c>
      <c r="AF10" s="6" t="str">
        <f>IF('A créer'!F10="Oui","",IF(LEN('A créer'!F10)=0,"","ATTENTION adresse UNIQUEMENT pour la comptabilité fournisseurs"))</f>
        <v/>
      </c>
      <c r="AG10" s="2" t="str">
        <f>IF(LEN('A créer'!D10)=0,"","Tab")</f>
        <v/>
      </c>
      <c r="AH10" s="4" t="str">
        <f>IF('A créer'!F10="Oui",'A créer'!K10,IF(LEN('A créer'!F10)=0,"",""))</f>
        <v/>
      </c>
      <c r="AI10" s="2" t="str">
        <f>IF(OR(LEN('A créer'!D10)=0,LEN(AH10)&gt;0),"","Tab")</f>
        <v/>
      </c>
      <c r="AJ10" s="6" t="str">
        <f>IF('A créer'!F10="Oui",'A créer'!L10,IF(LEN('A créer'!F10)=0,"","NOUVELLE ADRESSE FACTURATION"))</f>
        <v/>
      </c>
      <c r="AK10" s="2" t="str">
        <f>IF(LEN('A créer'!D10)=0,"","Tab")</f>
        <v/>
      </c>
      <c r="AL10" s="2" t="str">
        <f>IF(LEN('A créer'!D10)=0,"","ENT")</f>
        <v/>
      </c>
      <c r="AM10" s="2" t="str">
        <f>IF(LEN('A créer'!D10)=0,"","Tab 4")</f>
        <v/>
      </c>
      <c r="AN10" s="2" t="str">
        <f>IF(LEN('A créer'!D10)=0,"","Tab 4")</f>
        <v/>
      </c>
      <c r="AO10" s="2" t="str">
        <f>IF(LEN('A créer'!D10)=0,"","Tab")</f>
        <v/>
      </c>
      <c r="AP10" s="2" t="str">
        <f>IF(LEN('A créer'!D10)=0,"","Tab")</f>
        <v/>
      </c>
      <c r="AQ10" s="2" t="str">
        <f>IF(LEN('A créer'!D10)=0,"","Tab")</f>
        <v/>
      </c>
      <c r="AR10" s="4" t="str">
        <f>IF(OR('A créer'!D10="Oui",LEN('A créer'!D10)=0),"",IF(LEN('A créer'!F10)=0,"",'A créer'!B10))</f>
        <v/>
      </c>
      <c r="AS10" s="2" t="str">
        <f>IF(LEN('A créer'!D10)=0,"","Tab")</f>
        <v/>
      </c>
      <c r="AT10" s="2" t="str">
        <f>IF(LEN('A créer'!D10)=0,"","ENT")</f>
        <v/>
      </c>
      <c r="AU10" s="2" t="str">
        <f>IF(LEN('A créer'!D10)=0,"","*SAVE")</f>
        <v/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 t="str">
        <f>IF(OR('A créer'!D11="Oui",LEN('A créer'!D11)=0),"",IF(LEN('A créer'!F11)=0,"",'A créer'!B11))</f>
        <v/>
      </c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 t="str">
        <f>IF(OR('A créer'!D12="Oui",LEN('A créer'!D12)=0),"",IF(LEN('A créer'!F12)=0,"",'A créer'!B12))</f>
        <v/>
      </c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pane="bottomLeft" activeCell="G5" sqref="G5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créer'!C9)=0,"",'A créer'!A9)</f>
        <v/>
      </c>
      <c r="D9" s="2" t="str">
        <f>IF(LEN('A créer'!C9)=0,"","Tab")</f>
        <v/>
      </c>
      <c r="E9" t="str">
        <f>IF(LEN('A créer'!C9)=0,"",'A créer'!B9)</f>
        <v/>
      </c>
      <c r="F9" s="2" t="str">
        <f>IF(LEN('A créer'!C9)=0,"","Tab")</f>
        <v/>
      </c>
      <c r="G9" t="str">
        <f>IF(LEN('A créer'!C9)=0,"",'A créer'!G9)</f>
        <v/>
      </c>
      <c r="H9" s="2" t="str">
        <f>IF(LEN('A créer'!C9)=0,"","Tab")</f>
        <v/>
      </c>
      <c r="I9" s="2" t="str">
        <f>IF(LEN('A créer'!C9)=0,"","*SAVE")</f>
        <v/>
      </c>
    </row>
    <row r="10" spans="1:9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créer'!C10)=0,"",'A créer'!A10)</f>
        <v/>
      </c>
      <c r="D10" s="2" t="str">
        <f>IF(LEN('A créer'!C10)=0,"","Tab")</f>
        <v/>
      </c>
      <c r="E10" t="str">
        <f>IF(LEN('A créer'!C10)=0,"",'A créer'!B10)</f>
        <v/>
      </c>
      <c r="F10" s="2" t="str">
        <f>IF(LEN('A créer'!C10)=0,"","Tab")</f>
        <v/>
      </c>
      <c r="G10" t="str">
        <f>IF(LEN('A créer'!C10)=0,"",'A créer'!G10)</f>
        <v/>
      </c>
      <c r="H10" s="2" t="str">
        <f>IF(LEN('A créer'!C10)=0,"","Tab")</f>
        <v/>
      </c>
      <c r="I10" s="2" t="str">
        <f>IF(LEN('A créer'!C10)=0,"","*SAVE")</f>
        <v/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/>
      </c>
      <c r="B9" s="2" t="str">
        <f>IF(LEN('A créer'!A9)=0,"","Tab")</f>
        <v/>
      </c>
      <c r="C9" t="str">
        <f>IF(LEN('A créer'!P9)=0,"",'A créer'!P9)</f>
        <v/>
      </c>
      <c r="D9" s="2" t="str">
        <f>IF(LEN('A créer'!C9)=0,"","Tab")</f>
        <v/>
      </c>
      <c r="E9" t="str">
        <f>IF(LEN('A créer'!P9)=0,"","17060")</f>
        <v/>
      </c>
      <c r="F9" s="2" t="str">
        <f>IF(LEN('A créer'!C9)=0,"","Tab")</f>
        <v/>
      </c>
      <c r="G9" t="str">
        <f>IF(LEN('A créer'!P9)=0,"","01/01/2002")</f>
        <v/>
      </c>
      <c r="H9" s="2" t="str">
        <f>IF(LEN('A créer'!C9)=0,"","*SAVE")</f>
        <v/>
      </c>
    </row>
    <row r="10" spans="1:8" x14ac:dyDescent="0.35">
      <c r="A10" s="2" t="str">
        <f>IF(LEN('A créer'!C10)=0,"","*FN")</f>
        <v/>
      </c>
      <c r="B10" s="2" t="str">
        <f>IF(LEN('A créer'!A10)=0,"","Tab")</f>
        <v/>
      </c>
      <c r="C10" t="str">
        <f>IF(LEN('A créer'!P10)=0,"",'A créer'!P10)</f>
        <v/>
      </c>
      <c r="D10" s="2" t="str">
        <f>IF(LEN('A créer'!C10)=0,"","Tab")</f>
        <v/>
      </c>
      <c r="E10" t="str">
        <f>IF(LEN('A créer'!P10)=0,"","17060")</f>
        <v/>
      </c>
      <c r="F10" s="2" t="str">
        <f>IF(LEN('A créer'!C10)=0,"","Tab")</f>
        <v/>
      </c>
      <c r="G10" t="str">
        <f>IF(LEN('A créer'!P10)=0,"","01/01/2002")</f>
        <v/>
      </c>
      <c r="H10" s="2" t="str">
        <f>IF(LEN('A créer'!C10)=0,"","*SAVE")</f>
        <v/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pane="bottomLeft" activeCell="B2" sqref="B2:B13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/>
      </c>
      <c r="B9" s="6" t="str">
        <f>CONCATENATE('A créer'!B9,'A créer'!A9)</f>
        <v/>
      </c>
      <c r="C9" s="2" t="str">
        <f>IF(LEN('A créer'!$C9)=0,"","TAB")</f>
        <v/>
      </c>
      <c r="D9" s="2" t="str">
        <f>IF(LEN('A créer'!$C9)=0,"","ENT")</f>
        <v/>
      </c>
      <c r="E9" s="2" t="str">
        <f>IF(LEN('A créer'!$C9)=0,"","TAB")</f>
        <v/>
      </c>
      <c r="F9" s="2" t="str">
        <f>IF(LEN('A créer'!$C9)=0,"","TAB")</f>
        <v/>
      </c>
      <c r="G9" s="2" t="str">
        <f>IF(LEN('A créer'!$C9)=0,"","ENT")</f>
        <v/>
      </c>
      <c r="H9" s="2" t="str">
        <f>IF(LEN('A créer'!$C9)=0,"","ENT")</f>
        <v/>
      </c>
    </row>
    <row r="10" spans="1:8" x14ac:dyDescent="0.35">
      <c r="A10" s="2" t="str">
        <f>IF(LEN('A créer'!$C10)=0,"","TAB")</f>
        <v/>
      </c>
      <c r="B10" s="6" t="str">
        <f>CONCATENATE('A créer'!B10,'A créer'!A10)</f>
        <v/>
      </c>
      <c r="C10" s="2" t="str">
        <f>IF(LEN('A créer'!$C10)=0,"","TAB")</f>
        <v/>
      </c>
      <c r="D10" s="2" t="str">
        <f>IF(LEN('A créer'!$C10)=0,"","ENT")</f>
        <v/>
      </c>
      <c r="E10" s="2" t="str">
        <f>IF(LEN('A créer'!$C10)=0,"","TAB")</f>
        <v/>
      </c>
      <c r="F10" s="2" t="str">
        <f>IF(LEN('A créer'!$C10)=0,"","TAB")</f>
        <v/>
      </c>
      <c r="G10" s="2" t="str">
        <f>IF(LEN('A créer'!$C10)=0,"","ENT")</f>
        <v/>
      </c>
      <c r="H10" s="2" t="str">
        <f>IF(LEN('A créer'!$C10)=0,"","ENT")</f>
        <v/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="80" zoomScaleNormal="80" workbookViewId="0">
      <pane ySplit="1" topLeftCell="A2" activePane="bottomLeft" state="frozenSplit"/>
      <selection pane="bottomLeft" activeCell="C2" sqref="C2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/>
      </c>
      <c r="B9" s="2" t="str">
        <f>IF(LEN('A créer'!C9)=0,"","Tab")</f>
        <v/>
      </c>
      <c r="C9" s="8" t="str">
        <f>CONCATENATE('A créer'!B9,'A créer'!A9)</f>
        <v/>
      </c>
      <c r="D9" s="2" t="str">
        <f>IF(LEN('A créer'!C9)=0,"","Tab")</f>
        <v/>
      </c>
      <c r="E9" s="2" t="str">
        <f>IF(LEN('A créer'!C9)=0,"","*SAVE")</f>
        <v/>
      </c>
    </row>
    <row r="10" spans="1:5" x14ac:dyDescent="0.35">
      <c r="A10" s="2" t="str">
        <f>IF(LEN('A créer'!C10)=0,"","*FN")</f>
        <v/>
      </c>
      <c r="B10" s="2" t="str">
        <f>IF(LEN('A créer'!C10)=0,"","Tab")</f>
        <v/>
      </c>
      <c r="C10" s="8" t="str">
        <f>CONCATENATE('A créer'!B10,'A créer'!A10)</f>
        <v/>
      </c>
      <c r="D10" s="2" t="str">
        <f>IF(LEN('A créer'!C10)=0,"","Tab")</f>
        <v/>
      </c>
      <c r="E10" s="2" t="str">
        <f>IF(LEN('A créer'!C10)=0,"","*SAVE")</f>
        <v/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="80" zoomScaleNormal="80" workbookViewId="0">
      <pane xSplit="1" ySplit="1" topLeftCell="B2" activePane="bottomRight" state="frozenSplit"/>
      <selection pane="topRight"/>
      <selection pane="bottomLeft"/>
      <selection pane="bottomRight" activeCell="B2" sqref="B2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5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5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5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5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/>
      </c>
      <c r="B9" s="6" t="str">
        <f>IF(AND(LEN('A créer'!$C9)=0,LEN('A créer'!$E9&gt;0)),"",CONCATENATE('A créer'!B9,'A créer'!A9))</f>
        <v/>
      </c>
      <c r="C9" s="2" t="str">
        <f>IF(AND(LEN('A créer'!$C9)=0,LEN('A créer'!$E9&gt;0)),"","TAB")</f>
        <v/>
      </c>
      <c r="D9" s="6" t="str">
        <f>IF(AND(LEN('A créer'!$C9)=0,LEN('A créer'!$E9&gt;0)),"","Setup Business Group")</f>
        <v/>
      </c>
      <c r="E9" s="2" t="str">
        <f>IF(AND(LEN('A créer'!$C9)=0,LEN('A créer'!$E9&gt;0)),"","TAB 4")</f>
        <v/>
      </c>
      <c r="F9" s="2" t="str">
        <f>IF(AND(LEN('A créer'!$C9)=0,LEN('A créer'!$E9&gt;0)),"","TAB 4")</f>
        <v/>
      </c>
      <c r="G9" s="2" t="str">
        <f>IF(AND(LEN('A créer'!$C9)=0,LEN('A créer'!$E9&gt;0)),"","TAB")</f>
        <v/>
      </c>
      <c r="H9" s="2" t="str">
        <f>IF(AND(LEN('A créer'!$C9)=0,LEN('A créer'!$E9&gt;0)),"","TAB")</f>
        <v/>
      </c>
      <c r="I9" s="2" t="str">
        <f>IF(AND(LEN('A créer'!$C9)=0,LEN('A créer'!$E9&gt;0)),"","TAB")</f>
        <v/>
      </c>
      <c r="J9" s="6" t="str">
        <f>IF(AND(LEN('A créer'!$C9)=0,LEN('A créer'!$E9&gt;0)),"","\Sécuriser les organisations par hiérarchie")</f>
        <v/>
      </c>
      <c r="K9" s="2" t="str">
        <f>IF(AND(LEN('A créer'!$C9)=0,LEN('A créer'!$E9&gt;0)),"","TAB 4")</f>
        <v/>
      </c>
      <c r="L9" s="6" t="str">
        <f>IF(AND(LEN('A créer'!$C9)=0,LEN('A créer'!$E9&gt;0)),"",CONCATENATE('A créer'!B9,'A créer'!A9))</f>
        <v/>
      </c>
      <c r="M9" s="2" t="str">
        <f>IF(AND(LEN('A créer'!$C9)=0,LEN('A créer'!$E9&gt;0)),"","TAB")</f>
        <v/>
      </c>
      <c r="N9" s="2" t="str">
        <f>IF(AND(LEN('A créer'!$C9)=0,LEN('A créer'!$E9&gt;0)),"","*SAVE")</f>
        <v/>
      </c>
      <c r="O9" s="2" t="str">
        <f>IF(AND(LEN('A créer'!$C9)=0,LEN('A créer'!$E9&gt;0)),"","*ML(103,118)")</f>
        <v/>
      </c>
      <c r="P9" s="2" t="str">
        <f>IF(OR(LEN('A créer'!$C9)=0,'A créer'!$E9="Oui"),"","*FN")</f>
        <v/>
      </c>
      <c r="Q9" s="6" t="str">
        <f>IF(OR(LEN('A créer'!$C9)=0,'A créer'!$E9="Oui"),"",'A créer'!A9)</f>
        <v/>
      </c>
      <c r="R9" s="2" t="str">
        <f>IF(OR(LEN('A créer'!$C9)=0,'A créer'!$E9="Oui"),"","TAB")</f>
        <v/>
      </c>
      <c r="S9" s="6" t="str">
        <f>IF(OR(LEN('A créer'!$C9)=0,'A créer'!$E9="Oui"),"","Setup Business Group")</f>
        <v/>
      </c>
      <c r="T9" s="2" t="str">
        <f>IF(OR(LEN('A créer'!$C9)=0,'A créer'!$E9="Oui"),"","TAB 4")</f>
        <v/>
      </c>
      <c r="U9" s="2" t="str">
        <f>IF(OR(LEN('A créer'!$C9)=0,'A créer'!$E9="Oui"),"","TAB 4")</f>
        <v/>
      </c>
      <c r="V9" s="2" t="str">
        <f>IF(OR(LEN('A créer'!$C9)=0,'A créer'!$E9="Oui"),"","TAB")</f>
        <v/>
      </c>
      <c r="W9" s="2" t="str">
        <f>IF(OR(LEN('A créer'!$C9)=0,'A créer'!$E9="Oui"),"","TAB")</f>
        <v/>
      </c>
      <c r="X9" s="2" t="str">
        <f>IF(OR(LEN('A créer'!$C9)=0,'A créer'!$E9="Oui"),"","TAB")</f>
        <v/>
      </c>
      <c r="Y9" s="6" t="str">
        <f>IF(OR(LEN('A créer'!$C9)=0,'A créer'!$E9="Oui"),"","\Sécuriser les organisations par hiérarchie")</f>
        <v/>
      </c>
      <c r="Z9" s="2" t="str">
        <f>IF(OR(LEN('A créer'!$C9)=0,'A créer'!$E9="Oui"),"","TAB 4")</f>
        <v/>
      </c>
      <c r="AA9" s="6" t="str">
        <f>IF(OR(LEN('A créer'!$C9)=0,'A créer'!$E9="Oui"),"",CONCATENATE('A créer'!B9,'A créer'!A9))</f>
        <v/>
      </c>
      <c r="AB9" s="2" t="str">
        <f>IF(OR(LEN('A créer'!$C9)=0,'A créer'!$E9="Oui"),"","TAB")</f>
        <v/>
      </c>
      <c r="AC9" s="2" t="str">
        <f>IF(OR(LEN('A créer'!$C9)=0,'A créer'!$E9="Oui"),"","*SAVE")</f>
        <v/>
      </c>
      <c r="AD9" s="2" t="str">
        <f>IF(OR(LEN('A créer'!$C9)=0,'A créer'!$E9="Oui"),"","*ML(237,126)")</f>
        <v/>
      </c>
    </row>
    <row r="10" spans="1:30" x14ac:dyDescent="0.35">
      <c r="A10" s="2" t="str">
        <f>IF(AND(LEN('A créer'!$C10)=0,LEN('A créer'!$E10&gt;0)),"","*FN")</f>
        <v/>
      </c>
      <c r="B10" s="6" t="str">
        <f>IF(AND(LEN('A créer'!$C10)=0,LEN('A créer'!$E10&gt;0)),"",CONCATENATE('A créer'!B10,'A créer'!A10))</f>
        <v/>
      </c>
      <c r="C10" s="2" t="str">
        <f>IF(AND(LEN('A créer'!$C10)=0,LEN('A créer'!$E10&gt;0)),"","TAB")</f>
        <v/>
      </c>
      <c r="D10" s="6" t="str">
        <f>IF(AND(LEN('A créer'!$C10)=0,LEN('A créer'!$E10&gt;0)),"","Setup Business Group")</f>
        <v/>
      </c>
      <c r="E10" s="2" t="str">
        <f>IF(AND(LEN('A créer'!$C10)=0,LEN('A créer'!$E10&gt;0)),"","TAB 4")</f>
        <v/>
      </c>
      <c r="F10" s="2" t="str">
        <f>IF(AND(LEN('A créer'!$C10)=0,LEN('A créer'!$E10&gt;0)),"","TAB 4")</f>
        <v/>
      </c>
      <c r="G10" s="2" t="str">
        <f>IF(AND(LEN('A créer'!$C10)=0,LEN('A créer'!$E10&gt;0)),"","TAB")</f>
        <v/>
      </c>
      <c r="H10" s="2" t="str">
        <f>IF(AND(LEN('A créer'!$C10)=0,LEN('A créer'!$E10&gt;0)),"","TAB")</f>
        <v/>
      </c>
      <c r="I10" s="2" t="str">
        <f>IF(AND(LEN('A créer'!$C10)=0,LEN('A créer'!$E10&gt;0)),"","TAB")</f>
        <v/>
      </c>
      <c r="J10" s="6" t="str">
        <f>IF(AND(LEN('A créer'!$C10)=0,LEN('A créer'!$E10&gt;0)),"","\Sécuriser les organisations par hiérarchie")</f>
        <v/>
      </c>
      <c r="K10" s="2" t="str">
        <f>IF(AND(LEN('A créer'!$C10)=0,LEN('A créer'!$E10&gt;0)),"","TAB 4")</f>
        <v/>
      </c>
      <c r="L10" s="6" t="str">
        <f>IF(AND(LEN('A créer'!$C10)=0,LEN('A créer'!$E10&gt;0)),"",CONCATENATE('A créer'!B10,'A créer'!A10))</f>
        <v/>
      </c>
      <c r="M10" s="2" t="str">
        <f>IF(AND(LEN('A créer'!$C10)=0,LEN('A créer'!$E10&gt;0)),"","TAB")</f>
        <v/>
      </c>
      <c r="N10" s="2" t="str">
        <f>IF(AND(LEN('A créer'!$C10)=0,LEN('A créer'!$E10&gt;0)),"","*SAVE")</f>
        <v/>
      </c>
      <c r="O10" s="2" t="str">
        <f>IF(AND(LEN('A créer'!$C10)=0,LEN('A créer'!$E10&gt;0)),"","*ML(103,118)")</f>
        <v/>
      </c>
      <c r="P10" s="2" t="str">
        <f>IF(OR(LEN('A créer'!$C10)=0,'A créer'!$E10="Oui"),"","*FN")</f>
        <v/>
      </c>
      <c r="Q10" s="6" t="str">
        <f>IF(OR(LEN('A créer'!$C10)=0,'A créer'!$E10="Oui"),"",'A créer'!A10)</f>
        <v/>
      </c>
      <c r="R10" s="2" t="str">
        <f>IF(OR(LEN('A créer'!$C10)=0,'A créer'!$E10="Oui"),"","TAB")</f>
        <v/>
      </c>
      <c r="S10" s="6" t="str">
        <f>IF(OR(LEN('A créer'!$C10)=0,'A créer'!$E10="Oui"),"","Setup Business Group")</f>
        <v/>
      </c>
      <c r="T10" s="2" t="str">
        <f>IF(OR(LEN('A créer'!$C10)=0,'A créer'!$E10="Oui"),"","TAB 4")</f>
        <v/>
      </c>
      <c r="U10" s="2" t="str">
        <f>IF(OR(LEN('A créer'!$C10)=0,'A créer'!$E10="Oui"),"","TAB 4")</f>
        <v/>
      </c>
      <c r="V10" s="2" t="str">
        <f>IF(OR(LEN('A créer'!$C10)=0,'A créer'!$E10="Oui"),"","TAB")</f>
        <v/>
      </c>
      <c r="W10" s="2" t="str">
        <f>IF(OR(LEN('A créer'!$C10)=0,'A créer'!$E10="Oui"),"","TAB")</f>
        <v/>
      </c>
      <c r="X10" s="2" t="str">
        <f>IF(OR(LEN('A créer'!$C10)=0,'A créer'!$E10="Oui"),"","TAB")</f>
        <v/>
      </c>
      <c r="Y10" s="6" t="str">
        <f>IF(OR(LEN('A créer'!$C10)=0,'A créer'!$E10="Oui"),"","\Sécuriser les organisations par hiérarchie")</f>
        <v/>
      </c>
      <c r="Z10" s="2" t="str">
        <f>IF(OR(LEN('A créer'!$C10)=0,'A créer'!$E10="Oui"),"","TAB 4")</f>
        <v/>
      </c>
      <c r="AA10" s="6" t="str">
        <f>IF(OR(LEN('A créer'!$C10)=0,'A créer'!$E10="Oui"),"",CONCATENATE('A créer'!B10,'A créer'!A10))</f>
        <v/>
      </c>
      <c r="AB10" s="2" t="str">
        <f>IF(OR(LEN('A créer'!$C10)=0,'A créer'!$E10="Oui"),"","TAB")</f>
        <v/>
      </c>
      <c r="AC10" s="2" t="str">
        <f>IF(OR(LEN('A créer'!$C10)=0,'A créer'!$E10="Oui"),"","*SAVE")</f>
        <v/>
      </c>
      <c r="AD10" s="2" t="str">
        <f>IF(OR(LEN('A créer'!$C10)=0,'A créer'!$E10="Oui"),"","*ML(237,126)")</f>
        <v/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5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pane="bottomLeft" activeCell="C2" sqref="C2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/>
      </c>
      <c r="B9" s="2" t="str">
        <f>IF(LEN('A créer'!$C9)=0,"","TAB")</f>
        <v/>
      </c>
      <c r="C9" s="6" t="str">
        <f>IF(LEN('A créer'!$C9)=0,"","\Un profil de sécurité nommé")</f>
        <v/>
      </c>
      <c r="D9" s="2" t="str">
        <f>IF(LEN('A créer'!$C9)=0,"","TAB")</f>
        <v/>
      </c>
      <c r="E9" s="2" t="str">
        <f>IF(LEN('A créer'!$C9)=0,"","TAB")</f>
        <v/>
      </c>
      <c r="F9" s="6" t="str">
        <f>IF(LEN('A créer'!$C9)=0,"",CONCATENATE('A créer'!B9,'A créer'!A9))</f>
        <v/>
      </c>
      <c r="G9" s="2" t="str">
        <f>IF(LEN('A créer'!$C9)=0,"","TAB")</f>
        <v/>
      </c>
      <c r="H9" s="2" t="str">
        <f>IF(LEN('A créer'!$C9)=0,"","ENT")</f>
        <v/>
      </c>
      <c r="I9" s="2" t="str">
        <f>IF(LEN('A créer'!$C9)=0,"","TAB")</f>
        <v/>
      </c>
      <c r="J9" s="2" t="str">
        <f>IF(LEN('A créer'!$C9)=0,"","TAB")</f>
        <v/>
      </c>
      <c r="K9" s="2" t="str">
        <f>IF(LEN('A créer'!$C9)=0,"","ENT")</f>
        <v/>
      </c>
      <c r="L9" s="2" t="str">
        <f>IF(LEN('A créer'!$C9)=0,"","ENT")</f>
        <v/>
      </c>
    </row>
    <row r="10" spans="1:12" x14ac:dyDescent="0.35">
      <c r="A10" s="2" t="str">
        <f>IF(LEN('A créer'!$C10)=0,"","TAB")</f>
        <v/>
      </c>
      <c r="B10" s="2" t="str">
        <f>IF(LEN('A créer'!$C10)=0,"","TAB")</f>
        <v/>
      </c>
      <c r="C10" s="6" t="str">
        <f>IF(LEN('A créer'!$C10)=0,"","\Un profil de sécurité nommé")</f>
        <v/>
      </c>
      <c r="D10" s="2" t="str">
        <f>IF(LEN('A créer'!$C10)=0,"","TAB")</f>
        <v/>
      </c>
      <c r="E10" s="2" t="str">
        <f>IF(LEN('A créer'!$C10)=0,"","TAB")</f>
        <v/>
      </c>
      <c r="F10" s="6" t="str">
        <f>IF(LEN('A créer'!$C10)=0,"",CONCATENATE('A créer'!B10,'A créer'!A10))</f>
        <v/>
      </c>
      <c r="G10" s="2" t="str">
        <f>IF(LEN('A créer'!$C10)=0,"","TAB")</f>
        <v/>
      </c>
      <c r="H10" s="2" t="str">
        <f>IF(LEN('A créer'!$C10)=0,"","ENT")</f>
        <v/>
      </c>
      <c r="I10" s="2" t="str">
        <f>IF(LEN('A créer'!$C10)=0,"","TAB")</f>
        <v/>
      </c>
      <c r="J10" s="2" t="str">
        <f>IF(LEN('A créer'!$C10)=0,"","TAB")</f>
        <v/>
      </c>
      <c r="K10" s="2" t="str">
        <f>IF(LEN('A créer'!$C10)=0,"","ENT")</f>
        <v/>
      </c>
      <c r="L10" s="2" t="str">
        <f>IF(LEN('A créer'!$C10)=0,"","ENT")</f>
        <v/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8" sqref="A8:C8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2024-05-14T13:53:18Z</dcterms:modified>
</cp:coreProperties>
</file>