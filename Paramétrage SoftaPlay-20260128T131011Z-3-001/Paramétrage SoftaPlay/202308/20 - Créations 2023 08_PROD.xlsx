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82023\Priorité\Transfert SVD\"/>
    </mc:Choice>
  </mc:AlternateContent>
  <bookViews>
    <workbookView xWindow="285" yWindow="45" windowWidth="15870" windowHeight="5835" tabRatio="723" activeTab="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<sst xmlns="http://schemas.openxmlformats.org/spreadsheetml/2006/main" count="504" uniqueCount="118">
  <si>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</si>
  <si>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</si>
  <si>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</si>
  <si>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</si>
  <si>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</si>
  <si>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</si>
  <si>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</si>
  <si>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</si>
  <si>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</si>
  <si>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</si>
  <si>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</si>
  <si>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</si>
  <si>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</si>
  <si>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</si>
  <si>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</si>
  <si>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</si>
  <si>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</si>
  <si>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</si>
  <si>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</si>
  <si>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</si>
  <si>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</si>
  <si>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</si>
  <si>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</si>
  <si>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</si>
  <si>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</si>
  <si>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</si>
  <si>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</si>
  <si>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</si>
  <si>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</si>
  <si>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</si>
  <si>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</si>
  <si>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</si>
  <si>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</si>
  <si>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</si>
  <si>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</si>
  <si>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</si>
  <si>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</si>
  <si>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</si>
  <si>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</si>
  <si>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</si>
  <si>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</si>
  <si>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</si>
  <si>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</si>
  <si>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</si>
  <si>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</si>
  <si>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</si>
  <si>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</si>
  <si>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</si>
  <si>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</si>
  <si>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</si>
  <si>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</si>
  <si>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</si>
  <si>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</si>
  <si>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</si>
  <si>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</si>
  <si>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</si>
  <si>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</si>
  <si>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</si>
  <si>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</si>
  <si>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</si>
  <si>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</si>
  <si>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</si>
  <si>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</si>
  <si>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</si>
  <si>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</si>
  <si>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</si>
  <si>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</si>
  <si>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</si>
  <si>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</si>
  <si>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</si>
  <si>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</si>
  <si>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</si>
  <si>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</si>
  <si>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</si>
  <si>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</si>
  <si>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</si>
  <si>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</si>
  <si>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</si>
  <si>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</si>
  <si>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</si>
  <si>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</si>
  <si>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</si>
  <si>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</si>
  <si>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</si>
  <si>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</si>
  <si>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</si>
  <si>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</si>
  <si>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</si>
  <si>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</si>
  <si>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</si>
  <si>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</si>
  <si>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</si>
  <si>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</si>
  <si>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</si>
  <si>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</si>
  <si>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</si>
  <si>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</si>
  <si>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</si>
  <si>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</si>
  <si>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</si>
  <si>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</si>
  <si>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TSA 95502</t>
  </si>
  <si>
    <t>PARIS LA DEFENSE CEDEX</t>
  </si>
  <si>
    <t>0478</t>
  </si>
  <si>
    <t>DK 7</t>
  </si>
  <si>
    <t>S2107</t>
  </si>
  <si>
    <t>92099</t>
  </si>
  <si>
    <t>TSA 15503</t>
  </si>
  <si>
    <t>FB0082963B</t>
  </si>
  <si>
    <t>SOCIETE VALMY DEFENSE 111</t>
  </si>
  <si>
    <t>0417</t>
  </si>
  <si>
    <t>S2011</t>
  </si>
  <si>
    <t>FB0082837H</t>
  </si>
  <si>
    <t>0475</t>
  </si>
  <si>
    <t>DK 5</t>
  </si>
  <si>
    <t>S2105</t>
  </si>
  <si>
    <t>33, Place des Corolles TOUR EUROPE - TSA 77655</t>
  </si>
  <si>
    <t>FB0083014J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</si>
</sst>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9.85546875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103</v>
      </c>
      <c r="B2" s="6" t="s">
        <v>38</v>
      </c>
      <c r="C2" s="15" t="s">
        <v>104</v>
      </c>
      <c r="D2" s="6" t="s">
        <v>74</v>
      </c>
      <c r="E2" s="6" t="s">
        <v>34</v>
      </c>
      <c r="F2" s="6" t="s">
        <v>34</v>
      </c>
      <c r="G2" s="6" t="s">
        <v>105</v>
      </c>
      <c r="H2" s="4" t="s">
        <v>38</v>
      </c>
      <c r="I2" s="17" t="s">
        <v>104</v>
      </c>
      <c r="J2" s="6" t="s">
        <v>116</v>
      </c>
      <c r="K2" s="18" t="s">
        <v>106</v>
      </c>
      <c r="L2" s="16" t="s">
        <v>102</v>
      </c>
      <c r="M2" s="6">
        <v>13478</v>
      </c>
      <c r="N2" s="6" t="s">
        <v>107</v>
      </c>
      <c r="O2" s="10" t="s">
        <v>99</v>
      </c>
      <c r="P2" s="19">
        <v>513534</v>
      </c>
      <c r="Q2" s="6" t="s">
        <v>100</v>
      </c>
      <c r="R2" s="24" t="s">
        <v>108</v>
      </c>
    </row>
    <row r="3" spans="1:19" s="6" customFormat="1" ht="16.5" thickBot="1" x14ac:dyDescent="0.3">
      <c r="A3" s="1" t="s">
        <v>110</v>
      </c>
      <c r="B3" s="6" t="s">
        <v>42</v>
      </c>
      <c r="C3" s="15" t="s">
        <v>109</v>
      </c>
      <c r="D3" s="6" t="s">
        <v>74</v>
      </c>
      <c r="E3" s="6" t="s">
        <v>34</v>
      </c>
      <c r="F3" s="6" t="s">
        <v>34</v>
      </c>
      <c r="G3" s="6" t="s">
        <v>111</v>
      </c>
      <c r="H3" s="4" t="s">
        <v>42</v>
      </c>
      <c r="I3" s="17" t="s">
        <v>109</v>
      </c>
      <c r="J3" s="6" t="s">
        <v>97</v>
      </c>
      <c r="K3" s="18">
        <v>59350</v>
      </c>
      <c r="L3" s="16" t="s">
        <v>98</v>
      </c>
      <c r="M3" s="6">
        <v>92417</v>
      </c>
      <c r="N3" s="6" t="s">
        <v>101</v>
      </c>
      <c r="O3" s="10" t="s">
        <v>99</v>
      </c>
      <c r="P3" s="19">
        <v>513482</v>
      </c>
      <c r="Q3" s="6" t="s">
        <v>100</v>
      </c>
      <c r="R3" s="23" t="s">
        <v>112</v>
      </c>
    </row>
    <row r="4" spans="1:19" s="6" customFormat="1" ht="16.5" thickBot="1" x14ac:dyDescent="0.3">
      <c r="A4" s="1" t="s">
        <v>113</v>
      </c>
      <c r="B4" s="6" t="s">
        <v>42</v>
      </c>
      <c r="C4" s="15" t="s">
        <v>114</v>
      </c>
      <c r="D4" s="6" t="s">
        <v>74</v>
      </c>
      <c r="E4" s="6" t="s">
        <v>34</v>
      </c>
      <c r="F4" s="6" t="s">
        <v>34</v>
      </c>
      <c r="G4" s="6" t="s">
        <v>115</v>
      </c>
      <c r="H4" s="4" t="s">
        <v>42</v>
      </c>
      <c r="I4" s="17" t="s">
        <v>114</v>
      </c>
      <c r="J4" s="6" t="s">
        <v>116</v>
      </c>
      <c r="K4" s="18">
        <v>92099</v>
      </c>
      <c r="L4" s="16" t="s">
        <v>102</v>
      </c>
      <c r="M4" s="6">
        <v>92475</v>
      </c>
      <c r="N4" s="6" t="s">
        <v>101</v>
      </c>
      <c r="O4" s="10" t="s">
        <v>99</v>
      </c>
      <c r="P4" s="19">
        <v>513532</v>
      </c>
      <c r="Q4" s="6" t="s">
        <v>100</v>
      </c>
      <c r="R4" s="22" t="s">
        <v>117</v>
      </c>
    </row>
    <row r="5" spans="1:19" s="6" customFormat="1" ht="16.5" thickBot="1" x14ac:dyDescent="0.3">
      <c r="A5" s="1"/>
      <c r="C5" s="15"/>
      <c r="H5" s="4"/>
      <c r="I5" s="17"/>
      <c r="J5" s="20"/>
      <c r="K5" s="18"/>
      <c r="L5" s="16"/>
      <c r="O5" s="10"/>
      <c r="P5" s="19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30"/>
  <sheetViews>
    <sheetView zoomScale="80" zoomScaleNormal="80" workbookViewId="0">
      <pane ySplit="1" topLeftCell="A2" activePane="bottomLeft" state="frozenSplit"/>
      <selection pane="bottomLeft" activeCell="D4" sqref="D4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S2107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S2011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111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6" t="str">
        <f>IF(LEN('A créer'!G4)=0,"",'A créer'!G4)</f>
        <v>S2105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DK 5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C30"/>
  <sheetViews>
    <sheetView tabSelected="1"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Y30"/>
  <sheetViews>
    <sheetView zoomScale="80" zoomScaleNormal="80" workbookViewId="0">
      <pane ySplit="1" topLeftCell="A2" activePane="bottomLeft" state="frozenSplit"/>
      <selection pane="bottomLeft" activeCell="D4" sqref="D4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513534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0478 DK 7/DCW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513482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0417 SOCIETE VALMY DEFENSE 111/DSW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513532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SOCIETE GENERALE 0475 DK 5/DSW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R30"/>
  <sheetViews>
    <sheetView zoomScale="80" zoomScaleNormal="80" workbookViewId="0">
      <pane ySplit="1" topLeftCell="A2" activePane="bottomLeft" state="frozenSplit"/>
      <selection pane="bottomLeft" activeCell="M4" sqref="M4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69.42578125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DCW0478</v>
      </c>
      <c r="C2" s="2" t="str">
        <f>IF(LEN('A créer'!C2)=0,"","Tab")</f>
        <v>Tab</v>
      </c>
      <c r="D2" t="str">
        <f>IF(LEN('A créer'!C2)=0,"",CONCATENATE(,'A créer'!B2,'A créer'!A2,"-",'A créer'!C2))</f>
        <v>DCW0478-DK 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FB0082963B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DCW_0478PF FPS 0478 DK 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DSW0417</v>
      </c>
      <c r="C3" s="2" t="str">
        <f>IF(LEN('A créer'!C3)=0,"","Tab")</f>
        <v>Tab</v>
      </c>
      <c r="D3" t="str">
        <f>IF(LEN('A créer'!C3)=0,"",CONCATENATE(,'A créer'!B3,'A créer'!A3,"-",'A créer'!C3))</f>
        <v>DSW0417-SOCIETE VALMY DEFENSE 111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FB0082837H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DSW_0417PF FPS 0417 SOCIETE VALMY DEFENSE 111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DSW0475</v>
      </c>
      <c r="C4" s="2" t="str">
        <f>IF(LEN('A créer'!C4)=0,"","Tab")</f>
        <v>Tab</v>
      </c>
      <c r="D4" t="str">
        <f>IF(LEN('A créer'!C4)=0,"",CONCATENATE(,'A créer'!B4,'A créer'!A4,"-",'A créer'!C4))</f>
        <v>DSW0475-DK 5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FB0083014J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DSW_0475PF FPS 0475 DK 5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D4" sqref="D4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0478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DCW0478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0417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DSW0417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0475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DSW0475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D2" sqref="D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0478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0417</v>
      </c>
      <c r="E3" s="2" t="str">
        <f>IF(LEN('A créer'!C3)=0,"","Tab")</f>
        <v>Tab</v>
      </c>
      <c r="F3" t="str">
        <f>IF(LEN('A créer'!C3)=0,"",'A créer'!B3)</f>
        <v>DSW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0475</v>
      </c>
      <c r="E4" s="2" t="str">
        <f>IF(LEN('A créer'!C4)=0,"","Tab")</f>
        <v>Tab</v>
      </c>
      <c r="F4" t="str">
        <f>IF(LEN('A créer'!C4)=0,"",'A créer'!B4)</f>
        <v>DSW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U30"/>
  <sheetViews>
    <sheetView zoomScale="80" zoomScaleNormal="80" workbookViewId="0">
      <pane xSplit="1" ySplit="1" topLeftCell="Q2" activePane="bottomRight" state="frozenSplit"/>
      <selection activeCell="G1" sqref="G1"/>
      <selection pane="topRight"/>
      <selection pane="bottomLeft" activeCell="A2" sqref="A2"/>
      <selection pane="bottomRight" activeCell="AJ4" sqref="AJ4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DCW0478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7 (13478)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DSW0417</v>
      </c>
      <c r="T3" s="2" t="s">
        <v>4</v>
      </c>
      <c r="U3" s="6" t="str">
        <f>IF('A créer'!F3="Oui",'A créer'!C3,IF(LEN('A créer'!F3)=0,"",CONCATENATE('A créer'!C3," (",'A créer'!M3,")")))</f>
        <v>SOCIETE VALMY DEFENSE 111 (92417)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95502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DSW0475</v>
      </c>
      <c r="T4" s="2" t="s">
        <v>4</v>
      </c>
      <c r="U4" s="6" t="str">
        <f>IF('A créer'!F4="Oui",'A créer'!C4,IF(LEN('A créer'!F4)=0,"",CONCATENATE('A créer'!C4," (",'A créer'!M4,")")))</f>
        <v>DK 5 (92475)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95502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30"/>
  <sheetViews>
    <sheetView workbookViewId="0">
      <pane ySplit="1" topLeftCell="A2" activePane="bottomLeft" state="frozenSplit"/>
      <selection pane="bottomLeft" activeCell="G4" sqref="G4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0478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S2107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0417</v>
      </c>
      <c r="D3" s="2" t="str">
        <f>IF(LEN('A créer'!C3)=0,"","Tab")</f>
        <v>Tab</v>
      </c>
      <c r="E3" t="str">
        <f>IF(LEN('A créer'!C3)=0,"",'A créer'!B3)</f>
        <v>DSW</v>
      </c>
      <c r="F3" s="2" t="str">
        <f>IF(LEN('A créer'!C3)=0,"","Tab")</f>
        <v>Tab</v>
      </c>
      <c r="G3" t="str">
        <f>IF(LEN('A créer'!C3)=0,"",'A créer'!G3)</f>
        <v>S2011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0475</v>
      </c>
      <c r="D4" s="2" t="str">
        <f>IF(LEN('A créer'!C4)=0,"","Tab")</f>
        <v>Tab</v>
      </c>
      <c r="E4" t="str">
        <f>IF(LEN('A créer'!C4)=0,"",'A créer'!B4)</f>
        <v>DSW</v>
      </c>
      <c r="F4" s="2" t="str">
        <f>IF(LEN('A créer'!C4)=0,"","Tab")</f>
        <v>Tab</v>
      </c>
      <c r="G4" t="str">
        <f>IF(LEN('A créer'!C4)=0,"",'A créer'!G4)</f>
        <v>S2105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513534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513482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513532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DCW0478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DSW0417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6" t="str">
        <f>CONCATENATE('A créer'!B4,'A créer'!A4)</f>
        <v>DSW0475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DCW0478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DSW0417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DSW0475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DCW0478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DCW0478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0478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DCW0478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>*FN</v>
      </c>
      <c r="B3" s="25" t="str">
        <f>IF(AND(LEN('A créer'!$C3)=0,LEN('A créer'!$E3&gt;0)),"",CONCATENATE('A créer'!B3,'A créer'!A3))</f>
        <v>DSW0417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DSW0417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0417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DSW0417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25">
      <c r="A4" s="2" t="str">
        <f>IF(AND(LEN('A créer'!$C4)=0,LEN('A créer'!$E4&gt;0)),"","*FN")</f>
        <v>*FN</v>
      </c>
      <c r="B4" s="25" t="str">
        <f>IF(AND(LEN('A créer'!$C4)=0,LEN('A créer'!$E4&gt;0)),"",CONCATENATE('A créer'!B4,'A créer'!A4))</f>
        <v>DSW0475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DSW0475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0475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DSW0475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DCW0478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DSW0417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DSW0475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" sqref="A2:C2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2023-08-10T13:22:53Z</dcterms:modified>
</cp:coreProperties>
</file>