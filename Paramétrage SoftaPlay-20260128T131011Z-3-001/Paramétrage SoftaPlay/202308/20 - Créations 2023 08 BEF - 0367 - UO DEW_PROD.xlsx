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 mission\SOFTAPLAY\Softa-082023\Priorité\Creation UO\"/>
    </mc:Choice>
  </mc:AlternateContent>
  <bookViews>
    <workbookView xWindow="285" yWindow="45" windowWidth="15870" windowHeight="5835" tabRatio="723" firstSheet="4" activeTab="11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J3" i="5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<sst xmlns="http://schemas.openxmlformats.org/spreadsheetml/2006/main" count="474" uniqueCount="107">
  <si>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</si>
  <si>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</si>
  <si>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</si>
  <si>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</si>
  <si>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</si>
  <si>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</si>
  <si>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</si>
  <si>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</si>
  <si>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</si>
  <si>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</si>
  <si>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</si>
  <si>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</si>
  <si>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</si>
  <si>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</si>
  <si>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</si>
  <si>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</si>
  <si>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</si>
  <si>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</si>
  <si>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</si>
  <si>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</si>
  <si>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</si>
  <si>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</si>
  <si>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</si>
  <si>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</si>
  <si>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</si>
  <si>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</si>
  <si>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</si>
  <si>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</si>
  <si>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</si>
  <si>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</si>
  <si>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</si>
  <si>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</si>
  <si>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</si>
  <si>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</si>
  <si>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</si>
  <si>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</si>
  <si>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</si>
  <si>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</si>
  <si>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</si>
  <si>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</si>
  <si>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</si>
  <si>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</si>
  <si>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</si>
  <si>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</si>
  <si>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</si>
  <si>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</si>
  <si>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</si>
  <si>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</si>
  <si>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</si>
  <si>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</si>
  <si>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</si>
  <si>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</si>
  <si>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</si>
  <si>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</si>
  <si>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</si>
  <si>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</si>
  <si>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</si>
  <si>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</si>
  <si>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</si>
  <si>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</si>
  <si>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</si>
  <si>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</si>
  <si>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</si>
  <si>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</si>
  <si>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</si>
  <si>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</si>
  <si>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</si>
  <si>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</si>
  <si>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</si>
  <si>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</si>
  <si>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</si>
  <si>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</si>
  <si>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</si>
  <si>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</si>
  <si>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</si>
  <si>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</si>
  <si>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</si>
  <si>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</si>
  <si>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</si>
  <si>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</si>
  <si>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</si>
  <si>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</si>
  <si>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</si>
  <si>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</si>
  <si>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</si>
  <si>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</si>
  <si>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</si>
  <si>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</si>
  <si>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</si>
  <si>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</si>
  <si>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</si>
  <si>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</si>
  <si>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</si>
  <si>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</si>
  <si>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</si>
  <si>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</si>
  <si>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59784 LILLE CEDEX 9</t>
  </si>
  <si>
    <t>0367</t>
  </si>
  <si>
    <t>BOIS ENERGIE France</t>
  </si>
  <si>
    <t>33, Place des Corolles Tour EUROPE</t>
  </si>
  <si>
    <t>COURBEVOIE</t>
  </si>
  <si>
    <t>Oui</t>
  </si>
  <si>
    <t>S1029L</t>
  </si>
  <si>
    <t>TSA 25504</t>
  </si>
  <si>
    <t>XXXXX</t>
  </si>
  <si>
    <t>SOCIETE GENERALE</t>
  </si>
  <si>
    <t>FB0083058J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</si>
</sst>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zoomScale="90" zoomScaleNormal="90" workbookViewId="0">
      <pane xSplit="6" ySplit="1" topLeftCell="G2" activePane="bottomRight" state="frozenSplit"/>
      <selection pane="topRight" activeCell="F1" sqref="F1"/>
      <selection pane="bottomLeft" activeCell="A2" sqref="A2"/>
      <selection pane="bottomRight" activeCell="D1" sqref="D1"/>
    </sheetView>
  </sheetViews>
  <sheetFormatPr baseColWidth="10" defaultRowHeight="15" x14ac:dyDescent="0.25"/>
  <cols>
    <col min="1" max="1" width="7.28515625" bestFit="1" customWidth="1"/>
    <col min="2" max="2" width="7" bestFit="1" customWidth="1"/>
    <col min="3" max="3" width="24.28515625" bestFit="1" customWidth="1"/>
    <col min="4" max="4" width="8.140625" bestFit="1" customWidth="1"/>
    <col min="5" max="5" width="4.5703125" bestFit="1" customWidth="1"/>
    <col min="6" max="6" width="9.28515625" bestFit="1" customWidth="1"/>
    <col min="7" max="7" width="8.28515625" bestFit="1" customWidth="1"/>
    <col min="8" max="8" width="10.140625" bestFit="1" customWidth="1"/>
    <col min="9" max="9" width="24.5703125" customWidth="1"/>
    <col min="10" max="10" width="45.42578125" bestFit="1" customWidth="1"/>
    <col min="11" max="11" width="7" bestFit="1" customWidth="1"/>
    <col min="12" max="12" width="29.7109375" bestFit="1" customWidth="1"/>
    <col min="13" max="13" width="9.85546875" bestFit="1" customWidth="1"/>
    <col min="14" max="14" width="11.28515625" bestFit="1" customWidth="1"/>
    <col min="15" max="15" width="21" bestFit="1" customWidth="1"/>
    <col min="16" max="16" width="8" bestFit="1" customWidth="1"/>
    <col min="17" max="17" width="17.7109375" bestFit="1" customWidth="1"/>
    <col min="18" max="18" width="12.85546875" bestFit="1" customWidth="1"/>
    <col min="19" max="19" width="5.42578125" bestFit="1" customWidth="1"/>
  </cols>
  <sheetData>
    <row r="1" spans="1:19" s="5" customFormat="1" ht="30" customHeight="1" thickBot="1" x14ac:dyDescent="0.3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.5" thickBot="1" x14ac:dyDescent="0.3">
      <c r="A2" s="1" t="s">
        <v>97</v>
      </c>
      <c r="B2" s="6" t="s">
        <v>43</v>
      </c>
      <c r="C2" s="15" t="s">
        <v>98</v>
      </c>
      <c r="D2" s="6" t="s">
        <v>101</v>
      </c>
      <c r="E2" s="6" t="s">
        <v>101</v>
      </c>
      <c r="F2" s="6" t="s">
        <v>34</v>
      </c>
      <c r="G2" s="6" t="s">
        <v>102</v>
      </c>
      <c r="H2" s="4" t="s">
        <v>38</v>
      </c>
      <c r="I2" s="17" t="s">
        <v>98</v>
      </c>
      <c r="J2" s="6" t="s">
        <v>99</v>
      </c>
      <c r="K2" s="18">
        <v>92400</v>
      </c>
      <c r="L2" s="16" t="s">
        <v>100</v>
      </c>
      <c r="M2" s="6" t="s">
        <v>104</v>
      </c>
      <c r="N2" s="6" t="s">
        <v>103</v>
      </c>
      <c r="O2" s="10" t="s">
        <v>96</v>
      </c>
      <c r="P2" s="19">
        <v>513179</v>
      </c>
      <c r="Q2" s="6" t="s">
        <v>105</v>
      </c>
      <c r="R2" s="24" t="s">
        <v>106</v>
      </c>
    </row>
    <row r="3" spans="1:19" s="6" customFormat="1" ht="16.5" thickBot="1" x14ac:dyDescent="0.3">
      <c r="A3" s="1"/>
      <c r="C3" s="15"/>
      <c r="H3" s="4"/>
      <c r="I3" s="17"/>
      <c r="K3" s="18"/>
      <c r="L3" s="16"/>
      <c r="O3" s="10"/>
      <c r="P3" s="19"/>
      <c r="R3" s="23"/>
    </row>
    <row r="4" spans="1:19" s="6" customFormat="1" ht="16.5" thickBot="1" x14ac:dyDescent="0.3">
      <c r="A4" s="1"/>
      <c r="C4" s="15"/>
      <c r="H4" s="4"/>
      <c r="I4" s="17"/>
      <c r="K4" s="18"/>
      <c r="L4" s="16"/>
      <c r="O4" s="10"/>
      <c r="P4" s="19"/>
      <c r="R4" s="22"/>
    </row>
    <row r="5" spans="1:19" s="6" customFormat="1" ht="16.5" thickBot="1" x14ac:dyDescent="0.3">
      <c r="A5" s="1"/>
      <c r="C5" s="15"/>
      <c r="H5" s="4"/>
      <c r="I5" s="17"/>
      <c r="K5" s="18"/>
      <c r="L5" s="16"/>
      <c r="O5" s="10"/>
      <c r="P5" s="19"/>
      <c r="R5" s="24"/>
    </row>
    <row r="6" spans="1:19" s="6" customFormat="1" ht="16.5" thickBot="1" x14ac:dyDescent="0.3">
      <c r="A6" s="1"/>
      <c r="C6" s="15"/>
      <c r="H6" s="4"/>
      <c r="I6" s="17"/>
      <c r="K6" s="18"/>
      <c r="L6" s="16"/>
      <c r="O6" s="10"/>
      <c r="P6" s="19"/>
      <c r="R6" s="21"/>
    </row>
    <row r="7" spans="1:19" s="6" customFormat="1" ht="16.5" thickBot="1" x14ac:dyDescent="0.3">
      <c r="A7" s="1"/>
      <c r="C7" s="15"/>
      <c r="H7" s="4"/>
      <c r="I7" s="17"/>
      <c r="K7" s="18"/>
      <c r="L7" s="16"/>
      <c r="O7" s="10"/>
      <c r="P7" s="19"/>
      <c r="R7" s="24"/>
    </row>
    <row r="8" spans="1:19" s="6" customFormat="1" ht="16.5" thickBot="1" x14ac:dyDescent="0.3">
      <c r="A8" s="1"/>
      <c r="C8" s="15"/>
      <c r="H8" s="4"/>
      <c r="I8" s="17"/>
      <c r="K8" s="18"/>
      <c r="L8" s="16"/>
      <c r="O8" s="10"/>
      <c r="P8" s="19"/>
      <c r="R8" s="24"/>
    </row>
    <row r="9" spans="1:19" s="6" customFormat="1" ht="16.5" thickBot="1" x14ac:dyDescent="0.3">
      <c r="A9" s="1"/>
      <c r="C9" s="15"/>
      <c r="H9" s="4"/>
      <c r="I9" s="17"/>
      <c r="K9" s="18"/>
      <c r="L9" s="16"/>
      <c r="O9" s="10"/>
      <c r="P9" s="19"/>
      <c r="R9" s="24"/>
    </row>
    <row r="10" spans="1:19" ht="16.5" thickBot="1" x14ac:dyDescent="0.3">
      <c r="A10" s="1"/>
      <c r="B10" s="6"/>
      <c r="C10" s="15"/>
      <c r="D10" s="6"/>
      <c r="E10" s="6"/>
      <c r="F10" s="6"/>
      <c r="G10" s="6"/>
      <c r="H10" s="4"/>
      <c r="I10" s="17"/>
      <c r="J10" s="6"/>
      <c r="K10" s="18"/>
      <c r="L10" s="16"/>
      <c r="M10" s="6"/>
      <c r="N10" s="6"/>
      <c r="O10" s="10"/>
      <c r="P10" s="19"/>
      <c r="Q10" s="6"/>
      <c r="R10" s="24"/>
      <c r="S10" s="6"/>
    </row>
    <row r="11" spans="1:19" ht="16.5" thickBot="1" x14ac:dyDescent="0.3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M11" s="6"/>
      <c r="N11" s="6"/>
      <c r="O11" s="10"/>
      <c r="P11" s="19"/>
      <c r="Q11" s="6"/>
      <c r="R11" s="21"/>
      <c r="S11" s="6"/>
    </row>
    <row r="12" spans="1:19" ht="16.5" thickBot="1" x14ac:dyDescent="0.3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6"/>
      <c r="O12" s="10"/>
      <c r="P12" s="19"/>
      <c r="Q12" s="6"/>
      <c r="R12" s="24"/>
      <c r="S12" s="6"/>
    </row>
    <row r="13" spans="1:19" ht="16.5" thickBot="1" x14ac:dyDescent="0.3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4"/>
      <c r="S13" s="6"/>
    </row>
    <row r="14" spans="1:19" ht="16.5" thickBot="1" x14ac:dyDescent="0.3">
      <c r="A14" s="1"/>
      <c r="D14" s="6"/>
      <c r="E14" s="6"/>
      <c r="F14" s="6"/>
      <c r="H14" s="20"/>
      <c r="I14" s="20"/>
      <c r="J14" s="20"/>
      <c r="K14" s="18"/>
      <c r="L14" s="16"/>
      <c r="R14" s="24"/>
      <c r="S14" s="6"/>
    </row>
    <row r="15" spans="1:19" x14ac:dyDescent="0.25">
      <c r="A15" s="1"/>
      <c r="S15" s="6"/>
    </row>
    <row r="16" spans="1:19" x14ac:dyDescent="0.25">
      <c r="A16" s="1"/>
      <c r="S16" s="6"/>
    </row>
    <row r="17" spans="1:19" x14ac:dyDescent="0.25">
      <c r="A17" s="1"/>
      <c r="S17" s="6"/>
    </row>
    <row r="18" spans="1:19" x14ac:dyDescent="0.25">
      <c r="A18" s="1"/>
      <c r="S18" s="6"/>
    </row>
    <row r="19" spans="1:19" x14ac:dyDescent="0.25">
      <c r="A19" s="1"/>
      <c r="S19" s="6"/>
    </row>
    <row r="20" spans="1:19" x14ac:dyDescent="0.25">
      <c r="A20" s="1"/>
      <c r="S20" s="6"/>
    </row>
    <row r="21" spans="1:19" x14ac:dyDescent="0.25">
      <c r="A21" s="1"/>
      <c r="S21" s="6"/>
    </row>
    <row r="22" spans="1:19" x14ac:dyDescent="0.25">
      <c r="A22" s="1"/>
      <c r="S22" s="6"/>
    </row>
    <row r="23" spans="1:19" x14ac:dyDescent="0.25">
      <c r="A23" s="1"/>
      <c r="S23" s="6"/>
    </row>
    <row r="24" spans="1:19" x14ac:dyDescent="0.25">
      <c r="A24" s="1"/>
      <c r="S24" s="6"/>
    </row>
    <row r="25" spans="1:19" x14ac:dyDescent="0.25">
      <c r="A25" s="1"/>
      <c r="D25" s="6"/>
    </row>
    <row r="26" spans="1:19" x14ac:dyDescent="0.25">
      <c r="A26" s="1"/>
      <c r="D26" s="6"/>
    </row>
    <row r="27" spans="1:19" x14ac:dyDescent="0.2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30"/>
  <sheetViews>
    <sheetView zoomScale="90" zoomScaleNormal="90" workbookViewId="0">
      <pane ySplit="1" topLeftCell="A2" activePane="bottomLeft" state="frozenSplit"/>
      <selection pane="bottomLeft" activeCell="F2" sqref="F2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5" max="5" width="4" bestFit="1" customWidth="1"/>
    <col min="7" max="7" width="6.140625" bestFit="1" customWidth="1"/>
  </cols>
  <sheetData>
    <row r="1" spans="1:7" x14ac:dyDescent="0.2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25">
      <c r="A2" s="2" t="str">
        <f>IF(OR('A créer'!D2="Oui",LEN('A créer'!D2)=0),"","*FN")</f>
        <v/>
      </c>
      <c r="B2" t="str">
        <f>IF(OR('A créer'!D2="Oui",LEN('A créer'!D2)=0),"",CONCATENATE("A",'A créer'!A2))</f>
        <v/>
      </c>
      <c r="C2" s="2" t="str">
        <f>IF(OR('A créer'!D2="Oui",LEN('A créer'!D2)=0),"","Tab")</f>
        <v/>
      </c>
      <c r="D2" t="str">
        <f>IF(OR('A créer'!D2="Oui",LEN('A créer'!D2)=0),"",CONCATENATE("A",'A créer'!A2))</f>
        <v/>
      </c>
      <c r="E2" s="2" t="str">
        <f>IF(OR('A créer'!D2="Oui",LEN('A créer'!D2)=0),"","Tab")</f>
        <v/>
      </c>
      <c r="F2" t="str">
        <f>IF(OR('A créer'!D2="Oui",LEN('A créer'!D2)=0),"",CONCATENATE("STE ",'A créer'!A2))</f>
        <v/>
      </c>
      <c r="G2" s="2" t="str">
        <f>IF(OR('A créer'!D2="Oui",LEN('A créer'!D2)=0),"","*SAVE")</f>
        <v/>
      </c>
    </row>
    <row r="3" spans="1:7" x14ac:dyDescent="0.2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2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2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2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2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2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2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2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2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2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2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2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2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2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2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2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2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2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2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2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2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2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2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2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2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2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2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2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30"/>
  <sheetViews>
    <sheetView zoomScale="80" zoomScaleNormal="80" workbookViewId="0">
      <pane ySplit="1" topLeftCell="A2" activePane="bottomLeft" state="frozenSplit"/>
      <selection pane="bottomLeft" activeCell="B2" sqref="B2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4" max="4" width="27.28515625" bestFit="1" customWidth="1"/>
    <col min="5" max="5" width="4" bestFit="1" customWidth="1"/>
    <col min="6" max="6" width="6.140625" bestFit="1" customWidth="1"/>
  </cols>
  <sheetData>
    <row r="1" spans="1:6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25">
      <c r="A2" s="2" t="str">
        <f>IF(LEN('A créer'!G2)=0,"","*FN")</f>
        <v>*FN</v>
      </c>
      <c r="B2" t="str">
        <f>IF(LEN('A créer'!G2)=0,"",'A créer'!G2)</f>
        <v>S1029L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BOIS ENERGIE France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25">
      <c r="A3" s="2" t="str">
        <f>IF(LEN('A créer'!G3)=0,"","*FN")</f>
        <v/>
      </c>
      <c r="B3" s="6" t="str">
        <f>IF(LEN('A créer'!G3)=0,"",'A créer'!G3)</f>
        <v/>
      </c>
      <c r="C3" s="2" t="str">
        <f>IF(LEN('A créer'!G3)=0,"","Tab")</f>
        <v/>
      </c>
      <c r="D3" s="6" t="str">
        <f>IF(LEN('A créer'!G3)=0,IF(LEN('A créer'!G3)&gt;0,CONCATENATE('A créer'!C3," ",'A créer'!B3),""),'A créer'!C3)</f>
        <v/>
      </c>
      <c r="E3" s="2" t="str">
        <f>IF(LEN('A créer'!G3)=0,"","Tab")</f>
        <v/>
      </c>
      <c r="F3" s="2" t="str">
        <f>IF(LEN('A créer'!G3)=0,"","*SAVE")</f>
        <v/>
      </c>
    </row>
    <row r="4" spans="1:6" x14ac:dyDescent="0.25">
      <c r="A4" s="2" t="str">
        <f>IF(LEN('A créer'!G4)=0,"","*FN")</f>
        <v/>
      </c>
      <c r="B4" s="6" t="str">
        <f>IF(LEN('A créer'!G4)=0,"",'A créer'!G4)</f>
        <v/>
      </c>
      <c r="C4" s="2" t="str">
        <f>IF(LEN('A créer'!G4)=0,"","Tab")</f>
        <v/>
      </c>
      <c r="D4" s="6" t="str">
        <f>IF(LEN('A créer'!G4)=0,IF(LEN('A créer'!G4)&gt;0,CONCATENATE('A créer'!C4," ",'A créer'!B4),""),'A créer'!C4)</f>
        <v/>
      </c>
      <c r="E4" s="2" t="str">
        <f>IF(LEN('A créer'!G4)=0,"","Tab")</f>
        <v/>
      </c>
      <c r="F4" s="2" t="str">
        <f>IF(LEN('A créer'!G4)=0,"","*SAVE")</f>
        <v/>
      </c>
    </row>
    <row r="5" spans="1:6" x14ac:dyDescent="0.2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25">
      <c r="A6" s="2" t="str">
        <f>IF(LEN('A créer'!G6)=0,"","*FN")</f>
        <v/>
      </c>
      <c r="B6" s="6" t="str">
        <f>IF(LEN('A créer'!G6)=0,"",'A créer'!G6)</f>
        <v/>
      </c>
      <c r="C6" s="2" t="str">
        <f>IF(LEN('A créer'!G6)=0,"","Tab")</f>
        <v/>
      </c>
      <c r="D6" s="6" t="str">
        <f>IF(LEN('A créer'!G6)=0,IF(LEN('A créer'!G6)&gt;0,CONCATENATE('A créer'!C6," ",'A créer'!B6),""),'A créer'!C6)</f>
        <v/>
      </c>
      <c r="E6" s="2" t="str">
        <f>IF(LEN('A créer'!G6)=0,"","Tab")</f>
        <v/>
      </c>
      <c r="F6" s="2" t="str">
        <f>IF(LEN('A créer'!G6)=0,"","*SAVE")</f>
        <v/>
      </c>
    </row>
    <row r="7" spans="1:6" x14ac:dyDescent="0.25">
      <c r="A7" s="2" t="str">
        <f>IF(LEN('A créer'!G7)=0,"","*FN")</f>
        <v/>
      </c>
      <c r="B7" s="6" t="str">
        <f>IF(LEN('A créer'!G7)=0,"",'A créer'!G7)</f>
        <v/>
      </c>
      <c r="C7" s="2" t="str">
        <f>IF(LEN('A créer'!G7)=0,"","Tab")</f>
        <v/>
      </c>
      <c r="D7" s="6" t="str">
        <f>IF(LEN('A créer'!G7)=0,IF(LEN('A créer'!G7)&gt;0,CONCATENATE('A créer'!C7," ",'A créer'!B7),""),'A créer'!C7)</f>
        <v/>
      </c>
      <c r="E7" s="2" t="str">
        <f>IF(LEN('A créer'!G7)=0,"","Tab")</f>
        <v/>
      </c>
      <c r="F7" s="2" t="str">
        <f>IF(LEN('A créer'!G7)=0,"","*SAVE")</f>
        <v/>
      </c>
    </row>
    <row r="8" spans="1:6" x14ac:dyDescent="0.2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2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2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2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2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2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2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2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2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2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2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2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2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2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2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2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2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2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2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2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2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2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2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C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AZ2" sqref="A2:AZ2"/>
    </sheetView>
  </sheetViews>
  <sheetFormatPr baseColWidth="10" defaultRowHeight="15" x14ac:dyDescent="0.25"/>
  <cols>
    <col min="1" max="1" width="4.28515625" bestFit="1" customWidth="1"/>
    <col min="2" max="2" width="5.28515625" bestFit="1" customWidth="1"/>
    <col min="3" max="3" width="4" bestFit="1" customWidth="1"/>
    <col min="4" max="4" width="11.85546875" bestFit="1" customWidth="1"/>
    <col min="5" max="5" width="6.140625" customWidth="1"/>
    <col min="6" max="7" width="4" bestFit="1" customWidth="1"/>
    <col min="8" max="8" width="4.28515625" bestFit="1" customWidth="1"/>
    <col min="9" max="9" width="6.140625" bestFit="1" customWidth="1"/>
    <col min="10" max="10" width="4" bestFit="1" customWidth="1"/>
    <col min="11" max="11" width="6.5703125" bestFit="1" customWidth="1"/>
    <col min="12" max="12" width="7.5703125" customWidth="1"/>
    <col min="13" max="13" width="6.85546875" customWidth="1"/>
    <col min="14" max="14" width="6.42578125" customWidth="1"/>
    <col min="15" max="15" width="6" customWidth="1"/>
    <col min="16" max="16" width="7.140625" customWidth="1"/>
    <col min="17" max="17" width="6.5703125" customWidth="1"/>
    <col min="18" max="18" width="7" customWidth="1"/>
    <col min="19" max="19" width="4" bestFit="1" customWidth="1"/>
    <col min="20" max="20" width="7.5703125" customWidth="1"/>
    <col min="21" max="21" width="4" bestFit="1" customWidth="1"/>
    <col min="22" max="22" width="7.28515625" customWidth="1"/>
    <col min="23" max="23" width="4" bestFit="1" customWidth="1"/>
    <col min="24" max="24" width="7.28515625" customWidth="1"/>
    <col min="25" max="25" width="4" bestFit="1" customWidth="1"/>
    <col min="26" max="26" width="8.28515625" customWidth="1"/>
    <col min="27" max="27" width="5.85546875" customWidth="1"/>
    <col min="28" max="28" width="4" bestFit="1" customWidth="1"/>
    <col min="29" max="29" width="7.42578125" customWidth="1"/>
    <col min="30" max="30" width="4" bestFit="1" customWidth="1"/>
    <col min="31" max="31" width="4.28515625" bestFit="1" customWidth="1"/>
    <col min="32" max="32" width="6.140625" bestFit="1" customWidth="1"/>
    <col min="33" max="33" width="4.28515625" bestFit="1" customWidth="1"/>
    <col min="34" max="34" width="7.42578125" customWidth="1"/>
    <col min="35" max="35" width="4" bestFit="1" customWidth="1"/>
    <col min="36" max="36" width="18.28515625" bestFit="1" customWidth="1"/>
    <col min="37" max="37" width="6.5703125" customWidth="1"/>
    <col min="38" max="38" width="4" bestFit="1" customWidth="1"/>
    <col min="39" max="39" width="4" customWidth="1"/>
    <col min="40" max="40" width="7.7109375" bestFit="1" customWidth="1"/>
    <col min="41" max="42" width="4" bestFit="1" customWidth="1"/>
    <col min="43" max="43" width="4.28515625" bestFit="1" customWidth="1"/>
    <col min="44" max="44" width="6.140625" bestFit="1" customWidth="1"/>
    <col min="45" max="45" width="4" bestFit="1" customWidth="1"/>
    <col min="46" max="46" width="6.5703125" bestFit="1" customWidth="1"/>
    <col min="47" max="47" width="4" bestFit="1" customWidth="1"/>
    <col min="48" max="48" width="4.28515625" bestFit="1" customWidth="1"/>
    <col min="49" max="49" width="6.140625" bestFit="1" customWidth="1"/>
    <col min="50" max="50" width="6.140625" customWidth="1"/>
    <col min="51" max="51" width="4.140625" bestFit="1" customWidth="1"/>
    <col min="52" max="52" width="5.28515625" bestFit="1" customWidth="1"/>
    <col min="53" max="53" width="4" bestFit="1" customWidth="1"/>
    <col min="54" max="54" width="6.140625" bestFit="1" customWidth="1"/>
    <col min="55" max="55" width="13.42578125" bestFit="1" customWidth="1"/>
  </cols>
  <sheetData>
    <row r="1" spans="1:5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25">
      <c r="A2" s="2" t="str">
        <f>IF(OR('A créer'!D2="Oui",LEN('A créer'!D2)=0),"","*FN")</f>
        <v/>
      </c>
      <c r="B2" t="str">
        <f>IF(OR('A créer'!D2="Oui",LEN('A créer'!D2)=0),"",'A créer'!A2)</f>
        <v/>
      </c>
      <c r="C2" s="2" t="str">
        <f>IF(OR('A créer'!D2="Oui",LEN('A créer'!D2)=0),"","Tab")</f>
        <v/>
      </c>
      <c r="D2" t="str">
        <f>IF(OR('A créer'!D2="Oui",LEN('A créer'!D2)=0),"",'A créer'!C2)</f>
        <v/>
      </c>
      <c r="E2" s="2" t="s">
        <v>93</v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créer'!D2)=0),"","ENT")</f>
        <v/>
      </c>
      <c r="I2" t="str">
        <f>IF(OR('A créer'!D2="Oui",LEN('A créer'!D2)=0),"","Oui")</f>
        <v/>
      </c>
      <c r="J2" s="2" t="str">
        <f>IF(OR('A créer'!D2="Oui",LEN('A créer'!D2)=0),"","Tab")</f>
        <v/>
      </c>
      <c r="K2" t="str">
        <f>IF(OR('A créer'!D2="Oui",LEN('A créer'!D2)=0),"",'A créer'!H2)</f>
        <v/>
      </c>
      <c r="L2" t="str">
        <f>IF(OR('A créer'!D2="Oui",LEN('A créer'!D2)=0),"",IF($K2="DCW",'A créer'!G2,""))</f>
        <v/>
      </c>
      <c r="M2" s="2" t="str">
        <f>IF(OR('A créer'!D2="Oui",LEN('A créer'!D2)=0),"","Tab")</f>
        <v/>
      </c>
      <c r="N2" t="str">
        <f>IF(OR('A créer'!D2="Oui",LEN('A créer'!D2)=0),"",IF($K2="DLS",'A créer'!G2,""))</f>
        <v/>
      </c>
      <c r="O2" s="2" t="str">
        <f>IF(OR('A créer'!D2="Oui",LEN('A créer'!D2)=0),"","Tab")</f>
        <v/>
      </c>
      <c r="P2" t="str">
        <f>IF(OR('A créer'!D2="Oui",LEN('A créer'!D2)=0),"",IF($K2="DMS",'A créer'!G2,""))</f>
        <v/>
      </c>
      <c r="Q2" s="2" t="str">
        <f>IF(OR('A créer'!D2="Oui",LEN('A créer'!D2)=0),"","Tab")</f>
        <v/>
      </c>
      <c r="R2" t="str">
        <f>IF(OR('A créer'!D2="Oui",LEN('A créer'!D2)=0),"",IF($K2="DRW",'A créer'!G2,""))</f>
        <v/>
      </c>
      <c r="S2" s="2" t="str">
        <f>IF(OR('A créer'!D2="Oui",LEN('A créer'!D2)=0),"","Tab")</f>
        <v/>
      </c>
      <c r="T2" t="str">
        <f>IF(OR('A créer'!D2="Oui",LEN('A créer'!D2)=0),"",IF($K2="DSW",'A créer'!G2,""))</f>
        <v/>
      </c>
      <c r="U2" s="2" t="str">
        <f>IF(OR('A créer'!D2="Oui",LEN('A créer'!D2)=0),"","Tab")</f>
        <v/>
      </c>
      <c r="V2" t="str">
        <f>IF(OR('A créer'!D2="Oui",LEN('A créer'!D2)=0),"",IF($K2="DEW",'A créer'!G2,""))</f>
        <v/>
      </c>
      <c r="W2" s="2" t="str">
        <f>IF(OR('A créer'!D2="Oui",LEN('A créer'!D2)=0),"","Tab")</f>
        <v/>
      </c>
      <c r="X2" t="str">
        <f>IF(OR('A créer'!D2="Oui",LEN('A créer'!D2)=0),"",IF($K2="DNA",'A créer'!G2,""))</f>
        <v/>
      </c>
      <c r="Y2" s="2" t="str">
        <f>IF(OR('A créer'!D2="Oui",LEN('A créer'!D2)=0),"","Tab")</f>
        <v/>
      </c>
      <c r="Z2" t="str">
        <f>IF(OR('A créer'!D2="Oui",LEN('A créer'!D2)=0),"",IF($K2="DOS",'A créer'!G2,""))</f>
        <v/>
      </c>
      <c r="AA2" s="2" t="str">
        <f>IF(OR('A créer'!D2="Oui",LEN('A créer'!D2)=0),"","Tab")</f>
        <v/>
      </c>
      <c r="AB2" s="2" t="str">
        <f>IF(OR('A créer'!D2="Oui",LEN('A créer'!D2)=0),"","Tab")</f>
        <v/>
      </c>
      <c r="AC2" t="str">
        <f>IF(OR('A créer'!D2="Oui",LEN('A créer'!D2)=0),"","OUI")</f>
        <v/>
      </c>
      <c r="AD2" s="2" t="str">
        <f>IF(OR('A créer'!D2="Oui",LEN('A créer'!D2)=0),"","Tab")</f>
        <v/>
      </c>
      <c r="AE2" s="2" t="str">
        <f>IF(OR('A créer'!D2="Oui",LEN('A créer'!D2)=0),"","ENT")</f>
        <v/>
      </c>
      <c r="AF2" s="2" t="str">
        <f>IF(OR('A créer'!D2="Oui",LEN('A créer'!D2)=0),"","*SAVE")</f>
        <v/>
      </c>
      <c r="AG2" s="2" t="str">
        <f>IF(OR('A créer'!D2="Oui",LEN('A créer'!D2)=0),"","*FN")</f>
        <v/>
      </c>
      <c r="AH2" t="str">
        <f>IF(OR('A créer'!D2="Oui",LEN('A créer'!D2)=0),"",CONCATENATE("A",RIGHT('A créer'!A2,3)))</f>
        <v/>
      </c>
      <c r="AI2" s="2" t="str">
        <f>IF(OR('A créer'!D2="Oui",LEN('A créer'!D2)=0),"","Tab")</f>
        <v/>
      </c>
      <c r="AJ2" t="str">
        <f>IF(OR('A créer'!D2="Oui",LEN('A créer'!D2)=0),"",CONCATENATE('A créer'!A2," Regroupement"))</f>
        <v/>
      </c>
      <c r="AK2" s="2" t="str">
        <f>IF(OR('A créer'!D2="Oui",LEN('A créer'!D2)=0),"","Tab 4")</f>
        <v/>
      </c>
      <c r="AL2" s="2" t="str">
        <f>IF(OR('A créer'!D2="Oui",LEN('A créer'!D2)=0),"","*SB")</f>
        <v/>
      </c>
      <c r="AM2" s="2" t="str">
        <f>IF(OR('A créer'!D2="Oui",LEN('A créer'!D2)=0),"","Tab")</f>
        <v/>
      </c>
      <c r="AN2" t="str">
        <f>IF(OR('A créer'!D2="Oui",LEN('A créer'!D2)=0),"",CONCATENATE("A",'A créer'!A2))</f>
        <v/>
      </c>
      <c r="AO2" s="2" t="str">
        <f>IF(OR('A créer'!D2="Oui",LEN('A créer'!D2)=0),"","Tab")</f>
        <v/>
      </c>
      <c r="AP2" s="2" t="str">
        <f>IF(OR('A créer'!D2="Oui",LEN('A créer'!D2)=0),"","Tab")</f>
        <v/>
      </c>
      <c r="AQ2" s="2" t="str">
        <f>IF(OR('A créer'!D2="Oui",LEN('A créer'!D2)=0),"","ENT")</f>
        <v/>
      </c>
      <c r="AR2" t="str">
        <f>IF(OR('A créer'!D2="Oui",LEN('A créer'!D2)=0),"","Non")</f>
        <v/>
      </c>
      <c r="AS2" s="2" t="str">
        <f>IF(OR('A créer'!D2="Oui",LEN('A créer'!D2)=0),"","Tab")</f>
        <v/>
      </c>
      <c r="AT2" t="str">
        <f>IF(OR('A créer'!D2="Oui",LEN('A créer'!D2)=0),"","T")</f>
        <v/>
      </c>
      <c r="AU2" s="2" t="str">
        <f>IF(OR('A créer'!D2="Oui",LEN('A créer'!D2)=0),"","Tab")</f>
        <v/>
      </c>
      <c r="AV2" s="2" t="str">
        <f>IF(OR('A créer'!D2="Oui",LEN('A créer'!D2)=0),"","ENT")</f>
        <v/>
      </c>
      <c r="AW2" s="2" t="str">
        <f>IF(OR('A créer'!D2="Oui",LEN('A créer'!D2)=0),"","*SAVE")</f>
        <v/>
      </c>
      <c r="AX2" s="2" t="str">
        <f>IF(OR('A créer'!D2="Oui",LEN('A créer'!D2)=0),"","*UP")</f>
        <v/>
      </c>
      <c r="AY2" s="2" t="str">
        <f>IF(OR('A créer'!D2="Oui",LEN('A créer'!D2)=0),"","*Aé")</f>
        <v/>
      </c>
      <c r="AZ2" t="str">
        <f>IF(OR('A créer'!D2="Oui",LEN('A créer'!D2)=0),"",'A créer'!A2)</f>
        <v/>
      </c>
      <c r="BA2" s="2" t="str">
        <f>IF(OR('A créer'!D2="Oui",LEN('A créer'!D2)=0),"","Tab")</f>
        <v/>
      </c>
      <c r="BB2" s="2" t="str">
        <f>IF(OR('A créer'!D2="Oui",LEN('A créer'!D2)=0),"","*SAVE")</f>
        <v/>
      </c>
      <c r="BC2" s="2" t="str">
        <f>IF(OR('A créer'!D2="Oui",LEN('A créer'!D2)=0),"","*ML(610,125)")</f>
        <v/>
      </c>
    </row>
    <row r="3" spans="1:55" x14ac:dyDescent="0.2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93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2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93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2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93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2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93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2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93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2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93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2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93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2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93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2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93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2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93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2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93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2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2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2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2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2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2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2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2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2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2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2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2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2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2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2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2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2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Z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I2" sqref="I2"/>
    </sheetView>
  </sheetViews>
  <sheetFormatPr baseColWidth="10" defaultRowHeight="15" x14ac:dyDescent="0.25"/>
  <cols>
    <col min="1" max="1" width="5.140625" bestFit="1" customWidth="1"/>
    <col min="2" max="2" width="10.140625" bestFit="1" customWidth="1"/>
    <col min="3" max="3" width="4" bestFit="1" customWidth="1"/>
    <col min="4" max="4" width="34.42578125" bestFit="1" customWidth="1"/>
    <col min="5" max="5" width="6.85546875" customWidth="1"/>
    <col min="6" max="7" width="4" bestFit="1" customWidth="1"/>
    <col min="8" max="8" width="4.28515625" bestFit="1" customWidth="1"/>
    <col min="9" max="9" width="7.5703125" bestFit="1" customWidth="1"/>
    <col min="10" max="10" width="4" bestFit="1" customWidth="1"/>
    <col min="11" max="11" width="6" bestFit="1" customWidth="1"/>
    <col min="12" max="12" width="4" bestFit="1" customWidth="1"/>
    <col min="13" max="13" width="9.7109375" bestFit="1" customWidth="1"/>
    <col min="14" max="14" width="4.28515625" bestFit="1" customWidth="1"/>
    <col min="15" max="15" width="6.140625" bestFit="1" customWidth="1"/>
    <col min="16" max="16" width="4.28515625" bestFit="1" customWidth="1"/>
    <col min="17" max="17" width="8" bestFit="1" customWidth="1"/>
    <col min="18" max="18" width="5.42578125" customWidth="1"/>
    <col min="19" max="19" width="29.28515625" bestFit="1" customWidth="1"/>
    <col min="20" max="20" width="7.7109375" customWidth="1"/>
    <col min="21" max="22" width="4" bestFit="1" customWidth="1"/>
    <col min="23" max="23" width="4.28515625" bestFit="1" customWidth="1"/>
    <col min="24" max="24" width="13.28515625" customWidth="1"/>
    <col min="25" max="25" width="4" bestFit="1" customWidth="1"/>
    <col min="26" max="26" width="6" bestFit="1" customWidth="1"/>
    <col min="27" max="27" width="4" bestFit="1" customWidth="1"/>
    <col min="28" max="28" width="9.7109375" bestFit="1" customWidth="1"/>
    <col min="29" max="29" width="4.28515625" bestFit="1" customWidth="1"/>
    <col min="30" max="30" width="6.140625" bestFit="1" customWidth="1"/>
    <col min="31" max="31" width="4.28515625" bestFit="1" customWidth="1"/>
    <col min="32" max="32" width="5.28515625" bestFit="1" customWidth="1"/>
    <col min="33" max="33" width="4" bestFit="1" customWidth="1"/>
    <col min="34" max="34" width="25.140625" bestFit="1" customWidth="1"/>
    <col min="35" max="35" width="5.85546875" customWidth="1"/>
    <col min="36" max="36" width="4" bestFit="1" customWidth="1"/>
    <col min="37" max="37" width="5.140625" customWidth="1"/>
    <col min="38" max="38" width="9.7109375" bestFit="1" customWidth="1"/>
    <col min="39" max="40" width="4" bestFit="1" customWidth="1"/>
    <col min="41" max="42" width="4.28515625" bestFit="1" customWidth="1"/>
    <col min="43" max="43" width="6.140625" bestFit="1" customWidth="1"/>
    <col min="44" max="44" width="6.140625" customWidth="1"/>
    <col min="45" max="45" width="4.140625" bestFit="1" customWidth="1"/>
    <col min="46" max="46" width="10.140625" bestFit="1" customWidth="1"/>
    <col min="47" max="47" width="4.85546875" customWidth="1"/>
    <col min="48" max="48" width="4.5703125" bestFit="1" customWidth="1"/>
    <col min="49" max="49" width="8.42578125" bestFit="1" customWidth="1"/>
    <col min="50" max="50" width="4" bestFit="1" customWidth="1"/>
    <col min="51" max="51" width="6.140625" bestFit="1" customWidth="1"/>
    <col min="52" max="52" width="13.28515625" bestFit="1" customWidth="1"/>
  </cols>
  <sheetData>
    <row r="1" spans="1:52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93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93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25">
      <c r="A2" s="2" t="str">
        <f>IF(OR('A créer'!D2="Oui",LEN('A créer'!D2)=0),IF(AND(LEN('A créer'!B2)&gt;0,'A créer'!B2&lt;&gt;'A créer'!H2)=TRUE,"*FN",""),"*FN")</f>
        <v>*FN</v>
      </c>
      <c r="B2" t="str">
        <f>IF(OR('A créer'!D2="Oui",LEN('A créer'!D2)=0),IF(LEN('A créer'!B2)&gt;0,IF('A créer'!B2='A créer'!H2,"",CONCATENATE('A créer'!B2,'A créer'!A2)),""),CONCATENATE('A créer'!B2,'A créer'!A2))</f>
        <v>DEW0367</v>
      </c>
      <c r="C2" s="2" t="str">
        <f>IF(OR('A créer'!D2="Oui",LEN('A créer'!D2)=0),IF(AND(LEN('A créer'!B2)&gt;0,'A créer'!B2&lt;&gt;'A créer'!H2)=TRUE,"Tab",""),"Tab")</f>
        <v>Tab</v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>DEW0367-BOIS ENERGIE France</v>
      </c>
      <c r="E2" s="2" t="str">
        <f>IF(OR('A créer'!D2="Oui",LEN('A créer'!D2)=0),IF(AND(LEN('A créer'!B2)&gt;0,'A créer'!B2&lt;&gt;'A créer'!H2)=TRUE,"Tab 4",""),"Tab 4")</f>
        <v>Tab 4</v>
      </c>
      <c r="F2" s="2" t="str">
        <f>IF(OR('A créer'!D2="Oui",LEN('A créer'!D2)=0),IF(AND(LEN('A créer'!B2)&gt;0,'A créer'!B2&lt;&gt;'A créer'!H2)=TRUE,"Tab",""),"Tab")</f>
        <v>Tab</v>
      </c>
      <c r="G2" s="2" t="str">
        <f>IF(OR('A créer'!D2="Oui",LEN('A créer'!D2)=0),IF(AND(LEN('A créer'!B2)&gt;0,'A créer'!B2&lt;&gt;'A créer'!H2)=TRUE,"Tab",""),"Tab")</f>
        <v>Tab</v>
      </c>
      <c r="H2" s="2" t="str">
        <f>IF(OR('A créer'!D2="Oui",LEN('A créer'!D2)=0),IF(AND(LEN('A créer'!B2)&gt;0,'A créer'!B2&lt;&gt;'A créer'!H2)=TRUE,"ENT",""),"ENT")</f>
        <v>ENT</v>
      </c>
      <c r="I2" t="str">
        <f>IF('A créer'!D2="Oui",IF(AND(LEN('A créer'!B2)&gt;0,'A créer'!B2&lt;&gt;'A créer'!H2)=TRUE,'A créer'!G2,""),'A créer'!G2)</f>
        <v>S1029L</v>
      </c>
      <c r="J2" s="2" t="str">
        <f>IF(OR('A créer'!D2="Oui",LEN('A créer'!D2)=0),IF(AND(LEN('A créer'!B2)&gt;0,'A créer'!B2&lt;&gt;'A créer'!H2)=TRUE,"Tab",""),"Tab")</f>
        <v>Tab</v>
      </c>
      <c r="K2" t="str">
        <f>IF(OR('A créer'!D2="Oui",LEN('A créer'!D2)=0),IF(AND(LEN('A créer'!B2)&gt;0,'A créer'!B2&lt;&gt;'A créer'!H2)=TRUE,"Oui",""),"Oui")</f>
        <v>Oui</v>
      </c>
      <c r="L2" s="2" t="str">
        <f>IF(OR('A créer'!D2="Oui",LEN('A créer'!D2)=0),IF(AND(LEN('A créer'!B2)&gt;0,'A créer'!B2&lt;&gt;'A créer'!H2)=TRUE,"Tab",""),"Tab")</f>
        <v>Tab</v>
      </c>
      <c r="M2" t="str">
        <f>IF(OR('A créer'!D2="Oui",LEN('A créer'!D2)=0),IF(AND(LEN('A créer'!B2)&gt;0,'A créer'!B2&lt;&gt;'A créer'!H2)=TRUE,'A créer'!E2,""),'A créer'!E2)</f>
        <v>Oui</v>
      </c>
      <c r="N2" s="2" t="str">
        <f>IF(OR('A créer'!D2="Oui",LEN('A créer'!D2)=0),IF(AND(LEN('A créer'!B2)&gt;0,'A créer'!B2&lt;&gt;'A créer'!H2)=TRUE,"ENT",""),"ENT")</f>
        <v>ENT</v>
      </c>
      <c r="O2" s="2" t="str">
        <f>IF(OR('A créer'!D2="Oui",LEN('A créer'!D2)=0),IF(AND(LEN('A créer'!B2)&gt;0,'A créer'!B2&lt;&gt;'A créer'!H2)=TRUE,"*SAVE",""),"*SAVE")</f>
        <v>*SAVE</v>
      </c>
      <c r="P2" s="2" t="str">
        <f>IF(OR('A créer'!D2="Oui",LEN('A créer'!D2)=0),"","*FN")</f>
        <v/>
      </c>
      <c r="Q2" t="str">
        <f>IF(OR('A créer'!D2="Oui",LEN('A créer'!D2)=0),"",CONCATENATE("XXX",'A créer'!A2))</f>
        <v/>
      </c>
      <c r="R2" s="2" t="str">
        <f>IF(OR('A créer'!D2="Oui",LEN('A créer'!D2)=0),"","Tab")</f>
        <v/>
      </c>
      <c r="S2" t="str">
        <f>IF(OR('A créer'!D2="Oui",LEN('A créer'!D2)=0),"",CONCATENATE("XXX-",'A créer'!C2))</f>
        <v/>
      </c>
      <c r="T2" s="2" t="str">
        <f>IF(OR('A créer'!D2="Oui",LEN('A créer'!D2)=0),"","Tab 4")</f>
        <v/>
      </c>
      <c r="U2" s="2" t="str">
        <f>IF(OR('A créer'!D2="Oui",LEN('A créer'!D2)=0),"","Tab")</f>
        <v/>
      </c>
      <c r="V2" s="2" t="str">
        <f>IF(OR('A créer'!D2="Oui",LEN('A créer'!D2)=0),"","Tab")</f>
        <v/>
      </c>
      <c r="W2" s="2" t="str">
        <f>IF(OR('A créer'!D2="Oui",LEN('A créer'!D2)=0),"","ENT")</f>
        <v/>
      </c>
      <c r="X2" t="str">
        <f>IF(OR('A créer'!D2="Oui",LEN('A créer'!D2)=0),"",'A créer'!G2)</f>
        <v/>
      </c>
      <c r="Y2" s="2" t="str">
        <f>IF(OR('A créer'!D2="Oui",LEN('A créer'!D2)=0),"","Tab")</f>
        <v/>
      </c>
      <c r="Z2" t="str">
        <f>IF(OR('A créer'!D2="Oui",LEN('A créer'!D2)=0),"","Oui")</f>
        <v/>
      </c>
      <c r="AA2" s="2" t="str">
        <f>IF(OR('A créer'!D2="Oui",LEN('A créer'!D2)=0),"","Tab")</f>
        <v/>
      </c>
      <c r="AB2" t="str">
        <f>IF(OR('A créer'!D2="Oui",LEN('A créer'!D2)=0),"","NON")</f>
        <v/>
      </c>
      <c r="AC2" s="2" t="str">
        <f>IF(OR('A créer'!D2="Oui",LEN('A créer'!D2)=0),"","ENT")</f>
        <v/>
      </c>
      <c r="AD2" s="2" t="str">
        <f>IF(OR('A créer'!D2="Oui",LEN('A créer'!D2)=0),"","*SAVE")</f>
        <v/>
      </c>
      <c r="AE2" s="2" t="str">
        <f>IF(OR('A créer'!D2="Oui",LEN('A créer'!D2)=0),"","*FN")</f>
        <v/>
      </c>
      <c r="AF2" t="str">
        <f>IF(OR('A créer'!D2="Oui",LEN('A créer'!D2)=0),"",'A créer'!A2)</f>
        <v/>
      </c>
      <c r="AG2" s="2" t="str">
        <f>IF(OR('A créer'!D2="Oui",LEN('A créer'!D2)=0),"","Tab")</f>
        <v/>
      </c>
      <c r="AH2" t="str">
        <f>IF(OR('A créer'!D2="Oui",LEN('A créer'!D2)=0),"",'A créer'!C2)</f>
        <v/>
      </c>
      <c r="AI2" s="2" t="str">
        <f>IF(OR('A créer'!D2="Oui",LEN('A créer'!D2)=0),"","Tab 4")</f>
        <v/>
      </c>
      <c r="AJ2" s="2" t="str">
        <f>IF(OR('A créer'!D2="Oui",LEN('A créer'!D2)=0),"","*SB")</f>
        <v/>
      </c>
      <c r="AK2" s="2" t="str">
        <f>IF(OR('A créer'!D2="Oui",LEN('A créer'!D2)=0),"","Tab")</f>
        <v/>
      </c>
      <c r="AL2" t="str">
        <f>IF(OR('A créer'!D2="Oui",LEN('A créer'!D2)=0),"","InterCoSte")</f>
        <v/>
      </c>
      <c r="AM2" s="2" t="str">
        <f>IF(OR('A créer'!D2="Oui",LEN('A créer'!D2)=0),"","Tab")</f>
        <v/>
      </c>
      <c r="AN2" s="2" t="str">
        <f>IF(OR('A créer'!D2="Oui",LEN('A créer'!D2)=0),"","Tab")</f>
        <v/>
      </c>
      <c r="AO2" s="2" t="str">
        <f>IF(OR('A créer'!D2="Oui",LEN('A créer'!D2)=0),"","ENT")</f>
        <v/>
      </c>
      <c r="AP2" s="2" t="str">
        <f>IF(OR('A créer'!D2="Oui",LEN('A créer'!D2)=0),"","ENT")</f>
        <v/>
      </c>
      <c r="AQ2" s="2" t="str">
        <f>IF(OR('A créer'!D2="Oui",LEN('A créer'!D2)=0),"","*SAVE")</f>
        <v/>
      </c>
      <c r="AR2" s="2" t="str">
        <f>IF(OR('A créer'!D2="Oui",LEN('A créer'!D2)=0),"","*UP")</f>
        <v/>
      </c>
      <c r="AS2" s="2" t="str">
        <f>IF(OR('A créer'!D2="Oui",LEN('A créer'!D2)=0),"","*Aé")</f>
        <v/>
      </c>
      <c r="AT2" t="str">
        <f>IF(OR('A créer'!D2="Oui",LEN('A créer'!D2)=0),"",CONCATENATE('A créer'!B2,'A créer'!A2))</f>
        <v/>
      </c>
      <c r="AU2" s="2" t="str">
        <f>IF(OR('A créer'!D2="Oui",LEN('A créer'!D2)=0),"","Tab")</f>
        <v/>
      </c>
      <c r="AV2" s="2" t="str">
        <f>IF(OR('A créer'!D2="Oui",LEN('A créer'!D2)=0),"","*DN")</f>
        <v/>
      </c>
      <c r="AW2" t="str">
        <f>IF(OR('A créer'!D2="Oui",LEN('A créer'!D2)=0),"",CONCATENATE("XXX",'A créer'!A2))</f>
        <v/>
      </c>
      <c r="AX2" s="2" t="str">
        <f>IF(OR('A créer'!D2="Oui",LEN('A créer'!D2)=0),"","Tab")</f>
        <v/>
      </c>
      <c r="AY2" s="2" t="str">
        <f>IF(OR('A créer'!D2="Oui",LEN('A créer'!D2)=0),"","*SAVE")</f>
        <v/>
      </c>
      <c r="AZ2" s="2" t="str">
        <f>IF(OR('A créer'!D2="Oui",LEN('A créer'!D2)=0),"","*ML(608,125)")</f>
        <v/>
      </c>
    </row>
    <row r="3" spans="1:52" x14ac:dyDescent="0.2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>
        <f>IF('A créer'!D3="Oui",IF(AND(LEN('A créer'!B3)&gt;0,'A créer'!B3&lt;&gt;'A créer'!H3)=TRUE,'A créer'!G3,""),'A créer'!G3)</f>
        <v>0</v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2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>
        <f>IF('A créer'!D4="Oui",IF(AND(LEN('A créer'!B4)&gt;0,'A créer'!B4&lt;&gt;'A créer'!H4)=TRUE,'A créer'!G4,""),'A créer'!G4)</f>
        <v>0</v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2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2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>
        <f>IF('A créer'!D6="Oui",IF(AND(LEN('A créer'!B6)&gt;0,'A créer'!B6&lt;&gt;'A créer'!H6)=TRUE,'A créer'!G6,""),'A créer'!G6)</f>
        <v>0</v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2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>
        <f>IF('A créer'!D7="Oui",IF(AND(LEN('A créer'!B7)&gt;0,'A créer'!B7&lt;&gt;'A créer'!H7)=TRUE,'A créer'!G7,""),'A créer'!G7)</f>
        <v>0</v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2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2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2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2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2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2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2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2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2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2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2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2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2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2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2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2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2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2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2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2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2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2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2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30"/>
  <sheetViews>
    <sheetView zoomScale="80" zoomScaleNormal="80" workbookViewId="0">
      <pane ySplit="1" topLeftCell="A2" activePane="bottomLeft" state="frozenSplit"/>
      <selection pane="bottomLeft" activeCell="B2" sqref="B2"/>
    </sheetView>
  </sheetViews>
  <sheetFormatPr baseColWidth="10" defaultRowHeight="15" x14ac:dyDescent="0.25"/>
  <cols>
    <col min="1" max="1" width="4.28515625" bestFit="1" customWidth="1"/>
    <col min="2" max="2" width="9" customWidth="1"/>
    <col min="3" max="3" width="4" bestFit="1" customWidth="1"/>
    <col min="4" max="4" width="59" customWidth="1"/>
    <col min="5" max="5" width="5.85546875" customWidth="1"/>
    <col min="6" max="7" width="4" bestFit="1" customWidth="1"/>
    <col min="8" max="8" width="4.42578125" bestFit="1" customWidth="1"/>
    <col min="9" max="9" width="4" bestFit="1" customWidth="1"/>
    <col min="10" max="10" width="4.140625" bestFit="1" customWidth="1"/>
    <col min="11" max="11" width="4" bestFit="1" customWidth="1"/>
    <col min="12" max="12" width="7.42578125" customWidth="1"/>
    <col min="13" max="13" width="4" bestFit="1" customWidth="1"/>
    <col min="14" max="14" width="4.42578125" bestFit="1" customWidth="1"/>
    <col min="15" max="15" width="4" bestFit="1" customWidth="1"/>
    <col min="17" max="17" width="4" bestFit="1" customWidth="1"/>
    <col min="18" max="18" width="4.28515625" bestFit="1" customWidth="1"/>
    <col min="19" max="19" width="6.140625" customWidth="1"/>
    <col min="20" max="20" width="4.28515625" customWidth="1"/>
    <col min="21" max="22" width="5.42578125" customWidth="1"/>
    <col min="23" max="23" width="15" customWidth="1"/>
    <col min="24" max="24" width="4.28515625" bestFit="1" customWidth="1"/>
    <col min="25" max="25" width="6.140625" bestFit="1" customWidth="1"/>
  </cols>
  <sheetData>
    <row r="1" spans="1:2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93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2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513179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SOCIETE GENERALE 0367 BOIS ENERGIE France/DEW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93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25">
      <c r="A3" s="2" t="str">
        <f>IF(AND(LEN('A créer'!P3)=0,OR('A créer'!D3="Oui",LEN('A créer'!D3)=0))=TRUE,"","*FN")</f>
        <v/>
      </c>
      <c r="B3" s="6" t="str">
        <f>IF(AND(LEN('A créer'!P3)=0,OR('A créer'!D3="Oui",LEN('A créer'!D3)=0))=TRUE,"",'A créer'!P3)</f>
        <v/>
      </c>
      <c r="C3" s="2" t="str">
        <f>IF(AND(LEN('A créer'!P3)=0,OR('A créer'!D3="Oui",LEN('A créer'!D3)=0))=TRUE,"","Tab")</f>
        <v/>
      </c>
      <c r="D3" s="6" t="str">
        <f>IF(AND(LEN('A créer'!P3)=0,OR('A créer'!D3="Oui",LEN('A créer'!D3)=0))=TRUE,"",CONCATENATE('A créer'!Q3," ",'A créer'!A3," ",'A créer'!C3,"/",'A créer'!B3))</f>
        <v/>
      </c>
      <c r="E3" s="2" t="str">
        <f>IF(AND(LEN('A créer'!P3)=0,OR('A créer'!D3="Oui",LEN('A créer'!D3)=0))=TRUE,"","Tab 4")</f>
        <v/>
      </c>
      <c r="F3" s="2" t="str">
        <f>IF(AND(LEN('A créer'!P3)=0,OR('A créer'!D3="Oui",LEN('A créer'!D3)=0))=TRUE,"","Tab")</f>
        <v/>
      </c>
      <c r="G3" s="2" t="str">
        <f>IF(AND(LEN('A créer'!P3)=0,OR('A créer'!D3="Oui",LEN('A créer'!D3)=0))=TRUE,"","Tab")</f>
        <v/>
      </c>
      <c r="H3" s="6" t="str">
        <f>IF(AND(LEN('A créer'!P3)=0,OR('A créer'!D3="Oui",LEN('A créer'!D3)=0))=TRUE,"","Non")</f>
        <v/>
      </c>
      <c r="I3" s="2" t="str">
        <f>IF(AND(LEN('A créer'!P3)=0,OR('A créer'!D3="Oui",LEN('A créer'!D3)=0))=TRUE,"","Tab")</f>
        <v/>
      </c>
      <c r="J3" s="6" t="str">
        <f>IF(AND(LEN('A créer'!P3)=0,OR('A créer'!D3="Oui",LEN('A créer'!D3)=0))=TRUE,"","Oui")</f>
        <v/>
      </c>
      <c r="K3" s="2" t="str">
        <f>IF(AND(LEN('A créer'!P3)=0,OR('A créer'!D3="Oui",LEN('A créer'!D3)=0))=TRUE,"","Tab")</f>
        <v/>
      </c>
      <c r="L3" s="6" t="str">
        <f>IF(AND(LEN('A créer'!P3)=0,OR('A créer'!D3="Oui",LEN('A créer'!D3)=0))=TRUE,"","Actif")</f>
        <v/>
      </c>
      <c r="M3" s="2" t="str">
        <f>IF(AND(LEN('A créer'!P3)=0,OR('A créer'!D3="Oui",LEN('A créer'!D3)=0))=TRUE,"","Tab")</f>
        <v/>
      </c>
      <c r="N3" s="6" t="str">
        <f>IF(AND(LEN('A créer'!P3)=0,OR('A créer'!D3="Oui",LEN('A créer'!D3)=0))=TRUE,"","Non")</f>
        <v/>
      </c>
      <c r="O3" s="2" t="str">
        <f>IF(AND(LEN('A créer'!P3)=0,OR('A créer'!D3="Oui",LEN('A créer'!D3)=0))=TRUE,"","Tab")</f>
        <v/>
      </c>
      <c r="P3" s="6" t="str">
        <f>IF(AND(LEN('A créer'!P3)=0,OR('A créer'!D3="Oui",LEN('A créer'!D3)=0))=TRUE,"","Non")</f>
        <v/>
      </c>
      <c r="Q3" s="2" t="str">
        <f>IF(AND(LEN('A créer'!P3)=0,OR('A créer'!D3="Oui",LEN('A créer'!D3)=0))=TRUE,"","Tab")</f>
        <v/>
      </c>
      <c r="R3" s="2" t="str">
        <f>IF(AND(LEN('A créer'!P3)=0,OR('A créer'!D3="Oui",LEN('A créer'!D3)=0))=TRUE,"","ENT")</f>
        <v/>
      </c>
      <c r="S3" s="2" t="s">
        <v>93</v>
      </c>
      <c r="T3" s="2" t="str">
        <f>IF(AND(LEN('A créer'!P3)=0,OR('A créer'!D3="Oui",LEN('A créer'!D3)=0))=TRUE,"","Tab")</f>
        <v/>
      </c>
      <c r="U3" s="2" t="str">
        <f>IF(AND(LEN('A créer'!P3)=0,OR('A créer'!D3="Oui",LEN('A créer'!D3)=0))=TRUE,"","Tab")</f>
        <v/>
      </c>
      <c r="V3" s="2" t="str">
        <f>IF(AND(LEN('A créer'!P3)=0,OR('A créer'!D3="Oui",LEN('A créer'!D3)=0))=TRUE,"","Tab")</f>
        <v/>
      </c>
      <c r="W3" s="4" t="str">
        <f>IF(AND(LEN('A créer'!P3)=0,OR('A créer'!D3="Oui",LEN('A créer'!D3)=0))=TRUE,"","Non")</f>
        <v/>
      </c>
      <c r="X3" s="2" t="str">
        <f>IF(AND(LEN('A créer'!P3)=0,OR('A créer'!D3="Oui",LEN('A créer'!D3)=0))=TRUE,"","ENT")</f>
        <v/>
      </c>
      <c r="Y3" s="2" t="str">
        <f>IF(AND(LEN('A créer'!P3)=0,OR('A créer'!D3="Oui",LEN('A créer'!D3)=0))=TRUE,"","*SAVE")</f>
        <v/>
      </c>
    </row>
    <row r="4" spans="1:25" x14ac:dyDescent="0.25">
      <c r="A4" s="2" t="str">
        <f>IF(AND(LEN('A créer'!P4)=0,OR('A créer'!D4="Oui",LEN('A créer'!D4)=0))=TRUE,"","*FN")</f>
        <v/>
      </c>
      <c r="B4" s="6" t="str">
        <f>IF(AND(LEN('A créer'!P4)=0,OR('A créer'!D4="Oui",LEN('A créer'!D4)=0))=TRUE,"",'A créer'!P4)</f>
        <v/>
      </c>
      <c r="C4" s="2" t="str">
        <f>IF(AND(LEN('A créer'!P4)=0,OR('A créer'!D4="Oui",LEN('A créer'!D4)=0))=TRUE,"","Tab")</f>
        <v/>
      </c>
      <c r="D4" s="6" t="str">
        <f>IF(AND(LEN('A créer'!P4)=0,OR('A créer'!D4="Oui",LEN('A créer'!D4)=0))=TRUE,"",CONCATENATE('A créer'!Q4," ",'A créer'!A4," ",'A créer'!C4,"/",'A créer'!B4))</f>
        <v/>
      </c>
      <c r="E4" s="2" t="str">
        <f>IF(AND(LEN('A créer'!P4)=0,OR('A créer'!D4="Oui",LEN('A créer'!D4)=0))=TRUE,"","Tab 4")</f>
        <v/>
      </c>
      <c r="F4" s="2" t="str">
        <f>IF(AND(LEN('A créer'!P4)=0,OR('A créer'!D4="Oui",LEN('A créer'!D4)=0))=TRUE,"","Tab")</f>
        <v/>
      </c>
      <c r="G4" s="2" t="str">
        <f>IF(AND(LEN('A créer'!P4)=0,OR('A créer'!D4="Oui",LEN('A créer'!D4)=0))=TRUE,"","Tab")</f>
        <v/>
      </c>
      <c r="H4" s="6" t="str">
        <f>IF(AND(LEN('A créer'!P4)=0,OR('A créer'!D4="Oui",LEN('A créer'!D4)=0))=TRUE,"","Non")</f>
        <v/>
      </c>
      <c r="I4" s="2" t="str">
        <f>IF(AND(LEN('A créer'!P4)=0,OR('A créer'!D4="Oui",LEN('A créer'!D4)=0))=TRUE,"","Tab")</f>
        <v/>
      </c>
      <c r="J4" s="6" t="str">
        <f>IF(AND(LEN('A créer'!P4)=0,OR('A créer'!D4="Oui",LEN('A créer'!D4)=0))=TRUE,"","Oui")</f>
        <v/>
      </c>
      <c r="K4" s="2" t="str">
        <f>IF(AND(LEN('A créer'!P4)=0,OR('A créer'!D4="Oui",LEN('A créer'!D4)=0))=TRUE,"","Tab")</f>
        <v/>
      </c>
      <c r="L4" s="6" t="str">
        <f>IF(AND(LEN('A créer'!P4)=0,OR('A créer'!D4="Oui",LEN('A créer'!D4)=0))=TRUE,"","Actif")</f>
        <v/>
      </c>
      <c r="M4" s="2" t="str">
        <f>IF(AND(LEN('A créer'!P4)=0,OR('A créer'!D4="Oui",LEN('A créer'!D4)=0))=TRUE,"","Tab")</f>
        <v/>
      </c>
      <c r="N4" s="6" t="str">
        <f>IF(AND(LEN('A créer'!P4)=0,OR('A créer'!D4="Oui",LEN('A créer'!D4)=0))=TRUE,"","Non")</f>
        <v/>
      </c>
      <c r="O4" s="2" t="str">
        <f>IF(AND(LEN('A créer'!P4)=0,OR('A créer'!D4="Oui",LEN('A créer'!D4)=0))=TRUE,"","Tab")</f>
        <v/>
      </c>
      <c r="P4" s="6" t="str">
        <f>IF(AND(LEN('A créer'!P4)=0,OR('A créer'!D4="Oui",LEN('A créer'!D4)=0))=TRUE,"","Non")</f>
        <v/>
      </c>
      <c r="Q4" s="2" t="str">
        <f>IF(AND(LEN('A créer'!P4)=0,OR('A créer'!D4="Oui",LEN('A créer'!D4)=0))=TRUE,"","Tab")</f>
        <v/>
      </c>
      <c r="R4" s="2" t="str">
        <f>IF(AND(LEN('A créer'!P4)=0,OR('A créer'!D4="Oui",LEN('A créer'!D4)=0))=TRUE,"","ENT")</f>
        <v/>
      </c>
      <c r="S4" s="2" t="s">
        <v>93</v>
      </c>
      <c r="T4" s="2" t="str">
        <f>IF(AND(LEN('A créer'!P4)=0,OR('A créer'!D4="Oui",LEN('A créer'!D4)=0))=TRUE,"","Tab")</f>
        <v/>
      </c>
      <c r="U4" s="2" t="str">
        <f>IF(AND(LEN('A créer'!P4)=0,OR('A créer'!D4="Oui",LEN('A créer'!D4)=0))=TRUE,"","Tab")</f>
        <v/>
      </c>
      <c r="V4" s="2" t="str">
        <f>IF(AND(LEN('A créer'!P4)=0,OR('A créer'!D4="Oui",LEN('A créer'!D4)=0))=TRUE,"","Tab")</f>
        <v/>
      </c>
      <c r="W4" s="4" t="str">
        <f>IF(AND(LEN('A créer'!P4)=0,OR('A créer'!D4="Oui",LEN('A créer'!D4)=0))=TRUE,"","Non")</f>
        <v/>
      </c>
      <c r="X4" s="2" t="str">
        <f>IF(AND(LEN('A créer'!P4)=0,OR('A créer'!D4="Oui",LEN('A créer'!D4)=0))=TRUE,"","ENT")</f>
        <v/>
      </c>
      <c r="Y4" s="2" t="str">
        <f>IF(AND(LEN('A créer'!P4)=0,OR('A créer'!D4="Oui",LEN('A créer'!D4)=0))=TRUE,"","*SAVE")</f>
        <v/>
      </c>
    </row>
    <row r="5" spans="1:25" x14ac:dyDescent="0.2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93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25">
      <c r="A6" s="2" t="str">
        <f>IF(AND(LEN('A créer'!P6)=0,OR('A créer'!D6="Oui",LEN('A créer'!D6)=0))=TRUE,"","*FN")</f>
        <v/>
      </c>
      <c r="B6" s="6" t="str">
        <f>IF(AND(LEN('A créer'!P6)=0,OR('A créer'!D6="Oui",LEN('A créer'!D6)=0))=TRUE,"",'A créer'!P6)</f>
        <v/>
      </c>
      <c r="C6" s="2" t="str">
        <f>IF(AND(LEN('A créer'!P6)=0,OR('A créer'!D6="Oui",LEN('A créer'!D6)=0))=TRUE,"","Tab")</f>
        <v/>
      </c>
      <c r="D6" s="6" t="str">
        <f>IF(AND(LEN('A créer'!P6)=0,OR('A créer'!D6="Oui",LEN('A créer'!D6)=0))=TRUE,"",CONCATENATE('A créer'!Q6," ",'A créer'!A6," ",'A créer'!C6,"/",'A créer'!B6))</f>
        <v/>
      </c>
      <c r="E6" s="2" t="str">
        <f>IF(AND(LEN('A créer'!P6)=0,OR('A créer'!D6="Oui",LEN('A créer'!D6)=0))=TRUE,"","Tab 4")</f>
        <v/>
      </c>
      <c r="F6" s="2" t="str">
        <f>IF(AND(LEN('A créer'!P6)=0,OR('A créer'!D6="Oui",LEN('A créer'!D6)=0))=TRUE,"","Tab")</f>
        <v/>
      </c>
      <c r="G6" s="2" t="str">
        <f>IF(AND(LEN('A créer'!P6)=0,OR('A créer'!D6="Oui",LEN('A créer'!D6)=0))=TRUE,"","Tab")</f>
        <v/>
      </c>
      <c r="H6" s="6" t="str">
        <f>IF(AND(LEN('A créer'!P6)=0,OR('A créer'!D6="Oui",LEN('A créer'!D6)=0))=TRUE,"","Non")</f>
        <v/>
      </c>
      <c r="I6" s="2" t="str">
        <f>IF(AND(LEN('A créer'!P6)=0,OR('A créer'!D6="Oui",LEN('A créer'!D6)=0))=TRUE,"","Tab")</f>
        <v/>
      </c>
      <c r="J6" s="6" t="str">
        <f>IF(AND(LEN('A créer'!P6)=0,OR('A créer'!D6="Oui",LEN('A créer'!D6)=0))=TRUE,"","Oui")</f>
        <v/>
      </c>
      <c r="K6" s="2" t="str">
        <f>IF(AND(LEN('A créer'!P6)=0,OR('A créer'!D6="Oui",LEN('A créer'!D6)=0))=TRUE,"","Tab")</f>
        <v/>
      </c>
      <c r="L6" s="6" t="str">
        <f>IF(AND(LEN('A créer'!P6)=0,OR('A créer'!D6="Oui",LEN('A créer'!D6)=0))=TRUE,"","Actif")</f>
        <v/>
      </c>
      <c r="M6" s="2" t="str">
        <f>IF(AND(LEN('A créer'!P6)=0,OR('A créer'!D6="Oui",LEN('A créer'!D6)=0))=TRUE,"","Tab")</f>
        <v/>
      </c>
      <c r="N6" s="6" t="str">
        <f>IF(AND(LEN('A créer'!P6)=0,OR('A créer'!D6="Oui",LEN('A créer'!D6)=0))=TRUE,"","Non")</f>
        <v/>
      </c>
      <c r="O6" s="2" t="str">
        <f>IF(AND(LEN('A créer'!P6)=0,OR('A créer'!D6="Oui",LEN('A créer'!D6)=0))=TRUE,"","Tab")</f>
        <v/>
      </c>
      <c r="P6" s="6" t="str">
        <f>IF(AND(LEN('A créer'!P6)=0,OR('A créer'!D6="Oui",LEN('A créer'!D6)=0))=TRUE,"","Non")</f>
        <v/>
      </c>
      <c r="Q6" s="2" t="str">
        <f>IF(AND(LEN('A créer'!P6)=0,OR('A créer'!D6="Oui",LEN('A créer'!D6)=0))=TRUE,"","Tab")</f>
        <v/>
      </c>
      <c r="R6" s="2" t="str">
        <f>IF(AND(LEN('A créer'!P6)=0,OR('A créer'!D6="Oui",LEN('A créer'!D6)=0))=TRUE,"","ENT")</f>
        <v/>
      </c>
      <c r="S6" s="2" t="s">
        <v>93</v>
      </c>
      <c r="T6" s="2" t="str">
        <f>IF(AND(LEN('A créer'!P6)=0,OR('A créer'!D6="Oui",LEN('A créer'!D6)=0))=TRUE,"","Tab")</f>
        <v/>
      </c>
      <c r="U6" s="2" t="str">
        <f>IF(AND(LEN('A créer'!P6)=0,OR('A créer'!D6="Oui",LEN('A créer'!D6)=0))=TRUE,"","Tab")</f>
        <v/>
      </c>
      <c r="V6" s="2" t="str">
        <f>IF(AND(LEN('A créer'!P6)=0,OR('A créer'!D6="Oui",LEN('A créer'!D6)=0))=TRUE,"","Tab")</f>
        <v/>
      </c>
      <c r="W6" s="4" t="str">
        <f>IF(AND(LEN('A créer'!P6)=0,OR('A créer'!D6="Oui",LEN('A créer'!D6)=0))=TRUE,"","Non")</f>
        <v/>
      </c>
      <c r="X6" s="2" t="str">
        <f>IF(AND(LEN('A créer'!P6)=0,OR('A créer'!D6="Oui",LEN('A créer'!D6)=0))=TRUE,"","ENT")</f>
        <v/>
      </c>
      <c r="Y6" s="2" t="str">
        <f>IF(AND(LEN('A créer'!P6)=0,OR('A créer'!D6="Oui",LEN('A créer'!D6)=0))=TRUE,"","*SAVE")</f>
        <v/>
      </c>
    </row>
    <row r="7" spans="1:25" x14ac:dyDescent="0.25">
      <c r="A7" s="2" t="str">
        <f>IF(AND(LEN('A créer'!P7)=0,OR('A créer'!D7="Oui",LEN('A créer'!D7)=0))=TRUE,"","*FN")</f>
        <v/>
      </c>
      <c r="B7" s="6" t="str">
        <f>IF(AND(LEN('A créer'!P7)=0,OR('A créer'!D7="Oui",LEN('A créer'!D7)=0))=TRUE,"",'A créer'!P7)</f>
        <v/>
      </c>
      <c r="C7" s="2" t="str">
        <f>IF(AND(LEN('A créer'!P7)=0,OR('A créer'!D7="Oui",LEN('A créer'!D7)=0))=TRUE,"","Tab")</f>
        <v/>
      </c>
      <c r="D7" s="6" t="str">
        <f>IF(AND(LEN('A créer'!P7)=0,OR('A créer'!D7="Oui",LEN('A créer'!D7)=0))=TRUE,"",CONCATENATE('A créer'!Q7," ",'A créer'!A7," ",'A créer'!C7,"/",'A créer'!B7))</f>
        <v/>
      </c>
      <c r="E7" s="2" t="str">
        <f>IF(AND(LEN('A créer'!P7)=0,OR('A créer'!D7="Oui",LEN('A créer'!D7)=0))=TRUE,"","Tab 4")</f>
        <v/>
      </c>
      <c r="F7" s="2" t="str">
        <f>IF(AND(LEN('A créer'!P7)=0,OR('A créer'!D7="Oui",LEN('A créer'!D7)=0))=TRUE,"","Tab")</f>
        <v/>
      </c>
      <c r="G7" s="2" t="str">
        <f>IF(AND(LEN('A créer'!P7)=0,OR('A créer'!D7="Oui",LEN('A créer'!D7)=0))=TRUE,"","Tab")</f>
        <v/>
      </c>
      <c r="H7" s="6" t="str">
        <f>IF(AND(LEN('A créer'!P7)=0,OR('A créer'!D7="Oui",LEN('A créer'!D7)=0))=TRUE,"","Non")</f>
        <v/>
      </c>
      <c r="I7" s="2" t="str">
        <f>IF(AND(LEN('A créer'!P7)=0,OR('A créer'!D7="Oui",LEN('A créer'!D7)=0))=TRUE,"","Tab")</f>
        <v/>
      </c>
      <c r="J7" s="6" t="str">
        <f>IF(AND(LEN('A créer'!P7)=0,OR('A créer'!D7="Oui",LEN('A créer'!D7)=0))=TRUE,"","Oui")</f>
        <v/>
      </c>
      <c r="K7" s="2" t="str">
        <f>IF(AND(LEN('A créer'!P7)=0,OR('A créer'!D7="Oui",LEN('A créer'!D7)=0))=TRUE,"","Tab")</f>
        <v/>
      </c>
      <c r="L7" s="6" t="str">
        <f>IF(AND(LEN('A créer'!P7)=0,OR('A créer'!D7="Oui",LEN('A créer'!D7)=0))=TRUE,"","Actif")</f>
        <v/>
      </c>
      <c r="M7" s="2" t="str">
        <f>IF(AND(LEN('A créer'!P7)=0,OR('A créer'!D7="Oui",LEN('A créer'!D7)=0))=TRUE,"","Tab")</f>
        <v/>
      </c>
      <c r="N7" s="6" t="str">
        <f>IF(AND(LEN('A créer'!P7)=0,OR('A créer'!D7="Oui",LEN('A créer'!D7)=0))=TRUE,"","Non")</f>
        <v/>
      </c>
      <c r="O7" s="2" t="str">
        <f>IF(AND(LEN('A créer'!P7)=0,OR('A créer'!D7="Oui",LEN('A créer'!D7)=0))=TRUE,"","Tab")</f>
        <v/>
      </c>
      <c r="P7" s="6" t="str">
        <f>IF(AND(LEN('A créer'!P7)=0,OR('A créer'!D7="Oui",LEN('A créer'!D7)=0))=TRUE,"","Non")</f>
        <v/>
      </c>
      <c r="Q7" s="2" t="str">
        <f>IF(AND(LEN('A créer'!P7)=0,OR('A créer'!D7="Oui",LEN('A créer'!D7)=0))=TRUE,"","Tab")</f>
        <v/>
      </c>
      <c r="R7" s="2" t="str">
        <f>IF(AND(LEN('A créer'!P7)=0,OR('A créer'!D7="Oui",LEN('A créer'!D7)=0))=TRUE,"","ENT")</f>
        <v/>
      </c>
      <c r="S7" s="2" t="s">
        <v>93</v>
      </c>
      <c r="T7" s="2" t="str">
        <f>IF(AND(LEN('A créer'!P7)=0,OR('A créer'!D7="Oui",LEN('A créer'!D7)=0))=TRUE,"","Tab")</f>
        <v/>
      </c>
      <c r="U7" s="2" t="str">
        <f>IF(AND(LEN('A créer'!P7)=0,OR('A créer'!D7="Oui",LEN('A créer'!D7)=0))=TRUE,"","Tab")</f>
        <v/>
      </c>
      <c r="V7" s="2" t="str">
        <f>IF(AND(LEN('A créer'!P7)=0,OR('A créer'!D7="Oui",LEN('A créer'!D7)=0))=TRUE,"","Tab")</f>
        <v/>
      </c>
      <c r="W7" s="4" t="str">
        <f>IF(AND(LEN('A créer'!P7)=0,OR('A créer'!D7="Oui",LEN('A créer'!D7)=0))=TRUE,"","Non")</f>
        <v/>
      </c>
      <c r="X7" s="2" t="str">
        <f>IF(AND(LEN('A créer'!P7)=0,OR('A créer'!D7="Oui",LEN('A créer'!D7)=0))=TRUE,"","ENT")</f>
        <v/>
      </c>
      <c r="Y7" s="2" t="str">
        <f>IF(AND(LEN('A créer'!P7)=0,OR('A créer'!D7="Oui",LEN('A créer'!D7)=0))=TRUE,"","*SAVE")</f>
        <v/>
      </c>
    </row>
    <row r="8" spans="1:25" x14ac:dyDescent="0.2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93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2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93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2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93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2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93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2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93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2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93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2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2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2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2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2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2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2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2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2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2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2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2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2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2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2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2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2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R30"/>
  <sheetViews>
    <sheetView zoomScale="80" zoomScaleNormal="80" workbookViewId="0">
      <pane ySplit="1" topLeftCell="A2" activePane="bottomLeft" state="frozenSplit"/>
      <selection pane="bottomLeft" activeCell="M2" sqref="M2"/>
    </sheetView>
  </sheetViews>
  <sheetFormatPr baseColWidth="10" defaultRowHeight="15" x14ac:dyDescent="0.25"/>
  <cols>
    <col min="1" max="1" width="4.85546875" bestFit="1" customWidth="1"/>
    <col min="2" max="2" width="10.140625" bestFit="1" customWidth="1"/>
    <col min="3" max="3" width="4.85546875" bestFit="1" customWidth="1"/>
    <col min="4" max="4" width="37.42578125" bestFit="1" customWidth="1"/>
    <col min="5" max="5" width="6.42578125" bestFit="1" customWidth="1"/>
    <col min="6" max="8" width="4.85546875" bestFit="1" customWidth="1"/>
    <col min="9" max="9" width="7" bestFit="1" customWidth="1"/>
    <col min="10" max="10" width="4.85546875" bestFit="1" customWidth="1"/>
    <col min="11" max="11" width="13" bestFit="1" customWidth="1"/>
    <col min="12" max="12" width="4.85546875" bestFit="1" customWidth="1"/>
    <col min="13" max="13" width="49.42578125" bestFit="1" customWidth="1"/>
    <col min="14" max="14" width="6.42578125" bestFit="1" customWidth="1"/>
    <col min="15" max="17" width="4.85546875" bestFit="1" customWidth="1"/>
    <col min="18" max="18" width="7" bestFit="1" customWidth="1"/>
  </cols>
  <sheetData>
    <row r="1" spans="1:18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93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25">
      <c r="A2" s="2" t="str">
        <f>IF(LEN('A créer'!C2)=0,"","*FN")</f>
        <v>*FN</v>
      </c>
      <c r="B2" t="str">
        <f>IF(LEN('A créer'!C2)=0,"",CONCATENATE(,'A créer'!B2,'A créer'!A2))</f>
        <v>DEW0367</v>
      </c>
      <c r="C2" s="2" t="str">
        <f>IF(LEN('A créer'!C2)=0,"","Tab")</f>
        <v>Tab</v>
      </c>
      <c r="D2" t="str">
        <f>IF(LEN('A créer'!C2)=0,"",CONCATENATE(,'A créer'!B2,'A créer'!A2,"-",'A créer'!C2))</f>
        <v>DEW0367-BOIS ENERGIE France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FB0083058J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DEW_0367PF FPS 0367 BOIS ENERGIE France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25">
      <c r="A3" s="2" t="str">
        <f>IF(LEN('A créer'!C3)=0,"","*FN")</f>
        <v/>
      </c>
      <c r="B3" t="str">
        <f>IF(LEN('A créer'!C3)=0,"",CONCATENATE(,'A créer'!B3,'A créer'!A3))</f>
        <v/>
      </c>
      <c r="C3" s="2" t="str">
        <f>IF(LEN('A créer'!C3)=0,"","Tab")</f>
        <v/>
      </c>
      <c r="D3" t="str">
        <f>IF(LEN('A créer'!C3)=0,"",CONCATENATE(,'A créer'!B3,'A créer'!A3,"-",'A créer'!C3))</f>
        <v/>
      </c>
      <c r="E3" s="2" t="str">
        <f>IF(LEN('A créer'!C3)=0,"","Tab 4")</f>
        <v/>
      </c>
      <c r="F3" s="2" t="str">
        <f>IF(LEN('A créer'!C3)=0,"","Tab")</f>
        <v/>
      </c>
      <c r="G3" s="2" t="str">
        <f>IF(LEN('A créer'!C3)=0,"","Tab")</f>
        <v/>
      </c>
      <c r="H3" s="2" t="str">
        <f>IF(LEN('A créer'!C3)=0,"","ENT")</f>
        <v/>
      </c>
      <c r="I3" s="2" t="str">
        <f>IF(LEN('A créer'!C3)=0,"","*SAVE")</f>
        <v/>
      </c>
      <c r="J3" s="2" t="str">
        <f>IF(LEN('A créer'!R3)=0,"","*FN")</f>
        <v/>
      </c>
      <c r="K3" t="str">
        <f>IF(LEN('A créer'!R3)=0,"",'A créer'!R3)</f>
        <v/>
      </c>
      <c r="L3" s="2" t="str">
        <f>IF(LEN('A créer'!R3)=0,"","Tab")</f>
        <v/>
      </c>
      <c r="M3" t="str">
        <f>IF(LEN('A créer'!R3)=0,"",CONCATENATE(,'A créer'!B3,"_",'A créer'!A3,"PF FPS ",'A créer'!A3," ",'A créer'!C3))</f>
        <v/>
      </c>
      <c r="N3" s="2" t="str">
        <f>IF(LEN('A créer'!R3)=0,"","Tab 4")</f>
        <v/>
      </c>
      <c r="O3" s="2" t="str">
        <f>IF(LEN('A créer'!R3)=0,"","Tab")</f>
        <v/>
      </c>
      <c r="P3" s="2" t="str">
        <f>IF(LEN('A créer'!R3)=0,"","Tab")</f>
        <v/>
      </c>
      <c r="Q3" s="2" t="str">
        <f>IF(LEN('A créer'!R3)=0,"","ENT")</f>
        <v/>
      </c>
      <c r="R3" s="2" t="str">
        <f>IF(LEN('A créer'!R3)=0,"","*SAVE")</f>
        <v/>
      </c>
    </row>
    <row r="4" spans="1:18" x14ac:dyDescent="0.25">
      <c r="A4" s="2" t="str">
        <f>IF(LEN('A créer'!C4)=0,"","*FN")</f>
        <v/>
      </c>
      <c r="B4" t="str">
        <f>IF(LEN('A créer'!C4)=0,"",CONCATENATE(,'A créer'!B4,'A créer'!A4))</f>
        <v/>
      </c>
      <c r="C4" s="2" t="str">
        <f>IF(LEN('A créer'!C4)=0,"","Tab")</f>
        <v/>
      </c>
      <c r="D4" t="str">
        <f>IF(LEN('A créer'!C4)=0,"",CONCATENATE(,'A créer'!B4,'A créer'!A4,"-",'A créer'!C4))</f>
        <v/>
      </c>
      <c r="E4" s="2" t="str">
        <f>IF(LEN('A créer'!C4)=0,"","Tab 4")</f>
        <v/>
      </c>
      <c r="F4" s="2" t="str">
        <f>IF(LEN('A créer'!C4)=0,"","Tab")</f>
        <v/>
      </c>
      <c r="G4" s="2" t="str">
        <f>IF(LEN('A créer'!C4)=0,"","Tab")</f>
        <v/>
      </c>
      <c r="H4" s="2" t="str">
        <f>IF(LEN('A créer'!C4)=0,"","ENT")</f>
        <v/>
      </c>
      <c r="I4" s="2" t="str">
        <f>IF(LEN('A créer'!C4)=0,"","*SAVE")</f>
        <v/>
      </c>
      <c r="J4" s="2" t="str">
        <f>IF(LEN('A créer'!R4)=0,"","*FN")</f>
        <v/>
      </c>
      <c r="K4" t="str">
        <f>IF(LEN('A créer'!R4)=0,"",'A créer'!R4)</f>
        <v/>
      </c>
      <c r="L4" s="2" t="str">
        <f>IF(LEN('A créer'!R4)=0,"","Tab")</f>
        <v/>
      </c>
      <c r="M4" t="str">
        <f>IF(LEN('A créer'!R4)=0,"",CONCATENATE(,'A créer'!B4,"_",'A créer'!A4,"PF FPS ",'A créer'!A4," ",'A créer'!C4))</f>
        <v/>
      </c>
      <c r="N4" s="2" t="str">
        <f>IF(LEN('A créer'!R4)=0,"","Tab 4")</f>
        <v/>
      </c>
      <c r="O4" s="2" t="str">
        <f>IF(LEN('A créer'!R4)=0,"","Tab")</f>
        <v/>
      </c>
      <c r="P4" s="2" t="str">
        <f>IF(LEN('A créer'!R4)=0,"","Tab")</f>
        <v/>
      </c>
      <c r="Q4" s="2" t="str">
        <f>IF(LEN('A créer'!R4)=0,"","ENT")</f>
        <v/>
      </c>
      <c r="R4" s="2" t="str">
        <f>IF(LEN('A créer'!R4)=0,"","*SAVE")</f>
        <v/>
      </c>
    </row>
    <row r="5" spans="1:18" x14ac:dyDescent="0.2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25">
      <c r="A6" s="2" t="str">
        <f>IF(LEN('A créer'!C6)=0,"","*FN")</f>
        <v/>
      </c>
      <c r="B6" t="str">
        <f>IF(LEN('A créer'!C6)=0,"",CONCATENATE(,'A créer'!B6,'A créer'!A6))</f>
        <v/>
      </c>
      <c r="C6" s="2" t="str">
        <f>IF(LEN('A créer'!C6)=0,"","Tab")</f>
        <v/>
      </c>
      <c r="D6" t="str">
        <f>IF(LEN('A créer'!C6)=0,"",CONCATENATE(,'A créer'!B6,'A créer'!A6,"-",'A créer'!C6))</f>
        <v/>
      </c>
      <c r="E6" s="2" t="str">
        <f>IF(LEN('A créer'!C6)=0,"","Tab 4")</f>
        <v/>
      </c>
      <c r="F6" s="2" t="str">
        <f>IF(LEN('A créer'!C6)=0,"","Tab")</f>
        <v/>
      </c>
      <c r="G6" s="2" t="str">
        <f>IF(LEN('A créer'!C6)=0,"","Tab")</f>
        <v/>
      </c>
      <c r="H6" s="2" t="str">
        <f>IF(LEN('A créer'!C6)=0,"","ENT")</f>
        <v/>
      </c>
      <c r="I6" s="2" t="str">
        <f>IF(LEN('A créer'!C6)=0,"","*SAVE")</f>
        <v/>
      </c>
      <c r="J6" s="2" t="str">
        <f>IF(LEN('A créer'!R6)=0,"","*FN")</f>
        <v/>
      </c>
      <c r="K6" t="str">
        <f>IF(LEN('A créer'!R6)=0,"",'A créer'!R6)</f>
        <v/>
      </c>
      <c r="L6" s="2" t="str">
        <f>IF(LEN('A créer'!R6)=0,"","Tab")</f>
        <v/>
      </c>
      <c r="M6" t="str">
        <f>IF(LEN('A créer'!R6)=0,"",CONCATENATE(,'A créer'!B6,"_",'A créer'!A6,"PF FPS ",'A créer'!A6," ",'A créer'!C6))</f>
        <v/>
      </c>
      <c r="N6" s="2" t="str">
        <f>IF(LEN('A créer'!R6)=0,"","Tab 4")</f>
        <v/>
      </c>
      <c r="O6" s="2" t="str">
        <f>IF(LEN('A créer'!R6)=0,"","Tab")</f>
        <v/>
      </c>
      <c r="P6" s="2" t="str">
        <f>IF(LEN('A créer'!R6)=0,"","Tab")</f>
        <v/>
      </c>
      <c r="Q6" s="2" t="str">
        <f>IF(LEN('A créer'!R6)=0,"","ENT")</f>
        <v/>
      </c>
      <c r="R6" s="2" t="str">
        <f>IF(LEN('A créer'!R6)=0,"","*SAVE")</f>
        <v/>
      </c>
    </row>
    <row r="7" spans="1:18" x14ac:dyDescent="0.25">
      <c r="A7" s="2" t="str">
        <f>IF(LEN('A créer'!C7)=0,"","*FN")</f>
        <v/>
      </c>
      <c r="B7" t="str">
        <f>IF(LEN('A créer'!C7)=0,"",CONCATENATE(,'A créer'!B7,'A créer'!A7))</f>
        <v/>
      </c>
      <c r="C7" s="2" t="str">
        <f>IF(LEN('A créer'!C7)=0,"","Tab")</f>
        <v/>
      </c>
      <c r="D7" t="str">
        <f>IF(LEN('A créer'!C7)=0,"",CONCATENATE(,'A créer'!B7,'A créer'!A7,"-",'A créer'!C7))</f>
        <v/>
      </c>
      <c r="E7" s="2" t="str">
        <f>IF(LEN('A créer'!C7)=0,"","Tab 4")</f>
        <v/>
      </c>
      <c r="F7" s="2" t="str">
        <f>IF(LEN('A créer'!C7)=0,"","Tab")</f>
        <v/>
      </c>
      <c r="G7" s="2" t="str">
        <f>IF(LEN('A créer'!C7)=0,"","Tab")</f>
        <v/>
      </c>
      <c r="H7" s="2" t="str">
        <f>IF(LEN('A créer'!C7)=0,"","ENT")</f>
        <v/>
      </c>
      <c r="I7" s="2" t="str">
        <f>IF(LEN('A créer'!C7)=0,"","*SAVE")</f>
        <v/>
      </c>
      <c r="J7" s="2" t="str">
        <f>IF(LEN('A créer'!R7)=0,"","*FN")</f>
        <v/>
      </c>
      <c r="K7" t="str">
        <f>IF(LEN('A créer'!R7)=0,"",'A créer'!R7)</f>
        <v/>
      </c>
      <c r="L7" s="2" t="str">
        <f>IF(LEN('A créer'!R7)=0,"","Tab")</f>
        <v/>
      </c>
      <c r="M7" t="str">
        <f>IF(LEN('A créer'!R7)=0,"",CONCATENATE(,'A créer'!B7,"_",'A créer'!A7,"PF FPS ",'A créer'!A7," ",'A créer'!C7))</f>
        <v/>
      </c>
      <c r="N7" s="2" t="str">
        <f>IF(LEN('A créer'!R7)=0,"","Tab 4")</f>
        <v/>
      </c>
      <c r="O7" s="2" t="str">
        <f>IF(LEN('A créer'!R7)=0,"","Tab")</f>
        <v/>
      </c>
      <c r="P7" s="2" t="str">
        <f>IF(LEN('A créer'!R7)=0,"","Tab")</f>
        <v/>
      </c>
      <c r="Q7" s="2" t="str">
        <f>IF(LEN('A créer'!R7)=0,"","ENT")</f>
        <v/>
      </c>
      <c r="R7" s="2" t="str">
        <f>IF(LEN('A créer'!R7)=0,"","*SAVE")</f>
        <v/>
      </c>
    </row>
    <row r="8" spans="1:18" x14ac:dyDescent="0.2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2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2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2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2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2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2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2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2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2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2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2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2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2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2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2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2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2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2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2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2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2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2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Z31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S2" sqref="S2"/>
    </sheetView>
  </sheetViews>
  <sheetFormatPr baseColWidth="10" defaultRowHeight="15" x14ac:dyDescent="0.25"/>
  <cols>
    <col min="1" max="1" width="4.85546875" bestFit="1" customWidth="1"/>
    <col min="2" max="2" width="3.140625" bestFit="1" customWidth="1"/>
    <col min="3" max="3" width="4.85546875" bestFit="1" customWidth="1"/>
    <col min="4" max="4" width="8.42578125" bestFit="1" customWidth="1"/>
    <col min="5" max="5" width="4.85546875" bestFit="1" customWidth="1"/>
    <col min="6" max="6" width="2.28515625" bestFit="1" customWidth="1"/>
    <col min="7" max="7" width="4.85546875" bestFit="1" customWidth="1"/>
    <col min="8" max="8" width="8" bestFit="1" customWidth="1"/>
    <col min="9" max="9" width="2.28515625" bestFit="1" customWidth="1"/>
    <col min="10" max="10" width="4.85546875" bestFit="1" customWidth="1"/>
    <col min="11" max="11" width="7.7109375" bestFit="1" customWidth="1"/>
    <col min="12" max="12" width="2.28515625" bestFit="1" customWidth="1"/>
    <col min="13" max="13" width="4.85546875" bestFit="1" customWidth="1"/>
    <col min="14" max="14" width="11.7109375" bestFit="1" customWidth="1"/>
    <col min="15" max="15" width="10.140625" bestFit="1" customWidth="1"/>
    <col min="16" max="16" width="4.85546875" bestFit="1" customWidth="1"/>
    <col min="17" max="17" width="2.28515625" bestFit="1" customWidth="1"/>
    <col min="18" max="18" width="4.85546875" bestFit="1" customWidth="1"/>
    <col min="19" max="19" width="12" bestFit="1" customWidth="1"/>
    <col min="20" max="20" width="2.28515625" bestFit="1" customWidth="1"/>
    <col min="21" max="21" width="4.85546875" bestFit="1" customWidth="1"/>
    <col min="22" max="22" width="12" bestFit="1" customWidth="1"/>
    <col min="23" max="23" width="2.28515625" bestFit="1" customWidth="1"/>
    <col min="24" max="24" width="4.85546875" bestFit="1" customWidth="1"/>
    <col min="25" max="25" width="17.42578125" bestFit="1" customWidth="1"/>
    <col min="26" max="26" width="2.28515625" bestFit="1" customWidth="1"/>
    <col min="27" max="27" width="4.85546875" bestFit="1" customWidth="1"/>
    <col min="28" max="28" width="5.140625" bestFit="1" customWidth="1"/>
    <col min="29" max="29" width="2.28515625" bestFit="1" customWidth="1"/>
    <col min="30" max="30" width="4.85546875" bestFit="1" customWidth="1"/>
    <col min="31" max="31" width="12" bestFit="1" customWidth="1"/>
    <col min="32" max="32" width="2.28515625" bestFit="1" customWidth="1"/>
    <col min="33" max="33" width="4.85546875" bestFit="1" customWidth="1"/>
    <col min="34" max="34" width="12" bestFit="1" customWidth="1"/>
    <col min="35" max="35" width="2.28515625" bestFit="1" customWidth="1"/>
    <col min="36" max="36" width="4.85546875" bestFit="1" customWidth="1"/>
    <col min="37" max="37" width="12" bestFit="1" customWidth="1"/>
    <col min="38" max="38" width="4.85546875" bestFit="1" customWidth="1"/>
    <col min="39" max="39" width="7" bestFit="1" customWidth="1"/>
    <col min="40" max="40" width="4.85546875" bestFit="1" customWidth="1"/>
    <col min="41" max="41" width="3.140625" bestFit="1" customWidth="1"/>
    <col min="42" max="42" width="4.85546875" bestFit="1" customWidth="1"/>
    <col min="43" max="43" width="8.42578125" bestFit="1" customWidth="1"/>
    <col min="44" max="44" width="4.85546875" bestFit="1" customWidth="1"/>
    <col min="45" max="45" width="2.28515625" bestFit="1" customWidth="1"/>
    <col min="46" max="46" width="4.85546875" bestFit="1" customWidth="1"/>
    <col min="47" max="47" width="8" bestFit="1" customWidth="1"/>
    <col min="48" max="48" width="2.28515625" bestFit="1" customWidth="1"/>
    <col min="49" max="49" width="4.85546875" bestFit="1" customWidth="1"/>
    <col min="50" max="50" width="7.7109375" bestFit="1" customWidth="1"/>
    <col min="51" max="51" width="2.28515625" bestFit="1" customWidth="1"/>
    <col min="52" max="52" width="4.85546875" bestFit="1" customWidth="1"/>
    <col min="53" max="53" width="11.7109375" bestFit="1" customWidth="1"/>
    <col min="54" max="54" width="8.7109375" bestFit="1" customWidth="1"/>
    <col min="55" max="55" width="4.85546875" bestFit="1" customWidth="1"/>
    <col min="56" max="56" width="2.28515625" bestFit="1" customWidth="1"/>
    <col min="57" max="57" width="4.85546875" bestFit="1" customWidth="1"/>
    <col min="58" max="58" width="12" bestFit="1" customWidth="1"/>
    <col min="59" max="59" width="2.28515625" bestFit="1" customWidth="1"/>
    <col min="60" max="60" width="4.85546875" bestFit="1" customWidth="1"/>
    <col min="61" max="61" width="12" bestFit="1" customWidth="1"/>
    <col min="62" max="62" width="2.28515625" bestFit="1" customWidth="1"/>
    <col min="63" max="63" width="4.85546875" bestFit="1" customWidth="1"/>
    <col min="64" max="64" width="17.42578125" bestFit="1" customWidth="1"/>
    <col min="65" max="65" width="2.28515625" bestFit="1" customWidth="1"/>
    <col min="66" max="66" width="4.85546875" bestFit="1" customWidth="1"/>
    <col min="67" max="67" width="5.140625" bestFit="1" customWidth="1"/>
    <col min="68" max="68" width="2.28515625" bestFit="1" customWidth="1"/>
    <col min="69" max="69" width="4.85546875" bestFit="1" customWidth="1"/>
    <col min="70" max="70" width="12" bestFit="1" customWidth="1"/>
    <col min="71" max="71" width="2.28515625" bestFit="1" customWidth="1"/>
    <col min="72" max="72" width="4.85546875" bestFit="1" customWidth="1"/>
    <col min="73" max="73" width="12" bestFit="1" customWidth="1"/>
    <col min="74" max="74" width="2.28515625" bestFit="1" customWidth="1"/>
    <col min="75" max="75" width="4.85546875" bestFit="1" customWidth="1"/>
    <col min="76" max="76" width="12" bestFit="1" customWidth="1"/>
    <col min="77" max="77" width="4.85546875" bestFit="1" customWidth="1"/>
    <col min="78" max="78" width="7" bestFit="1" customWidth="1"/>
  </cols>
  <sheetData>
    <row r="1" spans="1:78" x14ac:dyDescent="0.2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2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0367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DEW0367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/>
      </c>
      <c r="AO2" s="3" t="str">
        <f>IF(OR('A créer'!D2="Oui",LEN('A créer'!D2)=0,LEN('A créer'!C2)=0),"","\E")</f>
        <v/>
      </c>
      <c r="AP2" s="2" t="str">
        <f>IF(OR('A créer'!D2="Oui",LEN('A créer'!D2)=0,LEN('A créer'!C2)=0),"","TAB")</f>
        <v/>
      </c>
      <c r="AQ2" t="str">
        <f>IF(OR('A créer'!D2="Oui",LEN('A créer'!D2)=0,LEN('A créer'!C2)=0),"",'A créer'!A2)</f>
        <v/>
      </c>
      <c r="AR2" s="2" t="str">
        <f>IF(OR('A créer'!D2="Oui",LEN('A créer'!D2)=0,LEN('A créer'!C2)=0),"","TAB")</f>
        <v/>
      </c>
      <c r="AS2" t="str">
        <f>IF(OR('A créer'!D2="Oui",LEN('A créer'!D2)=0,LEN('A créer'!C2)=0),"","0")</f>
        <v/>
      </c>
      <c r="AT2" s="2" t="str">
        <f>IF(OR('A créer'!D2="Oui",LEN('A créer'!D2)=0,LEN('A créer'!C2)=0),"","TAB")</f>
        <v/>
      </c>
      <c r="AU2" t="str">
        <f>IF(OR('A créer'!D2="Oui",LEN('A créer'!D2)=0,LEN('A créer'!C2)=0),"","ZZZ")</f>
        <v/>
      </c>
      <c r="AV2" t="str">
        <f>IF(OR('A créer'!D2="Oui",LEN('A créer'!D2)=0,LEN('A créer'!C2)=0),"","0")</f>
        <v/>
      </c>
      <c r="AW2" s="2" t="str">
        <f>IF(OR('A créer'!D2="Oui",LEN('A créer'!D2)=0,LEN('A créer'!C2)=0),"","TAB")</f>
        <v/>
      </c>
      <c r="AX2" t="str">
        <f>IF(OR('A créer'!D2="Oui",LEN('A créer'!D2)=0,LEN('A créer'!C2)=0),"","ZZZZZZ")</f>
        <v/>
      </c>
      <c r="AY2" t="str">
        <f>IF(OR('A créer'!D2="Oui",LEN('A créer'!D2)=0,LEN('A créer'!C2)=0),"","0")</f>
        <v/>
      </c>
      <c r="AZ2" s="2" t="str">
        <f>IF(OR('A créer'!D2="Oui",LEN('A créer'!D2)=0,LEN('A créer'!C2)=0),"","TAB")</f>
        <v/>
      </c>
      <c r="BA2" t="str">
        <f>IF(OR('A créer'!D2="Oui",LEN('A créer'!D2)=0,LEN('A créer'!C2)=0),"","ZZZZZ")</f>
        <v/>
      </c>
      <c r="BB2" t="str">
        <f>IF(OR('A créer'!D2="Oui",LEN('A créer'!D2)=0,LEN('A créer'!C2)=0),"",CONCATENATE("XXX",'A créer'!A2))</f>
        <v/>
      </c>
      <c r="BC2" s="2" t="str">
        <f>IF(OR('A créer'!D2="Oui",LEN('A créer'!D2)=0,LEN('A créer'!C2)=0),"","TAB")</f>
        <v/>
      </c>
      <c r="BD2" t="str">
        <f>IF(OR('A créer'!D2="Oui",LEN('A créer'!D2)=0,LEN('A créer'!C2)=0),"","0")</f>
        <v/>
      </c>
      <c r="BE2" s="2" t="str">
        <f>IF(OR('A créer'!D2="Oui",LEN('A créer'!D2)=0,LEN('A créer'!C2)=0),"","TAB")</f>
        <v/>
      </c>
      <c r="BF2" t="str">
        <f>IF(OR('A créer'!D2="Oui",LEN('A créer'!D2)=0,LEN('A créer'!C2)=0),"","ZZZZZZZZZZ")</f>
        <v/>
      </c>
      <c r="BG2" t="str">
        <f>IF(OR('A créer'!D2="Oui",LEN('A créer'!D2)=0,LEN('A créer'!C2)=0),"","0")</f>
        <v/>
      </c>
      <c r="BH2" s="2" t="str">
        <f>IF(OR('A créer'!D2="Oui",LEN('A créer'!D2)=0,LEN('A créer'!C2)=0),"","TAB")</f>
        <v/>
      </c>
      <c r="BI2" t="str">
        <f>IF(OR('A créer'!D2="Oui",LEN('A créer'!D2)=0,LEN('A créer'!C2)=0),"","ZZZZZZZZZZ")</f>
        <v/>
      </c>
      <c r="BJ2" t="str">
        <f>IF(OR('A créer'!D2="Oui",LEN('A créer'!D2)=0,LEN('A créer'!C2)=0),"","0")</f>
        <v/>
      </c>
      <c r="BK2" s="2" t="str">
        <f>IF(OR('A créer'!D2="Oui",LEN('A créer'!D2)=0,LEN('A créer'!C2)=0),"","TAB")</f>
        <v/>
      </c>
      <c r="BL2" t="str">
        <f>IF(OR('A créer'!D2="Oui",LEN('A créer'!D2)=0,LEN('A créer'!C2)=0),"","ZZZZZZZZZZZZZZZ")</f>
        <v/>
      </c>
      <c r="BM2" t="str">
        <f>IF(OR('A créer'!D2="Oui",LEN('A créer'!D2)=0,LEN('A créer'!C2)=0),"","0")</f>
        <v/>
      </c>
      <c r="BN2" s="2" t="str">
        <f>IF(OR('A créer'!D2="Oui",LEN('A créer'!D2)=0,LEN('A créer'!C2)=0),"","TAB")</f>
        <v/>
      </c>
      <c r="BO2" t="str">
        <f>IF(OR('A créer'!D2="Oui",LEN('A créer'!D2)=0,LEN('A créer'!C2)=0),"","ZZZ")</f>
        <v/>
      </c>
      <c r="BP2" t="str">
        <f>IF(OR('A créer'!D2="Oui",LEN('A créer'!D2)=0,LEN('A créer'!C2)=0),"","0")</f>
        <v/>
      </c>
      <c r="BQ2" s="2" t="str">
        <f>IF(OR('A créer'!D2="Oui",LEN('A créer'!D2)=0,LEN('A créer'!C2)=0),"","TAB")</f>
        <v/>
      </c>
      <c r="BR2" t="str">
        <f>IF(OR('A créer'!D2="Oui",LEN('A créer'!D2)=0,LEN('A créer'!C2)=0),"","ZZZZZZZZZZ")</f>
        <v/>
      </c>
      <c r="BS2" t="str">
        <f>IF(OR('A créer'!D2="Oui",LEN('A créer'!D2)=0,LEN('A créer'!C2)=0),"","0")</f>
        <v/>
      </c>
      <c r="BT2" s="2" t="str">
        <f>IF(OR('A créer'!D2="Oui",LEN('A créer'!D2)=0,LEN('A créer'!C2)=0),"","TAB")</f>
        <v/>
      </c>
      <c r="BU2" t="str">
        <f>IF(OR('A créer'!D2="Oui",LEN('A créer'!D2)=0,LEN('A créer'!C2)=0),"","ZZZZZZZZZZ")</f>
        <v/>
      </c>
      <c r="BV2" t="str">
        <f>IF(OR('A créer'!D2="Oui",LEN('A créer'!D2)=0,LEN('A créer'!C2)=0),"","0")</f>
        <v/>
      </c>
      <c r="BW2" s="2" t="str">
        <f>IF(OR('A créer'!D2="Oui",LEN('A créer'!D2)=0,LEN('A créer'!C2)=0),"","TAB")</f>
        <v/>
      </c>
      <c r="BX2" t="str">
        <f>IF(OR('A créer'!D2="Oui",LEN('A créer'!D2)=0,LEN('A créer'!C2)=0),"","ZZZZZZZZZZ")</f>
        <v/>
      </c>
      <c r="BY2" s="2" t="str">
        <f>IF(OR('A créer'!D2="Oui",LEN('A créer'!D2)=0,LEN('A créer'!C2)=0),"","ENT")</f>
        <v/>
      </c>
      <c r="BZ2" s="2" t="str">
        <f>IF(OR('A créer'!D2="Oui",LEN('A créer'!D2)=0,LEN('A créer'!C2)=0),"","*SAVE")</f>
        <v/>
      </c>
    </row>
    <row r="3" spans="1:78" x14ac:dyDescent="0.25">
      <c r="A3" s="2" t="str">
        <f>IF(LEN('A créer'!C3)=0,"","*FN")</f>
        <v/>
      </c>
      <c r="B3" s="3" t="str">
        <f>IF(LEN('A créer'!C3)=0,"","\E")</f>
        <v/>
      </c>
      <c r="C3" s="2" t="str">
        <f>IF(LEN('A créer'!C3)=0,"","Tab")</f>
        <v/>
      </c>
      <c r="D3" s="6" t="str">
        <f>IF(LEN('A créer'!C3)=0,"",'A créer'!A3)</f>
        <v/>
      </c>
      <c r="E3" s="2" t="str">
        <f>IF(LEN('A créer'!C3)=0,"","Tab")</f>
        <v/>
      </c>
      <c r="F3" s="6" t="str">
        <f>IF(LEN('A créer'!C3)=0,"",0)</f>
        <v/>
      </c>
      <c r="G3" s="2" t="str">
        <f>IF(LEN('A créer'!C3)=0,"","Tab")</f>
        <v/>
      </c>
      <c r="H3" s="6" t="str">
        <f>IF(LEN('A créer'!C3)=0,"","ZZZ")</f>
        <v/>
      </c>
      <c r="I3" s="6" t="str">
        <f>IF(LEN('A créer'!C3)=0,"","0")</f>
        <v/>
      </c>
      <c r="J3" s="2" t="str">
        <f>IF(LEN('A créer'!C3)=0,"","Tab")</f>
        <v/>
      </c>
      <c r="K3" s="6" t="str">
        <f>IF(LEN('A créer'!C3)=0,"","ZZZZZZ")</f>
        <v/>
      </c>
      <c r="L3" s="6" t="str">
        <f>IF(LEN('A créer'!C3)=0,"","0")</f>
        <v/>
      </c>
      <c r="M3" s="2" t="str">
        <f>IF(LEN('A créer'!C3)=0,"","Tab")</f>
        <v/>
      </c>
      <c r="N3" s="6" t="str">
        <f>IF(LEN('A créer'!C3)=0,"","ZZZZZ")</f>
        <v/>
      </c>
      <c r="O3" s="6" t="str">
        <f>IF(LEN('A créer'!C3)=0,"",CONCATENATE('A créer'!B3,'A créer'!A3))</f>
        <v/>
      </c>
      <c r="P3" s="2" t="str">
        <f>IF(LEN('A créer'!C3)=0,"","Tab")</f>
        <v/>
      </c>
      <c r="Q3" s="6" t="str">
        <f>IF(LEN('A créer'!C3)=0,"","0")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créer'!C3)=0,"","0")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créer'!C3)=0,"","0")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créer'!C3)=0,"","0")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créer'!C3)=0,"","0")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créer'!C3)=0,"","0")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créer'!C3)=0,"","0")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25">
      <c r="A4" s="2" t="str">
        <f>IF(LEN('A créer'!C4)=0,"","*FN")</f>
        <v/>
      </c>
      <c r="B4" s="3" t="str">
        <f>IF(LEN('A créer'!C4)=0,"","\E")</f>
        <v/>
      </c>
      <c r="C4" s="2" t="str">
        <f>IF(LEN('A créer'!C4)=0,"","Tab")</f>
        <v/>
      </c>
      <c r="D4" s="6" t="str">
        <f>IF(LEN('A créer'!C4)=0,"",'A créer'!A4)</f>
        <v/>
      </c>
      <c r="E4" s="2" t="str">
        <f>IF(LEN('A créer'!C4)=0,"","Tab")</f>
        <v/>
      </c>
      <c r="F4" s="6" t="str">
        <f>IF(LEN('A créer'!C4)=0,"",0)</f>
        <v/>
      </c>
      <c r="G4" s="2" t="str">
        <f>IF(LEN('A créer'!C4)=0,"","Tab")</f>
        <v/>
      </c>
      <c r="H4" s="6" t="str">
        <f>IF(LEN('A créer'!C4)=0,"","ZZZ")</f>
        <v/>
      </c>
      <c r="I4" s="6" t="str">
        <f>IF(LEN('A créer'!C4)=0,"","0")</f>
        <v/>
      </c>
      <c r="J4" s="2" t="str">
        <f>IF(LEN('A créer'!C4)=0,"","Tab")</f>
        <v/>
      </c>
      <c r="K4" s="6" t="str">
        <f>IF(LEN('A créer'!C4)=0,"","ZZZZZZ")</f>
        <v/>
      </c>
      <c r="L4" s="6" t="str">
        <f>IF(LEN('A créer'!C4)=0,"","0")</f>
        <v/>
      </c>
      <c r="M4" s="2" t="str">
        <f>IF(LEN('A créer'!C4)=0,"","Tab")</f>
        <v/>
      </c>
      <c r="N4" s="6" t="str">
        <f>IF(LEN('A créer'!C4)=0,"","ZZZZZ")</f>
        <v/>
      </c>
      <c r="O4" s="6" t="str">
        <f>IF(LEN('A créer'!C4)=0,"",CONCATENATE('A créer'!B4,'A créer'!A4))</f>
        <v/>
      </c>
      <c r="P4" s="2" t="str">
        <f>IF(LEN('A créer'!C4)=0,"","Tab")</f>
        <v/>
      </c>
      <c r="Q4" s="6" t="str">
        <f>IF(LEN('A créer'!C4)=0,"","0")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créer'!C4)=0,"","0")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créer'!C4)=0,"","0")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créer'!C4)=0,"","0")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créer'!C4)=0,"","0")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créer'!C4)=0,"","0")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créer'!C4)=0,"","0")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2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25">
      <c r="A6" s="2" t="str">
        <f>IF(LEN('A créer'!C6)=0,"","*FN")</f>
        <v/>
      </c>
      <c r="B6" s="3" t="str">
        <f>IF(LEN('A créer'!C6)=0,"","\E")</f>
        <v/>
      </c>
      <c r="C6" s="2" t="str">
        <f>IF(LEN('A créer'!C6)=0,"","Tab")</f>
        <v/>
      </c>
      <c r="D6" s="6" t="str">
        <f>IF(LEN('A créer'!C6)=0,"",'A créer'!A6)</f>
        <v/>
      </c>
      <c r="E6" s="2" t="str">
        <f>IF(LEN('A créer'!C6)=0,"","Tab")</f>
        <v/>
      </c>
      <c r="F6" s="6" t="str">
        <f>IF(LEN('A créer'!C6)=0,"",0)</f>
        <v/>
      </c>
      <c r="G6" s="2" t="str">
        <f>IF(LEN('A créer'!C6)=0,"","Tab")</f>
        <v/>
      </c>
      <c r="H6" s="6" t="str">
        <f>IF(LEN('A créer'!C6)=0,"","ZZZ")</f>
        <v/>
      </c>
      <c r="I6" s="6" t="str">
        <f>IF(LEN('A créer'!C6)=0,"","0")</f>
        <v/>
      </c>
      <c r="J6" s="2" t="str">
        <f>IF(LEN('A créer'!C6)=0,"","Tab")</f>
        <v/>
      </c>
      <c r="K6" s="6" t="str">
        <f>IF(LEN('A créer'!C6)=0,"","ZZZZZZ")</f>
        <v/>
      </c>
      <c r="L6" s="6" t="str">
        <f>IF(LEN('A créer'!C6)=0,"","0")</f>
        <v/>
      </c>
      <c r="M6" s="2" t="str">
        <f>IF(LEN('A créer'!C6)=0,"","Tab")</f>
        <v/>
      </c>
      <c r="N6" s="6" t="str">
        <f>IF(LEN('A créer'!C6)=0,"","ZZZZZ")</f>
        <v/>
      </c>
      <c r="O6" s="6" t="str">
        <f>IF(LEN('A créer'!C6)=0,"",CONCATENATE('A créer'!B6,'A créer'!A6))</f>
        <v/>
      </c>
      <c r="P6" s="2" t="str">
        <f>IF(LEN('A créer'!C6)=0,"","Tab")</f>
        <v/>
      </c>
      <c r="Q6" s="6" t="str">
        <f>IF(LEN('A créer'!C6)=0,"","0")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créer'!C6)=0,"","0")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créer'!C6)=0,"","0")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créer'!C6)=0,"","0")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créer'!C6)=0,"","0")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créer'!C6)=0,"","0")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créer'!C6)=0,"","0")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25">
      <c r="A7" s="2" t="str">
        <f>IF(LEN('A créer'!C7)=0,"","*FN")</f>
        <v/>
      </c>
      <c r="B7" s="3" t="str">
        <f>IF(LEN('A créer'!C7)=0,"","\E")</f>
        <v/>
      </c>
      <c r="C7" s="2" t="str">
        <f>IF(LEN('A créer'!C7)=0,"","Tab")</f>
        <v/>
      </c>
      <c r="D7" s="6" t="str">
        <f>IF(LEN('A créer'!C7)=0,"",'A créer'!A7)</f>
        <v/>
      </c>
      <c r="E7" s="2" t="str">
        <f>IF(LEN('A créer'!C7)=0,"","Tab")</f>
        <v/>
      </c>
      <c r="F7" s="6" t="str">
        <f>IF(LEN('A créer'!C7)=0,"",0)</f>
        <v/>
      </c>
      <c r="G7" s="2" t="str">
        <f>IF(LEN('A créer'!C7)=0,"","Tab")</f>
        <v/>
      </c>
      <c r="H7" s="6" t="str">
        <f>IF(LEN('A créer'!C7)=0,"","ZZZ")</f>
        <v/>
      </c>
      <c r="I7" s="6" t="str">
        <f>IF(LEN('A créer'!C7)=0,"","0")</f>
        <v/>
      </c>
      <c r="J7" s="2" t="str">
        <f>IF(LEN('A créer'!C7)=0,"","Tab")</f>
        <v/>
      </c>
      <c r="K7" s="6" t="str">
        <f>IF(LEN('A créer'!C7)=0,"","ZZZZZZ")</f>
        <v/>
      </c>
      <c r="L7" s="6" t="str">
        <f>IF(LEN('A créer'!C7)=0,"","0")</f>
        <v/>
      </c>
      <c r="M7" s="2" t="str">
        <f>IF(LEN('A créer'!C7)=0,"","Tab")</f>
        <v/>
      </c>
      <c r="N7" s="6" t="str">
        <f>IF(LEN('A créer'!C7)=0,"","ZZZZZ")</f>
        <v/>
      </c>
      <c r="O7" s="6" t="str">
        <f>IF(LEN('A créer'!C7)=0,"",CONCATENATE('A créer'!B7,'A créer'!A7))</f>
        <v/>
      </c>
      <c r="P7" s="2" t="str">
        <f>IF(LEN('A créer'!C7)=0,"","Tab")</f>
        <v/>
      </c>
      <c r="Q7" s="6" t="str">
        <f>IF(LEN('A créer'!C7)=0,"","0")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créer'!C7)=0,"","0")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créer'!C7)=0,"","0")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créer'!C7)=0,"","0")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créer'!C7)=0,"","0")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créer'!C7)=0,"","0")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créer'!C7)=0,"","0")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2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2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2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2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2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2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2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2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2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2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2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2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2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2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2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2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2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2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2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2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2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2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2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2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M30"/>
  <sheetViews>
    <sheetView zoomScale="80" zoomScaleNormal="80" workbookViewId="0">
      <pane xSplit="1" ySplit="1" topLeftCell="B2" activePane="bottomRight" state="frozenSplit"/>
      <selection activeCell="Z1" sqref="Z1"/>
      <selection pane="topRight"/>
      <selection pane="bottomLeft" activeCell="A2" sqref="A2"/>
      <selection pane="bottomRight" activeCell="A2" sqref="A2:AM2"/>
    </sheetView>
  </sheetViews>
  <sheetFormatPr baseColWidth="10" defaultRowHeight="15" x14ac:dyDescent="0.25"/>
  <cols>
    <col min="1" max="1" width="4.28515625" bestFit="1" customWidth="1"/>
    <col min="2" max="2" width="2.28515625" bestFit="1" customWidth="1"/>
    <col min="3" max="3" width="4" bestFit="1" customWidth="1"/>
    <col min="4" max="4" width="7.42578125" bestFit="1" customWidth="1"/>
    <col min="5" max="5" width="4" bestFit="1" customWidth="1"/>
    <col min="6" max="6" width="11.5703125" customWidth="1"/>
    <col min="7" max="7" width="4.42578125" customWidth="1"/>
    <col min="8" max="8" width="2" bestFit="1" customWidth="1"/>
    <col min="9" max="9" width="4" bestFit="1" customWidth="1"/>
    <col min="10" max="10" width="6.28515625" bestFit="1" customWidth="1"/>
    <col min="11" max="11" width="2" bestFit="1" customWidth="1"/>
    <col min="12" max="12" width="4" bestFit="1" customWidth="1"/>
    <col min="13" max="13" width="9.5703125" bestFit="1" customWidth="1"/>
    <col min="14" max="14" width="2" bestFit="1" customWidth="1"/>
    <col min="15" max="15" width="4" bestFit="1" customWidth="1"/>
    <col min="16" max="16" width="7.28515625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</cols>
  <sheetData>
    <row r="1" spans="1:39" x14ac:dyDescent="0.2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2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0367</v>
      </c>
      <c r="E2" s="2" t="str">
        <f>IF(LEN('A créer'!C2)=0,"","Tab")</f>
        <v>Tab</v>
      </c>
      <c r="F2" t="str">
        <f>IF(LEN('A créer'!C2)=0,"",'A créer'!B2)</f>
        <v>DEW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25">
      <c r="A3" s="2" t="str">
        <f>IF(LEN('A créer'!C3)=0,"","*FN")</f>
        <v/>
      </c>
      <c r="B3" s="3" t="str">
        <f>IF(LEN('A créer'!C3)=0,"","\I")</f>
        <v/>
      </c>
      <c r="C3" s="2" t="str">
        <f>IF(LEN('A créer'!C3)=0,"","Tab")</f>
        <v/>
      </c>
      <c r="D3" t="str">
        <f>IF(LEN('A créer'!C3)=0,"",'A créer'!A3)</f>
        <v/>
      </c>
      <c r="E3" s="2" t="str">
        <f>IF(LEN('A créer'!C3)=0,"","Tab")</f>
        <v/>
      </c>
      <c r="F3" t="str">
        <f>IF(LEN('A créer'!C3)=0,"",'A créer'!B3)</f>
        <v/>
      </c>
      <c r="G3" s="2" t="str">
        <f>IF(LEN('A créer'!C3)=0,"","Tab")</f>
        <v/>
      </c>
      <c r="H3" t="str">
        <f>IF(LEN('A créer'!C3)=0,"",0)</f>
        <v/>
      </c>
      <c r="I3" s="2" t="str">
        <f>IF(LEN('A créer'!C3)=0,"","Tab")</f>
        <v/>
      </c>
      <c r="J3" t="str">
        <f>IF(LEN('A créer'!C3)=0,"","ZZZZZZ")</f>
        <v/>
      </c>
      <c r="K3" t="str">
        <f>IF(LEN('A créer'!C3)=0,"",0)</f>
        <v/>
      </c>
      <c r="L3" s="2" t="str">
        <f>IF(LEN('A créer'!C3)=0,"","Tab")</f>
        <v/>
      </c>
      <c r="M3" s="6" t="str">
        <f>IF(LEN('A créer'!C3)=0,"","ZZZZZ")</f>
        <v/>
      </c>
      <c r="N3" s="6" t="str">
        <f>IF(LEN('A créer'!C3)=0,"",0)</f>
        <v/>
      </c>
      <c r="O3" s="2" t="str">
        <f>IF(LEN('A créer'!C3)=0,"","Tab")</f>
        <v/>
      </c>
      <c r="P3" s="6" t="str">
        <f>IF(LEN('A créer'!C3)=0,"","ZZZZZZZ")</f>
        <v/>
      </c>
      <c r="Q3" s="6" t="str">
        <f>IF(LEN('A créer'!C3)=0,"",0)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créer'!C3)=0,"",0)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créer'!C3)=0,"",0)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créer'!C3)=0,"",0)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créer'!C3)=0,"",0)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créer'!C3)=0,"",0)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créer'!C3)=0,"",0)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</row>
    <row r="4" spans="1:39" x14ac:dyDescent="0.25">
      <c r="A4" s="2" t="str">
        <f>IF(LEN('A créer'!C4)=0,"","*FN")</f>
        <v/>
      </c>
      <c r="B4" s="3" t="str">
        <f>IF(LEN('A créer'!C4)=0,"","\I")</f>
        <v/>
      </c>
      <c r="C4" s="2" t="str">
        <f>IF(LEN('A créer'!C4)=0,"","Tab")</f>
        <v/>
      </c>
      <c r="D4" t="str">
        <f>IF(LEN('A créer'!C4)=0,"",'A créer'!A4)</f>
        <v/>
      </c>
      <c r="E4" s="2" t="str">
        <f>IF(LEN('A créer'!C4)=0,"","Tab")</f>
        <v/>
      </c>
      <c r="F4" t="str">
        <f>IF(LEN('A créer'!C4)=0,"",'A créer'!B4)</f>
        <v/>
      </c>
      <c r="G4" s="2" t="str">
        <f>IF(LEN('A créer'!C4)=0,"","Tab")</f>
        <v/>
      </c>
      <c r="H4" t="str">
        <f>IF(LEN('A créer'!C4)=0,"",0)</f>
        <v/>
      </c>
      <c r="I4" s="2" t="str">
        <f>IF(LEN('A créer'!C4)=0,"","Tab")</f>
        <v/>
      </c>
      <c r="J4" t="str">
        <f>IF(LEN('A créer'!C4)=0,"","ZZZZZZ")</f>
        <v/>
      </c>
      <c r="K4" t="str">
        <f>IF(LEN('A créer'!C4)=0,"",0)</f>
        <v/>
      </c>
      <c r="L4" s="2" t="str">
        <f>IF(LEN('A créer'!C4)=0,"","Tab")</f>
        <v/>
      </c>
      <c r="M4" s="6" t="str">
        <f>IF(LEN('A créer'!C4)=0,"","ZZZZZ")</f>
        <v/>
      </c>
      <c r="N4" s="6" t="str">
        <f>IF(LEN('A créer'!C4)=0,"",0)</f>
        <v/>
      </c>
      <c r="O4" s="2" t="str">
        <f>IF(LEN('A créer'!C4)=0,"","Tab")</f>
        <v/>
      </c>
      <c r="P4" s="6" t="str">
        <f>IF(LEN('A créer'!C4)=0,"","ZZZZZZZ")</f>
        <v/>
      </c>
      <c r="Q4" s="6" t="str">
        <f>IF(LEN('A créer'!C4)=0,"",0)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créer'!C4)=0,"",0)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créer'!C4)=0,"",0)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créer'!C4)=0,"",0)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créer'!C4)=0,"",0)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créer'!C4)=0,"",0)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créer'!C4)=0,"",0)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</row>
    <row r="5" spans="1:39" x14ac:dyDescent="0.2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25">
      <c r="A6" s="2" t="str">
        <f>IF(LEN('A créer'!C6)=0,"","*FN")</f>
        <v/>
      </c>
      <c r="B6" s="3" t="str">
        <f>IF(LEN('A créer'!C6)=0,"","\I")</f>
        <v/>
      </c>
      <c r="C6" s="2" t="str">
        <f>IF(LEN('A créer'!C6)=0,"","Tab")</f>
        <v/>
      </c>
      <c r="D6" t="str">
        <f>IF(LEN('A créer'!C6)=0,"",'A créer'!A6)</f>
        <v/>
      </c>
      <c r="E6" s="2" t="str">
        <f>IF(LEN('A créer'!C6)=0,"","Tab")</f>
        <v/>
      </c>
      <c r="F6" t="str">
        <f>IF(LEN('A créer'!C6)=0,"",'A créer'!B6)</f>
        <v/>
      </c>
      <c r="G6" s="2" t="str">
        <f>IF(LEN('A créer'!C6)=0,"","Tab")</f>
        <v/>
      </c>
      <c r="H6" t="str">
        <f>IF(LEN('A créer'!C6)=0,"",0)</f>
        <v/>
      </c>
      <c r="I6" s="2" t="str">
        <f>IF(LEN('A créer'!C6)=0,"","Tab")</f>
        <v/>
      </c>
      <c r="J6" t="str">
        <f>IF(LEN('A créer'!C6)=0,"","ZZZZZZ")</f>
        <v/>
      </c>
      <c r="K6" t="str">
        <f>IF(LEN('A créer'!C6)=0,"",0)</f>
        <v/>
      </c>
      <c r="L6" s="2" t="str">
        <f>IF(LEN('A créer'!C6)=0,"","Tab")</f>
        <v/>
      </c>
      <c r="M6" s="6" t="str">
        <f>IF(LEN('A créer'!C6)=0,"","ZZZZZ")</f>
        <v/>
      </c>
      <c r="N6" s="6" t="str">
        <f>IF(LEN('A créer'!C6)=0,"",0)</f>
        <v/>
      </c>
      <c r="O6" s="2" t="str">
        <f>IF(LEN('A créer'!C6)=0,"","Tab")</f>
        <v/>
      </c>
      <c r="P6" s="6" t="str">
        <f>IF(LEN('A créer'!C6)=0,"","ZZZZZZZ")</f>
        <v/>
      </c>
      <c r="Q6" s="6" t="str">
        <f>IF(LEN('A créer'!C6)=0,"",0)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créer'!C6)=0,"",0)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créer'!C6)=0,"",0)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créer'!C6)=0,"",0)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créer'!C6)=0,"",0)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créer'!C6)=0,"",0)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créer'!C6)=0,"",0)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</row>
    <row r="7" spans="1:39" x14ac:dyDescent="0.25">
      <c r="A7" s="2" t="str">
        <f>IF(LEN('A créer'!C7)=0,"","*FN")</f>
        <v/>
      </c>
      <c r="B7" s="3" t="str">
        <f>IF(LEN('A créer'!C7)=0,"","\I")</f>
        <v/>
      </c>
      <c r="C7" s="2" t="str">
        <f>IF(LEN('A créer'!C7)=0,"","Tab")</f>
        <v/>
      </c>
      <c r="D7" t="str">
        <f>IF(LEN('A créer'!C7)=0,"",'A créer'!A7)</f>
        <v/>
      </c>
      <c r="E7" s="2" t="str">
        <f>IF(LEN('A créer'!C7)=0,"","Tab")</f>
        <v/>
      </c>
      <c r="F7" t="str">
        <f>IF(LEN('A créer'!C7)=0,"",'A créer'!B7)</f>
        <v/>
      </c>
      <c r="G7" s="2" t="str">
        <f>IF(LEN('A créer'!C7)=0,"","Tab")</f>
        <v/>
      </c>
      <c r="H7" t="str">
        <f>IF(LEN('A créer'!C7)=0,"",0)</f>
        <v/>
      </c>
      <c r="I7" s="2" t="str">
        <f>IF(LEN('A créer'!C7)=0,"","Tab")</f>
        <v/>
      </c>
      <c r="J7" t="str">
        <f>IF(LEN('A créer'!C7)=0,"","ZZZZZZ")</f>
        <v/>
      </c>
      <c r="K7" t="str">
        <f>IF(LEN('A créer'!C7)=0,"",0)</f>
        <v/>
      </c>
      <c r="L7" s="2" t="str">
        <f>IF(LEN('A créer'!C7)=0,"","Tab")</f>
        <v/>
      </c>
      <c r="M7" s="6" t="str">
        <f>IF(LEN('A créer'!C7)=0,"","ZZZZZ")</f>
        <v/>
      </c>
      <c r="N7" s="6" t="str">
        <f>IF(LEN('A créer'!C7)=0,"",0)</f>
        <v/>
      </c>
      <c r="O7" s="2" t="str">
        <f>IF(LEN('A créer'!C7)=0,"","Tab")</f>
        <v/>
      </c>
      <c r="P7" s="6" t="str">
        <f>IF(LEN('A créer'!C7)=0,"","ZZZZZZZ")</f>
        <v/>
      </c>
      <c r="Q7" s="6" t="str">
        <f>IF(LEN('A créer'!C7)=0,"",0)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créer'!C7)=0,"",0)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créer'!C7)=0,"",0)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créer'!C7)=0,"",0)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créer'!C7)=0,"",0)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créer'!C7)=0,"",0)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créer'!C7)=0,"",0)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</row>
    <row r="8" spans="1:39" x14ac:dyDescent="0.2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2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2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2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2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2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2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2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2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2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2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2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2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2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2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2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2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2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2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2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2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2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2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U30"/>
  <sheetViews>
    <sheetView zoomScale="80" zoomScaleNormal="80" workbookViewId="0">
      <pane xSplit="1" ySplit="1" topLeftCell="B2" activePane="bottomRight" state="frozenSplit"/>
      <selection activeCell="G1" sqref="G1"/>
      <selection pane="topRight"/>
      <selection pane="bottomLeft" activeCell="A2" sqref="A2"/>
      <selection pane="bottomRight" activeCell="Q2" sqref="Q2:AU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25" bestFit="1" customWidth="1"/>
    <col min="4" max="4" width="5.28515625" customWidth="1"/>
    <col min="5" max="5" width="28.7109375" bestFit="1" customWidth="1"/>
    <col min="6" max="6" width="5.85546875" customWidth="1"/>
    <col min="7" max="8" width="4" bestFit="1" customWidth="1"/>
    <col min="9" max="9" width="49.28515625" bestFit="1" customWidth="1"/>
    <col min="10" max="10" width="6.5703125" customWidth="1"/>
    <col min="11" max="11" width="4" bestFit="1" customWidth="1"/>
    <col min="13" max="13" width="24.5703125" bestFit="1" customWidth="1"/>
    <col min="14" max="14" width="5.85546875" customWidth="1"/>
    <col min="15" max="15" width="4.28515625" bestFit="1" customWidth="1"/>
    <col min="16" max="16" width="6.140625" bestFit="1" customWidth="1"/>
    <col min="17" max="17" width="4.28515625" bestFit="1" customWidth="1"/>
    <col min="18" max="18" width="5.42578125" customWidth="1"/>
    <col min="19" max="19" width="11.7109375" customWidth="1"/>
    <col min="20" max="20" width="4.85546875" customWidth="1"/>
    <col min="21" max="21" width="33.5703125" bestFit="1" customWidth="1"/>
    <col min="22" max="22" width="5.42578125" customWidth="1"/>
    <col min="23" max="23" width="4" bestFit="1" customWidth="1"/>
    <col min="24" max="24" width="4.85546875" customWidth="1"/>
    <col min="25" max="25" width="12.5703125" bestFit="1" customWidth="1"/>
    <col min="26" max="26" width="4" bestFit="1" customWidth="1"/>
    <col min="27" max="27" width="11.42578125" bestFit="1" customWidth="1"/>
    <col min="28" max="28" width="4" bestFit="1" customWidth="1"/>
    <col min="29" max="29" width="11.570312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8515625" bestFit="1" customWidth="1"/>
    <col min="38" max="38" width="4.28515625" bestFit="1" customWidth="1"/>
    <col min="39" max="39" width="7.28515625" customWidth="1"/>
    <col min="40" max="40" width="6.7109375" customWidth="1"/>
    <col min="41" max="41" width="5.5703125" customWidth="1"/>
    <col min="42" max="42" width="5.42578125" customWidth="1"/>
    <col min="43" max="43" width="5.28515625" customWidth="1"/>
    <col min="44" max="44" width="6.5703125" bestFit="1" customWidth="1"/>
    <col min="45" max="45" width="4" bestFit="1" customWidth="1"/>
    <col min="46" max="46" width="4.28515625" bestFit="1" customWidth="1"/>
    <col min="47" max="47" width="6.85546875" bestFit="1" customWidth="1"/>
  </cols>
  <sheetData>
    <row r="1" spans="1:47" x14ac:dyDescent="0.2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93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93</v>
      </c>
      <c r="AN1" s="2" t="s">
        <v>93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25">
      <c r="A2" s="2" t="str">
        <f>IF(OR('A créer'!D2="Oui",LEN('A créer'!D2)=0),"","*FN")</f>
        <v/>
      </c>
      <c r="B2" s="2" t="str">
        <f>IF(OR('A créer'!D2="Oui",LEN('A créer'!D2)=0),"","Tab")</f>
        <v/>
      </c>
      <c r="C2" t="str">
        <f>IF(OR('A créer'!D2="Oui",LEN('A créer'!D2)=0),"",'A créer'!I2)</f>
        <v/>
      </c>
      <c r="D2" s="2" t="str">
        <f>IF(OR('A créer'!D2="Oui",LEN('A créer'!D2)=0),"","Tab")</f>
        <v/>
      </c>
      <c r="E2" t="str">
        <f>IF(OR('A créer'!D2="Oui",LEN('A créer'!D2)=0),"",'A créer'!C2)</f>
        <v/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créer'!D2)=0),"","Tab")</f>
        <v/>
      </c>
      <c r="I2" t="str">
        <f>IF(OR('A créer'!D2="Oui",LEN('A créer'!D2)=0),"",'A créer'!J2)</f>
        <v/>
      </c>
      <c r="J2" s="2" t="str">
        <f>IF(OR('A créer'!D2="Oui",LEN('A créer'!D2)=0),"","Tab 4")</f>
        <v/>
      </c>
      <c r="K2" s="2" t="str">
        <f>IF(OR('A créer'!D2="Oui",LEN('A créer'!D2)=0),"","Tab")</f>
        <v/>
      </c>
      <c r="L2" t="str">
        <f>IF(OR('A créer'!D2="Oui",LEN('A créer'!D2)=0),"",'A créer'!K2)</f>
        <v/>
      </c>
      <c r="M2" t="str">
        <f>IF(OR('A créer'!D2="Oui",LEN('A créer'!D2)=0),"",'A créer'!L2)</f>
        <v/>
      </c>
      <c r="N2" s="2" t="str">
        <f>IF(OR('A créer'!D2="Oui",LEN('A créer'!D2)=0),"","Tab")</f>
        <v/>
      </c>
      <c r="O2" s="2" t="str">
        <f>IF(OR('A créer'!D2="Oui",LEN('A créer'!D2)=0),"","ENT")</f>
        <v/>
      </c>
      <c r="P2" s="2" t="str">
        <f>IF(OR('A créer'!D2="Oui",LEN('A créer'!D2)=0),"","*SAVE")</f>
        <v/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DEW0367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BOIS ENERGIE France (XXXXX)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25504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/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2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/>
      </c>
      <c r="R3" s="2" t="str">
        <f>IF(LEN('A créer'!D3)=0,"","Tab")</f>
        <v/>
      </c>
      <c r="S3" s="6" t="str">
        <f>IF(LEN('A créer'!D3)=0,"",CONCATENATE('A créer'!B3,'A créer'!A3))</f>
        <v/>
      </c>
      <c r="T3" s="2" t="s">
        <v>4</v>
      </c>
      <c r="U3" s="6" t="str">
        <f>IF('A créer'!F3="Oui",'A créer'!C3,IF(LEN('A créer'!F3)=0,"",CONCATENATE('A créer'!C3," (",'A créer'!M3,")")))</f>
        <v/>
      </c>
      <c r="V3" s="2" t="str">
        <f>IF(LEN('A créer'!D3)=0,"","Tab")</f>
        <v/>
      </c>
      <c r="W3" s="2" t="str">
        <f>IF(LEN('A créer'!D3)=0,"","Tab")</f>
        <v/>
      </c>
      <c r="X3" s="2" t="str">
        <f>IF(LEN('A créer'!D3)=0,"","Tab")</f>
        <v/>
      </c>
      <c r="Y3" s="6" t="str">
        <f>IF('A créer'!F3="Oui",'A créer'!J3,IF(LEN('A créer'!F3)=0,"",'A créer'!N3))</f>
        <v/>
      </c>
      <c r="Z3" s="2" t="str">
        <f>IF(LEN('A créer'!D3)=0,"","Tab")</f>
        <v/>
      </c>
      <c r="AA3" s="4" t="str">
        <f>IF('A créer'!F3="Oui","",IF(LEN('A créer'!F3)=0,"",'A créer'!O3))</f>
        <v/>
      </c>
      <c r="AB3" s="2" t="str">
        <f>IF(LEN('A créer'!D3)=0,"","Tab")</f>
        <v/>
      </c>
      <c r="AC3" s="4" t="str">
        <f>IF('A créer'!F3="Oui","",IF(LEN('A créer'!F3)=0,"","contactfournisseur@csp.dalkia.fr"))</f>
        <v/>
      </c>
      <c r="AD3" s="2" t="str">
        <f>IF(LEN('A créer'!D3)=0,"","Tab")</f>
        <v/>
      </c>
      <c r="AE3" s="2" t="str">
        <f>IF(LEN('A créer'!D3)=0,"","Tab")</f>
        <v/>
      </c>
      <c r="AF3" s="6" t="str">
        <f>IF('A créer'!F3="Oui","",IF(LEN('A créer'!F3)=0,"","ATTENTION adresse UNIQUEMENT pour la comptabilité fournisseurs"))</f>
        <v/>
      </c>
      <c r="AG3" s="2" t="str">
        <f>IF(LEN('A créer'!D3)=0,"","Tab")</f>
        <v/>
      </c>
      <c r="AH3" s="4" t="str">
        <f>IF('A créer'!F3="Oui",'A créer'!K3,IF(LEN('A créer'!F3)=0,"",""))</f>
        <v/>
      </c>
      <c r="AI3" s="2" t="str">
        <f>IF(OR(LEN('A créer'!D3)=0,LEN(AH3)&gt;0),"","Tab")</f>
        <v/>
      </c>
      <c r="AJ3" s="6" t="str">
        <f>IF('A créer'!F3="Oui",'A créer'!L3,IF(LEN('A créer'!F3)=0,"","NOUVELLE ADRESSE FACTURATION"))</f>
        <v/>
      </c>
      <c r="AK3" s="2" t="str">
        <f>IF(LEN('A créer'!D3)=0,"","Tab")</f>
        <v/>
      </c>
      <c r="AL3" s="2" t="str">
        <f>IF(LEN('A créer'!D3)=0,"","ENT")</f>
        <v/>
      </c>
      <c r="AM3" s="2" t="str">
        <f>IF(LEN('A créer'!D3)=0,"","Tab 4")</f>
        <v/>
      </c>
      <c r="AN3" s="2" t="str">
        <f>IF(LEN('A créer'!D3)=0,"","Tab 4")</f>
        <v/>
      </c>
      <c r="AO3" s="2" t="str">
        <f>IF(LEN('A créer'!D3)=0,"","Tab")</f>
        <v/>
      </c>
      <c r="AP3" s="2" t="str">
        <f>IF(LEN('A créer'!D3)=0,"","Tab")</f>
        <v/>
      </c>
      <c r="AQ3" s="2" t="str">
        <f>IF(LEN('A créer'!D3)=0,"","Tab")</f>
        <v/>
      </c>
      <c r="AR3" s="4" t="str">
        <f>IF(OR('A créer'!D3="Oui",LEN('A créer'!D3)=0),"",IF(LEN('A créer'!F3)=0,"",'A créer'!B3))</f>
        <v/>
      </c>
      <c r="AS3" s="2" t="str">
        <f>IF(LEN('A créer'!D3)=0,"","Tab")</f>
        <v/>
      </c>
      <c r="AT3" s="2" t="str">
        <f>IF(LEN('A créer'!D3)=0,"","ENT")</f>
        <v/>
      </c>
      <c r="AU3" s="2" t="str">
        <f>IF(LEN('A créer'!D3)=0,"","*SAVE")</f>
        <v/>
      </c>
    </row>
    <row r="4" spans="1:47" x14ac:dyDescent="0.2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/>
      </c>
      <c r="R4" s="2" t="str">
        <f>IF(LEN('A créer'!D4)=0,"","Tab")</f>
        <v/>
      </c>
      <c r="S4" s="6" t="str">
        <f>IF(LEN('A créer'!D4)=0,"",CONCATENATE('A créer'!B4,'A créer'!A4))</f>
        <v/>
      </c>
      <c r="T4" s="2" t="s">
        <v>4</v>
      </c>
      <c r="U4" s="6" t="str">
        <f>IF('A créer'!F4="Oui",'A créer'!C4,IF(LEN('A créer'!F4)=0,"",CONCATENATE('A créer'!C4," (",'A créer'!M4,")")))</f>
        <v/>
      </c>
      <c r="V4" s="2" t="str">
        <f>IF(LEN('A créer'!D4)=0,"","Tab")</f>
        <v/>
      </c>
      <c r="W4" s="2" t="str">
        <f>IF(LEN('A créer'!D4)=0,"","Tab")</f>
        <v/>
      </c>
      <c r="X4" s="2" t="str">
        <f>IF(LEN('A créer'!D4)=0,"","Tab")</f>
        <v/>
      </c>
      <c r="Y4" s="6" t="str">
        <f>IF('A créer'!F4="Oui",'A créer'!J4,IF(LEN('A créer'!F4)=0,"",'A créer'!N4))</f>
        <v/>
      </c>
      <c r="Z4" s="2" t="str">
        <f>IF(LEN('A créer'!D4)=0,"","Tab")</f>
        <v/>
      </c>
      <c r="AA4" s="4" t="str">
        <f>IF('A créer'!F4="Oui","",IF(LEN('A créer'!F4)=0,"",'A créer'!O4))</f>
        <v/>
      </c>
      <c r="AB4" s="2" t="str">
        <f>IF(LEN('A créer'!D4)=0,"","Tab")</f>
        <v/>
      </c>
      <c r="AC4" s="4" t="str">
        <f>IF('A créer'!F4="Oui","",IF(LEN('A créer'!F4)=0,"","contactfournisseur@csp.dalkia.fr"))</f>
        <v/>
      </c>
      <c r="AD4" s="2" t="str">
        <f>IF(LEN('A créer'!D4)=0,"","Tab")</f>
        <v/>
      </c>
      <c r="AE4" s="2" t="str">
        <f>IF(LEN('A créer'!D4)=0,"","Tab")</f>
        <v/>
      </c>
      <c r="AF4" s="6" t="str">
        <f>IF('A créer'!F4="Oui","",IF(LEN('A créer'!F4)=0,"","ATTENTION adresse UNIQUEMENT pour la comptabilité fournisseurs"))</f>
        <v/>
      </c>
      <c r="AG4" s="2" t="str">
        <f>IF(LEN('A créer'!D4)=0,"","Tab")</f>
        <v/>
      </c>
      <c r="AH4" s="4" t="str">
        <f>IF('A créer'!F4="Oui",'A créer'!K4,IF(LEN('A créer'!F4)=0,"",""))</f>
        <v/>
      </c>
      <c r="AI4" s="2" t="str">
        <f>IF(OR(LEN('A créer'!D4)=0,LEN(AH4)&gt;0),"","Tab")</f>
        <v/>
      </c>
      <c r="AJ4" s="6" t="str">
        <f>IF('A créer'!F4="Oui",'A créer'!L4,IF(LEN('A créer'!F4)=0,"","NOUVELLE ADRESSE FACTURATION"))</f>
        <v/>
      </c>
      <c r="AK4" s="2" t="str">
        <f>IF(LEN('A créer'!D4)=0,"","Tab")</f>
        <v/>
      </c>
      <c r="AL4" s="2" t="str">
        <f>IF(LEN('A créer'!D4)=0,"","ENT")</f>
        <v/>
      </c>
      <c r="AM4" s="2" t="str">
        <f>IF(LEN('A créer'!D4)=0,"","Tab 4")</f>
        <v/>
      </c>
      <c r="AN4" s="2" t="str">
        <f>IF(LEN('A créer'!D4)=0,"","Tab 4")</f>
        <v/>
      </c>
      <c r="AO4" s="2" t="str">
        <f>IF(LEN('A créer'!D4)=0,"","Tab")</f>
        <v/>
      </c>
      <c r="AP4" s="2" t="str">
        <f>IF(LEN('A créer'!D4)=0,"","Tab")</f>
        <v/>
      </c>
      <c r="AQ4" s="2" t="str">
        <f>IF(LEN('A créer'!D4)=0,"","Tab")</f>
        <v/>
      </c>
      <c r="AR4" s="4" t="str">
        <f>IF(OR('A créer'!D4="Oui",LEN('A créer'!D4)=0),"",IF(LEN('A créer'!F4)=0,"",'A créer'!B4))</f>
        <v/>
      </c>
      <c r="AS4" s="2" t="str">
        <f>IF(LEN('A créer'!D4)=0,"","Tab")</f>
        <v/>
      </c>
      <c r="AT4" s="2" t="str">
        <f>IF(LEN('A créer'!D4)=0,"","ENT")</f>
        <v/>
      </c>
      <c r="AU4" s="2" t="str">
        <f>IF(LEN('A créer'!D4)=0,"","*SAVE")</f>
        <v/>
      </c>
    </row>
    <row r="5" spans="1:47" x14ac:dyDescent="0.2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2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/>
      </c>
      <c r="R6" s="2" t="str">
        <f>IF(LEN('A créer'!D6)=0,"","Tab")</f>
        <v/>
      </c>
      <c r="S6" s="6" t="str">
        <f>IF(LEN('A créer'!D6)=0,"",CONCATENATE('A créer'!B6,'A créer'!A6))</f>
        <v/>
      </c>
      <c r="T6" s="2" t="s">
        <v>4</v>
      </c>
      <c r="U6" s="6" t="str">
        <f>IF('A créer'!F6="Oui",'A créer'!C6,IF(LEN('A créer'!F6)=0,"",CONCATENATE('A créer'!C6," (",'A créer'!M6,")")))</f>
        <v/>
      </c>
      <c r="V6" s="2" t="str">
        <f>IF(LEN('A créer'!D6)=0,"","Tab")</f>
        <v/>
      </c>
      <c r="W6" s="2" t="str">
        <f>IF(LEN('A créer'!D6)=0,"","Tab")</f>
        <v/>
      </c>
      <c r="X6" s="2" t="str">
        <f>IF(LEN('A créer'!D6)=0,"","Tab")</f>
        <v/>
      </c>
      <c r="Y6" s="6" t="str">
        <f>IF('A créer'!F6="Oui",'A créer'!J6,IF(LEN('A créer'!F6)=0,"",'A créer'!N6))</f>
        <v/>
      </c>
      <c r="Z6" s="2" t="str">
        <f>IF(LEN('A créer'!D6)=0,"","Tab")</f>
        <v/>
      </c>
      <c r="AA6" s="4" t="str">
        <f>IF('A créer'!F6="Oui","",IF(LEN('A créer'!F6)=0,"",'A créer'!O6))</f>
        <v/>
      </c>
      <c r="AB6" s="2" t="str">
        <f>IF(LEN('A créer'!D6)=0,"","Tab")</f>
        <v/>
      </c>
      <c r="AC6" s="4" t="str">
        <f>IF('A créer'!F6="Oui","",IF(LEN('A créer'!F6)=0,"","contactfournisseur@csp.dalkia.fr"))</f>
        <v/>
      </c>
      <c r="AD6" s="2" t="str">
        <f>IF(LEN('A créer'!D6)=0,"","Tab")</f>
        <v/>
      </c>
      <c r="AE6" s="2" t="str">
        <f>IF(LEN('A créer'!D6)=0,"","Tab")</f>
        <v/>
      </c>
      <c r="AF6" s="6" t="str">
        <f>IF('A créer'!F6="Oui","",IF(LEN('A créer'!F6)=0,"","ATTENTION adresse UNIQUEMENT pour la comptabilité fournisseurs"))</f>
        <v/>
      </c>
      <c r="AG6" s="2" t="str">
        <f>IF(LEN('A créer'!D6)=0,"","Tab")</f>
        <v/>
      </c>
      <c r="AH6" s="4" t="str">
        <f>IF('A créer'!F6="Oui",'A créer'!K6,IF(LEN('A créer'!F6)=0,"",""))</f>
        <v/>
      </c>
      <c r="AI6" s="2" t="str">
        <f>IF(OR(LEN('A créer'!D6)=0,LEN(AH6)&gt;0),"","Tab")</f>
        <v/>
      </c>
      <c r="AJ6" s="6" t="str">
        <f>IF('A créer'!F6="Oui",'A créer'!L6,IF(LEN('A créer'!F6)=0,"","NOUVELLE ADRESSE FACTURATION"))</f>
        <v/>
      </c>
      <c r="AK6" s="2" t="str">
        <f>IF(LEN('A créer'!D6)=0,"","Tab")</f>
        <v/>
      </c>
      <c r="AL6" s="2" t="str">
        <f>IF(LEN('A créer'!D6)=0,"","ENT")</f>
        <v/>
      </c>
      <c r="AM6" s="2" t="str">
        <f>IF(LEN('A créer'!D6)=0,"","Tab 4")</f>
        <v/>
      </c>
      <c r="AN6" s="2" t="str">
        <f>IF(LEN('A créer'!D6)=0,"","Tab 4")</f>
        <v/>
      </c>
      <c r="AO6" s="2" t="str">
        <f>IF(LEN('A créer'!D6)=0,"","Tab")</f>
        <v/>
      </c>
      <c r="AP6" s="2" t="str">
        <f>IF(LEN('A créer'!D6)=0,"","Tab")</f>
        <v/>
      </c>
      <c r="AQ6" s="2" t="str">
        <f>IF(LEN('A créer'!D6)=0,"","Tab")</f>
        <v/>
      </c>
      <c r="AR6" s="4" t="str">
        <f>IF(OR('A créer'!D6="Oui",LEN('A créer'!D6)=0),"",IF(LEN('A créer'!F6)=0,"",'A créer'!B6))</f>
        <v/>
      </c>
      <c r="AS6" s="2" t="str">
        <f>IF(LEN('A créer'!D6)=0,"","Tab")</f>
        <v/>
      </c>
      <c r="AT6" s="2" t="str">
        <f>IF(LEN('A créer'!D6)=0,"","ENT")</f>
        <v/>
      </c>
      <c r="AU6" s="2" t="str">
        <f>IF(LEN('A créer'!D6)=0,"","*SAVE")</f>
        <v/>
      </c>
    </row>
    <row r="7" spans="1:47" x14ac:dyDescent="0.2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/>
      </c>
      <c r="R7" s="2" t="str">
        <f>IF(LEN('A créer'!D7)=0,"","Tab")</f>
        <v/>
      </c>
      <c r="S7" s="6" t="str">
        <f>IF(LEN('A créer'!D7)=0,"",CONCATENATE('A créer'!B7,'A créer'!A7))</f>
        <v/>
      </c>
      <c r="T7" s="2" t="s">
        <v>4</v>
      </c>
      <c r="U7" s="6" t="str">
        <f>IF('A créer'!F7="Oui",'A créer'!C7,IF(LEN('A créer'!F7)=0,"",CONCATENATE('A créer'!C7," (",'A créer'!M7,")")))</f>
        <v/>
      </c>
      <c r="V7" s="2" t="str">
        <f>IF(LEN('A créer'!D7)=0,"","Tab")</f>
        <v/>
      </c>
      <c r="W7" s="2" t="str">
        <f>IF(LEN('A créer'!D7)=0,"","Tab")</f>
        <v/>
      </c>
      <c r="X7" s="2" t="str">
        <f>IF(LEN('A créer'!D7)=0,"","Tab")</f>
        <v/>
      </c>
      <c r="Y7" s="6" t="str">
        <f>IF('A créer'!F7="Oui",'A créer'!J7,IF(LEN('A créer'!F7)=0,"",'A créer'!N7))</f>
        <v/>
      </c>
      <c r="Z7" s="2" t="str">
        <f>IF(LEN('A créer'!D7)=0,"","Tab")</f>
        <v/>
      </c>
      <c r="AA7" s="4" t="str">
        <f>IF('A créer'!F7="Oui","",IF(LEN('A créer'!F7)=0,"",'A créer'!O7))</f>
        <v/>
      </c>
      <c r="AB7" s="2" t="str">
        <f>IF(LEN('A créer'!D7)=0,"","Tab")</f>
        <v/>
      </c>
      <c r="AC7" s="4" t="str">
        <f>IF('A créer'!F7="Oui","",IF(LEN('A créer'!F7)=0,"","contactfournisseur@csp.dalkia.fr"))</f>
        <v/>
      </c>
      <c r="AD7" s="2" t="str">
        <f>IF(LEN('A créer'!D7)=0,"","Tab")</f>
        <v/>
      </c>
      <c r="AE7" s="2" t="str">
        <f>IF(LEN('A créer'!D7)=0,"","Tab")</f>
        <v/>
      </c>
      <c r="AF7" s="6" t="str">
        <f>IF('A créer'!F7="Oui","",IF(LEN('A créer'!F7)=0,"","ATTENTION adresse UNIQUEMENT pour la comptabilité fournisseurs"))</f>
        <v/>
      </c>
      <c r="AG7" s="2" t="str">
        <f>IF(LEN('A créer'!D7)=0,"","Tab")</f>
        <v/>
      </c>
      <c r="AH7" s="4" t="str">
        <f>IF('A créer'!F7="Oui",'A créer'!K7,IF(LEN('A créer'!F7)=0,"",""))</f>
        <v/>
      </c>
      <c r="AI7" s="2" t="str">
        <f>IF(OR(LEN('A créer'!D7)=0,LEN(AH7)&gt;0),"","Tab")</f>
        <v/>
      </c>
      <c r="AJ7" s="6" t="str">
        <f>IF('A créer'!F7="Oui",'A créer'!L7,IF(LEN('A créer'!F7)=0,"","NOUVELLE ADRESSE FACTURATION"))</f>
        <v/>
      </c>
      <c r="AK7" s="2" t="str">
        <f>IF(LEN('A créer'!D7)=0,"","Tab")</f>
        <v/>
      </c>
      <c r="AL7" s="2" t="str">
        <f>IF(LEN('A créer'!D7)=0,"","ENT")</f>
        <v/>
      </c>
      <c r="AM7" s="2" t="str">
        <f>IF(LEN('A créer'!D7)=0,"","Tab 4")</f>
        <v/>
      </c>
      <c r="AN7" s="2" t="str">
        <f>IF(LEN('A créer'!D7)=0,"","Tab 4")</f>
        <v/>
      </c>
      <c r="AO7" s="2" t="str">
        <f>IF(LEN('A créer'!D7)=0,"","Tab")</f>
        <v/>
      </c>
      <c r="AP7" s="2" t="str">
        <f>IF(LEN('A créer'!D7)=0,"","Tab")</f>
        <v/>
      </c>
      <c r="AQ7" s="2" t="str">
        <f>IF(LEN('A créer'!D7)=0,"","Tab")</f>
        <v/>
      </c>
      <c r="AR7" s="4" t="str">
        <f>IF(OR('A créer'!D7="Oui",LEN('A créer'!D7)=0),"",IF(LEN('A créer'!F7)=0,"",'A créer'!B7))</f>
        <v/>
      </c>
      <c r="AS7" s="2" t="str">
        <f>IF(LEN('A créer'!D7)=0,"","Tab")</f>
        <v/>
      </c>
      <c r="AT7" s="2" t="str">
        <f>IF(LEN('A créer'!D7)=0,"","ENT")</f>
        <v/>
      </c>
      <c r="AU7" s="2" t="str">
        <f>IF(LEN('A créer'!D7)=0,"","*SAVE")</f>
        <v/>
      </c>
    </row>
    <row r="8" spans="1:47" x14ac:dyDescent="0.2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2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2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2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2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2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2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2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2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2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2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2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2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2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2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2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2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2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2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2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2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2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2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I30"/>
  <sheetViews>
    <sheetView workbookViewId="0">
      <pane ySplit="1" topLeftCell="A2" activePane="bottomLeft" state="frozenSplit"/>
      <selection pane="bottomLeft" activeCell="G2" sqref="G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5.28515625" bestFit="1" customWidth="1"/>
    <col min="4" max="4" width="4" bestFit="1" customWidth="1"/>
    <col min="6" max="6" width="4" bestFit="1" customWidth="1"/>
    <col min="8" max="8" width="4.5703125" bestFit="1" customWidth="1"/>
    <col min="9" max="9" width="6.140625" bestFit="1" customWidth="1"/>
  </cols>
  <sheetData>
    <row r="1" spans="1:9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2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0367</v>
      </c>
      <c r="D2" s="2" t="str">
        <f>IF(LEN('A créer'!C2)=0,"","Tab")</f>
        <v>Tab</v>
      </c>
      <c r="E2" t="str">
        <f>IF(LEN('A créer'!C2)=0,"",'A créer'!B2)</f>
        <v>DEW</v>
      </c>
      <c r="F2" s="2" t="str">
        <f>IF(LEN('A créer'!C2)=0,"","Tab")</f>
        <v>Tab</v>
      </c>
      <c r="G2" t="str">
        <f>IF(LEN('A créer'!C2)=0,"",'A créer'!G2)</f>
        <v>S1029L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25">
      <c r="A3" s="2" t="str">
        <f>IF(LEN('A créer'!C3)=0,"","*FN")</f>
        <v/>
      </c>
      <c r="B3" s="2" t="str">
        <f>IF(LEN('A créer'!A3)=0,"","Tab")</f>
        <v/>
      </c>
      <c r="C3" t="str">
        <f>IF(LEN('A créer'!C3)=0,"",'A créer'!A3)</f>
        <v/>
      </c>
      <c r="D3" s="2" t="str">
        <f>IF(LEN('A créer'!C3)=0,"","Tab")</f>
        <v/>
      </c>
      <c r="E3" t="str">
        <f>IF(LEN('A créer'!C3)=0,"",'A créer'!B3)</f>
        <v/>
      </c>
      <c r="F3" s="2" t="str">
        <f>IF(LEN('A créer'!C3)=0,"","Tab")</f>
        <v/>
      </c>
      <c r="G3" t="str">
        <f>IF(LEN('A créer'!C3)=0,"",'A créer'!G3)</f>
        <v/>
      </c>
      <c r="H3" s="2" t="str">
        <f>IF(LEN('A créer'!C3)=0,"","Tab")</f>
        <v/>
      </c>
      <c r="I3" s="2" t="str">
        <f>IF(LEN('A créer'!C3)=0,"","*SAVE")</f>
        <v/>
      </c>
    </row>
    <row r="4" spans="1:9" x14ac:dyDescent="0.25">
      <c r="A4" s="2" t="str">
        <f>IF(LEN('A créer'!C4)=0,"","*FN")</f>
        <v/>
      </c>
      <c r="B4" s="2" t="str">
        <f>IF(LEN('A créer'!A4)=0,"","Tab")</f>
        <v/>
      </c>
      <c r="C4" t="str">
        <f>IF(LEN('A créer'!C4)=0,"",'A créer'!A4)</f>
        <v/>
      </c>
      <c r="D4" s="2" t="str">
        <f>IF(LEN('A créer'!C4)=0,"","Tab")</f>
        <v/>
      </c>
      <c r="E4" t="str">
        <f>IF(LEN('A créer'!C4)=0,"",'A créer'!B4)</f>
        <v/>
      </c>
      <c r="F4" s="2" t="str">
        <f>IF(LEN('A créer'!C4)=0,"","Tab")</f>
        <v/>
      </c>
      <c r="G4" t="str">
        <f>IF(LEN('A créer'!C4)=0,"",'A créer'!G4)</f>
        <v/>
      </c>
      <c r="H4" s="2" t="str">
        <f>IF(LEN('A créer'!C4)=0,"","Tab")</f>
        <v/>
      </c>
      <c r="I4" s="2" t="str">
        <f>IF(LEN('A créer'!C4)=0,"","*SAVE")</f>
        <v/>
      </c>
    </row>
    <row r="5" spans="1:9" x14ac:dyDescent="0.2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créer'!C6)=0,"",'A créer'!A6)</f>
        <v/>
      </c>
      <c r="D6" s="2" t="str">
        <f>IF(LEN('A créer'!C6)=0,"","Tab")</f>
        <v/>
      </c>
      <c r="E6" t="str">
        <f>IF(LEN('A créer'!C6)=0,"",'A créer'!B6)</f>
        <v/>
      </c>
      <c r="F6" s="2" t="str">
        <f>IF(LEN('A créer'!C6)=0,"","Tab")</f>
        <v/>
      </c>
      <c r="G6" t="str">
        <f>IF(LEN('A créer'!C6)=0,"",'A créer'!G6)</f>
        <v/>
      </c>
      <c r="H6" s="2" t="str">
        <f>IF(LEN('A créer'!C6)=0,"","Tab")</f>
        <v/>
      </c>
      <c r="I6" s="2" t="str">
        <f>IF(LEN('A créer'!C6)=0,"","*SAVE")</f>
        <v/>
      </c>
    </row>
    <row r="7" spans="1:9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créer'!C7)=0,"",'A créer'!A7)</f>
        <v/>
      </c>
      <c r="D7" s="2" t="str">
        <f>IF(LEN('A créer'!C7)=0,"","Tab")</f>
        <v/>
      </c>
      <c r="E7" t="str">
        <f>IF(LEN('A créer'!C7)=0,"",'A créer'!B7)</f>
        <v/>
      </c>
      <c r="F7" s="2" t="str">
        <f>IF(LEN('A créer'!C7)=0,"","Tab")</f>
        <v/>
      </c>
      <c r="G7" t="str">
        <f>IF(LEN('A créer'!C7)=0,"",'A créer'!G7)</f>
        <v/>
      </c>
      <c r="H7" s="2" t="str">
        <f>IF(LEN('A créer'!C7)=0,"","Tab")</f>
        <v/>
      </c>
      <c r="I7" s="2" t="str">
        <f>IF(LEN('A créer'!C7)=0,"","*SAVE")</f>
        <v/>
      </c>
    </row>
    <row r="8" spans="1:9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2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2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2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2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2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2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9" customWidth="1"/>
    <col min="4" max="4" width="4" bestFit="1" customWidth="1"/>
    <col min="5" max="5" width="10.28515625" bestFit="1" customWidth="1"/>
    <col min="6" max="6" width="4" bestFit="1" customWidth="1"/>
    <col min="7" max="7" width="10.28515625" bestFit="1" customWidth="1"/>
    <col min="8" max="8" width="6.140625" bestFit="1" customWidth="1"/>
  </cols>
  <sheetData>
    <row r="1" spans="1:8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2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513179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25">
      <c r="A3" s="2" t="str">
        <f>IF(LEN('A créer'!C3)=0,"","*FN")</f>
        <v/>
      </c>
      <c r="B3" s="2" t="str">
        <f>IF(LEN('A créer'!A3)=0,"","Tab")</f>
        <v/>
      </c>
      <c r="C3" t="str">
        <f>IF(LEN('A créer'!P3)=0,"",'A créer'!P3)</f>
        <v/>
      </c>
      <c r="D3" s="2" t="str">
        <f>IF(LEN('A créer'!C3)=0,"","Tab")</f>
        <v/>
      </c>
      <c r="E3" t="str">
        <f>IF(LEN('A créer'!P3)=0,"","17060")</f>
        <v/>
      </c>
      <c r="F3" s="2" t="str">
        <f>IF(LEN('A créer'!C3)=0,"","Tab")</f>
        <v/>
      </c>
      <c r="G3" t="str">
        <f>IF(LEN('A créer'!P3)=0,"","01/01/2002")</f>
        <v/>
      </c>
      <c r="H3" s="2" t="str">
        <f>IF(LEN('A créer'!C3)=0,"","*SAVE")</f>
        <v/>
      </c>
    </row>
    <row r="4" spans="1:8" x14ac:dyDescent="0.25">
      <c r="A4" s="2" t="str">
        <f>IF(LEN('A créer'!C4)=0,"","*FN")</f>
        <v/>
      </c>
      <c r="B4" s="2" t="str">
        <f>IF(LEN('A créer'!A4)=0,"","Tab")</f>
        <v/>
      </c>
      <c r="C4" t="str">
        <f>IF(LEN('A créer'!P4)=0,"",'A créer'!P4)</f>
        <v/>
      </c>
      <c r="D4" s="2" t="str">
        <f>IF(LEN('A créer'!C4)=0,"","Tab")</f>
        <v/>
      </c>
      <c r="E4" t="str">
        <f>IF(LEN('A créer'!P4)=0,"","17060")</f>
        <v/>
      </c>
      <c r="F4" s="2" t="str">
        <f>IF(LEN('A créer'!C4)=0,"","Tab")</f>
        <v/>
      </c>
      <c r="G4" t="str">
        <f>IF(LEN('A créer'!P4)=0,"","01/01/2002")</f>
        <v/>
      </c>
      <c r="H4" s="2" t="str">
        <f>IF(LEN('A créer'!C4)=0,"","*SAVE")</f>
        <v/>
      </c>
    </row>
    <row r="5" spans="1:8" x14ac:dyDescent="0.2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créer'!P6)=0,"",'A créer'!P6)</f>
        <v/>
      </c>
      <c r="D6" s="2" t="str">
        <f>IF(LEN('A créer'!C6)=0,"","Tab")</f>
        <v/>
      </c>
      <c r="E6" t="str">
        <f>IF(LEN('A créer'!P6)=0,"","17060")</f>
        <v/>
      </c>
      <c r="F6" s="2" t="str">
        <f>IF(LEN('A créer'!C6)=0,"","Tab")</f>
        <v/>
      </c>
      <c r="G6" t="str">
        <f>IF(LEN('A créer'!P6)=0,"","01/01/2002")</f>
        <v/>
      </c>
      <c r="H6" s="2" t="str">
        <f>IF(LEN('A créer'!C6)=0,"","*SAVE")</f>
        <v/>
      </c>
    </row>
    <row r="7" spans="1:8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créer'!P7)=0,"",'A créer'!P7)</f>
        <v/>
      </c>
      <c r="D7" s="2" t="str">
        <f>IF(LEN('A créer'!C7)=0,"","Tab")</f>
        <v/>
      </c>
      <c r="E7" t="str">
        <f>IF(LEN('A créer'!P7)=0,"","17060")</f>
        <v/>
      </c>
      <c r="F7" s="2" t="str">
        <f>IF(LEN('A créer'!C7)=0,"","Tab")</f>
        <v/>
      </c>
      <c r="G7" t="str">
        <f>IF(LEN('A créer'!P7)=0,"","01/01/2002")</f>
        <v/>
      </c>
      <c r="H7" s="2" t="str">
        <f>IF(LEN('A créer'!C7)=0,"","*SAVE")</f>
        <v/>
      </c>
    </row>
    <row r="8" spans="1:8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pane="bottomLeft" activeCell="B2" sqref="B2:B13"/>
    </sheetView>
  </sheetViews>
  <sheetFormatPr baseColWidth="10" defaultRowHeight="15" x14ac:dyDescent="0.25"/>
  <cols>
    <col min="1" max="1" width="4.28515625" bestFit="1" customWidth="1"/>
    <col min="3" max="8" width="4.28515625" bestFit="1" customWidth="1"/>
  </cols>
  <sheetData>
    <row r="1" spans="1:8" x14ac:dyDescent="0.2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25">
      <c r="A2" s="2" t="str">
        <f>IF(LEN('A créer'!$C2)=0,"","TAB")</f>
        <v>TAB</v>
      </c>
      <c r="B2" s="6" t="str">
        <f>CONCATENATE('A créer'!B2,'A créer'!A2)</f>
        <v>DEW0367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25">
      <c r="A3" s="2" t="str">
        <f>IF(LEN('A créer'!$C3)=0,"","TAB")</f>
        <v/>
      </c>
      <c r="B3" s="6" t="str">
        <f>CONCATENATE('A créer'!B3,'A créer'!A3)</f>
        <v/>
      </c>
      <c r="C3" s="2" t="str">
        <f>IF(LEN('A créer'!$C3)=0,"","TAB")</f>
        <v/>
      </c>
      <c r="D3" s="2" t="str">
        <f>IF(LEN('A créer'!$C3)=0,"","ENT")</f>
        <v/>
      </c>
      <c r="E3" s="2" t="str">
        <f>IF(LEN('A créer'!$C3)=0,"","TAB")</f>
        <v/>
      </c>
      <c r="F3" s="2" t="str">
        <f>IF(LEN('A créer'!$C3)=0,"","TAB")</f>
        <v/>
      </c>
      <c r="G3" s="2" t="str">
        <f>IF(LEN('A créer'!$C3)=0,"","ENT")</f>
        <v/>
      </c>
      <c r="H3" s="2" t="str">
        <f>IF(LEN('A créer'!$C3)=0,"","ENT")</f>
        <v/>
      </c>
    </row>
    <row r="4" spans="1:8" x14ac:dyDescent="0.25">
      <c r="A4" s="2" t="str">
        <f>IF(LEN('A créer'!$C4)=0,"","TAB")</f>
        <v/>
      </c>
      <c r="B4" s="6" t="str">
        <f>CONCATENATE('A créer'!B4,'A créer'!A4)</f>
        <v/>
      </c>
      <c r="C4" s="2" t="str">
        <f>IF(LEN('A créer'!$C4)=0,"","TAB")</f>
        <v/>
      </c>
      <c r="D4" s="2" t="str">
        <f>IF(LEN('A créer'!$C4)=0,"","ENT")</f>
        <v/>
      </c>
      <c r="E4" s="2" t="str">
        <f>IF(LEN('A créer'!$C4)=0,"","TAB")</f>
        <v/>
      </c>
      <c r="F4" s="2" t="str">
        <f>IF(LEN('A créer'!$C4)=0,"","TAB")</f>
        <v/>
      </c>
      <c r="G4" s="2" t="str">
        <f>IF(LEN('A créer'!$C4)=0,"","ENT")</f>
        <v/>
      </c>
      <c r="H4" s="2" t="str">
        <f>IF(LEN('A créer'!$C4)=0,"","ENT")</f>
        <v/>
      </c>
    </row>
    <row r="5" spans="1:8" x14ac:dyDescent="0.2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25">
      <c r="A6" s="2" t="str">
        <f>IF(LEN('A créer'!$C6)=0,"","TAB")</f>
        <v/>
      </c>
      <c r="B6" s="6" t="str">
        <f>CONCATENATE('A créer'!B6,'A créer'!A6)</f>
        <v/>
      </c>
      <c r="C6" s="2" t="str">
        <f>IF(LEN('A créer'!$C6)=0,"","TAB")</f>
        <v/>
      </c>
      <c r="D6" s="2" t="str">
        <f>IF(LEN('A créer'!$C6)=0,"","ENT")</f>
        <v/>
      </c>
      <c r="E6" s="2" t="str">
        <f>IF(LEN('A créer'!$C6)=0,"","TAB")</f>
        <v/>
      </c>
      <c r="F6" s="2" t="str">
        <f>IF(LEN('A créer'!$C6)=0,"","TAB")</f>
        <v/>
      </c>
      <c r="G6" s="2" t="str">
        <f>IF(LEN('A créer'!$C6)=0,"","ENT")</f>
        <v/>
      </c>
      <c r="H6" s="2" t="str">
        <f>IF(LEN('A créer'!$C6)=0,"","ENT")</f>
        <v/>
      </c>
    </row>
    <row r="7" spans="1:8" x14ac:dyDescent="0.25">
      <c r="A7" s="2" t="str">
        <f>IF(LEN('A créer'!$C7)=0,"","TAB")</f>
        <v/>
      </c>
      <c r="B7" s="6" t="str">
        <f>CONCATENATE('A créer'!B7,'A créer'!A7)</f>
        <v/>
      </c>
      <c r="C7" s="2" t="str">
        <f>IF(LEN('A créer'!$C7)=0,"","TAB")</f>
        <v/>
      </c>
      <c r="D7" s="2" t="str">
        <f>IF(LEN('A créer'!$C7)=0,"","ENT")</f>
        <v/>
      </c>
      <c r="E7" s="2" t="str">
        <f>IF(LEN('A créer'!$C7)=0,"","TAB")</f>
        <v/>
      </c>
      <c r="F7" s="2" t="str">
        <f>IF(LEN('A créer'!$C7)=0,"","TAB")</f>
        <v/>
      </c>
      <c r="G7" s="2" t="str">
        <f>IF(LEN('A créer'!$C7)=0,"","ENT")</f>
        <v/>
      </c>
      <c r="H7" s="2" t="str">
        <f>IF(LEN('A créer'!$C7)=0,"","ENT")</f>
        <v/>
      </c>
    </row>
    <row r="8" spans="1:8" x14ac:dyDescent="0.2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2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2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2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2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2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2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2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2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2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2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2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2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2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2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2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2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2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2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4" max="4" width="4" bestFit="1" customWidth="1"/>
  </cols>
  <sheetData>
    <row r="1" spans="1:5" x14ac:dyDescent="0.2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2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DEW0367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25">
      <c r="A3" s="2" t="str">
        <f>IF(LEN('A créer'!C3)=0,"","*FN")</f>
        <v/>
      </c>
      <c r="B3" s="2" t="str">
        <f>IF(LEN('A créer'!C3)=0,"","Tab")</f>
        <v/>
      </c>
      <c r="C3" s="8" t="str">
        <f>CONCATENATE('A créer'!B3,'A créer'!A3)</f>
        <v/>
      </c>
      <c r="D3" s="2" t="str">
        <f>IF(LEN('A créer'!C3)=0,"","Tab")</f>
        <v/>
      </c>
      <c r="E3" s="2" t="str">
        <f>IF(LEN('A créer'!C3)=0,"","*SAVE")</f>
        <v/>
      </c>
    </row>
    <row r="4" spans="1:5" x14ac:dyDescent="0.25">
      <c r="A4" s="2" t="str">
        <f>IF(LEN('A créer'!C4)=0,"","*FN")</f>
        <v/>
      </c>
      <c r="B4" s="2" t="str">
        <f>IF(LEN('A créer'!C4)=0,"","Tab")</f>
        <v/>
      </c>
      <c r="C4" s="8" t="str">
        <f>CONCATENATE('A créer'!B4,'A créer'!A4)</f>
        <v/>
      </c>
      <c r="D4" s="2" t="str">
        <f>IF(LEN('A créer'!C4)=0,"","Tab")</f>
        <v/>
      </c>
      <c r="E4" s="2" t="str">
        <f>IF(LEN('A créer'!C4)=0,"","*SAVE")</f>
        <v/>
      </c>
    </row>
    <row r="5" spans="1:5" x14ac:dyDescent="0.2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25">
      <c r="A6" s="2" t="str">
        <f>IF(LEN('A créer'!C6)=0,"","*FN")</f>
        <v/>
      </c>
      <c r="B6" s="2" t="str">
        <f>IF(LEN('A créer'!C6)=0,"","Tab")</f>
        <v/>
      </c>
      <c r="C6" s="8" t="str">
        <f>CONCATENATE('A créer'!B6,'A créer'!A6)</f>
        <v/>
      </c>
      <c r="D6" s="2" t="str">
        <f>IF(LEN('A créer'!C6)=0,"","Tab")</f>
        <v/>
      </c>
      <c r="E6" s="2" t="str">
        <f>IF(LEN('A créer'!C6)=0,"","*SAVE")</f>
        <v/>
      </c>
    </row>
    <row r="7" spans="1:5" x14ac:dyDescent="0.25">
      <c r="A7" s="2" t="str">
        <f>IF(LEN('A créer'!C7)=0,"","*FN")</f>
        <v/>
      </c>
      <c r="B7" s="2" t="str">
        <f>IF(LEN('A créer'!C7)=0,"","Tab")</f>
        <v/>
      </c>
      <c r="C7" s="8" t="str">
        <f>CONCATENATE('A créer'!B7,'A créer'!A7)</f>
        <v/>
      </c>
      <c r="D7" s="2" t="str">
        <f>IF(LEN('A créer'!C7)=0,"","Tab")</f>
        <v/>
      </c>
      <c r="E7" s="2" t="str">
        <f>IF(LEN('A créer'!C7)=0,"","*SAVE")</f>
        <v/>
      </c>
    </row>
    <row r="8" spans="1:5" x14ac:dyDescent="0.2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2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2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2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2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2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2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2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2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2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2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2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2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2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2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2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2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2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2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B2" activePane="bottomRight" state="frozenSplit"/>
      <selection pane="topRight"/>
      <selection pane="bottomLeft"/>
      <selection pane="bottomRight" activeCell="A2" sqref="A2:N2"/>
    </sheetView>
  </sheetViews>
  <sheetFormatPr baseColWidth="10" defaultRowHeight="15" x14ac:dyDescent="0.25"/>
  <cols>
    <col min="1" max="1" width="4.28515625" bestFit="1" customWidth="1"/>
    <col min="3" max="3" width="4.28515625" bestFit="1" customWidth="1"/>
    <col min="4" max="4" width="18.42578125" bestFit="1" customWidth="1"/>
    <col min="5" max="5" width="5.28515625" style="6" bestFit="1" customWidth="1"/>
    <col min="6" max="6" width="5.7109375" bestFit="1" customWidth="1"/>
    <col min="7" max="7" width="4.28515625" style="6" bestFit="1" customWidth="1"/>
    <col min="8" max="9" width="4.28515625" bestFit="1" customWidth="1"/>
    <col min="10" max="10" width="35.28515625" bestFit="1" customWidth="1"/>
    <col min="11" max="11" width="5.7109375" bestFit="1" customWidth="1"/>
    <col min="13" max="13" width="4.28515625" style="6" bestFit="1" customWidth="1"/>
    <col min="14" max="14" width="6.140625" bestFit="1" customWidth="1"/>
    <col min="15" max="15" width="11.5703125" style="6"/>
    <col min="16" max="16" width="4.28515625" bestFit="1" customWidth="1"/>
    <col min="17" max="17" width="5" bestFit="1" customWidth="1"/>
    <col min="18" max="18" width="4.28515625" bestFit="1" customWidth="1"/>
    <col min="20" max="21" width="5.7109375" bestFit="1" customWidth="1"/>
    <col min="22" max="24" width="4.28515625" bestFit="1" customWidth="1"/>
    <col min="26" max="26" width="5.7109375" bestFit="1" customWidth="1"/>
    <col min="28" max="28" width="4.28515625" bestFit="1" customWidth="1"/>
    <col min="29" max="29" width="6.140625" bestFit="1" customWidth="1"/>
    <col min="30" max="30" width="13.42578125" style="6" bestFit="1" customWidth="1"/>
  </cols>
  <sheetData>
    <row r="1" spans="1:30" x14ac:dyDescent="0.2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2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DEW0367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DEW0367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/>
      </c>
      <c r="Q2" s="6" t="str">
        <f>IF(OR(LEN('A créer'!$C2)=0,'A créer'!$E2="Oui"),"",'A créer'!A2)</f>
        <v/>
      </c>
      <c r="R2" s="2" t="str">
        <f>IF(OR(LEN('A créer'!$C2)=0,'A créer'!$E2="Oui"),"","TAB")</f>
        <v/>
      </c>
      <c r="S2" s="6" t="str">
        <f>IF(OR(LEN('A créer'!$C2)=0,'A créer'!$E2="Oui"),"","Setup Business Group")</f>
        <v/>
      </c>
      <c r="T2" s="2" t="str">
        <f>IF(OR(LEN('A créer'!$C2)=0,'A créer'!$E2="Oui"),"","TAB 4")</f>
        <v/>
      </c>
      <c r="U2" s="2" t="str">
        <f>IF(OR(LEN('A créer'!$C2)=0,'A créer'!$E2="Oui"),"","TAB 4")</f>
        <v/>
      </c>
      <c r="V2" s="2" t="str">
        <f>IF(OR(LEN('A créer'!$C2)=0,'A créer'!$E2="Oui"),"","TAB")</f>
        <v/>
      </c>
      <c r="W2" s="2" t="str">
        <f>IF(OR(LEN('A créer'!$C2)=0,'A créer'!$E2="Oui"),"","TAB")</f>
        <v/>
      </c>
      <c r="X2" s="2" t="str">
        <f>IF(OR(LEN('A créer'!$C2)=0,'A créer'!$E2="Oui"),"","TAB")</f>
        <v/>
      </c>
      <c r="Y2" s="6" t="str">
        <f>IF(OR(LEN('A créer'!$C2)=0,'A créer'!$E2="Oui"),"","\Sécuriser les organisations par hiérarchie")</f>
        <v/>
      </c>
      <c r="Z2" s="2" t="str">
        <f>IF(OR(LEN('A créer'!$C2)=0,'A créer'!$E2="Oui"),"","TAB 4")</f>
        <v/>
      </c>
      <c r="AA2" s="6" t="str">
        <f>IF(OR(LEN('A créer'!$C2)=0,'A créer'!$E2="Oui"),"",CONCATENATE('A créer'!B2,'A créer'!A2))</f>
        <v/>
      </c>
      <c r="AB2" s="2" t="str">
        <f>IF(OR(LEN('A créer'!$C2)=0,'A créer'!$E2="Oui"),"","TAB")</f>
        <v/>
      </c>
      <c r="AC2" s="2" t="str">
        <f>IF(OR(LEN('A créer'!$C2)=0,'A créer'!$E2="Oui"),"","*SAVE")</f>
        <v/>
      </c>
      <c r="AD2" s="2" t="str">
        <f>IF(OR(LEN('A créer'!$C2)=0,'A créer'!$E2="Oui"),"","*ML(103,118)")</f>
        <v/>
      </c>
    </row>
    <row r="3" spans="1:30" x14ac:dyDescent="0.25">
      <c r="A3" s="2" t="str">
        <f>IF(AND(LEN('A créer'!$C3)=0,LEN('A créer'!$E3&gt;0)),"","*FN")</f>
        <v/>
      </c>
      <c r="B3" s="25" t="str">
        <f>IF(AND(LEN('A créer'!$C3)=0,LEN('A créer'!$E3&gt;0)),"",CONCATENATE('A créer'!B3,'A créer'!A3))</f>
        <v/>
      </c>
      <c r="C3" s="2" t="str">
        <f>IF(AND(LEN('A créer'!$C3)=0,LEN('A créer'!$E3&gt;0)),"","TAB")</f>
        <v/>
      </c>
      <c r="D3" s="6" t="str">
        <f>IF(AND(LEN('A créer'!$C3)=0,LEN('A créer'!$E3&gt;0)),"","Setup Business Group")</f>
        <v/>
      </c>
      <c r="E3" s="2" t="str">
        <f>IF(AND(LEN('A créer'!$C3)=0,LEN('A créer'!$E3&gt;0)),"","TAB 4")</f>
        <v/>
      </c>
      <c r="F3" s="2" t="str">
        <f>IF(AND(LEN('A créer'!$C3)=0,LEN('A créer'!$E3&gt;0)),"","TAB 4")</f>
        <v/>
      </c>
      <c r="G3" s="2" t="str">
        <f>IF(AND(LEN('A créer'!$C3)=0,LEN('A créer'!$E3&gt;0)),"","TAB")</f>
        <v/>
      </c>
      <c r="H3" s="2" t="str">
        <f>IF(AND(LEN('A créer'!$C3)=0,LEN('A créer'!$E3&gt;0)),"","TAB")</f>
        <v/>
      </c>
      <c r="I3" s="2" t="str">
        <f>IF(AND(LEN('A créer'!$C3)=0,LEN('A créer'!$E3&gt;0)),"","TAB")</f>
        <v/>
      </c>
      <c r="J3" s="6" t="str">
        <f>IF(AND(LEN('A créer'!$C3)=0,LEN('A créer'!$E3&gt;0)),"","\Sécuriser les organisations par hiérarchie")</f>
        <v/>
      </c>
      <c r="K3" s="2" t="str">
        <f>IF(AND(LEN('A créer'!$C3)=0,LEN('A créer'!$E3&gt;0)),"","TAB 4")</f>
        <v/>
      </c>
      <c r="L3" s="6" t="str">
        <f>IF(AND(LEN('A créer'!$C3)=0,LEN('A créer'!$E3&gt;0)),"",CONCATENATE('A créer'!B3,'A créer'!A3))</f>
        <v/>
      </c>
      <c r="M3" s="2" t="str">
        <f>IF(AND(LEN('A créer'!$C3)=0,LEN('A créer'!$E3&gt;0)),"","TAB")</f>
        <v/>
      </c>
      <c r="N3" s="2" t="str">
        <f>IF(AND(LEN('A créer'!$C3)=0,LEN('A créer'!$E3&gt;0)),"","*SAVE")</f>
        <v/>
      </c>
      <c r="O3" s="2" t="str">
        <f>IF(AND(LEN('A créer'!$C3)=0,LEN('A créer'!$E3&gt;0)),"","*ML(103,118)")</f>
        <v/>
      </c>
      <c r="P3" s="2" t="str">
        <f>IF(OR(LEN('A créer'!$C3)=0,'A créer'!$E3="Oui"),"","*FN")</f>
        <v/>
      </c>
      <c r="Q3" s="6" t="str">
        <f>IF(OR(LEN('A créer'!$C3)=0,'A créer'!$E3="Oui"),"",'A créer'!A3)</f>
        <v/>
      </c>
      <c r="R3" s="2" t="str">
        <f>IF(OR(LEN('A créer'!$C3)=0,'A créer'!$E3="Oui"),"","TAB")</f>
        <v/>
      </c>
      <c r="S3" s="6" t="str">
        <f>IF(OR(LEN('A créer'!$C3)=0,'A créer'!$E3="Oui"),"","Setup Business Group")</f>
        <v/>
      </c>
      <c r="T3" s="2" t="str">
        <f>IF(OR(LEN('A créer'!$C3)=0,'A créer'!$E3="Oui"),"","TAB 4")</f>
        <v/>
      </c>
      <c r="U3" s="2" t="str">
        <f>IF(OR(LEN('A créer'!$C3)=0,'A créer'!$E3="Oui"),"","TAB 4")</f>
        <v/>
      </c>
      <c r="V3" s="2" t="str">
        <f>IF(OR(LEN('A créer'!$C3)=0,'A créer'!$E3="Oui"),"","TAB")</f>
        <v/>
      </c>
      <c r="W3" s="2" t="str">
        <f>IF(OR(LEN('A créer'!$C3)=0,'A créer'!$E3="Oui"),"","TAB")</f>
        <v/>
      </c>
      <c r="X3" s="2" t="str">
        <f>IF(OR(LEN('A créer'!$C3)=0,'A créer'!$E3="Oui"),"","TAB")</f>
        <v/>
      </c>
      <c r="Y3" s="6" t="str">
        <f>IF(OR(LEN('A créer'!$C3)=0,'A créer'!$E3="Oui"),"","\Sécuriser les organisations par hiérarchie")</f>
        <v/>
      </c>
      <c r="Z3" s="2" t="str">
        <f>IF(OR(LEN('A créer'!$C3)=0,'A créer'!$E3="Oui"),"","TAB 4")</f>
        <v/>
      </c>
      <c r="AA3" s="6" t="str">
        <f>IF(OR(LEN('A créer'!$C3)=0,'A créer'!$E3="Oui"),"",CONCATENATE('A créer'!B3,'A créer'!A3))</f>
        <v/>
      </c>
      <c r="AB3" s="2" t="str">
        <f>IF(OR(LEN('A créer'!$C3)=0,'A créer'!$E3="Oui"),"","TAB")</f>
        <v/>
      </c>
      <c r="AC3" s="2" t="str">
        <f>IF(OR(LEN('A créer'!$C3)=0,'A créer'!$E3="Oui"),"","*SAVE")</f>
        <v/>
      </c>
      <c r="AD3" s="2" t="str">
        <f>IF(OR(LEN('A créer'!$C3)=0,'A créer'!$E3="Oui"),"","*ML(103,118)")</f>
        <v/>
      </c>
    </row>
    <row r="4" spans="1:30" x14ac:dyDescent="0.25">
      <c r="A4" s="2" t="str">
        <f>IF(AND(LEN('A créer'!$C4)=0,LEN('A créer'!$E4&gt;0)),"","*FN")</f>
        <v/>
      </c>
      <c r="B4" s="25" t="str">
        <f>IF(AND(LEN('A créer'!$C4)=0,LEN('A créer'!$E4&gt;0)),"",CONCATENATE('A créer'!B4,'A créer'!A4))</f>
        <v/>
      </c>
      <c r="C4" s="2" t="str">
        <f>IF(AND(LEN('A créer'!$C4)=0,LEN('A créer'!$E4&gt;0)),"","TAB")</f>
        <v/>
      </c>
      <c r="D4" s="6" t="str">
        <f>IF(AND(LEN('A créer'!$C4)=0,LEN('A créer'!$E4&gt;0)),"","Setup Business Group")</f>
        <v/>
      </c>
      <c r="E4" s="2" t="str">
        <f>IF(AND(LEN('A créer'!$C4)=0,LEN('A créer'!$E4&gt;0)),"","TAB 4")</f>
        <v/>
      </c>
      <c r="F4" s="2" t="str">
        <f>IF(AND(LEN('A créer'!$C4)=0,LEN('A créer'!$E4&gt;0)),"","TAB 4")</f>
        <v/>
      </c>
      <c r="G4" s="2" t="str">
        <f>IF(AND(LEN('A créer'!$C4)=0,LEN('A créer'!$E4&gt;0)),"","TAB")</f>
        <v/>
      </c>
      <c r="H4" s="2" t="str">
        <f>IF(AND(LEN('A créer'!$C4)=0,LEN('A créer'!$E4&gt;0)),"","TAB")</f>
        <v/>
      </c>
      <c r="I4" s="2" t="str">
        <f>IF(AND(LEN('A créer'!$C4)=0,LEN('A créer'!$E4&gt;0)),"","TAB")</f>
        <v/>
      </c>
      <c r="J4" s="6" t="str">
        <f>IF(AND(LEN('A créer'!$C4)=0,LEN('A créer'!$E4&gt;0)),"","\Sécuriser les organisations par hiérarchie")</f>
        <v/>
      </c>
      <c r="K4" s="2" t="str">
        <f>IF(AND(LEN('A créer'!$C4)=0,LEN('A créer'!$E4&gt;0)),"","TAB 4")</f>
        <v/>
      </c>
      <c r="L4" s="6" t="str">
        <f>IF(AND(LEN('A créer'!$C4)=0,LEN('A créer'!$E4&gt;0)),"",CONCATENATE('A créer'!B4,'A créer'!A4))</f>
        <v/>
      </c>
      <c r="M4" s="2" t="str">
        <f>IF(AND(LEN('A créer'!$C4)=0,LEN('A créer'!$E4&gt;0)),"","TAB")</f>
        <v/>
      </c>
      <c r="N4" s="2" t="str">
        <f>IF(AND(LEN('A créer'!$C4)=0,LEN('A créer'!$E4&gt;0)),"","*SAVE")</f>
        <v/>
      </c>
      <c r="O4" s="2" t="str">
        <f>IF(AND(LEN('A créer'!$C4)=0,LEN('A créer'!$E4&gt;0)),"","*ML(103,118)")</f>
        <v/>
      </c>
      <c r="P4" s="2" t="str">
        <f>IF(OR(LEN('A créer'!$C4)=0,'A créer'!$E4="Oui"),"","*FN")</f>
        <v/>
      </c>
      <c r="Q4" s="6" t="str">
        <f>IF(OR(LEN('A créer'!$C4)=0,'A créer'!$E4="Oui"),"",'A créer'!A4)</f>
        <v/>
      </c>
      <c r="R4" s="2" t="str">
        <f>IF(OR(LEN('A créer'!$C4)=0,'A créer'!$E4="Oui"),"","TAB")</f>
        <v/>
      </c>
      <c r="S4" s="6" t="str">
        <f>IF(OR(LEN('A créer'!$C4)=0,'A créer'!$E4="Oui"),"","Setup Business Group")</f>
        <v/>
      </c>
      <c r="T4" s="2" t="str">
        <f>IF(OR(LEN('A créer'!$C4)=0,'A créer'!$E4="Oui"),"","TAB 4")</f>
        <v/>
      </c>
      <c r="U4" s="2" t="str">
        <f>IF(OR(LEN('A créer'!$C4)=0,'A créer'!$E4="Oui"),"","TAB 4")</f>
        <v/>
      </c>
      <c r="V4" s="2" t="str">
        <f>IF(OR(LEN('A créer'!$C4)=0,'A créer'!$E4="Oui"),"","TAB")</f>
        <v/>
      </c>
      <c r="W4" s="2" t="str">
        <f>IF(OR(LEN('A créer'!$C4)=0,'A créer'!$E4="Oui"),"","TAB")</f>
        <v/>
      </c>
      <c r="X4" s="2" t="str">
        <f>IF(OR(LEN('A créer'!$C4)=0,'A créer'!$E4="Oui"),"","TAB")</f>
        <v/>
      </c>
      <c r="Y4" s="6" t="str">
        <f>IF(OR(LEN('A créer'!$C4)=0,'A créer'!$E4="Oui"),"","\Sécuriser les organisations par hiérarchie")</f>
        <v/>
      </c>
      <c r="Z4" s="2" t="str">
        <f>IF(OR(LEN('A créer'!$C4)=0,'A créer'!$E4="Oui"),"","TAB 4")</f>
        <v/>
      </c>
      <c r="AA4" s="6" t="str">
        <f>IF(OR(LEN('A créer'!$C4)=0,'A créer'!$E4="Oui"),"",CONCATENATE('A créer'!B4,'A créer'!A4))</f>
        <v/>
      </c>
      <c r="AB4" s="2" t="str">
        <f>IF(OR(LEN('A créer'!$C4)=0,'A créer'!$E4="Oui"),"","TAB")</f>
        <v/>
      </c>
      <c r="AC4" s="2" t="str">
        <f>IF(OR(LEN('A créer'!$C4)=0,'A créer'!$E4="Oui"),"","*SAVE")</f>
        <v/>
      </c>
      <c r="AD4" s="2" t="str">
        <f>IF(OR(LEN('A créer'!$C4)=0,'A créer'!$E4="Oui"),"","*ML(103,118)")</f>
        <v/>
      </c>
    </row>
    <row r="5" spans="1:30" x14ac:dyDescent="0.2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créer'!$E5="Oui"),"","*ML(103,118)")</f>
        <v/>
      </c>
    </row>
    <row r="6" spans="1:30" x14ac:dyDescent="0.25">
      <c r="A6" s="2" t="str">
        <f>IF(AND(LEN('A créer'!$C6)=0,LEN('A créer'!$E6&gt;0)),"","*FN")</f>
        <v/>
      </c>
      <c r="B6" s="3" t="str">
        <f>IF(AND(LEN('A créer'!$C6)=0,LEN('A créer'!$E6&gt;0)),"",CONCATENATE('A créer'!B6,'A créer'!A6))</f>
        <v/>
      </c>
      <c r="C6" s="2" t="str">
        <f>IF(AND(LEN('A créer'!$C6)=0,LEN('A créer'!$E6&gt;0)),"","TAB")</f>
        <v/>
      </c>
      <c r="D6" s="6" t="str">
        <f>IF(AND(LEN('A créer'!$C6)=0,LEN('A créer'!$E6&gt;0)),"","Setup Business Group")</f>
        <v/>
      </c>
      <c r="E6" s="2" t="str">
        <f>IF(AND(LEN('A créer'!$C6)=0,LEN('A créer'!$E6&gt;0)),"","TAB 4")</f>
        <v/>
      </c>
      <c r="F6" s="2" t="str">
        <f>IF(AND(LEN('A créer'!$C6)=0,LEN('A créer'!$E6&gt;0)),"","TAB 4")</f>
        <v/>
      </c>
      <c r="G6" s="2" t="str">
        <f>IF(AND(LEN('A créer'!$C6)=0,LEN('A créer'!$E6&gt;0)),"","TAB")</f>
        <v/>
      </c>
      <c r="H6" s="2" t="str">
        <f>IF(AND(LEN('A créer'!$C6)=0,LEN('A créer'!$E6&gt;0)),"","TAB")</f>
        <v/>
      </c>
      <c r="I6" s="2" t="str">
        <f>IF(AND(LEN('A créer'!$C6)=0,LEN('A créer'!$E6&gt;0)),"","TAB")</f>
        <v/>
      </c>
      <c r="J6" s="6" t="str">
        <f>IF(AND(LEN('A créer'!$C6)=0,LEN('A créer'!$E6&gt;0)),"","\Sécuriser les organisations par hiérarchie")</f>
        <v/>
      </c>
      <c r="K6" s="2" t="str">
        <f>IF(AND(LEN('A créer'!$C6)=0,LEN('A créer'!$E6&gt;0)),"","TAB 4")</f>
        <v/>
      </c>
      <c r="L6" s="6" t="str">
        <f>IF(AND(LEN('A créer'!$C6)=0,LEN('A créer'!$E6&gt;0)),"",CONCATENATE('A créer'!B6,'A créer'!A6))</f>
        <v/>
      </c>
      <c r="M6" s="2" t="str">
        <f>IF(AND(LEN('A créer'!$C6)=0,LEN('A créer'!$E6&gt;0)),"","TAB")</f>
        <v/>
      </c>
      <c r="N6" s="2" t="str">
        <f>IF(AND(LEN('A créer'!$C6)=0,LEN('A créer'!$E6&gt;0)),"","*SAVE")</f>
        <v/>
      </c>
      <c r="O6" s="2" t="str">
        <f>IF(AND(LEN('A créer'!$C6)=0,LEN('A créer'!$E6&gt;0)),"","*ML(103,118)")</f>
        <v/>
      </c>
      <c r="P6" s="2" t="str">
        <f>IF(OR(LEN('A créer'!$C6)=0,'A créer'!$E6="Oui"),"","*FN")</f>
        <v/>
      </c>
      <c r="Q6" s="6" t="str">
        <f>IF(OR(LEN('A créer'!$C6)=0,'A créer'!$E6="Oui"),"",'A créer'!A6)</f>
        <v/>
      </c>
      <c r="R6" s="2" t="str">
        <f>IF(OR(LEN('A créer'!$C6)=0,'A créer'!$E6="Oui"),"","TAB")</f>
        <v/>
      </c>
      <c r="S6" s="6" t="str">
        <f>IF(OR(LEN('A créer'!$C6)=0,'A créer'!$E6="Oui"),"","Setup Business Group")</f>
        <v/>
      </c>
      <c r="T6" s="2" t="str">
        <f>IF(OR(LEN('A créer'!$C6)=0,'A créer'!$E6="Oui"),"","TAB 4")</f>
        <v/>
      </c>
      <c r="U6" s="2" t="str">
        <f>IF(OR(LEN('A créer'!$C6)=0,'A créer'!$E6="Oui"),"","TAB 4")</f>
        <v/>
      </c>
      <c r="V6" s="2" t="str">
        <f>IF(OR(LEN('A créer'!$C6)=0,'A créer'!$E6="Oui"),"","TAB")</f>
        <v/>
      </c>
      <c r="W6" s="2" t="str">
        <f>IF(OR(LEN('A créer'!$C6)=0,'A créer'!$E6="Oui"),"","TAB")</f>
        <v/>
      </c>
      <c r="X6" s="2" t="str">
        <f>IF(OR(LEN('A créer'!$C6)=0,'A créer'!$E6="Oui"),"","TAB")</f>
        <v/>
      </c>
      <c r="Y6" s="6" t="str">
        <f>IF(OR(LEN('A créer'!$C6)=0,'A créer'!$E6="Oui"),"","\Sécuriser les organisations par hiérarchie")</f>
        <v/>
      </c>
      <c r="Z6" s="2" t="str">
        <f>IF(OR(LEN('A créer'!$C6)=0,'A créer'!$E6="Oui"),"","TAB 4")</f>
        <v/>
      </c>
      <c r="AA6" s="6" t="str">
        <f>IF(OR(LEN('A créer'!$C6)=0,'A créer'!$E6="Oui"),"",CONCATENATE('A créer'!B6,'A créer'!A6))</f>
        <v/>
      </c>
      <c r="AB6" s="2" t="str">
        <f>IF(OR(LEN('A créer'!$C6)=0,'A créer'!$E6="Oui"),"","TAB")</f>
        <v/>
      </c>
      <c r="AC6" s="2" t="str">
        <f>IF(OR(LEN('A créer'!$C6)=0,'A créer'!$E6="Oui"),"","*SAVE")</f>
        <v/>
      </c>
      <c r="AD6" s="2" t="str">
        <f>IF(OR(LEN('A créer'!$C6)=0,'A créer'!$E6="Oui"),"","*ML(118,110)")</f>
        <v/>
      </c>
    </row>
    <row r="7" spans="1:30" x14ac:dyDescent="0.25">
      <c r="A7" s="2" t="str">
        <f>IF(AND(LEN('A créer'!$C7)=0,LEN('A créer'!$E7&gt;0)),"","*FN")</f>
        <v/>
      </c>
      <c r="B7" s="25" t="str">
        <f>IF(AND(LEN('A créer'!$C7)=0,LEN('A créer'!$E7&gt;0)),"",CONCATENATE('A créer'!B7,'A créer'!A7))</f>
        <v/>
      </c>
      <c r="C7" s="2" t="str">
        <f>IF(AND(LEN('A créer'!$C7)=0,LEN('A créer'!$E7&gt;0)),"","TAB")</f>
        <v/>
      </c>
      <c r="D7" s="6" t="str">
        <f>IF(AND(LEN('A créer'!$C7)=0,LEN('A créer'!$E7&gt;0)),"","Setup Business Group")</f>
        <v/>
      </c>
      <c r="E7" s="2" t="str">
        <f>IF(AND(LEN('A créer'!$C7)=0,LEN('A créer'!$E7&gt;0)),"","TAB 4")</f>
        <v/>
      </c>
      <c r="F7" s="2" t="str">
        <f>IF(AND(LEN('A créer'!$C7)=0,LEN('A créer'!$E7&gt;0)),"","TAB 4")</f>
        <v/>
      </c>
      <c r="G7" s="2" t="str">
        <f>IF(AND(LEN('A créer'!$C7)=0,LEN('A créer'!$E7&gt;0)),"","TAB")</f>
        <v/>
      </c>
      <c r="H7" s="2" t="str">
        <f>IF(AND(LEN('A créer'!$C7)=0,LEN('A créer'!$E7&gt;0)),"","TAB")</f>
        <v/>
      </c>
      <c r="I7" s="2" t="str">
        <f>IF(AND(LEN('A créer'!$C7)=0,LEN('A créer'!$E7&gt;0)),"","TAB")</f>
        <v/>
      </c>
      <c r="J7" s="6" t="str">
        <f>IF(AND(LEN('A créer'!$C7)=0,LEN('A créer'!$E7&gt;0)),"","\Sécuriser les organisations par hiérarchie")</f>
        <v/>
      </c>
      <c r="K7" s="2" t="str">
        <f>IF(AND(LEN('A créer'!$C7)=0,LEN('A créer'!$E7&gt;0)),"","TAB 4")</f>
        <v/>
      </c>
      <c r="L7" s="6" t="str">
        <f>IF(AND(LEN('A créer'!$C7)=0,LEN('A créer'!$E7&gt;0)),"",CONCATENATE('A créer'!B7,'A créer'!A7))</f>
        <v/>
      </c>
      <c r="M7" s="2" t="str">
        <f>IF(AND(LEN('A créer'!$C7)=0,LEN('A créer'!$E7&gt;0)),"","TAB")</f>
        <v/>
      </c>
      <c r="N7" s="2" t="str">
        <f>IF(AND(LEN('A créer'!$C7)=0,LEN('A créer'!$E7&gt;0)),"","*SAVE")</f>
        <v/>
      </c>
      <c r="O7" s="2" t="str">
        <f>IF(AND(LEN('A créer'!$C7)=0,LEN('A créer'!$E7&gt;0)),"","*ML(103,118)")</f>
        <v/>
      </c>
      <c r="P7" s="2" t="str">
        <f>IF(OR(LEN('A créer'!$C7)=0,'A créer'!$E7="Oui"),"","*FN")</f>
        <v/>
      </c>
      <c r="Q7" s="6" t="str">
        <f>IF(OR(LEN('A créer'!$C7)=0,'A créer'!$E7="Oui"),"",'A créer'!A7)</f>
        <v/>
      </c>
      <c r="R7" s="2" t="str">
        <f>IF(OR(LEN('A créer'!$C7)=0,'A créer'!$E7="Oui"),"","TAB")</f>
        <v/>
      </c>
      <c r="S7" s="6" t="str">
        <f>IF(OR(LEN('A créer'!$C7)=0,'A créer'!$E7="Oui"),"","Setup Business Group")</f>
        <v/>
      </c>
      <c r="T7" s="2" t="str">
        <f>IF(OR(LEN('A créer'!$C7)=0,'A créer'!$E7="Oui"),"","TAB 4")</f>
        <v/>
      </c>
      <c r="U7" s="2" t="str">
        <f>IF(OR(LEN('A créer'!$C7)=0,'A créer'!$E7="Oui"),"","TAB 4")</f>
        <v/>
      </c>
      <c r="V7" s="2" t="str">
        <f>IF(OR(LEN('A créer'!$C7)=0,'A créer'!$E7="Oui"),"","TAB")</f>
        <v/>
      </c>
      <c r="W7" s="2" t="str">
        <f>IF(OR(LEN('A créer'!$C7)=0,'A créer'!$E7="Oui"),"","TAB")</f>
        <v/>
      </c>
      <c r="X7" s="2" t="str">
        <f>IF(OR(LEN('A créer'!$C7)=0,'A créer'!$E7="Oui"),"","TAB")</f>
        <v/>
      </c>
      <c r="Y7" s="6" t="str">
        <f>IF(OR(LEN('A créer'!$C7)=0,'A créer'!$E7="Oui"),"","\Sécuriser les organisations par hiérarchie")</f>
        <v/>
      </c>
      <c r="Z7" s="2" t="str">
        <f>IF(OR(LEN('A créer'!$C7)=0,'A créer'!$E7="Oui"),"","TAB 4")</f>
        <v/>
      </c>
      <c r="AA7" s="6" t="str">
        <f>IF(OR(LEN('A créer'!$C7)=0,'A créer'!$E7="Oui"),"",CONCATENATE('A créer'!B7,'A créer'!A7))</f>
        <v/>
      </c>
      <c r="AB7" s="2" t="str">
        <f>IF(OR(LEN('A créer'!$C7)=0,'A créer'!$E7="Oui"),"","TAB")</f>
        <v/>
      </c>
      <c r="AC7" s="2" t="str">
        <f>IF(OR(LEN('A créer'!$C7)=0,'A créer'!$E7="Oui"),"","*SAVE")</f>
        <v/>
      </c>
      <c r="AD7" s="2" t="str">
        <f>IF(OR(LEN('A créer'!$C7)=0,'A créer'!$E7="Oui"),"","*ML(118,110)")</f>
        <v/>
      </c>
    </row>
    <row r="8" spans="1:30" x14ac:dyDescent="0.25">
      <c r="A8" s="2" t="str">
        <f>IF(AND(LEN('A créer'!$C8)=0,LEN('A créer'!$E8&gt;0)),"","*FN")</f>
        <v/>
      </c>
      <c r="B8" s="25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2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créer'!$E9&gt;0)),"","*ML(103,118)")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2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créer'!$E10&gt;0)),"","*ML(103,118)")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2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2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2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25">
      <c r="A14" s="2" t="str">
        <f>IF(AND(LEN('A créer'!$C14)=0,LEN('A créer'!$E14&gt;0)),"","*FN")</f>
        <v/>
      </c>
      <c r="B14" s="3" t="s">
        <v>94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25">
      <c r="A15" s="2" t="str">
        <f>IF(AND(LEN('A créer'!$C15)=0,LEN('A créer'!$E15&gt;0)),"","*FN")</f>
        <v/>
      </c>
      <c r="B15" s="25" t="s">
        <v>95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2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2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2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2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2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2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2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2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2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2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2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2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2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2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2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.28515625" style="6" customWidth="1"/>
    <col min="3" max="3" width="25.140625" bestFit="1" customWidth="1"/>
    <col min="4" max="5" width="4.28515625" bestFit="1" customWidth="1"/>
    <col min="7" max="12" width="4.28515625" bestFit="1" customWidth="1"/>
  </cols>
  <sheetData>
    <row r="1" spans="1:12" x14ac:dyDescent="0.2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2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DEW0367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25">
      <c r="A3" s="2" t="str">
        <f>IF(LEN('A créer'!$C3)=0,"","TAB")</f>
        <v/>
      </c>
      <c r="B3" s="2" t="str">
        <f>IF(LEN('A créer'!$C3)=0,"","TAB")</f>
        <v/>
      </c>
      <c r="C3" s="6" t="str">
        <f>IF(LEN('A créer'!$C3)=0,"","\Un profil de sécurité nommé")</f>
        <v/>
      </c>
      <c r="D3" s="2" t="str">
        <f>IF(LEN('A créer'!$C3)=0,"","TAB")</f>
        <v/>
      </c>
      <c r="E3" s="2" t="str">
        <f>IF(LEN('A créer'!$C3)=0,"","TAB")</f>
        <v/>
      </c>
      <c r="F3" s="6" t="str">
        <f>IF(LEN('A créer'!$C3)=0,"",CONCATENATE('A créer'!B3,'A créer'!A3))</f>
        <v/>
      </c>
      <c r="G3" s="2" t="str">
        <f>IF(LEN('A créer'!$C3)=0,"","TAB")</f>
        <v/>
      </c>
      <c r="H3" s="2" t="str">
        <f>IF(LEN('A créer'!$C3)=0,"","ENT")</f>
        <v/>
      </c>
      <c r="I3" s="2" t="str">
        <f>IF(LEN('A créer'!$C3)=0,"","TAB")</f>
        <v/>
      </c>
      <c r="J3" s="2" t="str">
        <f>IF(LEN('A créer'!$C3)=0,"","TAB")</f>
        <v/>
      </c>
      <c r="K3" s="2" t="str">
        <f>IF(LEN('A créer'!$C3)=0,"","ENT")</f>
        <v/>
      </c>
      <c r="L3" s="2" t="str">
        <f>IF(LEN('A créer'!$C3)=0,"","ENT")</f>
        <v/>
      </c>
    </row>
    <row r="4" spans="1:12" x14ac:dyDescent="0.25">
      <c r="A4" s="2" t="str">
        <f>IF(LEN('A créer'!$C4)=0,"","TAB")</f>
        <v/>
      </c>
      <c r="B4" s="2" t="str">
        <f>IF(LEN('A créer'!$C4)=0,"","TAB")</f>
        <v/>
      </c>
      <c r="C4" s="6" t="str">
        <f>IF(LEN('A créer'!$C4)=0,"","\Un profil de sécurité nommé")</f>
        <v/>
      </c>
      <c r="D4" s="2" t="str">
        <f>IF(LEN('A créer'!$C4)=0,"","TAB")</f>
        <v/>
      </c>
      <c r="E4" s="2" t="str">
        <f>IF(LEN('A créer'!$C4)=0,"","TAB")</f>
        <v/>
      </c>
      <c r="F4" s="6" t="str">
        <f>IF(LEN('A créer'!$C4)=0,"",CONCATENATE('A créer'!B4,'A créer'!A4))</f>
        <v/>
      </c>
      <c r="G4" s="2" t="str">
        <f>IF(LEN('A créer'!$C4)=0,"","TAB")</f>
        <v/>
      </c>
      <c r="H4" s="2" t="str">
        <f>IF(LEN('A créer'!$C4)=0,"","ENT")</f>
        <v/>
      </c>
      <c r="I4" s="2" t="str">
        <f>IF(LEN('A créer'!$C4)=0,"","TAB")</f>
        <v/>
      </c>
      <c r="J4" s="2" t="str">
        <f>IF(LEN('A créer'!$C4)=0,"","TAB")</f>
        <v/>
      </c>
      <c r="K4" s="2" t="str">
        <f>IF(LEN('A créer'!$C4)=0,"","ENT")</f>
        <v/>
      </c>
      <c r="L4" s="2" t="str">
        <f>IF(LEN('A créer'!$C4)=0,"","ENT")</f>
        <v/>
      </c>
    </row>
    <row r="5" spans="1:12" x14ac:dyDescent="0.2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25">
      <c r="A6" s="2" t="str">
        <f>IF(LEN('A créer'!$C6)=0,"","TAB")</f>
        <v/>
      </c>
      <c r="B6" s="2" t="str">
        <f>IF(LEN('A créer'!$C6)=0,"","TAB")</f>
        <v/>
      </c>
      <c r="C6" s="6" t="str">
        <f>IF(LEN('A créer'!$C6)=0,"","\Un profil de sécurité nommé")</f>
        <v/>
      </c>
      <c r="D6" s="2" t="str">
        <f>IF(LEN('A créer'!$C6)=0,"","TAB")</f>
        <v/>
      </c>
      <c r="E6" s="2" t="str">
        <f>IF(LEN('A créer'!$C6)=0,"","TAB")</f>
        <v/>
      </c>
      <c r="F6" s="6" t="str">
        <f>IF(LEN('A créer'!$C6)=0,"",CONCATENATE('A créer'!B6,'A créer'!A6))</f>
        <v/>
      </c>
      <c r="G6" s="2" t="str">
        <f>IF(LEN('A créer'!$C6)=0,"","TAB")</f>
        <v/>
      </c>
      <c r="H6" s="2" t="str">
        <f>IF(LEN('A créer'!$C6)=0,"","ENT")</f>
        <v/>
      </c>
      <c r="I6" s="2" t="str">
        <f>IF(LEN('A créer'!$C6)=0,"","TAB")</f>
        <v/>
      </c>
      <c r="J6" s="2" t="str">
        <f>IF(LEN('A créer'!$C6)=0,"","TAB")</f>
        <v/>
      </c>
      <c r="K6" s="2" t="str">
        <f>IF(LEN('A créer'!$C6)=0,"","ENT")</f>
        <v/>
      </c>
      <c r="L6" s="2" t="str">
        <f>IF(LEN('A créer'!$C6)=0,"","ENT")</f>
        <v/>
      </c>
    </row>
    <row r="7" spans="1:12" x14ac:dyDescent="0.25">
      <c r="A7" s="2" t="str">
        <f>IF(LEN('A créer'!$C7)=0,"","TAB")</f>
        <v/>
      </c>
      <c r="B7" s="2" t="str">
        <f>IF(LEN('A créer'!$C7)=0,"","TAB")</f>
        <v/>
      </c>
      <c r="C7" s="6" t="str">
        <f>IF(LEN('A créer'!$C7)=0,"","\Un profil de sécurité nommé")</f>
        <v/>
      </c>
      <c r="D7" s="2" t="str">
        <f>IF(LEN('A créer'!$C7)=0,"","TAB")</f>
        <v/>
      </c>
      <c r="E7" s="2" t="str">
        <f>IF(LEN('A créer'!$C7)=0,"","TAB")</f>
        <v/>
      </c>
      <c r="F7" s="6" t="str">
        <f>IF(LEN('A créer'!$C7)=0,"",CONCATENATE('A créer'!B7,'A créer'!A7))</f>
        <v/>
      </c>
      <c r="G7" s="2" t="str">
        <f>IF(LEN('A créer'!$C7)=0,"","TAB")</f>
        <v/>
      </c>
      <c r="H7" s="2" t="str">
        <f>IF(LEN('A créer'!$C7)=0,"","ENT")</f>
        <v/>
      </c>
      <c r="I7" s="2" t="str">
        <f>IF(LEN('A créer'!$C7)=0,"","TAB")</f>
        <v/>
      </c>
      <c r="J7" s="2" t="str">
        <f>IF(LEN('A créer'!$C7)=0,"","TAB")</f>
        <v/>
      </c>
      <c r="K7" s="2" t="str">
        <f>IF(LEN('A créer'!$C7)=0,"","ENT")</f>
        <v/>
      </c>
      <c r="L7" s="2" t="str">
        <f>IF(LEN('A créer'!$C7)=0,"","ENT")</f>
        <v/>
      </c>
    </row>
    <row r="8" spans="1:12" x14ac:dyDescent="0.2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2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2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2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2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2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2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2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2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2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2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2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2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2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2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2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2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2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2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2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2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2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2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3" sqref="A3:C3"/>
    </sheetView>
  </sheetViews>
  <sheetFormatPr baseColWidth="10" defaultRowHeight="15" x14ac:dyDescent="0.25"/>
  <cols>
    <col min="1" max="1" width="25" bestFit="1" customWidth="1"/>
    <col min="2" max="2" width="11.7109375" bestFit="1" customWidth="1"/>
    <col min="3" max="3" width="12.7109375" bestFit="1" customWidth="1"/>
  </cols>
  <sheetData>
    <row r="1" spans="1:3" x14ac:dyDescent="0.25">
      <c r="A1" s="12" t="s">
        <v>74</v>
      </c>
      <c r="B1" s="12" t="s">
        <v>75</v>
      </c>
      <c r="C1" s="12" t="s">
        <v>76</v>
      </c>
    </row>
    <row r="2" spans="1:3" x14ac:dyDescent="0.25">
      <c r="A2" s="11" t="s">
        <v>79</v>
      </c>
      <c r="B2" s="11" t="s">
        <v>80</v>
      </c>
      <c r="C2" s="13" t="s">
        <v>38</v>
      </c>
    </row>
    <row r="3" spans="1:3" x14ac:dyDescent="0.25">
      <c r="A3" s="11" t="s">
        <v>81</v>
      </c>
      <c r="B3" s="11" t="s">
        <v>82</v>
      </c>
      <c r="C3" s="13" t="s">
        <v>43</v>
      </c>
    </row>
    <row r="4" spans="1:3" x14ac:dyDescent="0.25">
      <c r="A4" s="11" t="s">
        <v>83</v>
      </c>
      <c r="B4" s="11" t="s">
        <v>84</v>
      </c>
      <c r="C4" s="13" t="s">
        <v>39</v>
      </c>
    </row>
    <row r="5" spans="1:3" x14ac:dyDescent="0.25">
      <c r="A5" s="11" t="s">
        <v>85</v>
      </c>
      <c r="B5" s="11" t="s">
        <v>86</v>
      </c>
      <c r="C5" s="13" t="s">
        <v>40</v>
      </c>
    </row>
    <row r="6" spans="1:3" x14ac:dyDescent="0.25">
      <c r="A6" s="11" t="s">
        <v>87</v>
      </c>
      <c r="B6" s="11" t="s">
        <v>88</v>
      </c>
      <c r="C6" s="13" t="s">
        <v>44</v>
      </c>
    </row>
    <row r="7" spans="1:3" x14ac:dyDescent="0.25">
      <c r="A7" s="14" t="s">
        <v>77</v>
      </c>
      <c r="B7" s="13" t="s">
        <v>78</v>
      </c>
      <c r="C7" s="13" t="s">
        <v>3</v>
      </c>
    </row>
    <row r="8" spans="1:3" x14ac:dyDescent="0.25">
      <c r="A8" s="11" t="s">
        <v>89</v>
      </c>
      <c r="B8" s="11" t="s">
        <v>90</v>
      </c>
      <c r="C8" s="13" t="s">
        <v>41</v>
      </c>
    </row>
    <row r="9" spans="1:3" x14ac:dyDescent="0.25">
      <c r="A9" s="11" t="s">
        <v>91</v>
      </c>
      <c r="B9" s="11" t="s">
        <v>92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BELHRI Amine</cp:lastModifiedBy>
  <dcterms:created xsi:type="dcterms:W3CDTF">2021-03-23T15:13:40Z</dcterms:created>
  <dcterms:modified xsi:type="dcterms:W3CDTF">2023-08-10T15:24:14Z</dcterms:modified>
</cp:coreProperties>
</file>