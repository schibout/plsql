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Softa-012024\Full\"/>
    </mc:Choice>
  </mc:AlternateContent>
  <bookViews>
    <workbookView xWindow="285" yWindow="45" windowWidth="15870" windowHeight="5835" tabRatio="723" firstSheet="12" activeTab="16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<sst xmlns="http://schemas.openxmlformats.org/spreadsheetml/2006/main" count="473" uniqueCount="105">
  <si>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</si>
  <si>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</si>
  <si>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</si>
  <si>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</si>
  <si>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</si>
  <si>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</si>
  <si>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</si>
  <si>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</si>
  <si>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</si>
  <si>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</si>
  <si>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</si>
  <si>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</si>
  <si>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</si>
  <si>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</si>
  <si>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</si>
  <si>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</si>
  <si>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</si>
  <si>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</si>
  <si>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</si>
  <si>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</si>
  <si>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</si>
  <si>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</si>
  <si>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</si>
  <si>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</si>
  <si>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</si>
  <si>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</si>
  <si>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</si>
  <si>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</si>
  <si>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</si>
  <si>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</si>
  <si>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</si>
  <si>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</si>
  <si>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</si>
  <si>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</si>
  <si>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</si>
  <si>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</si>
  <si>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</si>
  <si>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</si>
  <si>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</si>
  <si>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</si>
  <si>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</si>
  <si>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</si>
  <si>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</si>
  <si>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</si>
  <si>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</si>
  <si>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</si>
  <si>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</si>
  <si>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</si>
  <si>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</si>
  <si>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</si>
  <si>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</si>
  <si>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</si>
  <si>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</si>
  <si>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</si>
  <si>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</si>
  <si>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</si>
  <si>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</si>
  <si>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</si>
  <si>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</si>
  <si>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</si>
  <si>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</si>
  <si>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</si>
  <si>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</si>
  <si>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</si>
  <si>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</si>
  <si>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</si>
  <si>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</si>
  <si>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</si>
  <si>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</si>
  <si>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</si>
  <si>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</si>
  <si>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</si>
  <si>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</si>
  <si>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</si>
  <si>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</si>
  <si>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</si>
  <si>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</si>
  <si>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</si>
  <si>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</si>
  <si>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</si>
  <si>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</si>
  <si>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</si>
  <si>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</si>
  <si>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</si>
  <si>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</si>
  <si>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</si>
  <si>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</si>
  <si>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</si>
  <si>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</si>
  <si>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</si>
  <si>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</si>
  <si>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</si>
  <si>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</si>
  <si>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</si>
  <si>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</si>
  <si>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</si>
  <si>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59784 LILLE CEDEX 9</t>
  </si>
  <si>
    <t>BNP PARIBAS</t>
  </si>
  <si>
    <t>0535</t>
  </si>
  <si>
    <t>CHARLEVILLE RENOUVELABLE</t>
  </si>
  <si>
    <t>S2301</t>
  </si>
  <si>
    <t>6, rue des Trézelots</t>
  </si>
  <si>
    <t>PULNOY</t>
  </si>
  <si>
    <t>TSA 15503</t>
  </si>
  <si>
    <t>FB0084973K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</si>
</sst>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C2" sqref="C2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24.28515625" bestFit="1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1.28515625" bestFit="1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98</v>
      </c>
      <c r="B2" s="6" t="s">
        <v>38</v>
      </c>
      <c r="C2" s="15" t="s">
        <v>99</v>
      </c>
      <c r="D2" s="6" t="s">
        <v>34</v>
      </c>
      <c r="E2" s="6" t="s">
        <v>34</v>
      </c>
      <c r="F2" s="6" t="s">
        <v>34</v>
      </c>
      <c r="G2" s="6" t="s">
        <v>100</v>
      </c>
      <c r="H2" s="4" t="s">
        <v>38</v>
      </c>
      <c r="I2" s="17" t="s">
        <v>99</v>
      </c>
      <c r="J2" s="6" t="s">
        <v>101</v>
      </c>
      <c r="K2" s="18">
        <v>54425</v>
      </c>
      <c r="L2" s="16" t="s">
        <v>102</v>
      </c>
      <c r="M2" s="6">
        <v>13535</v>
      </c>
      <c r="N2" s="6" t="s">
        <v>103</v>
      </c>
      <c r="O2" s="10" t="s">
        <v>96</v>
      </c>
      <c r="P2" s="19">
        <v>513578</v>
      </c>
      <c r="Q2" s="6" t="s">
        <v>97</v>
      </c>
      <c r="R2" s="24" t="s">
        <v>104</v>
      </c>
    </row>
    <row r="3" spans="1:19" s="6" customFormat="1" ht="16.5" thickBot="1" x14ac:dyDescent="0.3">
      <c r="A3" s="1"/>
      <c r="C3" s="15"/>
      <c r="H3" s="4"/>
      <c r="I3" s="17"/>
      <c r="K3" s="18"/>
      <c r="L3" s="16"/>
      <c r="O3" s="10"/>
      <c r="P3" s="19"/>
      <c r="R3" s="23"/>
    </row>
    <row r="4" spans="1:19" s="6" customFormat="1" ht="16.5" thickBot="1" x14ac:dyDescent="0.3">
      <c r="A4" s="1"/>
      <c r="C4" s="15"/>
      <c r="H4" s="4"/>
      <c r="I4" s="17"/>
      <c r="K4" s="18"/>
      <c r="L4" s="16"/>
      <c r="O4" s="10"/>
      <c r="P4" s="19"/>
      <c r="R4" s="22"/>
    </row>
    <row r="5" spans="1:19" s="6" customFormat="1" ht="16.5" thickBot="1" x14ac:dyDescent="0.3">
      <c r="A5" s="1"/>
      <c r="C5" s="15"/>
      <c r="H5" s="4"/>
      <c r="I5" s="17"/>
      <c r="K5" s="18"/>
      <c r="L5" s="16"/>
      <c r="O5" s="10"/>
      <c r="P5" s="19"/>
      <c r="R5" s="24"/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0"/>
  <sheetViews>
    <sheetView zoomScale="90" zoomScaleNormal="90" workbookViewId="0">
      <pane ySplit="1" topLeftCell="A2" activePane="bottomLeft" state="frozenSplit"/>
      <selection pane="bottomLeft" activeCell="F2" sqref="F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>*FN</v>
      </c>
      <c r="B2" t="str">
        <f>IF(OR('A créer'!D2="Oui",LEN('A créer'!D2)=0),"",CONCATENATE("A",'A créer'!A2))</f>
        <v>A0535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A0535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0535</v>
      </c>
      <c r="G2" s="2" t="str">
        <f>IF(OR('A créer'!D2="Oui",LEN('A créer'!D2)=0),"","*SAVE")</f>
        <v>*SAVE</v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="80" zoomScaleNormal="8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S2301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CHARLEVILLE RENOUVELABLE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2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="80" zoomScaleNormal="80" workbookViewId="0">
      <pane xSplit="1" ySplit="1" topLeftCell="U2" activePane="bottomRight" state="frozenSplit"/>
      <selection pane="topRight"/>
      <selection pane="bottomLeft" activeCell="A2" sqref="A2"/>
      <selection pane="bottomRight" activeCell="A2" sqref="A2:BB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>*FN</v>
      </c>
      <c r="B2" t="str">
        <f>IF(OR('A créer'!D2="Oui",LEN('A créer'!D2)=0),"",'A créer'!A2)</f>
        <v>0535</v>
      </c>
      <c r="C2" s="2" t="str">
        <f>IF(OR('A créer'!D2="Oui",LEN('A créer'!D2)=0),"","Tab")</f>
        <v>Tab</v>
      </c>
      <c r="D2" t="str">
        <f>IF(OR('A créer'!D2="Oui",LEN('A créer'!D2)=0),"",'A créer'!C2)</f>
        <v>CHARLEVILLE RENOUVELABLE</v>
      </c>
      <c r="E2" s="2" t="s">
        <v>93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DCW</v>
      </c>
      <c r="L2" t="str">
        <f>IF(OR('A créer'!D2="Oui",LEN('A créer'!D2)=0),"",IF($K2="DCW",'A créer'!G2,""))</f>
        <v>S2301</v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A535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0535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A0535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0535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créer'!D2)=0),"","*ML(610,125)")</f>
        <v>*ML(610,125)</v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93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93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93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93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93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93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93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93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93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93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93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="80" zoomScaleNormal="80" workbookViewId="0">
      <pane xSplit="1" ySplit="1" topLeftCell="U2" activePane="bottomRight" state="frozenSplit"/>
      <selection pane="topRight"/>
      <selection pane="bottomLeft" activeCell="A2" sqref="A2"/>
      <selection pane="bottomRight" activeCell="A2" sqref="A2:AY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93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93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DCW0535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DCW0535-CHARLEVILLE RENOUVELABLE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S2301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XXX0535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XXX-CHARLEVILLE RENOUVELABLE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S2301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0535</v>
      </c>
      <c r="AG2" s="2" t="str">
        <f>IF(OR('A créer'!D2="Oui",LEN('A créer'!D2)=0),"","Tab")</f>
        <v>Tab</v>
      </c>
      <c r="AH2" t="str">
        <f>IF(OR('A créer'!D2="Oui",LEN('A créer'!D2)=0),"",'A créer'!C2)</f>
        <v>CHARLEVILLE RENOUVELABLE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DCW0535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XXX0535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tr">
        <f>IF(OR('A créer'!D2="Oui",LEN('A créer'!D2)=0),"","*ML(608,125)")</f>
        <v>*ML(608,125)</v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="80" zoomScaleNormal="80" workbookViewId="0">
      <pane ySplit="1" topLeftCell="A2" activePane="bottomLeft" state="frozenSplit"/>
      <selection pane="bottomLeft" activeCell="D3" sqref="D3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7.42578125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15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93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513578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0535 CHARLEVILLE RENOUVELABLE/DCW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93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93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2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93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93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93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93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93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93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93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93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93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93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zoomScale="80" zoomScaleNormal="80" workbookViewId="0">
      <pane ySplit="1" topLeftCell="A2" activePane="bottomLeft" state="frozenSplit"/>
      <selection pane="bottomLeft" activeCell="A2" sqref="A2:R2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37.42578125" bestFit="1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93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DCW0535</v>
      </c>
      <c r="C2" s="2" t="str">
        <f>IF(LEN('A créer'!C2)=0,"","Tab")</f>
        <v>Tab</v>
      </c>
      <c r="D2" t="str">
        <f>IF(LEN('A créer'!C2)=0,"",CONCATENATE(,'A créer'!B2,'A créer'!A2,"-",'A créer'!C2))</f>
        <v>DCW0535-CHARLEVILLE RENOUVELABLE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FB0084973K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DCW_0535PF FPS 0535 CHARLEVILLE RENOUVELABLE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2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BI3" sqref="BI3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0535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DCW0535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0535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XXX0535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2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2" sqref="A2:AM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0535</v>
      </c>
      <c r="E2" s="2" t="str">
        <f>IF(LEN('A créer'!C2)=0,"","Tab")</f>
        <v>Tab</v>
      </c>
      <c r="F2" t="str">
        <f>IF(LEN('A créer'!C2)=0,"",'A créer'!B2)</f>
        <v>DCW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2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zoomScale="80" zoomScaleNormal="80" workbookViewId="0">
      <pane xSplit="1" ySplit="1" topLeftCell="B2" activePane="bottomRight" state="frozenSplit"/>
      <selection activeCell="G1" sqref="G1"/>
      <selection pane="topRight"/>
      <selection pane="bottomLeft" activeCell="A2" sqref="A2"/>
      <selection pane="bottomRight" activeCell="I4" sqref="I4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93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93</v>
      </c>
      <c r="AN1" s="2" t="s">
        <v>93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CHARLEVILLE RENOUVELABLE</v>
      </c>
      <c r="D2" s="2" t="str">
        <f>IF(OR('A créer'!D2="Oui",LEN('A créer'!D2)=0),"","Tab")</f>
        <v>Tab</v>
      </c>
      <c r="E2" t="str">
        <f>IF(OR('A créer'!D2="Oui",LEN('A créer'!D2)=0),"",'A créer'!C2)</f>
        <v>CHARLEVILLE RENOUVELABLE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6, rue des Trézelots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54425</v>
      </c>
      <c r="M2" t="str">
        <f>IF(OR('A créer'!D2="Oui",LEN('A créer'!D2)=0),"",'A créer'!L2)</f>
        <v>PULNOY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DCW0535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CHARLEVILLE RENOUVELABLE (13535)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15503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DCW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pane="bottomLeft" activeCell="G2" sqref="G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0535</v>
      </c>
      <c r="D2" s="2" t="str">
        <f>IF(LEN('A créer'!C2)=0,"","Tab")</f>
        <v>Tab</v>
      </c>
      <c r="E2" t="str">
        <f>IF(LEN('A créer'!C2)=0,"",'A créer'!B2)</f>
        <v>DCW</v>
      </c>
      <c r="F2" s="2" t="str">
        <f>IF(LEN('A créer'!C2)=0,"","Tab")</f>
        <v>Tab</v>
      </c>
      <c r="G2" t="str">
        <f>IF(LEN('A créer'!C2)=0,"",'A créer'!G2)</f>
        <v>S2301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4"/>
  <sheetViews>
    <sheetView workbookViewId="0">
      <pane ySplit="1" topLeftCell="A2" activePane="bottomLeft" state="frozenSplit"/>
      <selection pane="bottomLeft" activeCell="E2" sqref="E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513578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DCW0535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2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DCW0535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2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DCW0535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DCW0535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0535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DCW0535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/>
      </c>
      <c r="B3" s="25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25">
      <c r="A4" s="2" t="str">
        <f>IF(AND(LEN('A créer'!$C4)=0,LEN('A créer'!$E4&gt;0)),"","*FN")</f>
        <v/>
      </c>
      <c r="B4" s="25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créer'!$E4&gt;0)),"","*ML(103,118)")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créer'!$E4="Oui"),"","*ML(103,118)")</f>
        <v/>
      </c>
    </row>
    <row r="5" spans="1:30" x14ac:dyDescent="0.2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94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95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DCW0535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2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2" sqref="A2:C2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74</v>
      </c>
      <c r="B1" s="12" t="s">
        <v>75</v>
      </c>
      <c r="C1" s="12" t="s">
        <v>76</v>
      </c>
    </row>
    <row r="2" spans="1:3" x14ac:dyDescent="0.25">
      <c r="A2" s="11" t="s">
        <v>79</v>
      </c>
      <c r="B2" s="11" t="s">
        <v>80</v>
      </c>
      <c r="C2" s="13" t="s">
        <v>38</v>
      </c>
    </row>
    <row r="3" spans="1:3" x14ac:dyDescent="0.25">
      <c r="A3" s="11" t="s">
        <v>81</v>
      </c>
      <c r="B3" s="11" t="s">
        <v>82</v>
      </c>
      <c r="C3" s="13" t="s">
        <v>43</v>
      </c>
    </row>
    <row r="4" spans="1:3" x14ac:dyDescent="0.25">
      <c r="A4" s="11" t="s">
        <v>83</v>
      </c>
      <c r="B4" s="11" t="s">
        <v>84</v>
      </c>
      <c r="C4" s="13" t="s">
        <v>39</v>
      </c>
    </row>
    <row r="5" spans="1:3" x14ac:dyDescent="0.25">
      <c r="A5" s="11" t="s">
        <v>85</v>
      </c>
      <c r="B5" s="11" t="s">
        <v>86</v>
      </c>
      <c r="C5" s="13" t="s">
        <v>40</v>
      </c>
    </row>
    <row r="6" spans="1:3" x14ac:dyDescent="0.25">
      <c r="A6" s="11" t="s">
        <v>87</v>
      </c>
      <c r="B6" s="11" t="s">
        <v>88</v>
      </c>
      <c r="C6" s="13" t="s">
        <v>44</v>
      </c>
    </row>
    <row r="7" spans="1:3" x14ac:dyDescent="0.25">
      <c r="A7" s="14" t="s">
        <v>77</v>
      </c>
      <c r="B7" s="13" t="s">
        <v>78</v>
      </c>
      <c r="C7" s="13" t="s">
        <v>3</v>
      </c>
    </row>
    <row r="8" spans="1:3" x14ac:dyDescent="0.25">
      <c r="A8" s="11" t="s">
        <v>89</v>
      </c>
      <c r="B8" s="11" t="s">
        <v>90</v>
      </c>
      <c r="C8" s="13" t="s">
        <v>41</v>
      </c>
    </row>
    <row r="9" spans="1:3" x14ac:dyDescent="0.2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2024-01-29T16:25:17Z</dcterms:modified>
</cp:coreProperties>
</file>