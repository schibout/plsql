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6\Transfert Full\"/>
    </mc:Choice>
  </mc:AlternateContent>
  <bookViews>
    <workbookView xWindow="290" yWindow="50" windowWidth="15870" windowHeight="5840" tabRatio="723" firstSheet="5" activeTab="9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<sst xmlns="http://schemas.openxmlformats.org/spreadsheetml/2006/main" count="536" uniqueCount="135">
  <si>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</si>
  <si>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</si>
  <si>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</si>
  <si>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</si>
  <si>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</si>
  <si>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</si>
  <si>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</si>
  <si>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</si>
  <si>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</si>
  <si>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</si>
  <si>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</si>
  <si>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</si>
  <si>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</si>
  <si>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</si>
  <si>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</si>
  <si>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</si>
  <si>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</si>
  <si>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</si>
  <si>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</si>
  <si>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</si>
  <si>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</si>
  <si>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</si>
  <si>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</si>
  <si>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</si>
  <si>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</si>
  <si>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</si>
  <si>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</si>
  <si>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</si>
  <si>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</si>
  <si>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</si>
  <si>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</si>
  <si>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</si>
  <si>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</si>
  <si>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</si>
  <si>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</si>
  <si>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</si>
  <si>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</si>
  <si>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</si>
  <si>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</si>
  <si>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</si>
  <si>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</si>
  <si>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</si>
  <si>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</si>
  <si>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</si>
  <si>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</si>
  <si>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</si>
  <si>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</si>
  <si>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</si>
  <si>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</si>
  <si>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</si>
  <si>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</si>
  <si>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</si>
  <si>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</si>
  <si>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</si>
  <si>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</si>
  <si>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</si>
  <si>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</si>
  <si>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</si>
  <si>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</si>
  <si>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</si>
  <si>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</si>
  <si>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</si>
  <si>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</si>
  <si>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</si>
  <si>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</si>
  <si>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</si>
  <si>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</si>
  <si>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</si>
  <si>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</si>
  <si>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</si>
  <si>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</si>
  <si>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</si>
  <si>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</si>
  <si>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</si>
  <si>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</si>
  <si>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</si>
  <si>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</si>
  <si>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</si>
  <si>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</si>
  <si>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</si>
  <si>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</si>
  <si>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</si>
  <si>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</si>
  <si>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</si>
  <si>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</si>
  <si>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</si>
  <si>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</si>
  <si>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</si>
  <si>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</si>
  <si>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</si>
  <si>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</si>
  <si>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</si>
  <si>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</si>
  <si>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</si>
  <si>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</si>
  <si>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</si>
  <si>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</si>
  <si>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</si>
  <si>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</si>
  <si>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</si>
  <si>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</si>
  <si>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</si>
  <si>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</si>
  <si>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</si>
  <si>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</si>
  <si>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</si>
  <si>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</si>
  <si>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</si>
  <si>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</si>
  <si>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</si>
  <si>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</si>
  <si>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</si>
  <si>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</si>
  <si>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</si>
  <si>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</si>
  <si>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</si>
  <si>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</si>
  <si>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</si>
  <si>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</si>
  <si>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</si>
  <si>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</si>
  <si>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</si>
  <si>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</si>
  <si>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0401</t>
  </si>
  <si>
    <t>SOCIETE VALMY DEFENSE 101</t>
  </si>
  <si>
    <t>S0101</t>
  </si>
  <si>
    <t>SVD 101</t>
  </si>
  <si>
    <t>TOUR EUROPE - 33 , PLACE DES COROLLES</t>
  </si>
  <si>
    <t>FB0090202C</t>
  </si>
  <si>
    <t>0554</t>
  </si>
  <si>
    <t>DK 52</t>
  </si>
  <si>
    <t>YS2352</t>
  </si>
  <si>
    <t>4B, RUE FRANCOISE D'EAUBONNE</t>
  </si>
  <si>
    <t>TOULOUSE</t>
  </si>
  <si>
    <t>FB0090378C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</si>
</sst>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Normal="100" workbookViewId="0">
      <pane xSplit="6" ySplit="1" topLeftCell="J2" activePane="bottomRight" state="frozenSplit"/>
      <selection activeCell="D22" sqref="D22"/>
      <selection pane="topRight" activeCell="D22" sqref="D22"/>
      <selection pane="bottomLeft" activeCell="D22" sqref="D22"/>
      <selection pane="bottomRight" activeCell="L7" sqref="L7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41</v>
      </c>
      <c r="C6" s="15" t="s">
        <v>124</v>
      </c>
      <c r="D6" s="6" t="s">
        <v>34</v>
      </c>
      <c r="E6" s="6" t="s">
        <v>34</v>
      </c>
      <c r="F6" s="6" t="s">
        <v>34</v>
      </c>
      <c r="G6" s="6" t="s">
        <v>125</v>
      </c>
      <c r="H6" s="4" t="s">
        <v>41</v>
      </c>
      <c r="I6" s="17" t="s">
        <v>126</v>
      </c>
      <c r="J6" s="6" t="s">
        <v>127</v>
      </c>
      <c r="K6" s="18">
        <v>92400</v>
      </c>
      <c r="L6" s="16" t="s">
        <v>106</v>
      </c>
      <c r="M6" s="6">
        <v>18401</v>
      </c>
      <c r="N6" s="6" t="s">
        <v>107</v>
      </c>
      <c r="O6" s="10" t="s">
        <v>99</v>
      </c>
      <c r="P6" s="19">
        <v>513472</v>
      </c>
      <c r="Q6" s="6" t="s">
        <v>100</v>
      </c>
      <c r="R6" s="23" t="s">
        <v>128</v>
      </c>
    </row>
    <row r="7" spans="1:19" s="6" customFormat="1" ht="16" thickBot="1" x14ac:dyDescent="0.4">
      <c r="A7" s="1" t="s">
        <v>129</v>
      </c>
      <c r="B7" s="6" t="s">
        <v>44</v>
      </c>
      <c r="C7" s="15" t="s">
        <v>130</v>
      </c>
      <c r="D7" s="6" t="s">
        <v>74</v>
      </c>
      <c r="E7" s="6" t="s">
        <v>34</v>
      </c>
      <c r="F7" s="6" t="s">
        <v>34</v>
      </c>
      <c r="G7" s="6" t="s">
        <v>131</v>
      </c>
      <c r="H7" s="4" t="s">
        <v>44</v>
      </c>
      <c r="I7" s="17" t="s">
        <v>130</v>
      </c>
      <c r="J7" s="20" t="s">
        <v>132</v>
      </c>
      <c r="K7" s="18">
        <v>31200</v>
      </c>
      <c r="L7" s="16" t="s">
        <v>133</v>
      </c>
      <c r="M7" s="6">
        <v>57554</v>
      </c>
      <c r="N7" s="6" t="s">
        <v>114</v>
      </c>
      <c r="O7" s="10" t="s">
        <v>99</v>
      </c>
      <c r="P7" s="19">
        <v>513603</v>
      </c>
      <c r="Q7" s="6" t="s">
        <v>108</v>
      </c>
      <c r="R7" s="23" t="s">
        <v>134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/>
      <c r="C9" s="15"/>
      <c r="F9" s="4"/>
      <c r="H9" s="4"/>
      <c r="I9" s="17"/>
      <c r="J9" s="20"/>
      <c r="K9" s="18"/>
      <c r="L9" s="16"/>
      <c r="O9" s="10"/>
      <c r="P9" s="19"/>
      <c r="R9" s="23"/>
    </row>
    <row r="10" spans="1:19" ht="16" thickBot="1" x14ac:dyDescent="0.4">
      <c r="A10" s="1"/>
      <c r="B10" s="4"/>
      <c r="C10" s="25"/>
      <c r="D10" s="6"/>
      <c r="E10" s="6"/>
      <c r="F10" s="4"/>
      <c r="G10" s="6"/>
      <c r="H10" s="4"/>
      <c r="I10" s="26"/>
      <c r="J10" s="6"/>
      <c r="K10" s="18"/>
      <c r="L10" s="16"/>
      <c r="M10" s="6"/>
      <c r="N10" s="6"/>
      <c r="O10" s="10"/>
      <c r="P10" s="19"/>
      <c r="Q10" s="6"/>
      <c r="R10" s="23"/>
      <c r="S10" s="6"/>
    </row>
    <row r="11" spans="1:19" ht="16" thickBot="1" x14ac:dyDescent="0.4">
      <c r="A11" s="1"/>
      <c r="B11" s="4"/>
      <c r="C11" s="25"/>
      <c r="D11" s="6"/>
      <c r="E11" s="6"/>
      <c r="F11" s="4"/>
      <c r="G11" s="6"/>
      <c r="H11" s="4"/>
      <c r="I11" s="26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4"/>
      <c r="C12" s="25"/>
      <c r="D12" s="6"/>
      <c r="E12" s="6"/>
      <c r="F12" s="4"/>
      <c r="H12" s="4"/>
      <c r="I12" s="26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activeCell="I9" sqref="I9"/>
      <selection pane="bottomLeft" activeCell="I9" sqref="I9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>*FN</v>
      </c>
      <c r="B6" s="6" t="str">
        <f>IF(OR('A créer'!D6="Oui",LEN('A créer'!D6)=0),"",CONCATENATE("A",'A créer'!A6))</f>
        <v>A0401</v>
      </c>
      <c r="C6" s="2" t="str">
        <f>IF(OR('A créer'!D6="Oui",LEN('A créer'!D6)=0),"","Tab")</f>
        <v>Tab</v>
      </c>
      <c r="D6" s="6" t="str">
        <f>IF(OR('A créer'!D6="Oui",LEN('A créer'!D6)=0),"",CONCATENATE("A",'A créer'!A6))</f>
        <v>A0401</v>
      </c>
      <c r="E6" s="2" t="str">
        <f>IF(OR('A créer'!D6="Oui",LEN('A créer'!D6)=0),"","Tab")</f>
        <v>Tab</v>
      </c>
      <c r="F6" s="6" t="str">
        <f>IF(OR('A créer'!D6="Oui",LEN('A créer'!D6)=0),"",CONCATENATE("STE ",'A créer'!A6))</f>
        <v>STE 0401</v>
      </c>
      <c r="G6" s="2" t="str">
        <f>IF(OR('A créer'!D6="Oui",LEN('A créer'!D6)=0),"","*SAVE")</f>
        <v>*SAVE</v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I9" sqref="I9"/>
      <selection pane="bottomLeft" activeCell="D6" sqref="D6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S0101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SOCIETE VALMY DEFENSE 101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YS2352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DK 52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Normal="100" workbookViewId="0">
      <pane xSplit="1" ySplit="1" topLeftCell="B2" activePane="bottomRight" state="frozenSplit"/>
      <selection activeCell="I9" sqref="I9"/>
      <selection pane="topRight" activeCell="I9" sqref="I9"/>
      <selection pane="bottomLeft" activeCell="I9" sqref="I9"/>
      <selection pane="bottomRight" activeCell="BB6" sqref="BB6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>*FN</v>
      </c>
      <c r="B6" s="6" t="str">
        <f>IF(OR('A créer'!D6="Oui",LEN('A créer'!D6)=0),"",'A créer'!A6)</f>
        <v>0401</v>
      </c>
      <c r="C6" s="2" t="str">
        <f>IF(OR('A créer'!D6="Oui",LEN('A créer'!D6)=0),"","Tab")</f>
        <v>Tab</v>
      </c>
      <c r="D6" s="6" t="str">
        <f>IF(OR('A créer'!D6="Oui",LEN('A créer'!D6)=0),"",'A créer'!C6)</f>
        <v>SOCIETE VALMY DEFENSE 101</v>
      </c>
      <c r="E6" s="2" t="s">
        <v>94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créer'!D6)=0),"","ENT")</f>
        <v>ENT</v>
      </c>
      <c r="I6" s="6" t="str">
        <f>IF(OR('A créer'!D6="Oui",LEN('A créer'!D6)=0),"","Oui")</f>
        <v>Oui</v>
      </c>
      <c r="J6" s="2" t="str">
        <f>IF(OR('A créer'!D6="Oui",LEN('A créer'!D6)=0),"","Tab")</f>
        <v>Tab</v>
      </c>
      <c r="K6" s="6" t="str">
        <f>IF(OR('A créer'!D6="Oui",LEN('A créer'!D6)=0),"",'A créer'!H6)</f>
        <v>DRW</v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>Tab</v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>Tab</v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>Tab</v>
      </c>
      <c r="R6" s="6" t="str">
        <f>IF(OR('A créer'!D6="Oui",LEN('A créer'!D6)=0),"",IF($K6="DRW",'A créer'!G6,""))</f>
        <v>S0101</v>
      </c>
      <c r="S6" s="2" t="str">
        <f>IF(OR('A créer'!D6="Oui",LEN('A créer'!D6)=0),"","Tab")</f>
        <v>Tab</v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>Tab</v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>Tab</v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>Tab</v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>Tab</v>
      </c>
      <c r="AB6" s="2" t="str">
        <f>IF(OR('A créer'!D6="Oui",LEN('A créer'!D6)=0),"","Tab")</f>
        <v>Tab</v>
      </c>
      <c r="AC6" s="6" t="str">
        <f>IF(OR('A créer'!D6="Oui",LEN('A créer'!D6)=0),"","OUI")</f>
        <v>OUI</v>
      </c>
      <c r="AD6" s="2" t="str">
        <f>IF(OR('A créer'!D6="Oui",LEN('A créer'!D6)=0),"","Tab")</f>
        <v>Tab</v>
      </c>
      <c r="AE6" s="2" t="str">
        <f>IF(OR('A créer'!D6="Oui",LEN('A créer'!D6)=0),"","ENT")</f>
        <v>ENT</v>
      </c>
      <c r="AF6" s="2" t="str">
        <f>IF(OR('A créer'!D6="Oui",LEN('A créer'!D6)=0),"","*SAVE")</f>
        <v>*SAVE</v>
      </c>
      <c r="AG6" s="2" t="str">
        <f>IF(OR('A créer'!D6="Oui",LEN('A créer'!D6)=0),"","*FN")</f>
        <v>*FN</v>
      </c>
      <c r="AH6" s="6" t="str">
        <f>IF(OR('A créer'!D6="Oui",LEN('A créer'!D6)=0),"",CONCATENATE("A",RIGHT('A créer'!A6,3)))</f>
        <v>A401</v>
      </c>
      <c r="AI6" s="2" t="str">
        <f>IF(OR('A créer'!D6="Oui",LEN('A créer'!D6)=0),"","Tab")</f>
        <v>Tab</v>
      </c>
      <c r="AJ6" s="6" t="str">
        <f>IF(OR('A créer'!D6="Oui",LEN('A créer'!D6)=0),"",CONCATENATE('A créer'!A6," Regroupement"))</f>
        <v>0401 Regroupement</v>
      </c>
      <c r="AK6" s="2" t="str">
        <f>IF(OR('A créer'!D6="Oui",LEN('A créer'!D6)=0),"","Tab 4")</f>
        <v>Tab 4</v>
      </c>
      <c r="AL6" s="2" t="str">
        <f>IF(OR('A créer'!D6="Oui",LEN('A créer'!D6)=0),"","*SB")</f>
        <v>*SB</v>
      </c>
      <c r="AM6" s="2" t="str">
        <f>IF(OR('A créer'!D6="Oui",LEN('A créer'!D6)=0),"","Tab")</f>
        <v>Tab</v>
      </c>
      <c r="AN6" s="6" t="str">
        <f>IF(OR('A créer'!D6="Oui",LEN('A créer'!D6)=0),"",CONCATENATE("A",'A créer'!A6))</f>
        <v>A0401</v>
      </c>
      <c r="AO6" s="2" t="str">
        <f>IF(OR('A créer'!D6="Oui",LEN('A créer'!D6)=0),"","Tab")</f>
        <v>Tab</v>
      </c>
      <c r="AP6" s="2" t="str">
        <f>IF(OR('A créer'!D6="Oui",LEN('A créer'!D6)=0),"","Tab")</f>
        <v>Tab</v>
      </c>
      <c r="AQ6" s="2" t="str">
        <f>IF(OR('A créer'!D6="Oui",LEN('A créer'!D6)=0),"","ENT")</f>
        <v>ENT</v>
      </c>
      <c r="AR6" s="6" t="str">
        <f>IF(OR('A créer'!D6="Oui",LEN('A créer'!D6)=0),"","Non")</f>
        <v>Non</v>
      </c>
      <c r="AS6" s="2" t="str">
        <f>IF(OR('A créer'!D6="Oui",LEN('A créer'!D6)=0),"","Tab")</f>
        <v>Tab</v>
      </c>
      <c r="AT6" s="6" t="str">
        <f>IF(OR('A créer'!D6="Oui",LEN('A créer'!D6)=0),"","T")</f>
        <v>T</v>
      </c>
      <c r="AU6" s="2" t="str">
        <f>IF(OR('A créer'!D6="Oui",LEN('A créer'!D6)=0),"","Tab")</f>
        <v>Tab</v>
      </c>
      <c r="AV6" s="2" t="str">
        <f>IF(OR('A créer'!D6="Oui",LEN('A créer'!D6)=0),"","ENT")</f>
        <v>ENT</v>
      </c>
      <c r="AW6" s="2" t="str">
        <f>IF(OR('A créer'!D6="Oui",LEN('A créer'!D6)=0),"","*SAVE")</f>
        <v>*SAVE</v>
      </c>
      <c r="AX6" s="2" t="str">
        <f>IF(OR('A créer'!D6="Oui",LEN('A créer'!D6)=0),"","*UP")</f>
        <v>*UP</v>
      </c>
      <c r="AY6" s="2" t="str">
        <f>IF(OR('A créer'!D6="Oui",LEN('A créer'!D6)=0),"","*Aé")</f>
        <v>*Aé</v>
      </c>
      <c r="AZ6" s="6" t="str">
        <f>IF(OR('A créer'!D6="Oui",LEN('A créer'!D6)=0),"",'A créer'!A6)</f>
        <v>0401</v>
      </c>
      <c r="BA6" s="2" t="str">
        <f>IF(OR('A créer'!D6="Oui",LEN('A créer'!D6)=0),"","Tab")</f>
        <v>Tab</v>
      </c>
      <c r="BB6" s="2" t="str">
        <f>IF(OR('A créer'!D6="Oui",LEN('A créer'!D6)=0),"","*SAVE")</f>
        <v>*SAVE</v>
      </c>
      <c r="BC6" s="2" t="str">
        <f>IF(OR('A créer'!D6="Oui",LEN('A créer'!D6)=0),"","*ML(610,125)")</f>
        <v>*ML(610,125)</v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Normal="100" workbookViewId="0">
      <pane xSplit="1" ySplit="1" topLeftCell="B2" activePane="bottomRight" state="frozenSplit"/>
      <selection activeCell="I9" sqref="I9"/>
      <selection pane="topRight" activeCell="I9" sqref="I9"/>
      <selection pane="bottomLeft" activeCell="I9" sqref="I9"/>
      <selection pane="bottomRight" activeCell="AH6" sqref="AH6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>*FN</v>
      </c>
      <c r="B6" s="6" t="str">
        <f>IF(OR('A créer'!D6="Oui",LEN('A créer'!D6)=0),IF(LEN('A créer'!B6)&gt;0,IF('A créer'!B6='A créer'!H6,"",CONCATENATE('A créer'!B6,'A créer'!A6)),""),CONCATENATE('A créer'!B6,'A créer'!A6))</f>
        <v>DRW0401</v>
      </c>
      <c r="C6" s="2" t="str">
        <f>IF(OR('A créer'!D6="Oui",LEN('A créer'!D6)=0),IF(AND(LEN('A créer'!B6)&gt;0,'A créer'!B6&lt;&gt;'A créer'!H6)=TRUE,"Tab",""),"Tab")</f>
        <v>Tab</v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>DRW0401-SOCIETE VALMY DEFENSE 101</v>
      </c>
      <c r="E6" s="2" t="str">
        <f>IF(OR('A créer'!D6="Oui",LEN('A créer'!D6)=0),IF(AND(LEN('A créer'!B6)&gt;0,'A créer'!B6&lt;&gt;'A créer'!H6)=TRUE,"Tab 4",""),"Tab 4")</f>
        <v>Tab 4</v>
      </c>
      <c r="F6" s="2" t="str">
        <f>IF(OR('A créer'!D6="Oui",LEN('A créer'!D6)=0),IF(AND(LEN('A créer'!B6)&gt;0,'A créer'!B6&lt;&gt;'A créer'!H6)=TRUE,"Tab",""),"Tab")</f>
        <v>Tab</v>
      </c>
      <c r="G6" s="2" t="str">
        <f>IF(OR('A créer'!D6="Oui",LEN('A créer'!D6)=0),IF(AND(LEN('A créer'!B6)&gt;0,'A créer'!B6&lt;&gt;'A créer'!H6)=TRUE,"Tab",""),"Tab")</f>
        <v>Tab</v>
      </c>
      <c r="H6" s="2" t="str">
        <f>IF(OR('A créer'!D6="Oui",LEN('A créer'!D6)=0),IF(AND(LEN('A créer'!B6)&gt;0,'A créer'!B6&lt;&gt;'A créer'!H6)=TRUE,"ENT",""),"ENT")</f>
        <v>ENT</v>
      </c>
      <c r="I6" s="6" t="str">
        <f>IF('A créer'!D6="Oui",IF(AND(LEN('A créer'!B6)&gt;0,'A créer'!B6&lt;&gt;'A créer'!H6)=TRUE,'A créer'!G6,""),'A créer'!G6)</f>
        <v>S0101</v>
      </c>
      <c r="J6" s="2" t="str">
        <f>IF(OR('A créer'!D6="Oui",LEN('A créer'!D6)=0),IF(AND(LEN('A créer'!B6)&gt;0,'A créer'!B6&lt;&gt;'A créer'!H6)=TRUE,"Tab",""),"Tab")</f>
        <v>Tab</v>
      </c>
      <c r="K6" s="6" t="str">
        <f>IF(OR('A créer'!D6="Oui",LEN('A créer'!D6)=0),IF(AND(LEN('A créer'!B6)&gt;0,'A créer'!B6&lt;&gt;'A créer'!H6)=TRUE,"Oui",""),"Oui")</f>
        <v>Oui</v>
      </c>
      <c r="L6" s="2" t="str">
        <f>IF(OR('A créer'!D6="Oui",LEN('A créer'!D6)=0),IF(AND(LEN('A créer'!B6)&gt;0,'A créer'!B6&lt;&gt;'A créer'!H6)=TRUE,"Tab",""),"Tab")</f>
        <v>Tab</v>
      </c>
      <c r="M6" s="6" t="str">
        <f>IF(OR('A créer'!D6="Oui",LEN('A créer'!D6)=0),IF(AND(LEN('A créer'!B6)&gt;0,'A créer'!B6&lt;&gt;'A créer'!H6)=TRUE,'A créer'!E6,""),'A créer'!E6)</f>
        <v>Non</v>
      </c>
      <c r="N6" s="2" t="str">
        <f>IF(OR('A créer'!D6="Oui",LEN('A créer'!D6)=0),IF(AND(LEN('A créer'!B6)&gt;0,'A créer'!B6&lt;&gt;'A créer'!H6)=TRUE,"ENT",""),"ENT")</f>
        <v>ENT</v>
      </c>
      <c r="O6" s="2" t="str">
        <f>IF(OR('A créer'!D6="Oui",LEN('A créer'!D6)=0),IF(AND(LEN('A créer'!B6)&gt;0,'A créer'!B6&lt;&gt;'A créer'!H6)=TRUE,"*SAVE",""),"*SAVE")</f>
        <v>*SAVE</v>
      </c>
      <c r="P6" s="2" t="str">
        <f>IF(OR('A créer'!D6="Oui",LEN('A créer'!D6)=0),"","*FN")</f>
        <v>*FN</v>
      </c>
      <c r="Q6" s="6" t="str">
        <f>IF(OR('A créer'!D6="Oui",LEN('A créer'!D6)=0),"",CONCATENATE("XXX",'A créer'!A6))</f>
        <v>XXX0401</v>
      </c>
      <c r="R6" s="2" t="str">
        <f>IF(OR('A créer'!D6="Oui",LEN('A créer'!D6)=0),"","Tab")</f>
        <v>Tab</v>
      </c>
      <c r="S6" s="6" t="str">
        <f>IF(OR('A créer'!D6="Oui",LEN('A créer'!D6)=0),"",CONCATENATE("XXX-",'A créer'!C6))</f>
        <v>XXX-SOCIETE VALMY DEFENSE 101</v>
      </c>
      <c r="T6" s="2" t="str">
        <f>IF(OR('A créer'!D6="Oui",LEN('A créer'!D6)=0),"","Tab 4")</f>
        <v>Tab 4</v>
      </c>
      <c r="U6" s="2" t="str">
        <f>IF(OR('A créer'!D6="Oui",LEN('A créer'!D6)=0),"","Tab")</f>
        <v>Tab</v>
      </c>
      <c r="V6" s="2" t="str">
        <f>IF(OR('A créer'!D6="Oui",LEN('A créer'!D6)=0),"","Tab")</f>
        <v>Tab</v>
      </c>
      <c r="W6" s="2" t="str">
        <f>IF(OR('A créer'!D6="Oui",LEN('A créer'!D6)=0),"","ENT")</f>
        <v>ENT</v>
      </c>
      <c r="X6" s="6" t="str">
        <f>IF(OR('A créer'!D6="Oui",LEN('A créer'!D6)=0),"",'A créer'!G6)</f>
        <v>S0101</v>
      </c>
      <c r="Y6" s="2" t="str">
        <f>IF(OR('A créer'!D6="Oui",LEN('A créer'!D6)=0),"","Tab")</f>
        <v>Tab</v>
      </c>
      <c r="Z6" s="6" t="str">
        <f>IF(OR('A créer'!D6="Oui",LEN('A créer'!D6)=0),"","Oui")</f>
        <v>Oui</v>
      </c>
      <c r="AA6" s="2" t="str">
        <f>IF(OR('A créer'!D6="Oui",LEN('A créer'!D6)=0),"","Tab")</f>
        <v>Tab</v>
      </c>
      <c r="AB6" s="6" t="str">
        <f>IF(OR('A créer'!D6="Oui",LEN('A créer'!D6)=0),"","NON")</f>
        <v>NON</v>
      </c>
      <c r="AC6" s="2" t="str">
        <f>IF(OR('A créer'!D6="Oui",LEN('A créer'!D6)=0),"","ENT")</f>
        <v>ENT</v>
      </c>
      <c r="AD6" s="2" t="str">
        <f>IF(OR('A créer'!D6="Oui",LEN('A créer'!D6)=0),"","*SAVE")</f>
        <v>*SAVE</v>
      </c>
      <c r="AE6" s="2" t="str">
        <f>IF(OR('A créer'!D6="Oui",LEN('A créer'!D6)=0),"","*FN")</f>
        <v>*FN</v>
      </c>
      <c r="AF6" s="6" t="str">
        <f>IF(OR('A créer'!D6="Oui",LEN('A créer'!D6)=0),"",'A créer'!A6)</f>
        <v>0401</v>
      </c>
      <c r="AG6" s="2" t="str">
        <f>IF(OR('A créer'!D6="Oui",LEN('A créer'!D6)=0),"","Tab")</f>
        <v>Tab</v>
      </c>
      <c r="AH6" s="6" t="str">
        <f>IF(OR('A créer'!D6="Oui",LEN('A créer'!D6)=0),"",'A créer'!C6)</f>
        <v>SOCIETE VALMY DEFENSE 101</v>
      </c>
      <c r="AI6" s="2" t="str">
        <f>IF(OR('A créer'!D6="Oui",LEN('A créer'!D6)=0),"","Tab 4")</f>
        <v>Tab 4</v>
      </c>
      <c r="AJ6" s="2" t="str">
        <f>IF(OR('A créer'!D6="Oui",LEN('A créer'!D6)=0),"","*SB")</f>
        <v>*SB</v>
      </c>
      <c r="AK6" s="2" t="str">
        <f>IF(OR('A créer'!D6="Oui",LEN('A créer'!D6)=0),"","Tab")</f>
        <v>Tab</v>
      </c>
      <c r="AL6" s="6" t="str">
        <f>IF(OR('A créer'!D6="Oui",LEN('A créer'!D6)=0),"","InterCoSte")</f>
        <v>InterCoSte</v>
      </c>
      <c r="AM6" s="2" t="str">
        <f>IF(OR('A créer'!D6="Oui",LEN('A créer'!D6)=0),"","Tab")</f>
        <v>Tab</v>
      </c>
      <c r="AN6" s="2" t="str">
        <f>IF(OR('A créer'!D6="Oui",LEN('A créer'!D6)=0),"","Tab")</f>
        <v>Tab</v>
      </c>
      <c r="AO6" s="2" t="str">
        <f>IF(OR('A créer'!D6="Oui",LEN('A créer'!D6)=0),"","ENT")</f>
        <v>ENT</v>
      </c>
      <c r="AP6" s="2" t="str">
        <f>IF(OR('A créer'!D6="Oui",LEN('A créer'!D6)=0),"","ENT")</f>
        <v>ENT</v>
      </c>
      <c r="AQ6" s="2" t="str">
        <f>IF(OR('A créer'!D6="Oui",LEN('A créer'!D6)=0),"","*SAVE")</f>
        <v>*SAVE</v>
      </c>
      <c r="AR6" s="2" t="str">
        <f>IF(OR('A créer'!D6="Oui",LEN('A créer'!D6)=0),"","*UP")</f>
        <v>*UP</v>
      </c>
      <c r="AS6" s="2" t="str">
        <f>IF(OR('A créer'!D6="Oui",LEN('A créer'!D6)=0),"","*Aé")</f>
        <v>*Aé</v>
      </c>
      <c r="AT6" s="6" t="str">
        <f>IF(OR('A créer'!D6="Oui",LEN('A créer'!D6)=0),"",CONCATENATE('A créer'!B6,'A créer'!A6))</f>
        <v>DRW0401</v>
      </c>
      <c r="AU6" s="2" t="str">
        <f>IF(OR('A créer'!D6="Oui",LEN('A créer'!D6)=0),"","Tab")</f>
        <v>Tab</v>
      </c>
      <c r="AV6" s="2" t="str">
        <f>IF(OR('A créer'!D6="Oui",LEN('A créer'!D6)=0),"","*DN")</f>
        <v>*DN</v>
      </c>
      <c r="AW6" s="6" t="str">
        <f>IF(OR('A créer'!D6="Oui",LEN('A créer'!D6)=0),"",CONCATENATE("XXX",'A créer'!A6))</f>
        <v>XXX0401</v>
      </c>
      <c r="AX6" s="2" t="str">
        <f>IF(OR('A créer'!D6="Oui",LEN('A créer'!D6)=0),"","Tab")</f>
        <v>Tab</v>
      </c>
      <c r="AY6" s="2" t="str">
        <f>IF(OR('A créer'!D6="Oui",LEN('A créer'!D6)=0),"","*SAVE")</f>
        <v>*SAVE</v>
      </c>
      <c r="AZ6" s="2" t="str">
        <f>IF(OR('A créer'!D6="Oui",LEN('A créer'!D6)=0),"","*ML(608,125)")</f>
        <v>*ML(608,125)</v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Normal="100" workbookViewId="0">
      <pane ySplit="1" topLeftCell="A2" activePane="bottomLeft" state="frozenSplit"/>
      <selection activeCell="I9" sqref="I9"/>
      <selection pane="bottomLeft" activeCell="D7" sqref="D7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513472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SOCIETE GENERALE 0401 SOCIETE VALMY DEFENSE 101/DRW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513603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0554 DK 52/DNA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topLeftCell="E1" zoomScaleNormal="100" workbookViewId="0">
      <pane ySplit="1" topLeftCell="A2" activePane="bottomLeft" state="frozenSplit"/>
      <selection activeCell="I9" sqref="I9"/>
      <selection pane="bottomLeft" activeCell="A6" sqref="A6:R7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DRW0401</v>
      </c>
      <c r="C6" s="2" t="str">
        <f>IF(LEN('A créer'!C6)=0,"","Tab")</f>
        <v>Tab</v>
      </c>
      <c r="D6" t="str">
        <f>IF(LEN('A créer'!C6)=0,"",CONCATENATE(,'A créer'!B6,'A créer'!A6,"-",'A créer'!C6))</f>
        <v>DRW0401-SOCIETE VALMY DEFENSE 101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FB0090202C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DRW_0401PF FPS 0401 SOCIETE VALMY DEFENSE 101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DNA0554</v>
      </c>
      <c r="C7" s="2" t="str">
        <f>IF(LEN('A créer'!C7)=0,"","Tab")</f>
        <v>Tab</v>
      </c>
      <c r="D7" t="str">
        <f>IF(LEN('A créer'!C7)=0,"",CONCATENATE(,'A créer'!B7,'A créer'!A7,"-",'A créer'!C7))</f>
        <v>DNA0554-DK 52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FB0090378C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DNA_0554PF FPS 0554 DK 52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31"/>
  <sheetViews>
    <sheetView zoomScaleNormal="100" workbookViewId="0">
      <pane xSplit="1" ySplit="1" topLeftCell="B2" activePane="bottomRight" state="frozenSplit"/>
      <selection activeCell="I9" sqref="I9"/>
      <selection pane="topRight" activeCell="I9" sqref="I9"/>
      <selection pane="bottomLeft" activeCell="I9" sqref="I9"/>
      <selection pane="bottomRight" activeCell="I9" sqref="I9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0401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DRW0401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>*FN</v>
      </c>
      <c r="AO6" s="3" t="str">
        <f>IF(OR('A créer'!D6="Oui",LEN('A créer'!D6)=0,LEN('A créer'!C6)=0),"","\E")</f>
        <v>\E</v>
      </c>
      <c r="AP6" s="2" t="str">
        <f>IF(OR('A créer'!D6="Oui",LEN('A créer'!D6)=0,LEN('A créer'!C6)=0),"","TAB")</f>
        <v>TAB</v>
      </c>
      <c r="AQ6" s="6" t="str">
        <f>IF(OR('A créer'!D6="Oui",LEN('A créer'!D6)=0,LEN('A créer'!C6)=0),"",'A créer'!A6)</f>
        <v>0401</v>
      </c>
      <c r="AR6" s="2" t="str">
        <f>IF(OR('A créer'!D6="Oui",LEN('A créer'!D6)=0,LEN('A créer'!C6)=0),"","TAB")</f>
        <v>TAB</v>
      </c>
      <c r="AS6" s="6" t="str">
        <f>IF(OR('A créer'!D6="Oui",LEN('A créer'!D6)=0,LEN('A créer'!C6)=0),"","0")</f>
        <v>0</v>
      </c>
      <c r="AT6" s="2" t="str">
        <f>IF(OR('A créer'!D6="Oui",LEN('A créer'!D6)=0,LEN('A créer'!C6)=0),"","TAB")</f>
        <v>TAB</v>
      </c>
      <c r="AU6" s="6" t="str">
        <f>IF(OR('A créer'!D6="Oui",LEN('A créer'!D6)=0,LEN('A créer'!C6)=0),"","ZZZ")</f>
        <v>ZZZ</v>
      </c>
      <c r="AV6" s="6" t="str">
        <f>IF(OR('A créer'!D6="Oui",LEN('A créer'!D6)=0,LEN('A créer'!C6)=0),"","0")</f>
        <v>0</v>
      </c>
      <c r="AW6" s="2" t="str">
        <f>IF(OR('A créer'!D6="Oui",LEN('A créer'!D6)=0,LEN('A créer'!C6)=0),"","TAB")</f>
        <v>TAB</v>
      </c>
      <c r="AX6" s="6" t="str">
        <f>IF(OR('A créer'!D6="Oui",LEN('A créer'!D6)=0,LEN('A créer'!C6)=0),"","ZZZZZZ")</f>
        <v>ZZZZZZ</v>
      </c>
      <c r="AY6" s="6" t="str">
        <f>IF(OR('A créer'!D6="Oui",LEN('A créer'!D6)=0,LEN('A créer'!C6)=0),"","0")</f>
        <v>0</v>
      </c>
      <c r="AZ6" s="2" t="str">
        <f>IF(OR('A créer'!D6="Oui",LEN('A créer'!D6)=0,LEN('A créer'!C6)=0),"","TAB")</f>
        <v>TAB</v>
      </c>
      <c r="BA6" s="6" t="str">
        <f>IF(OR('A créer'!D6="Oui",LEN('A créer'!D6)=0,LEN('A créer'!C6)=0),"","ZZZZZ")</f>
        <v>ZZZZZ</v>
      </c>
      <c r="BB6" s="6" t="str">
        <f>IF(OR('A créer'!D6="Oui",LEN('A créer'!D6)=0,LEN('A créer'!C6)=0),"",CONCATENATE("XXX",'A créer'!A6))</f>
        <v>XXX0401</v>
      </c>
      <c r="BC6" s="2" t="str">
        <f>IF(OR('A créer'!D6="Oui",LEN('A créer'!D6)=0,LEN('A créer'!C6)=0),"","TAB")</f>
        <v>TAB</v>
      </c>
      <c r="BD6" s="6" t="str">
        <f>IF(OR('A créer'!D6="Oui",LEN('A créer'!D6)=0,LEN('A créer'!C6)=0),"","0")</f>
        <v>0</v>
      </c>
      <c r="BE6" s="2" t="str">
        <f>IF(OR('A créer'!D6="Oui",LEN('A créer'!D6)=0,LEN('A créer'!C6)=0),"","TAB")</f>
        <v>TAB</v>
      </c>
      <c r="BF6" s="6" t="str">
        <f>IF(OR('A créer'!D6="Oui",LEN('A créer'!D6)=0,LEN('A créer'!C6)=0),"","ZZZZZZZZZZ")</f>
        <v>ZZZZZZZZZZ</v>
      </c>
      <c r="BG6" s="6" t="str">
        <f>IF(OR('A créer'!D6="Oui",LEN('A créer'!D6)=0,LEN('A créer'!C6)=0),"","0")</f>
        <v>0</v>
      </c>
      <c r="BH6" s="2" t="str">
        <f>IF(OR('A créer'!D6="Oui",LEN('A créer'!D6)=0,LEN('A créer'!C6)=0),"","TAB")</f>
        <v>TAB</v>
      </c>
      <c r="BI6" s="6" t="str">
        <f>IF(OR('A créer'!D6="Oui",LEN('A créer'!D6)=0,LEN('A créer'!C6)=0),"","ZZZZZZZZZZ")</f>
        <v>ZZZZZZZZZZ</v>
      </c>
      <c r="BJ6" s="6" t="str">
        <f>IF(OR('A créer'!D6="Oui",LEN('A créer'!D6)=0,LEN('A créer'!C6)=0),"","0")</f>
        <v>0</v>
      </c>
      <c r="BK6" s="2" t="str">
        <f>IF(OR('A créer'!D6="Oui",LEN('A créer'!D6)=0,LEN('A créer'!C6)=0),"","TAB")</f>
        <v>TAB</v>
      </c>
      <c r="BL6" s="6" t="str">
        <f>IF(OR('A créer'!D6="Oui",LEN('A créer'!D6)=0,LEN('A créer'!C6)=0),"","ZZZZZZZZZZZZZZZ")</f>
        <v>ZZZZZZZZZZZZZZZ</v>
      </c>
      <c r="BM6" s="6" t="str">
        <f>IF(OR('A créer'!D6="Oui",LEN('A créer'!D6)=0,LEN('A créer'!C6)=0),"","0")</f>
        <v>0</v>
      </c>
      <c r="BN6" s="2" t="str">
        <f>IF(OR('A créer'!D6="Oui",LEN('A créer'!D6)=0,LEN('A créer'!C6)=0),"","TAB")</f>
        <v>TAB</v>
      </c>
      <c r="BO6" s="6" t="str">
        <f>IF(OR('A créer'!D6="Oui",LEN('A créer'!D6)=0,LEN('A créer'!C6)=0),"","ZZZ")</f>
        <v>ZZZ</v>
      </c>
      <c r="BP6" s="6" t="str">
        <f>IF(OR('A créer'!D6="Oui",LEN('A créer'!D6)=0,LEN('A créer'!C6)=0),"","0")</f>
        <v>0</v>
      </c>
      <c r="BQ6" s="2" t="str">
        <f>IF(OR('A créer'!D6="Oui",LEN('A créer'!D6)=0,LEN('A créer'!C6)=0),"","TAB")</f>
        <v>TAB</v>
      </c>
      <c r="BR6" s="6" t="str">
        <f>IF(OR('A créer'!D6="Oui",LEN('A créer'!D6)=0,LEN('A créer'!C6)=0),"","ZZZZZZZZZZ")</f>
        <v>ZZZZZZZZZZ</v>
      </c>
      <c r="BS6" s="6" t="str">
        <f>IF(OR('A créer'!D6="Oui",LEN('A créer'!D6)=0,LEN('A créer'!C6)=0),"","0")</f>
        <v>0</v>
      </c>
      <c r="BT6" s="2" t="str">
        <f>IF(OR('A créer'!D6="Oui",LEN('A créer'!D6)=0,LEN('A créer'!C6)=0),"","TAB")</f>
        <v>TAB</v>
      </c>
      <c r="BU6" s="6" t="str">
        <f>IF(OR('A créer'!D6="Oui",LEN('A créer'!D6)=0,LEN('A créer'!C6)=0),"","ZZZZZZZZZZ")</f>
        <v>ZZZZZZZZZZ</v>
      </c>
      <c r="BV6" s="6" t="str">
        <f>IF(OR('A créer'!D6="Oui",LEN('A créer'!D6)=0,LEN('A créer'!C6)=0),"","0")</f>
        <v>0</v>
      </c>
      <c r="BW6" s="2" t="str">
        <f>IF(OR('A créer'!D6="Oui",LEN('A créer'!D6)=0,LEN('A créer'!C6)=0),"","TAB")</f>
        <v>TAB</v>
      </c>
      <c r="BX6" s="6" t="str">
        <f>IF(OR('A créer'!D6="Oui",LEN('A créer'!D6)=0,LEN('A créer'!C6)=0),"","ZZZZZZZZZZ")</f>
        <v>ZZZZZZZZZZ</v>
      </c>
      <c r="BY6" s="2" t="str">
        <f>IF(OR('A créer'!D6="Oui",LEN('A créer'!D6)=0,LEN('A créer'!C6)=0),"","ENT")</f>
        <v>ENT</v>
      </c>
      <c r="BZ6" s="2" t="str">
        <f>IF(OR('A créer'!D6="Oui",LEN('A créer'!D6)=0,LEN('A créer'!C6)=0),"","*SAVE")</f>
        <v>*SAVE</v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0554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DNA0554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Views>
    <sheetView zoomScaleNormal="100" workbookViewId="0">
      <pane xSplit="1" ySplit="1" topLeftCell="B2" activePane="bottomRight" state="frozenSplit"/>
      <selection activeCell="I9" sqref="I9"/>
      <selection pane="topRight" activeCell="I9" sqref="I9"/>
      <selection pane="bottomLeft" activeCell="I9" sqref="I9"/>
      <selection pane="bottomRight" activeCell="I9" sqref="I9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0401</v>
      </c>
      <c r="E6" s="2" t="str">
        <f>IF(LEN('A créer'!C6)=0,"","Tab")</f>
        <v>Tab</v>
      </c>
      <c r="F6" t="str">
        <f>IF(LEN('A créer'!C6)=0,"",'A créer'!B6)</f>
        <v>DRW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0554</v>
      </c>
      <c r="E7" s="2" t="str">
        <f>IF(LEN('A créer'!C7)=0,"","Tab")</f>
        <v>Tab</v>
      </c>
      <c r="F7" t="str">
        <f>IF(LEN('A créer'!C7)=0,"",'A créer'!B7)</f>
        <v>DNA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tabSelected="1" zoomScaleNormal="100" workbookViewId="0">
      <pane xSplit="1" ySplit="1" topLeftCell="Q2" activePane="bottomRight" state="frozenSplit"/>
      <selection activeCell="I9" sqref="I9"/>
      <selection pane="topRight" activeCell="I9" sqref="I9"/>
      <selection pane="bottomLeft" activeCell="I9" sqref="I9"/>
      <selection pane="bottomRight" activeCell="U35" sqref="U3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>*FN</v>
      </c>
      <c r="B6" s="2" t="str">
        <f>IF(OR('A créer'!D6="Oui",LEN('A créer'!D6)=0),"","Tab")</f>
        <v>Tab</v>
      </c>
      <c r="C6" s="6" t="str">
        <f>IF(OR('A créer'!D6="Oui",LEN('A créer'!D6)=0),"",'A créer'!I6)</f>
        <v>SVD 101</v>
      </c>
      <c r="D6" s="2" t="str">
        <f>IF(OR('A créer'!D6="Oui",LEN('A créer'!D6)=0),"","Tab")</f>
        <v>Tab</v>
      </c>
      <c r="E6" s="6" t="str">
        <f>IF(OR('A créer'!D6="Oui",LEN('A créer'!D6)=0),"",'A créer'!C6)</f>
        <v>SOCIETE VALMY DEFENSE 101</v>
      </c>
      <c r="F6" s="2" t="str">
        <f>IF(OR('A créer'!D6="Oui",LEN('A créer'!D6)=0),"","Tab")</f>
        <v>Tab</v>
      </c>
      <c r="G6" s="2" t="str">
        <f>IF(OR('A créer'!D6="Oui",LEN('A créer'!D6)=0),"","Tab")</f>
        <v>Tab</v>
      </c>
      <c r="H6" s="2" t="str">
        <f>IF(OR('A créer'!D6="Oui",LEN('A créer'!D6)=0),"","Tab")</f>
        <v>Tab</v>
      </c>
      <c r="I6" s="6" t="str">
        <f>IF(OR('A créer'!D6="Oui",LEN('A créer'!D6)=0),"",'A créer'!J6)</f>
        <v>TOUR EUROPE - 33 , PLACE DES COROLLES</v>
      </c>
      <c r="J6" s="2" t="str">
        <f>IF(OR('A créer'!D6="Oui",LEN('A créer'!D6)=0),"","Tab 4")</f>
        <v>Tab 4</v>
      </c>
      <c r="K6" s="2" t="str">
        <f>IF(OR('A créer'!D6="Oui",LEN('A créer'!D6)=0),"","Tab")</f>
        <v>Tab</v>
      </c>
      <c r="L6" s="6">
        <f>IF(OR('A créer'!D6="Oui",LEN('A créer'!D6)=0),"",'A créer'!K6)</f>
        <v>92400</v>
      </c>
      <c r="M6" s="6" t="str">
        <f>IF(OR('A créer'!D6="Oui",LEN('A créer'!D6)=0),"",'A créer'!L6)</f>
        <v>COURBEVOIE</v>
      </c>
      <c r="N6" s="2" t="str">
        <f>IF(OR('A créer'!D6="Oui",LEN('A créer'!D6)=0),"","Tab")</f>
        <v>Tab</v>
      </c>
      <c r="O6" s="2" t="str">
        <f>IF(OR('A créer'!D6="Oui",LEN('A créer'!D6)=0),"","ENT")</f>
        <v>ENT</v>
      </c>
      <c r="P6" s="2" t="str">
        <f>IF(OR('A créer'!D6="Oui",LEN('A créer'!D6)=0),"","*SAVE")</f>
        <v>*SAVE</v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DRW0401</v>
      </c>
      <c r="T6" s="2" t="s">
        <v>4</v>
      </c>
      <c r="U6" s="6" t="str">
        <f>IF('A créer'!F6="Oui",'A créer'!C6,IF(LEN('A créer'!F6)=0,"",CONCATENATE('A créer'!C6," (",'A créer'!M6,")")))</f>
        <v>SOCIETE VALMY DEFENSE 101 (18401)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85501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>DRW</v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DNA0554</v>
      </c>
      <c r="T7" s="2" t="s">
        <v>4</v>
      </c>
      <c r="U7" s="6" t="str">
        <f>IF('A créer'!F7="Oui",'A créer'!C7,IF(LEN('A créer'!F7)=0,"",CONCATENATE('A créer'!C7," (",'A créer'!M7,")")))</f>
        <v>DK 52 (57554)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55507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">
        <v>44</v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/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/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/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/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I9" sqref="I9"/>
      <selection pane="bottomLeft" activeCell="G6" sqref="G6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0401</v>
      </c>
      <c r="D6" s="2" t="str">
        <f>IF(LEN('A créer'!C6)=0,"","Tab")</f>
        <v>Tab</v>
      </c>
      <c r="E6" t="str">
        <f>IF(LEN('A créer'!C6)=0,"",'A créer'!B6)</f>
        <v>DRW</v>
      </c>
      <c r="F6" s="2" t="str">
        <f>IF(LEN('A créer'!C6)=0,"","Tab")</f>
        <v>Tab</v>
      </c>
      <c r="G6" t="str">
        <f>IF(LEN('A créer'!C6)=0,"",'A créer'!G6)</f>
        <v>S0101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0554</v>
      </c>
      <c r="D7" s="2" t="str">
        <f>IF(LEN('A créer'!C7)=0,"","Tab")</f>
        <v>Tab</v>
      </c>
      <c r="E7" t="str">
        <f>IF(LEN('A créer'!C7)=0,"",'A créer'!B7)</f>
        <v>DNA</v>
      </c>
      <c r="F7" s="2" t="str">
        <f>IF(LEN('A créer'!C7)=0,"","Tab")</f>
        <v>Tab</v>
      </c>
      <c r="G7" t="str">
        <f>IF(LEN('A créer'!C7)=0,"",'A créer'!G7)</f>
        <v>YS2352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I9" sqref="I9"/>
      <selection pane="bottomLeft" activeCell="C7" sqref="C7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513472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513603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I9" sqref="I9"/>
      <selection pane="bottomLeft" activeCell="I9" sqref="I9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DRW0401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DNA0554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I9" sqref="I9"/>
      <selection pane="bottomLeft" activeCell="I9" sqref="I9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DRW0401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DNA0554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I9" sqref="I9"/>
      <selection pane="topRight" activeCell="I9" sqref="I9"/>
      <selection pane="bottomLeft" activeCell="I9" sqref="I9"/>
      <selection pane="bottomRight" activeCell="I9" sqref="I9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DRW0401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DRW0401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0401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DRW0401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DNA0554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DNA0554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0554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DNA0554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I9" sqref="I9"/>
      <selection pane="bottomLeft" activeCell="I9" sqref="I9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DRW0401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DNA0554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I9" sqref="I9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2025-06-18T17:47:11Z</dcterms:modified>
</cp:coreProperties>
</file>