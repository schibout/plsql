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NB\SoftaPlay\202407\"/>
    </mc:Choice>
  </mc:AlternateContent>
  <bookViews>
    <workbookView xWindow="290" yWindow="50" windowWidth="15870" windowHeight="5840" tabRatio="723" firstSheet="1" activeTab="6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J3" i="5" l="1"/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<sst xmlns="http://schemas.openxmlformats.org/spreadsheetml/2006/main" count="550" uniqueCount="144">
  <si>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</si>
  <si>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</si>
  <si>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</si>
  <si>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</si>
  <si>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</si>
  <si>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</si>
  <si>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</si>
  <si>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</si>
  <si>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</si>
  <si>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</si>
  <si>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</si>
  <si>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</si>
  <si>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</si>
  <si>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</si>
  <si>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</si>
  <si>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</si>
  <si>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</si>
  <si>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</si>
  <si>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</si>
  <si>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</si>
  <si>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</si>
  <si>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</si>
  <si>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</si>
  <si>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</si>
  <si>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</si>
  <si>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</si>
  <si>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</si>
  <si>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</si>
  <si>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</si>
  <si>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</si>
  <si>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</si>
  <si>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</si>
  <si>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</si>
  <si>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</si>
  <si>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</si>
  <si>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</si>
  <si>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</si>
  <si>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</si>
  <si>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</si>
  <si>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</si>
  <si>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</si>
  <si>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</si>
  <si>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</si>
  <si>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</si>
  <si>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</si>
  <si>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</si>
  <si>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</si>
  <si>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</si>
  <si>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</si>
  <si>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</si>
  <si>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</si>
  <si>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</si>
  <si>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</si>
  <si>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</si>
  <si>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</si>
  <si>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</si>
  <si>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</si>
  <si>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</si>
  <si>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</si>
  <si>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</si>
  <si>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</si>
  <si>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</si>
  <si>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</si>
  <si>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</si>
  <si>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</si>
  <si>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</si>
  <si>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</si>
  <si>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</si>
  <si>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</si>
  <si>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</si>
  <si>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</si>
  <si>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</si>
  <si>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</si>
  <si>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</si>
  <si>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</si>
  <si>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</si>
  <si>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</si>
  <si>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</si>
  <si>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</si>
  <si>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</si>
  <si>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</si>
  <si>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</si>
  <si>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</si>
  <si>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</si>
  <si>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</si>
  <si>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</si>
  <si>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</si>
  <si>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</si>
  <si>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</si>
  <si>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</si>
  <si>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</si>
  <si>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</si>
  <si>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</si>
  <si>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</si>
  <si>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</si>
  <si>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</si>
  <si>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</si>
  <si>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37,AVENUE DU MARECHAL DE LATTRE DE TASSIGNY</t>
  </si>
  <si>
    <t>SAINT-ANDRE LEZ LILLE</t>
  </si>
  <si>
    <t>59784 LILLE CEDEX 9</t>
  </si>
  <si>
    <t>SOCIETE GENERALE</t>
  </si>
  <si>
    <t>DK 27</t>
  </si>
  <si>
    <t>0513</t>
  </si>
  <si>
    <t>S2327</t>
  </si>
  <si>
    <t xml:space="preserve">33, Place des Corolles TOUR EUROPE </t>
  </si>
  <si>
    <t>92400</t>
  </si>
  <si>
    <t>COURBEVOIE</t>
  </si>
  <si>
    <t>TSA 85501</t>
  </si>
  <si>
    <t>BNP PARIBAS</t>
  </si>
  <si>
    <t>FB0084715S</t>
  </si>
  <si>
    <t>SOCIETE VALMY DEFENSE 108</t>
  </si>
  <si>
    <t>0412</t>
  </si>
  <si>
    <t>S2008</t>
  </si>
  <si>
    <t>XXXXX</t>
  </si>
  <si>
    <t>TSA 55507</t>
  </si>
  <si>
    <t>FB0084874Y</t>
  </si>
  <si>
    <t>0505</t>
  </si>
  <si>
    <t>MONTCHOVET ENERGIES</t>
  </si>
  <si>
    <t>YS2121</t>
  </si>
  <si>
    <t>15, AV ALBERT EINSTEIN TOUR EUROPE - TSA 77655</t>
  </si>
  <si>
    <t>VILLEURBANNE</t>
  </si>
  <si>
    <t>TSA 35505</t>
  </si>
  <si>
    <t>FB0084664J</t>
  </si>
  <si>
    <t>0450</t>
  </si>
  <si>
    <t>REMIREMONT ENERGIE</t>
  </si>
  <si>
    <t>YS2018</t>
  </si>
  <si>
    <t>6, rue des Trezelots</t>
  </si>
  <si>
    <t>PULNOY</t>
  </si>
  <si>
    <t>TSA 15503</t>
  </si>
  <si>
    <t>FB0085324J</t>
  </si>
  <si>
    <t>0506</t>
  </si>
  <si>
    <t>MONTROUGE ER</t>
  </si>
  <si>
    <t>MONTROUGE ENERGIE RENOUVELABLE</t>
  </si>
  <si>
    <t>YS2122</t>
  </si>
  <si>
    <t>33, Place des Corolles TOUR EUROPE</t>
  </si>
  <si>
    <t>FB0085873H</t>
  </si>
  <si>
    <t>0486</t>
  </si>
  <si>
    <t>LA FERTE BOIS CHALEUR</t>
  </si>
  <si>
    <t>S2113</t>
  </si>
  <si>
    <t>LA FERTE BC</t>
  </si>
  <si>
    <t>9, ALLEE DE CINDAIS</t>
  </si>
  <si>
    <t>SAINT-ANDRE SUR ORNE</t>
  </si>
  <si>
    <t>TSA 95502</t>
  </si>
  <si>
    <t>FB0086567X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</si>
</sst>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zoomScale="90" zoomScaleNormal="90" workbookViewId="0">
      <pane xSplit="6" ySplit="1" topLeftCell="G2" activePane="bottomRight" state="frozenSplit"/>
      <selection activeCell="D5" sqref="D5"/>
      <selection pane="topRight" activeCell="D5" sqref="D5"/>
      <selection pane="bottomLeft" activeCell="D5" sqref="D5"/>
      <selection pane="bottomRight" activeCell="C9" sqref="C9"/>
    </sheetView>
  </sheetViews>
  <sheetFormatPr baseColWidth="10" defaultRowHeight="14.5" x14ac:dyDescent="0.35"/>
  <cols>
    <col min="1" max="1" width="7.26953125" bestFit="1" customWidth="1"/>
    <col min="2" max="2" width="7" bestFit="1" customWidth="1"/>
    <col min="3" max="3" width="30.1796875" customWidth="1"/>
    <col min="4" max="4" width="8.1796875" bestFit="1" customWidth="1"/>
    <col min="5" max="5" width="4.54296875" bestFit="1" customWidth="1"/>
    <col min="6" max="6" width="9.26953125" bestFit="1" customWidth="1"/>
    <col min="7" max="7" width="8.26953125" bestFit="1" customWidth="1"/>
    <col min="8" max="8" width="10.1796875" bestFit="1" customWidth="1"/>
    <col min="9" max="9" width="29.81640625" customWidth="1"/>
    <col min="10" max="10" width="45.453125" bestFit="1" customWidth="1"/>
    <col min="11" max="11" width="7" bestFit="1" customWidth="1"/>
    <col min="12" max="12" width="29.7265625" bestFit="1" customWidth="1"/>
    <col min="13" max="13" width="9.81640625" bestFit="1" customWidth="1"/>
    <col min="14" max="14" width="11.26953125" bestFit="1" customWidth="1"/>
    <col min="15" max="15" width="21" bestFit="1" customWidth="1"/>
    <col min="16" max="16" width="8" bestFit="1" customWidth="1"/>
    <col min="17" max="17" width="17.7265625" bestFit="1" customWidth="1"/>
    <col min="18" max="18" width="12.81640625" bestFit="1" customWidth="1"/>
    <col min="19" max="19" width="5.453125" bestFit="1" customWidth="1"/>
  </cols>
  <sheetData>
    <row r="1" spans="1:19" s="5" customFormat="1" ht="30" customHeight="1" thickBot="1" x14ac:dyDescent="0.4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" thickBot="1" x14ac:dyDescent="0.4">
      <c r="A2" s="1" t="s">
        <v>102</v>
      </c>
      <c r="B2" s="6" t="s">
        <v>41</v>
      </c>
      <c r="C2" s="15" t="s">
        <v>101</v>
      </c>
      <c r="D2" s="6" t="s">
        <v>74</v>
      </c>
      <c r="E2" s="6" t="s">
        <v>34</v>
      </c>
      <c r="F2" s="6" t="s">
        <v>34</v>
      </c>
      <c r="G2" s="6" t="s">
        <v>103</v>
      </c>
      <c r="H2" s="4" t="s">
        <v>41</v>
      </c>
      <c r="I2" s="17" t="s">
        <v>101</v>
      </c>
      <c r="J2" s="6" t="s">
        <v>104</v>
      </c>
      <c r="K2" s="18" t="s">
        <v>105</v>
      </c>
      <c r="L2" s="16" t="s">
        <v>106</v>
      </c>
      <c r="M2" s="6">
        <v>18513</v>
      </c>
      <c r="N2" s="6" t="s">
        <v>107</v>
      </c>
      <c r="O2" s="10" t="s">
        <v>99</v>
      </c>
      <c r="P2" s="19">
        <v>513570</v>
      </c>
      <c r="Q2" s="6" t="s">
        <v>108</v>
      </c>
      <c r="R2" s="24" t="s">
        <v>109</v>
      </c>
    </row>
    <row r="3" spans="1:19" s="6" customFormat="1" ht="16" thickBot="1" x14ac:dyDescent="0.4">
      <c r="A3" s="1" t="s">
        <v>111</v>
      </c>
      <c r="B3" s="6" t="s">
        <v>44</v>
      </c>
      <c r="C3" s="15" t="s">
        <v>110</v>
      </c>
      <c r="D3" s="6" t="s">
        <v>74</v>
      </c>
      <c r="E3" s="6" t="s">
        <v>34</v>
      </c>
      <c r="F3" s="6" t="s">
        <v>34</v>
      </c>
      <c r="G3" s="6" t="s">
        <v>112</v>
      </c>
      <c r="H3" s="4" t="s">
        <v>44</v>
      </c>
      <c r="I3" s="17" t="s">
        <v>110</v>
      </c>
      <c r="J3" s="6" t="s">
        <v>97</v>
      </c>
      <c r="K3" s="18">
        <v>59350</v>
      </c>
      <c r="L3" s="16" t="s">
        <v>98</v>
      </c>
      <c r="M3" s="6" t="s">
        <v>113</v>
      </c>
      <c r="N3" s="6" t="s">
        <v>114</v>
      </c>
      <c r="O3" s="10" t="s">
        <v>99</v>
      </c>
      <c r="P3" s="19">
        <v>513479</v>
      </c>
      <c r="Q3" s="6" t="s">
        <v>100</v>
      </c>
      <c r="R3" s="23" t="s">
        <v>115</v>
      </c>
    </row>
    <row r="4" spans="1:19" s="6" customFormat="1" ht="16" thickBot="1" x14ac:dyDescent="0.4">
      <c r="A4" s="1" t="s">
        <v>116</v>
      </c>
      <c r="B4" s="6" t="s">
        <v>40</v>
      </c>
      <c r="C4" s="15" t="s">
        <v>117</v>
      </c>
      <c r="D4" s="6" t="s">
        <v>74</v>
      </c>
      <c r="E4" s="6" t="s">
        <v>34</v>
      </c>
      <c r="F4" s="6" t="s">
        <v>34</v>
      </c>
      <c r="G4" s="6" t="s">
        <v>118</v>
      </c>
      <c r="H4" s="4" t="s">
        <v>40</v>
      </c>
      <c r="I4" s="17" t="s">
        <v>117</v>
      </c>
      <c r="J4" s="6" t="s">
        <v>119</v>
      </c>
      <c r="K4" s="18">
        <v>69100</v>
      </c>
      <c r="L4" s="16" t="s">
        <v>120</v>
      </c>
      <c r="M4" s="6">
        <v>53505</v>
      </c>
      <c r="N4" s="6" t="s">
        <v>121</v>
      </c>
      <c r="O4" s="10" t="s">
        <v>99</v>
      </c>
      <c r="P4" s="19">
        <v>513564</v>
      </c>
      <c r="Q4" s="6" t="s">
        <v>108</v>
      </c>
      <c r="R4" s="22" t="s">
        <v>122</v>
      </c>
    </row>
    <row r="5" spans="1:19" s="6" customFormat="1" ht="16" thickBot="1" x14ac:dyDescent="0.4">
      <c r="A5" s="1"/>
      <c r="C5" s="15"/>
      <c r="H5" s="20"/>
      <c r="I5" s="17"/>
      <c r="J5" s="20"/>
      <c r="K5" s="18"/>
      <c r="L5" s="16"/>
      <c r="O5" s="10"/>
      <c r="P5" s="19"/>
      <c r="Q5" s="20"/>
      <c r="R5" s="24"/>
    </row>
    <row r="6" spans="1:19" s="6" customFormat="1" ht="16" thickBot="1" x14ac:dyDescent="0.4">
      <c r="A6" s="1" t="s">
        <v>123</v>
      </c>
      <c r="B6" s="6" t="s">
        <v>38</v>
      </c>
      <c r="C6" s="15" t="s">
        <v>124</v>
      </c>
      <c r="D6" s="6" t="s">
        <v>74</v>
      </c>
      <c r="E6" s="6" t="s">
        <v>34</v>
      </c>
      <c r="F6" s="6" t="s">
        <v>34</v>
      </c>
      <c r="G6" s="6" t="s">
        <v>125</v>
      </c>
      <c r="H6" s="20" t="s">
        <v>38</v>
      </c>
      <c r="I6" s="17" t="s">
        <v>124</v>
      </c>
      <c r="J6" s="6" t="s">
        <v>126</v>
      </c>
      <c r="K6" s="18">
        <v>54425</v>
      </c>
      <c r="L6" s="16" t="s">
        <v>127</v>
      </c>
      <c r="M6" s="6">
        <v>13450</v>
      </c>
      <c r="N6" s="6" t="s">
        <v>128</v>
      </c>
      <c r="O6" s="10" t="s">
        <v>99</v>
      </c>
      <c r="P6" s="19">
        <v>513520</v>
      </c>
      <c r="Q6" s="6" t="s">
        <v>108</v>
      </c>
      <c r="R6" s="24" t="s">
        <v>129</v>
      </c>
    </row>
    <row r="7" spans="1:19" s="6" customFormat="1" ht="16" thickBot="1" x14ac:dyDescent="0.4">
      <c r="A7" s="1" t="s">
        <v>130</v>
      </c>
      <c r="B7" s="6" t="s">
        <v>41</v>
      </c>
      <c r="C7" s="15" t="s">
        <v>132</v>
      </c>
      <c r="D7" s="6" t="s">
        <v>74</v>
      </c>
      <c r="E7" s="6" t="s">
        <v>34</v>
      </c>
      <c r="F7" s="6" t="s">
        <v>34</v>
      </c>
      <c r="G7" s="6" t="s">
        <v>133</v>
      </c>
      <c r="H7" s="4" t="s">
        <v>41</v>
      </c>
      <c r="I7" s="17" t="s">
        <v>131</v>
      </c>
      <c r="J7" s="6" t="s">
        <v>134</v>
      </c>
      <c r="K7" s="18">
        <v>92400</v>
      </c>
      <c r="L7" s="16" t="s">
        <v>106</v>
      </c>
      <c r="M7" s="6">
        <v>18506</v>
      </c>
      <c r="N7" s="6" t="s">
        <v>107</v>
      </c>
      <c r="O7" s="10" t="s">
        <v>99</v>
      </c>
      <c r="P7" s="19">
        <v>513565</v>
      </c>
      <c r="Q7" s="6" t="s">
        <v>108</v>
      </c>
      <c r="R7" s="24" t="s">
        <v>135</v>
      </c>
    </row>
    <row r="8" spans="1:19" s="6" customFormat="1" ht="16" thickBot="1" x14ac:dyDescent="0.4">
      <c r="A8" s="1"/>
      <c r="C8" s="15"/>
      <c r="H8" s="4"/>
      <c r="I8" s="17"/>
      <c r="K8" s="18"/>
      <c r="L8" s="16"/>
      <c r="O8" s="10"/>
      <c r="P8" s="19"/>
      <c r="R8" s="24"/>
    </row>
    <row r="9" spans="1:19" s="6" customFormat="1" ht="16" thickBot="1" x14ac:dyDescent="0.4">
      <c r="A9" s="1" t="s">
        <v>136</v>
      </c>
      <c r="B9" s="6" t="s">
        <v>42</v>
      </c>
      <c r="C9" s="15" t="s">
        <v>137</v>
      </c>
      <c r="D9" s="6" t="s">
        <v>74</v>
      </c>
      <c r="E9" s="6" t="s">
        <v>34</v>
      </c>
      <c r="F9" s="6" t="s">
        <v>74</v>
      </c>
      <c r="G9" s="6" t="s">
        <v>138</v>
      </c>
      <c r="H9" s="4" t="s">
        <v>42</v>
      </c>
      <c r="I9" s="17" t="s">
        <v>139</v>
      </c>
      <c r="J9" s="20" t="s">
        <v>140</v>
      </c>
      <c r="K9" s="18">
        <v>14320</v>
      </c>
      <c r="L9" s="16" t="s">
        <v>141</v>
      </c>
      <c r="M9" s="6">
        <v>92486</v>
      </c>
      <c r="N9" s="6" t="s">
        <v>142</v>
      </c>
      <c r="O9" s="10" t="s">
        <v>99</v>
      </c>
      <c r="P9" s="19">
        <v>513547</v>
      </c>
      <c r="Q9" s="6" t="s">
        <v>100</v>
      </c>
      <c r="R9" s="24" t="s">
        <v>143</v>
      </c>
    </row>
    <row r="10" spans="1:19" ht="16" thickBot="1" x14ac:dyDescent="0.4">
      <c r="A10" s="1"/>
      <c r="B10" s="6"/>
      <c r="C10" s="15"/>
      <c r="D10" s="6"/>
      <c r="E10" s="6"/>
      <c r="F10" s="6"/>
      <c r="G10" s="6"/>
      <c r="H10" s="4"/>
      <c r="I10" s="17"/>
      <c r="J10" s="6"/>
      <c r="K10" s="18"/>
      <c r="L10" s="16"/>
      <c r="M10" s="6"/>
      <c r="N10" s="6"/>
      <c r="O10" s="10"/>
      <c r="P10" s="19"/>
      <c r="Q10" s="6"/>
      <c r="R10" s="24"/>
      <c r="S10" s="6"/>
    </row>
    <row r="11" spans="1:19" ht="16" thickBot="1" x14ac:dyDescent="0.4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1"/>
      <c r="S11" s="6"/>
    </row>
    <row r="12" spans="1:19" ht="16" thickBot="1" x14ac:dyDescent="0.4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4"/>
      <c r="S12" s="6"/>
    </row>
    <row r="13" spans="1:19" ht="16" thickBot="1" x14ac:dyDescent="0.4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4"/>
      <c r="S13" s="6"/>
    </row>
    <row r="14" spans="1:19" ht="16" thickBot="1" x14ac:dyDescent="0.4">
      <c r="A14" s="1"/>
      <c r="D14" s="6"/>
      <c r="E14" s="6"/>
      <c r="F14" s="6"/>
      <c r="H14" s="20"/>
      <c r="I14" s="20"/>
      <c r="J14" s="20"/>
      <c r="K14" s="18"/>
      <c r="L14" s="16"/>
      <c r="R14" s="24"/>
      <c r="S14" s="6"/>
    </row>
    <row r="15" spans="1:19" x14ac:dyDescent="0.35">
      <c r="A15" s="1"/>
      <c r="S15" s="6"/>
    </row>
    <row r="16" spans="1:19" x14ac:dyDescent="0.35">
      <c r="A16" s="1"/>
      <c r="S16" s="6"/>
    </row>
    <row r="17" spans="1:19" x14ac:dyDescent="0.35">
      <c r="A17" s="1"/>
      <c r="S17" s="6"/>
    </row>
    <row r="18" spans="1:19" x14ac:dyDescent="0.35">
      <c r="A18" s="1"/>
      <c r="S18" s="6"/>
    </row>
    <row r="19" spans="1:19" x14ac:dyDescent="0.35">
      <c r="A19" s="1"/>
      <c r="S19" s="6"/>
    </row>
    <row r="20" spans="1:19" x14ac:dyDescent="0.35">
      <c r="A20" s="1"/>
      <c r="S20" s="6"/>
    </row>
    <row r="21" spans="1:19" x14ac:dyDescent="0.35">
      <c r="A21" s="1"/>
      <c r="S21" s="6"/>
    </row>
    <row r="22" spans="1:19" x14ac:dyDescent="0.35">
      <c r="A22" s="1"/>
      <c r="S22" s="6"/>
    </row>
    <row r="23" spans="1:19" x14ac:dyDescent="0.35">
      <c r="A23" s="1"/>
      <c r="S23" s="6"/>
    </row>
    <row r="24" spans="1:19" x14ac:dyDescent="0.35">
      <c r="A24" s="1"/>
      <c r="S24" s="6"/>
    </row>
    <row r="25" spans="1:19" x14ac:dyDescent="0.35">
      <c r="A25" s="1"/>
      <c r="D25" s="6"/>
    </row>
    <row r="26" spans="1:19" x14ac:dyDescent="0.35">
      <c r="A26" s="1"/>
      <c r="D26" s="6"/>
    </row>
    <row r="27" spans="1:19" x14ac:dyDescent="0.3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activeCell="D5" sqref="D5"/>
      <selection pane="bottomLeft" activeCell="D5" sqref="D5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5" max="5" width="4" bestFit="1" customWidth="1"/>
    <col min="7" max="7" width="6.1796875" bestFit="1" customWidth="1"/>
  </cols>
  <sheetData>
    <row r="1" spans="1:7" x14ac:dyDescent="0.3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35">
      <c r="A2" s="2" t="str">
        <f>IF(OR('A créer'!D2="Oui",LEN('A créer'!D2)=0),"","*FN")</f>
        <v/>
      </c>
      <c r="B2" t="str">
        <f>IF(OR('A créer'!D2="Oui",LEN('A créer'!D2)=0),"",CONCATENATE("A",'A créer'!A2))</f>
        <v/>
      </c>
      <c r="C2" s="2" t="str">
        <f>IF(OR('A créer'!D2="Oui",LEN('A créer'!D2)=0),"","Tab")</f>
        <v/>
      </c>
      <c r="D2" t="str">
        <f>IF(OR('A créer'!D2="Oui",LEN('A créer'!D2)=0),"",CONCATENATE("A",'A créer'!A2))</f>
        <v/>
      </c>
      <c r="E2" s="2" t="str">
        <f>IF(OR('A créer'!D2="Oui",LEN('A créer'!D2)=0),"","Tab")</f>
        <v/>
      </c>
      <c r="F2" t="str">
        <f>IF(OR('A créer'!D2="Oui",LEN('A créer'!D2)=0),"",CONCATENATE("STE ",'A créer'!A2))</f>
        <v/>
      </c>
      <c r="G2" s="2" t="str">
        <f>IF(OR('A créer'!D2="Oui",LEN('A créer'!D2)=0),"","*SAVE")</f>
        <v/>
      </c>
    </row>
    <row r="3" spans="1:7" x14ac:dyDescent="0.3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3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3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3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3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3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3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3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3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3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3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3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3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3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3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3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3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3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3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3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3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3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3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3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3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3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3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3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30"/>
  <sheetViews>
    <sheetView zoomScale="80" zoomScaleNormal="80" workbookViewId="0">
      <pane ySplit="1" topLeftCell="A2" activePane="bottomLeft" state="frozenSplit"/>
      <selection pane="bottomLeft" activeCell="D5" sqref="D5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4" max="4" width="27.26953125" bestFit="1" customWidth="1"/>
    <col min="5" max="5" width="4" bestFit="1" customWidth="1"/>
    <col min="6" max="6" width="6.1796875" bestFit="1" customWidth="1"/>
  </cols>
  <sheetData>
    <row r="1" spans="1:6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35">
      <c r="A2" s="2" t="str">
        <f>IF(LEN('A créer'!G2)=0,"","*FN")</f>
        <v>*FN</v>
      </c>
      <c r="B2" t="str">
        <f>IF(LEN('A créer'!G2)=0,"",'A créer'!G2)</f>
        <v>S2327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DK 27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35">
      <c r="A3" s="2" t="str">
        <f>IF(LEN('A créer'!G3)=0,"","*FN")</f>
        <v>*FN</v>
      </c>
      <c r="B3" s="6" t="str">
        <f>IF(LEN('A créer'!G3)=0,"",'A créer'!G3)</f>
        <v>S2008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SOCIETE VALMY DEFENSE 108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35">
      <c r="A4" s="2" t="str">
        <f>IF(LEN('A créer'!G4)=0,"","*FN")</f>
        <v>*FN</v>
      </c>
      <c r="B4" s="6" t="str">
        <f>IF(LEN('A créer'!G4)=0,"",'A créer'!G4)</f>
        <v>YS2121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MONTCHOVET ENERGIES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3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35">
      <c r="A6" s="2" t="str">
        <f>IF(LEN('A créer'!G6)=0,"","*FN")</f>
        <v>*FN</v>
      </c>
      <c r="B6" s="6" t="str">
        <f>IF(LEN('A créer'!G6)=0,"",'A créer'!G6)</f>
        <v>YS2018</v>
      </c>
      <c r="C6" s="2" t="str">
        <f>IF(LEN('A créer'!G6)=0,"","Tab")</f>
        <v>Tab</v>
      </c>
      <c r="D6" s="6" t="str">
        <f>IF(LEN('A créer'!G6)=0,IF(LEN('A créer'!G6)&gt;0,CONCATENATE('A créer'!C6," ",'A créer'!B6),""),'A créer'!C6)</f>
        <v>REMIREMONT ENERGIE</v>
      </c>
      <c r="E6" s="2" t="str">
        <f>IF(LEN('A créer'!G6)=0,"","Tab")</f>
        <v>Tab</v>
      </c>
      <c r="F6" s="2" t="str">
        <f>IF(LEN('A créer'!G6)=0,"","*SAVE")</f>
        <v>*SAVE</v>
      </c>
    </row>
    <row r="7" spans="1:6" x14ac:dyDescent="0.35">
      <c r="A7" s="2" t="str">
        <f>IF(LEN('A créer'!G7)=0,"","*FN")</f>
        <v>*FN</v>
      </c>
      <c r="B7" s="6" t="str">
        <f>IF(LEN('A créer'!G7)=0,"",'A créer'!G7)</f>
        <v>YS2122</v>
      </c>
      <c r="C7" s="2" t="str">
        <f>IF(LEN('A créer'!G7)=0,"","Tab")</f>
        <v>Tab</v>
      </c>
      <c r="D7" s="6" t="str">
        <f>IF(LEN('A créer'!G7)=0,IF(LEN('A créer'!G7)&gt;0,CONCATENATE('A créer'!C7," ",'A créer'!B7),""),'A créer'!C7)</f>
        <v>MONTROUGE ENERGIE RENOUVELABLE</v>
      </c>
      <c r="E7" s="2" t="str">
        <f>IF(LEN('A créer'!G7)=0,"","Tab")</f>
        <v>Tab</v>
      </c>
      <c r="F7" s="2" t="str">
        <f>IF(LEN('A créer'!G7)=0,"","*SAVE")</f>
        <v>*SAVE</v>
      </c>
    </row>
    <row r="8" spans="1:6" x14ac:dyDescent="0.3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35">
      <c r="A9" s="2" t="str">
        <f>IF(LEN('A créer'!G9)=0,"","*FN")</f>
        <v>*FN</v>
      </c>
      <c r="B9" s="6" t="str">
        <f>IF(LEN('A créer'!G9)=0,"",'A créer'!G9)</f>
        <v>S2113</v>
      </c>
      <c r="C9" s="2" t="str">
        <f>IF(LEN('A créer'!G9)=0,"","Tab")</f>
        <v>Tab</v>
      </c>
      <c r="D9" s="6" t="str">
        <f>IF(LEN('A créer'!G9)=0,IF(LEN('A créer'!G9)&gt;0,CONCATENATE('A créer'!C9," ",'A créer'!B9),""),'A créer'!C9)</f>
        <v>LA FERTE BOIS CHALEUR</v>
      </c>
      <c r="E9" s="2" t="str">
        <f>IF(LEN('A créer'!G9)=0,"","Tab")</f>
        <v>Tab</v>
      </c>
      <c r="F9" s="2" t="str">
        <f>IF(LEN('A créer'!G9)=0,"","*SAVE")</f>
        <v>*SAVE</v>
      </c>
    </row>
    <row r="10" spans="1:6" x14ac:dyDescent="0.3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3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3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3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3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3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3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3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3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3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3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3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3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3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3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3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3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3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3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3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3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C30"/>
  <sheetViews>
    <sheetView zoomScale="80" zoomScaleNormal="80" workbookViewId="0">
      <pane xSplit="1" ySplit="1" topLeftCell="B2" activePane="bottomRight" state="frozenSplit"/>
      <selection activeCell="D5" sqref="D5"/>
      <selection pane="topRight" activeCell="D5" sqref="D5"/>
      <selection pane="bottomLeft" activeCell="D5" sqref="D5"/>
      <selection pane="bottomRight" activeCell="D5" sqref="D5"/>
    </sheetView>
  </sheetViews>
  <sheetFormatPr baseColWidth="10" defaultRowHeight="14.5" x14ac:dyDescent="0.35"/>
  <cols>
    <col min="1" max="1" width="4.26953125" bestFit="1" customWidth="1"/>
    <col min="2" max="2" width="5.26953125" bestFit="1" customWidth="1"/>
    <col min="3" max="3" width="4" bestFit="1" customWidth="1"/>
    <col min="4" max="4" width="11.81640625" bestFit="1" customWidth="1"/>
    <col min="5" max="5" width="6.1796875" customWidth="1"/>
    <col min="6" max="7" width="4" bestFit="1" customWidth="1"/>
    <col min="8" max="8" width="4.26953125" bestFit="1" customWidth="1"/>
    <col min="9" max="9" width="6.1796875" bestFit="1" customWidth="1"/>
    <col min="10" max="10" width="4" bestFit="1" customWidth="1"/>
    <col min="11" max="11" width="6.54296875" bestFit="1" customWidth="1"/>
    <col min="12" max="12" width="7.54296875" customWidth="1"/>
    <col min="13" max="13" width="6.81640625" customWidth="1"/>
    <col min="14" max="14" width="6.453125" customWidth="1"/>
    <col min="15" max="15" width="6" customWidth="1"/>
    <col min="16" max="16" width="7.1796875" customWidth="1"/>
    <col min="17" max="17" width="6.54296875" customWidth="1"/>
    <col min="18" max="18" width="7" customWidth="1"/>
    <col min="19" max="19" width="4" bestFit="1" customWidth="1"/>
    <col min="20" max="20" width="7.54296875" customWidth="1"/>
    <col min="21" max="21" width="4" bestFit="1" customWidth="1"/>
    <col min="22" max="22" width="7.26953125" customWidth="1"/>
    <col min="23" max="23" width="4" bestFit="1" customWidth="1"/>
    <col min="24" max="24" width="7.26953125" customWidth="1"/>
    <col min="25" max="25" width="4" bestFit="1" customWidth="1"/>
    <col min="26" max="26" width="8.26953125" customWidth="1"/>
    <col min="27" max="27" width="5.81640625" customWidth="1"/>
    <col min="28" max="28" width="4" bestFit="1" customWidth="1"/>
    <col min="29" max="29" width="7.453125" customWidth="1"/>
    <col min="30" max="30" width="4" bestFit="1" customWidth="1"/>
    <col min="31" max="31" width="4.26953125" bestFit="1" customWidth="1"/>
    <col min="32" max="32" width="6.1796875" bestFit="1" customWidth="1"/>
    <col min="33" max="33" width="4.26953125" bestFit="1" customWidth="1"/>
    <col min="34" max="34" width="7.453125" customWidth="1"/>
    <col min="35" max="35" width="4" bestFit="1" customWidth="1"/>
    <col min="36" max="36" width="18.26953125" bestFit="1" customWidth="1"/>
    <col min="37" max="37" width="6.54296875" customWidth="1"/>
    <col min="38" max="38" width="4" bestFit="1" customWidth="1"/>
    <col min="39" max="39" width="4" customWidth="1"/>
    <col min="40" max="40" width="7.7265625" bestFit="1" customWidth="1"/>
    <col min="41" max="42" width="4" bestFit="1" customWidth="1"/>
    <col min="43" max="43" width="4.26953125" bestFit="1" customWidth="1"/>
    <col min="44" max="44" width="6.1796875" bestFit="1" customWidth="1"/>
    <col min="45" max="45" width="4" bestFit="1" customWidth="1"/>
    <col min="46" max="46" width="6.54296875" bestFit="1" customWidth="1"/>
    <col min="47" max="47" width="4" bestFit="1" customWidth="1"/>
    <col min="48" max="48" width="4.26953125" bestFit="1" customWidth="1"/>
    <col min="49" max="49" width="6.1796875" bestFit="1" customWidth="1"/>
    <col min="50" max="50" width="6.1796875" customWidth="1"/>
    <col min="51" max="51" width="4.1796875" bestFit="1" customWidth="1"/>
    <col min="52" max="52" width="5.26953125" bestFit="1" customWidth="1"/>
    <col min="53" max="53" width="4" bestFit="1" customWidth="1"/>
    <col min="54" max="54" width="6.1796875" bestFit="1" customWidth="1"/>
    <col min="55" max="55" width="13.453125" bestFit="1" customWidth="1"/>
  </cols>
  <sheetData>
    <row r="1" spans="1:5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35">
      <c r="A2" s="2" t="str">
        <f>IF(OR('A créer'!D2="Oui",LEN('A créer'!D2)=0),"","*FN")</f>
        <v/>
      </c>
      <c r="B2" t="str">
        <f>IF(OR('A créer'!D2="Oui",LEN('A créer'!D2)=0),"",'A créer'!A2)</f>
        <v/>
      </c>
      <c r="C2" s="2" t="str">
        <f>IF(OR('A créer'!D2="Oui",LEN('A créer'!D2)=0),"","Tab")</f>
        <v/>
      </c>
      <c r="D2" t="str">
        <f>IF(OR('A créer'!D2="Oui",LEN('A créer'!D2)=0),"",'A créer'!C2)</f>
        <v/>
      </c>
      <c r="E2" s="2" t="s">
        <v>94</v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créer'!D2)=0),"","ENT")</f>
        <v/>
      </c>
      <c r="I2" t="str">
        <f>IF(OR('A créer'!D2="Oui",LEN('A créer'!D2)=0),"","Oui")</f>
        <v/>
      </c>
      <c r="J2" s="2" t="str">
        <f>IF(OR('A créer'!D2="Oui",LEN('A créer'!D2)=0),"","Tab")</f>
        <v/>
      </c>
      <c r="K2" t="str">
        <f>IF(OR('A créer'!D2="Oui",LEN('A créer'!D2)=0),"",'A créer'!H2)</f>
        <v/>
      </c>
      <c r="L2" t="str">
        <f>IF(OR('A créer'!D2="Oui",LEN('A créer'!D2)=0),"",IF($K2="DCW",'A créer'!G2,""))</f>
        <v/>
      </c>
      <c r="M2" s="2" t="str">
        <f>IF(OR('A créer'!D2="Oui",LEN('A créer'!D2)=0),"","Tab")</f>
        <v/>
      </c>
      <c r="N2" t="str">
        <f>IF(OR('A créer'!D2="Oui",LEN('A créer'!D2)=0),"",IF($K2="DLS",'A créer'!G2,""))</f>
        <v/>
      </c>
      <c r="O2" s="2" t="str">
        <f>IF(OR('A créer'!D2="Oui",LEN('A créer'!D2)=0),"","Tab")</f>
        <v/>
      </c>
      <c r="P2" t="str">
        <f>IF(OR('A créer'!D2="Oui",LEN('A créer'!D2)=0),"",IF($K2="DMS",'A créer'!G2,""))</f>
        <v/>
      </c>
      <c r="Q2" s="2" t="str">
        <f>IF(OR('A créer'!D2="Oui",LEN('A créer'!D2)=0),"","Tab")</f>
        <v/>
      </c>
      <c r="R2" t="str">
        <f>IF(OR('A créer'!D2="Oui",LEN('A créer'!D2)=0),"",IF($K2="DRW",'A créer'!G2,""))</f>
        <v/>
      </c>
      <c r="S2" s="2" t="str">
        <f>IF(OR('A créer'!D2="Oui",LEN('A créer'!D2)=0),"","Tab")</f>
        <v/>
      </c>
      <c r="T2" t="str">
        <f>IF(OR('A créer'!D2="Oui",LEN('A créer'!D2)=0),"",IF($K2="DSW",'A créer'!G2,""))</f>
        <v/>
      </c>
      <c r="U2" s="2" t="str">
        <f>IF(OR('A créer'!D2="Oui",LEN('A créer'!D2)=0),"","Tab")</f>
        <v/>
      </c>
      <c r="V2" t="str">
        <f>IF(OR('A créer'!D2="Oui",LEN('A créer'!D2)=0),"",IF($K2="DEW",'A créer'!G2,""))</f>
        <v/>
      </c>
      <c r="W2" s="2" t="str">
        <f>IF(OR('A créer'!D2="Oui",LEN('A créer'!D2)=0),"","Tab")</f>
        <v/>
      </c>
      <c r="X2" t="str">
        <f>IF(OR('A créer'!D2="Oui",LEN('A créer'!D2)=0),"",IF($K2="DNA",'A créer'!G2,""))</f>
        <v/>
      </c>
      <c r="Y2" s="2" t="str">
        <f>IF(OR('A créer'!D2="Oui",LEN('A créer'!D2)=0),"","Tab")</f>
        <v/>
      </c>
      <c r="Z2" t="str">
        <f>IF(OR('A créer'!D2="Oui",LEN('A créer'!D2)=0),"",IF($K2="DOS",'A créer'!G2,""))</f>
        <v/>
      </c>
      <c r="AA2" s="2" t="str">
        <f>IF(OR('A créer'!D2="Oui",LEN('A créer'!D2)=0),"","Tab")</f>
        <v/>
      </c>
      <c r="AB2" s="2" t="str">
        <f>IF(OR('A créer'!D2="Oui",LEN('A créer'!D2)=0),"","Tab")</f>
        <v/>
      </c>
      <c r="AC2" t="str">
        <f>IF(OR('A créer'!D2="Oui",LEN('A créer'!D2)=0),"","OUI")</f>
        <v/>
      </c>
      <c r="AD2" s="2" t="str">
        <f>IF(OR('A créer'!D2="Oui",LEN('A créer'!D2)=0),"","Tab")</f>
        <v/>
      </c>
      <c r="AE2" s="2" t="str">
        <f>IF(OR('A créer'!D2="Oui",LEN('A créer'!D2)=0),"","ENT")</f>
        <v/>
      </c>
      <c r="AF2" s="2" t="str">
        <f>IF(OR('A créer'!D2="Oui",LEN('A créer'!D2)=0),"","*SAVE")</f>
        <v/>
      </c>
      <c r="AG2" s="2" t="str">
        <f>IF(OR('A créer'!D2="Oui",LEN('A créer'!D2)=0),"","*FN")</f>
        <v/>
      </c>
      <c r="AH2" t="str">
        <f>IF(OR('A créer'!D2="Oui",LEN('A créer'!D2)=0),"",CONCATENATE("A",RIGHT('A créer'!A2,3)))</f>
        <v/>
      </c>
      <c r="AI2" s="2" t="str">
        <f>IF(OR('A créer'!D2="Oui",LEN('A créer'!D2)=0),"","Tab")</f>
        <v/>
      </c>
      <c r="AJ2" t="str">
        <f>IF(OR('A créer'!D2="Oui",LEN('A créer'!D2)=0),"",CONCATENATE('A créer'!A2," Regroupement"))</f>
        <v/>
      </c>
      <c r="AK2" s="2" t="str">
        <f>IF(OR('A créer'!D2="Oui",LEN('A créer'!D2)=0),"","Tab 4")</f>
        <v/>
      </c>
      <c r="AL2" s="2" t="str">
        <f>IF(OR('A créer'!D2="Oui",LEN('A créer'!D2)=0),"","*SB")</f>
        <v/>
      </c>
      <c r="AM2" s="2" t="str">
        <f>IF(OR('A créer'!D2="Oui",LEN('A créer'!D2)=0),"","Tab")</f>
        <v/>
      </c>
      <c r="AN2" t="str">
        <f>IF(OR('A créer'!D2="Oui",LEN('A créer'!D2)=0),"",CONCATENATE("A",'A créer'!A2))</f>
        <v/>
      </c>
      <c r="AO2" s="2" t="str">
        <f>IF(OR('A créer'!D2="Oui",LEN('A créer'!D2)=0),"","Tab")</f>
        <v/>
      </c>
      <c r="AP2" s="2" t="str">
        <f>IF(OR('A créer'!D2="Oui",LEN('A créer'!D2)=0),"","Tab")</f>
        <v/>
      </c>
      <c r="AQ2" s="2" t="str">
        <f>IF(OR('A créer'!D2="Oui",LEN('A créer'!D2)=0),"","ENT")</f>
        <v/>
      </c>
      <c r="AR2" t="str">
        <f>IF(OR('A créer'!D2="Oui",LEN('A créer'!D2)=0),"","Non")</f>
        <v/>
      </c>
      <c r="AS2" s="2" t="str">
        <f>IF(OR('A créer'!D2="Oui",LEN('A créer'!D2)=0),"","Tab")</f>
        <v/>
      </c>
      <c r="AT2" t="str">
        <f>IF(OR('A créer'!D2="Oui",LEN('A créer'!D2)=0),"","T")</f>
        <v/>
      </c>
      <c r="AU2" s="2" t="str">
        <f>IF(OR('A créer'!D2="Oui",LEN('A créer'!D2)=0),"","Tab")</f>
        <v/>
      </c>
      <c r="AV2" s="2" t="str">
        <f>IF(OR('A créer'!D2="Oui",LEN('A créer'!D2)=0),"","ENT")</f>
        <v/>
      </c>
      <c r="AW2" s="2" t="str">
        <f>IF(OR('A créer'!D2="Oui",LEN('A créer'!D2)=0),"","*SAVE")</f>
        <v/>
      </c>
      <c r="AX2" s="2" t="str">
        <f>IF(OR('A créer'!D2="Oui",LEN('A créer'!D2)=0),"","*UP")</f>
        <v/>
      </c>
      <c r="AY2" s="2" t="str">
        <f>IF(OR('A créer'!D2="Oui",LEN('A créer'!D2)=0),"","*Aé")</f>
        <v/>
      </c>
      <c r="AZ2" t="str">
        <f>IF(OR('A créer'!D2="Oui",LEN('A créer'!D2)=0),"",'A créer'!A2)</f>
        <v/>
      </c>
      <c r="BA2" s="2" t="str">
        <f>IF(OR('A créer'!D2="Oui",LEN('A créer'!D2)=0),"","Tab")</f>
        <v/>
      </c>
      <c r="BB2" s="2" t="str">
        <f>IF(OR('A créer'!D2="Oui",LEN('A créer'!D2)=0),"","*SAVE")</f>
        <v/>
      </c>
      <c r="BC2" s="2" t="str">
        <f>IF(OR('A créer'!D2="Oui",LEN('A créer'!D2)=0),"","*ML(610,125)")</f>
        <v/>
      </c>
    </row>
    <row r="3" spans="1:55" x14ac:dyDescent="0.3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94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3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3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94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3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94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3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3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3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3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3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3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3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3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3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3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3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3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3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3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3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3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3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3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3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3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3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3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3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3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Z30"/>
  <sheetViews>
    <sheetView zoomScale="80" zoomScaleNormal="80" workbookViewId="0">
      <pane xSplit="1" ySplit="1" topLeftCell="B2" activePane="bottomRight" state="frozenSplit"/>
      <selection activeCell="D5" sqref="D5"/>
      <selection pane="topRight" activeCell="D5" sqref="D5"/>
      <selection pane="bottomLeft" activeCell="D5" sqref="D5"/>
      <selection pane="bottomRight" activeCell="D5" sqref="D5"/>
    </sheetView>
  </sheetViews>
  <sheetFormatPr baseColWidth="10" defaultRowHeight="14.5" x14ac:dyDescent="0.35"/>
  <cols>
    <col min="1" max="1" width="5.1796875" bestFit="1" customWidth="1"/>
    <col min="2" max="2" width="10.1796875" bestFit="1" customWidth="1"/>
    <col min="3" max="3" width="4" bestFit="1" customWidth="1"/>
    <col min="4" max="4" width="34.453125" bestFit="1" customWidth="1"/>
    <col min="5" max="5" width="6.81640625" customWidth="1"/>
    <col min="6" max="7" width="4" bestFit="1" customWidth="1"/>
    <col min="8" max="8" width="4.26953125" bestFit="1" customWidth="1"/>
    <col min="9" max="9" width="7.54296875" bestFit="1" customWidth="1"/>
    <col min="10" max="10" width="4" bestFit="1" customWidth="1"/>
    <col min="11" max="11" width="6" bestFit="1" customWidth="1"/>
    <col min="12" max="12" width="4" bestFit="1" customWidth="1"/>
    <col min="13" max="13" width="9.7265625" bestFit="1" customWidth="1"/>
    <col min="14" max="14" width="4.26953125" bestFit="1" customWidth="1"/>
    <col min="15" max="15" width="6.1796875" bestFit="1" customWidth="1"/>
    <col min="16" max="16" width="4.26953125" bestFit="1" customWidth="1"/>
    <col min="17" max="17" width="8" bestFit="1" customWidth="1"/>
    <col min="18" max="18" width="5.453125" customWidth="1"/>
    <col min="19" max="19" width="29.26953125" bestFit="1" customWidth="1"/>
    <col min="20" max="20" width="7.7265625" customWidth="1"/>
    <col min="21" max="22" width="4" bestFit="1" customWidth="1"/>
    <col min="23" max="23" width="4.26953125" bestFit="1" customWidth="1"/>
    <col min="24" max="24" width="13.26953125" customWidth="1"/>
    <col min="25" max="25" width="4" bestFit="1" customWidth="1"/>
    <col min="26" max="26" width="6" bestFit="1" customWidth="1"/>
    <col min="27" max="27" width="4" bestFit="1" customWidth="1"/>
    <col min="28" max="28" width="9.7265625" bestFit="1" customWidth="1"/>
    <col min="29" max="29" width="4.26953125" bestFit="1" customWidth="1"/>
    <col min="30" max="30" width="6.1796875" bestFit="1" customWidth="1"/>
    <col min="31" max="31" width="4.26953125" bestFit="1" customWidth="1"/>
    <col min="32" max="32" width="5.26953125" bestFit="1" customWidth="1"/>
    <col min="33" max="33" width="4" bestFit="1" customWidth="1"/>
    <col min="34" max="34" width="25.1796875" bestFit="1" customWidth="1"/>
    <col min="35" max="35" width="5.81640625" customWidth="1"/>
    <col min="36" max="36" width="4" bestFit="1" customWidth="1"/>
    <col min="37" max="37" width="5.1796875" customWidth="1"/>
    <col min="38" max="38" width="9.7265625" bestFit="1" customWidth="1"/>
    <col min="39" max="40" width="4" bestFit="1" customWidth="1"/>
    <col min="41" max="42" width="4.26953125" bestFit="1" customWidth="1"/>
    <col min="43" max="43" width="6.1796875" bestFit="1" customWidth="1"/>
    <col min="44" max="44" width="6.1796875" customWidth="1"/>
    <col min="45" max="45" width="4.1796875" bestFit="1" customWidth="1"/>
    <col min="46" max="46" width="10.1796875" bestFit="1" customWidth="1"/>
    <col min="47" max="47" width="4.81640625" customWidth="1"/>
    <col min="48" max="48" width="4.54296875" bestFit="1" customWidth="1"/>
    <col min="49" max="49" width="8.453125" bestFit="1" customWidth="1"/>
    <col min="50" max="50" width="4" bestFit="1" customWidth="1"/>
    <col min="51" max="51" width="6.1796875" bestFit="1" customWidth="1"/>
    <col min="52" max="52" width="13.26953125" bestFit="1" customWidth="1"/>
  </cols>
  <sheetData>
    <row r="1" spans="1:52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35">
      <c r="A2" s="2" t="str">
        <f>IF(OR('A créer'!D2="Oui",LEN('A créer'!D2)=0),IF(AND(LEN('A créer'!B2)&gt;0,'A créer'!B2&lt;&gt;'A créer'!H2)=TRUE,"*FN",""),"*FN")</f>
        <v/>
      </c>
      <c r="B2" t="str">
        <f>IF(OR('A créer'!D2="Oui",LEN('A créer'!D2)=0),IF(LEN('A créer'!B2)&gt;0,IF('A créer'!B2='A créer'!H2,"",CONCATENATE('A créer'!B2,'A créer'!A2)),""),CONCATENATE('A créer'!B2,'A créer'!A2))</f>
        <v/>
      </c>
      <c r="C2" s="2" t="str">
        <f>IF(OR('A créer'!D2="Oui",LEN('A créer'!D2)=0),IF(AND(LEN('A créer'!B2)&gt;0,'A créer'!B2&lt;&gt;'A créer'!H2)=TRUE,"Tab",""),"Tab")</f>
        <v/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/>
      </c>
      <c r="E2" s="2" t="str">
        <f>IF(OR('A créer'!D2="Oui",LEN('A créer'!D2)=0),IF(AND(LEN('A créer'!B2)&gt;0,'A créer'!B2&lt;&gt;'A créer'!H2)=TRUE,"Tab 4",""),"Tab 4")</f>
        <v/>
      </c>
      <c r="F2" s="2" t="str">
        <f>IF(OR('A créer'!D2="Oui",LEN('A créer'!D2)=0),IF(AND(LEN('A créer'!B2)&gt;0,'A créer'!B2&lt;&gt;'A créer'!H2)=TRUE,"Tab",""),"Tab")</f>
        <v/>
      </c>
      <c r="G2" s="2" t="str">
        <f>IF(OR('A créer'!D2="Oui",LEN('A créer'!D2)=0),IF(AND(LEN('A créer'!B2)&gt;0,'A créer'!B2&lt;&gt;'A créer'!H2)=TRUE,"Tab",""),"Tab")</f>
        <v/>
      </c>
      <c r="H2" s="2" t="str">
        <f>IF(OR('A créer'!D2="Oui",LEN('A créer'!D2)=0),IF(AND(LEN('A créer'!B2)&gt;0,'A créer'!B2&lt;&gt;'A créer'!H2)=TRUE,"ENT",""),"ENT")</f>
        <v/>
      </c>
      <c r="I2" t="str">
        <f>IF('A créer'!D2="Oui",IF(AND(LEN('A créer'!B2)&gt;0,'A créer'!B2&lt;&gt;'A créer'!H2)=TRUE,'A créer'!G2,""),'A créer'!G2)</f>
        <v/>
      </c>
      <c r="J2" s="2" t="str">
        <f>IF(OR('A créer'!D2="Oui",LEN('A créer'!D2)=0),IF(AND(LEN('A créer'!B2)&gt;0,'A créer'!B2&lt;&gt;'A créer'!H2)=TRUE,"Tab",""),"Tab")</f>
        <v/>
      </c>
      <c r="K2" t="str">
        <f>IF(OR('A créer'!D2="Oui",LEN('A créer'!D2)=0),IF(AND(LEN('A créer'!B2)&gt;0,'A créer'!B2&lt;&gt;'A créer'!H2)=TRUE,"Oui",""),"Oui")</f>
        <v/>
      </c>
      <c r="L2" s="2" t="str">
        <f>IF(OR('A créer'!D2="Oui",LEN('A créer'!D2)=0),IF(AND(LEN('A créer'!B2)&gt;0,'A créer'!B2&lt;&gt;'A créer'!H2)=TRUE,"Tab",""),"Tab")</f>
        <v/>
      </c>
      <c r="M2" t="str">
        <f>IF(OR('A créer'!D2="Oui",LEN('A créer'!D2)=0),IF(AND(LEN('A créer'!B2)&gt;0,'A créer'!B2&lt;&gt;'A créer'!H2)=TRUE,'A créer'!E2,""),'A créer'!E2)</f>
        <v/>
      </c>
      <c r="N2" s="2" t="str">
        <f>IF(OR('A créer'!D2="Oui",LEN('A créer'!D2)=0),IF(AND(LEN('A créer'!B2)&gt;0,'A créer'!B2&lt;&gt;'A créer'!H2)=TRUE,"ENT",""),"ENT")</f>
        <v/>
      </c>
      <c r="O2" s="2" t="str">
        <f>IF(OR('A créer'!D2="Oui",LEN('A créer'!D2)=0),IF(AND(LEN('A créer'!B2)&gt;0,'A créer'!B2&lt;&gt;'A créer'!H2)=TRUE,"*SAVE",""),"*SAVE")</f>
        <v/>
      </c>
      <c r="P2" s="2" t="str">
        <f>IF(OR('A créer'!D2="Oui",LEN('A créer'!D2)=0),"","*FN")</f>
        <v/>
      </c>
      <c r="Q2" t="str">
        <f>IF(OR('A créer'!D2="Oui",LEN('A créer'!D2)=0),"",CONCATENATE("XXX",'A créer'!A2))</f>
        <v/>
      </c>
      <c r="R2" s="2" t="str">
        <f>IF(OR('A créer'!D2="Oui",LEN('A créer'!D2)=0),"","Tab")</f>
        <v/>
      </c>
      <c r="S2" t="str">
        <f>IF(OR('A créer'!D2="Oui",LEN('A créer'!D2)=0),"",CONCATENATE("XXX-",'A créer'!C2))</f>
        <v/>
      </c>
      <c r="T2" s="2" t="str">
        <f>IF(OR('A créer'!D2="Oui",LEN('A créer'!D2)=0),"","Tab 4")</f>
        <v/>
      </c>
      <c r="U2" s="2" t="str">
        <f>IF(OR('A créer'!D2="Oui",LEN('A créer'!D2)=0),"","Tab")</f>
        <v/>
      </c>
      <c r="V2" s="2" t="str">
        <f>IF(OR('A créer'!D2="Oui",LEN('A créer'!D2)=0),"","Tab")</f>
        <v/>
      </c>
      <c r="W2" s="2" t="str">
        <f>IF(OR('A créer'!D2="Oui",LEN('A créer'!D2)=0),"","ENT")</f>
        <v/>
      </c>
      <c r="X2" t="str">
        <f>IF(OR('A créer'!D2="Oui",LEN('A créer'!D2)=0),"",'A créer'!G2)</f>
        <v/>
      </c>
      <c r="Y2" s="2" t="str">
        <f>IF(OR('A créer'!D2="Oui",LEN('A créer'!D2)=0),"","Tab")</f>
        <v/>
      </c>
      <c r="Z2" t="str">
        <f>IF(OR('A créer'!D2="Oui",LEN('A créer'!D2)=0),"","Oui")</f>
        <v/>
      </c>
      <c r="AA2" s="2" t="str">
        <f>IF(OR('A créer'!D2="Oui",LEN('A créer'!D2)=0),"","Tab")</f>
        <v/>
      </c>
      <c r="AB2" t="str">
        <f>IF(OR('A créer'!D2="Oui",LEN('A créer'!D2)=0),"","NON")</f>
        <v/>
      </c>
      <c r="AC2" s="2" t="str">
        <f>IF(OR('A créer'!D2="Oui",LEN('A créer'!D2)=0),"","ENT")</f>
        <v/>
      </c>
      <c r="AD2" s="2" t="str">
        <f>IF(OR('A créer'!D2="Oui",LEN('A créer'!D2)=0),"","*SAVE")</f>
        <v/>
      </c>
      <c r="AE2" s="2" t="str">
        <f>IF(OR('A créer'!D2="Oui",LEN('A créer'!D2)=0),"","*FN")</f>
        <v/>
      </c>
      <c r="AF2" t="str">
        <f>IF(OR('A créer'!D2="Oui",LEN('A créer'!D2)=0),"",'A créer'!A2)</f>
        <v/>
      </c>
      <c r="AG2" s="2" t="str">
        <f>IF(OR('A créer'!D2="Oui",LEN('A créer'!D2)=0),"","Tab")</f>
        <v/>
      </c>
      <c r="AH2" t="str">
        <f>IF(OR('A créer'!D2="Oui",LEN('A créer'!D2)=0),"",'A créer'!C2)</f>
        <v/>
      </c>
      <c r="AI2" s="2" t="str">
        <f>IF(OR('A créer'!D2="Oui",LEN('A créer'!D2)=0),"","Tab 4")</f>
        <v/>
      </c>
      <c r="AJ2" s="2" t="str">
        <f>IF(OR('A créer'!D2="Oui",LEN('A créer'!D2)=0),"","*SB")</f>
        <v/>
      </c>
      <c r="AK2" s="2" t="str">
        <f>IF(OR('A créer'!D2="Oui",LEN('A créer'!D2)=0),"","Tab")</f>
        <v/>
      </c>
      <c r="AL2" t="str">
        <f>IF(OR('A créer'!D2="Oui",LEN('A créer'!D2)=0),"","InterCoSte")</f>
        <v/>
      </c>
      <c r="AM2" s="2" t="str">
        <f>IF(OR('A créer'!D2="Oui",LEN('A créer'!D2)=0),"","Tab")</f>
        <v/>
      </c>
      <c r="AN2" s="2" t="str">
        <f>IF(OR('A créer'!D2="Oui",LEN('A créer'!D2)=0),"","Tab")</f>
        <v/>
      </c>
      <c r="AO2" s="2" t="str">
        <f>IF(OR('A créer'!D2="Oui",LEN('A créer'!D2)=0),"","ENT")</f>
        <v/>
      </c>
      <c r="AP2" s="2" t="str">
        <f>IF(OR('A créer'!D2="Oui",LEN('A créer'!D2)=0),"","ENT")</f>
        <v/>
      </c>
      <c r="AQ2" s="2" t="str">
        <f>IF(OR('A créer'!D2="Oui",LEN('A créer'!D2)=0),"","*SAVE")</f>
        <v/>
      </c>
      <c r="AR2" s="2" t="str">
        <f>IF(OR('A créer'!D2="Oui",LEN('A créer'!D2)=0),"","*UP")</f>
        <v/>
      </c>
      <c r="AS2" s="2" t="str">
        <f>IF(OR('A créer'!D2="Oui",LEN('A créer'!D2)=0),"","*Aé")</f>
        <v/>
      </c>
      <c r="AT2" t="str">
        <f>IF(OR('A créer'!D2="Oui",LEN('A créer'!D2)=0),"",CONCATENATE('A créer'!B2,'A créer'!A2))</f>
        <v/>
      </c>
      <c r="AU2" s="2" t="str">
        <f>IF(OR('A créer'!D2="Oui",LEN('A créer'!D2)=0),"","Tab")</f>
        <v/>
      </c>
      <c r="AV2" s="2" t="str">
        <f>IF(OR('A créer'!D2="Oui",LEN('A créer'!D2)=0),"","*DN")</f>
        <v/>
      </c>
      <c r="AW2" t="str">
        <f>IF(OR('A créer'!D2="Oui",LEN('A créer'!D2)=0),"",CONCATENATE("XXX",'A créer'!A2))</f>
        <v/>
      </c>
      <c r="AX2" s="2" t="str">
        <f>IF(OR('A créer'!D2="Oui",LEN('A créer'!D2)=0),"","Tab")</f>
        <v/>
      </c>
      <c r="AY2" s="2" t="str">
        <f>IF(OR('A créer'!D2="Oui",LEN('A créer'!D2)=0),"","*SAVE")</f>
        <v/>
      </c>
      <c r="AZ2" s="2" t="str">
        <f>IF(OR('A créer'!D2="Oui",LEN('A créer'!D2)=0),"","*ML(608,125)")</f>
        <v/>
      </c>
    </row>
    <row r="3" spans="1:52" x14ac:dyDescent="0.3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 t="str">
        <f>IF('A créer'!D3="Oui",IF(AND(LEN('A créer'!B3)&gt;0,'A créer'!B3&lt;&gt;'A créer'!H3)=TRUE,'A créer'!G3,""),'A créer'!G3)</f>
        <v/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3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 t="str">
        <f>IF('A créer'!D4="Oui",IF(AND(LEN('A créer'!B4)&gt;0,'A créer'!B4&lt;&gt;'A créer'!H4)=TRUE,'A créer'!G4,""),'A créer'!G4)</f>
        <v/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3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3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 t="str">
        <f>IF('A créer'!D6="Oui",IF(AND(LEN('A créer'!B6)&gt;0,'A créer'!B6&lt;&gt;'A créer'!H6)=TRUE,'A créer'!G6,""),'A créer'!G6)</f>
        <v/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3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 t="str">
        <f>IF('A créer'!D7="Oui",IF(AND(LEN('A créer'!B7)&gt;0,'A créer'!B7&lt;&gt;'A créer'!H7)=TRUE,'A créer'!G7,""),'A créer'!G7)</f>
        <v/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3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3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 t="str">
        <f>IF('A créer'!D9="Oui",IF(AND(LEN('A créer'!B9)&gt;0,'A créer'!B9&lt;&gt;'A créer'!H9)=TRUE,'A créer'!G9,""),'A créer'!G9)</f>
        <v/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3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3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3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3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3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3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3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3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3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3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3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3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3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3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3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3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3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3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3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3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3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30"/>
  <sheetViews>
    <sheetView zoomScale="80" zoomScaleNormal="80" workbookViewId="0">
      <pane ySplit="1" topLeftCell="A2" activePane="bottomLeft" state="frozenSplit"/>
      <selection activeCell="D5" sqref="D5"/>
      <selection pane="bottomLeft" activeCell="D9" sqref="D9"/>
    </sheetView>
  </sheetViews>
  <sheetFormatPr baseColWidth="10" defaultRowHeight="14.5" x14ac:dyDescent="0.35"/>
  <cols>
    <col min="1" max="1" width="4.26953125" bestFit="1" customWidth="1"/>
    <col min="2" max="2" width="9" customWidth="1"/>
    <col min="3" max="3" width="4" bestFit="1" customWidth="1"/>
    <col min="4" max="4" width="59" customWidth="1"/>
    <col min="5" max="5" width="5.81640625" customWidth="1"/>
    <col min="6" max="7" width="4" bestFit="1" customWidth="1"/>
    <col min="8" max="8" width="4.453125" bestFit="1" customWidth="1"/>
    <col min="9" max="9" width="4" bestFit="1" customWidth="1"/>
    <col min="10" max="10" width="4.1796875" bestFit="1" customWidth="1"/>
    <col min="11" max="11" width="4" bestFit="1" customWidth="1"/>
    <col min="12" max="12" width="4.81640625" bestFit="1" customWidth="1"/>
    <col min="13" max="13" width="4" bestFit="1" customWidth="1"/>
    <col min="14" max="14" width="4.453125" bestFit="1" customWidth="1"/>
    <col min="15" max="15" width="4" bestFit="1" customWidth="1"/>
    <col min="17" max="17" width="4" bestFit="1" customWidth="1"/>
    <col min="18" max="18" width="4.26953125" bestFit="1" customWidth="1"/>
    <col min="19" max="19" width="6.1796875" customWidth="1"/>
    <col min="20" max="20" width="4.26953125" customWidth="1"/>
    <col min="21" max="22" width="5.453125" customWidth="1"/>
    <col min="23" max="23" width="6.7265625" bestFit="1" customWidth="1"/>
    <col min="24" max="24" width="4.26953125" bestFit="1" customWidth="1"/>
    <col min="25" max="25" width="6.1796875" bestFit="1" customWidth="1"/>
  </cols>
  <sheetData>
    <row r="1" spans="1:2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3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513570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0513 DK 27/DRW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3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513479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0412 SOCIETE VALMY DEFENSE 108/DNA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94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3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513564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>BNP PARIBAS 0505 MONTCHOVET ENERGIES/DMS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94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3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94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35">
      <c r="A6" s="2" t="str">
        <f>IF(AND(LEN('A créer'!P6)=0,OR('A créer'!D6="Oui",LEN('A créer'!D6)=0))=TRUE,"","*FN")</f>
        <v>*FN</v>
      </c>
      <c r="B6" s="6">
        <f>IF(AND(LEN('A créer'!P6)=0,OR('A créer'!D6="Oui",LEN('A créer'!D6)=0))=TRUE,"",'A créer'!P6)</f>
        <v>513520</v>
      </c>
      <c r="C6" s="2" t="str">
        <f>IF(AND(LEN('A créer'!P6)=0,OR('A créer'!D6="Oui",LEN('A créer'!D6)=0))=TRUE,"","Tab")</f>
        <v>Tab</v>
      </c>
      <c r="D6" s="6" t="str">
        <f>IF(AND(LEN('A créer'!P6)=0,OR('A créer'!D6="Oui",LEN('A créer'!D6)=0))=TRUE,"",CONCATENATE('A créer'!Q6," ",'A créer'!A6," ",'A créer'!C6,"/",'A créer'!B6))</f>
        <v>BNP PARIBAS 0450 REMIREMONT ENERGIE/DCW</v>
      </c>
      <c r="E6" s="2" t="str">
        <f>IF(AND(LEN('A créer'!P6)=0,OR('A créer'!D6="Oui",LEN('A créer'!D6)=0))=TRUE,"","Tab 4")</f>
        <v>Tab 4</v>
      </c>
      <c r="F6" s="2" t="str">
        <f>IF(AND(LEN('A créer'!P6)=0,OR('A créer'!D6="Oui",LEN('A créer'!D6)=0))=TRUE,"","Tab")</f>
        <v>Tab</v>
      </c>
      <c r="G6" s="2" t="str">
        <f>IF(AND(LEN('A créer'!P6)=0,OR('A créer'!D6="Oui",LEN('A créer'!D6)=0))=TRUE,"","Tab")</f>
        <v>Tab</v>
      </c>
      <c r="H6" s="6" t="str">
        <f>IF(AND(LEN('A créer'!P6)=0,OR('A créer'!D6="Oui",LEN('A créer'!D6)=0))=TRUE,"","Non")</f>
        <v>Non</v>
      </c>
      <c r="I6" s="2" t="str">
        <f>IF(AND(LEN('A créer'!P6)=0,OR('A créer'!D6="Oui",LEN('A créer'!D6)=0))=TRUE,"","Tab")</f>
        <v>Tab</v>
      </c>
      <c r="J6" s="6" t="str">
        <f>IF(AND(LEN('A créer'!P6)=0,OR('A créer'!D6="Oui",LEN('A créer'!D6)=0))=TRUE,"","Oui")</f>
        <v>Oui</v>
      </c>
      <c r="K6" s="2" t="str">
        <f>IF(AND(LEN('A créer'!P6)=0,OR('A créer'!D6="Oui",LEN('A créer'!D6)=0))=TRUE,"","Tab")</f>
        <v>Tab</v>
      </c>
      <c r="L6" s="6" t="str">
        <f>IF(AND(LEN('A créer'!P6)=0,OR('A créer'!D6="Oui",LEN('A créer'!D6)=0))=TRUE,"","Actif")</f>
        <v>Actif</v>
      </c>
      <c r="M6" s="2" t="str">
        <f>IF(AND(LEN('A créer'!P6)=0,OR('A créer'!D6="Oui",LEN('A créer'!D6)=0))=TRUE,"","Tab")</f>
        <v>Tab</v>
      </c>
      <c r="N6" s="6" t="str">
        <f>IF(AND(LEN('A créer'!P6)=0,OR('A créer'!D6="Oui",LEN('A créer'!D6)=0))=TRUE,"","Non")</f>
        <v>Non</v>
      </c>
      <c r="O6" s="2" t="str">
        <f>IF(AND(LEN('A créer'!P6)=0,OR('A créer'!D6="Oui",LEN('A créer'!D6)=0))=TRUE,"","Tab")</f>
        <v>Tab</v>
      </c>
      <c r="P6" s="6" t="str">
        <f>IF(AND(LEN('A créer'!P6)=0,OR('A créer'!D6="Oui",LEN('A créer'!D6)=0))=TRUE,"","Non")</f>
        <v>Non</v>
      </c>
      <c r="Q6" s="2" t="str">
        <f>IF(AND(LEN('A créer'!P6)=0,OR('A créer'!D6="Oui",LEN('A créer'!D6)=0))=TRUE,"","Tab")</f>
        <v>Tab</v>
      </c>
      <c r="R6" s="2" t="str">
        <f>IF(AND(LEN('A créer'!P6)=0,OR('A créer'!D6="Oui",LEN('A créer'!D6)=0))=TRUE,"","ENT")</f>
        <v>ENT</v>
      </c>
      <c r="S6" s="2" t="s">
        <v>94</v>
      </c>
      <c r="T6" s="2" t="str">
        <f>IF(AND(LEN('A créer'!P6)=0,OR('A créer'!D6="Oui",LEN('A créer'!D6)=0))=TRUE,"","Tab")</f>
        <v>Tab</v>
      </c>
      <c r="U6" s="2" t="str">
        <f>IF(AND(LEN('A créer'!P6)=0,OR('A créer'!D6="Oui",LEN('A créer'!D6)=0))=TRUE,"","Tab")</f>
        <v>Tab</v>
      </c>
      <c r="V6" s="2" t="str">
        <f>IF(AND(LEN('A créer'!P6)=0,OR('A créer'!D6="Oui",LEN('A créer'!D6)=0))=TRUE,"","Tab")</f>
        <v>Tab</v>
      </c>
      <c r="W6" s="4" t="str">
        <f>IF(AND(LEN('A créer'!P6)=0,OR('A créer'!D6="Oui",LEN('A créer'!D6)=0))=TRUE,"","Non")</f>
        <v>Non</v>
      </c>
      <c r="X6" s="2" t="str">
        <f>IF(AND(LEN('A créer'!P6)=0,OR('A créer'!D6="Oui",LEN('A créer'!D6)=0))=TRUE,"","ENT")</f>
        <v>ENT</v>
      </c>
      <c r="Y6" s="2" t="str">
        <f>IF(AND(LEN('A créer'!P6)=0,OR('A créer'!D6="Oui",LEN('A créer'!D6)=0))=TRUE,"","*SAVE")</f>
        <v>*SAVE</v>
      </c>
    </row>
    <row r="7" spans="1:25" x14ac:dyDescent="0.35">
      <c r="A7" s="2" t="str">
        <f>IF(AND(LEN('A créer'!P7)=0,OR('A créer'!D7="Oui",LEN('A créer'!D7)=0))=TRUE,"","*FN")</f>
        <v>*FN</v>
      </c>
      <c r="B7" s="6">
        <f>IF(AND(LEN('A créer'!P7)=0,OR('A créer'!D7="Oui",LEN('A créer'!D7)=0))=TRUE,"",'A créer'!P7)</f>
        <v>513565</v>
      </c>
      <c r="C7" s="2" t="str">
        <f>IF(AND(LEN('A créer'!P7)=0,OR('A créer'!D7="Oui",LEN('A créer'!D7)=0))=TRUE,"","Tab")</f>
        <v>Tab</v>
      </c>
      <c r="D7" s="6" t="str">
        <f>IF(AND(LEN('A créer'!P7)=0,OR('A créer'!D7="Oui",LEN('A créer'!D7)=0))=TRUE,"",CONCATENATE('A créer'!Q7," ",'A créer'!A7," ",'A créer'!C7,"/",'A créer'!B7))</f>
        <v>BNP PARIBAS 0506 MONTROUGE ENERGIE RENOUVELABLE/DRW</v>
      </c>
      <c r="E7" s="2" t="str">
        <f>IF(AND(LEN('A créer'!P7)=0,OR('A créer'!D7="Oui",LEN('A créer'!D7)=0))=TRUE,"","Tab 4")</f>
        <v>Tab 4</v>
      </c>
      <c r="F7" s="2" t="str">
        <f>IF(AND(LEN('A créer'!P7)=0,OR('A créer'!D7="Oui",LEN('A créer'!D7)=0))=TRUE,"","Tab")</f>
        <v>Tab</v>
      </c>
      <c r="G7" s="2" t="str">
        <f>IF(AND(LEN('A créer'!P7)=0,OR('A créer'!D7="Oui",LEN('A créer'!D7)=0))=TRUE,"","Tab")</f>
        <v>Tab</v>
      </c>
      <c r="H7" s="6" t="str">
        <f>IF(AND(LEN('A créer'!P7)=0,OR('A créer'!D7="Oui",LEN('A créer'!D7)=0))=TRUE,"","Non")</f>
        <v>Non</v>
      </c>
      <c r="I7" s="2" t="str">
        <f>IF(AND(LEN('A créer'!P7)=0,OR('A créer'!D7="Oui",LEN('A créer'!D7)=0))=TRUE,"","Tab")</f>
        <v>Tab</v>
      </c>
      <c r="J7" s="6" t="str">
        <f>IF(AND(LEN('A créer'!P7)=0,OR('A créer'!D7="Oui",LEN('A créer'!D7)=0))=TRUE,"","Oui")</f>
        <v>Oui</v>
      </c>
      <c r="K7" s="2" t="str">
        <f>IF(AND(LEN('A créer'!P7)=0,OR('A créer'!D7="Oui",LEN('A créer'!D7)=0))=TRUE,"","Tab")</f>
        <v>Tab</v>
      </c>
      <c r="L7" s="6" t="str">
        <f>IF(AND(LEN('A créer'!P7)=0,OR('A créer'!D7="Oui",LEN('A créer'!D7)=0))=TRUE,"","Actif")</f>
        <v>Actif</v>
      </c>
      <c r="M7" s="2" t="str">
        <f>IF(AND(LEN('A créer'!P7)=0,OR('A créer'!D7="Oui",LEN('A créer'!D7)=0))=TRUE,"","Tab")</f>
        <v>Tab</v>
      </c>
      <c r="N7" s="6" t="str">
        <f>IF(AND(LEN('A créer'!P7)=0,OR('A créer'!D7="Oui",LEN('A créer'!D7)=0))=TRUE,"","Non")</f>
        <v>Non</v>
      </c>
      <c r="O7" s="2" t="str">
        <f>IF(AND(LEN('A créer'!P7)=0,OR('A créer'!D7="Oui",LEN('A créer'!D7)=0))=TRUE,"","Tab")</f>
        <v>Tab</v>
      </c>
      <c r="P7" s="6" t="str">
        <f>IF(AND(LEN('A créer'!P7)=0,OR('A créer'!D7="Oui",LEN('A créer'!D7)=0))=TRUE,"","Non")</f>
        <v>Non</v>
      </c>
      <c r="Q7" s="2" t="str">
        <f>IF(AND(LEN('A créer'!P7)=0,OR('A créer'!D7="Oui",LEN('A créer'!D7)=0))=TRUE,"","Tab")</f>
        <v>Tab</v>
      </c>
      <c r="R7" s="2" t="str">
        <f>IF(AND(LEN('A créer'!P7)=0,OR('A créer'!D7="Oui",LEN('A créer'!D7)=0))=TRUE,"","ENT")</f>
        <v>ENT</v>
      </c>
      <c r="S7" s="2" t="s">
        <v>94</v>
      </c>
      <c r="T7" s="2" t="str">
        <f>IF(AND(LEN('A créer'!P7)=0,OR('A créer'!D7="Oui",LEN('A créer'!D7)=0))=TRUE,"","Tab")</f>
        <v>Tab</v>
      </c>
      <c r="U7" s="2" t="str">
        <f>IF(AND(LEN('A créer'!P7)=0,OR('A créer'!D7="Oui",LEN('A créer'!D7)=0))=TRUE,"","Tab")</f>
        <v>Tab</v>
      </c>
      <c r="V7" s="2" t="str">
        <f>IF(AND(LEN('A créer'!P7)=0,OR('A créer'!D7="Oui",LEN('A créer'!D7)=0))=TRUE,"","Tab")</f>
        <v>Tab</v>
      </c>
      <c r="W7" s="4" t="str">
        <f>IF(AND(LEN('A créer'!P7)=0,OR('A créer'!D7="Oui",LEN('A créer'!D7)=0))=TRUE,"","Non")</f>
        <v>Non</v>
      </c>
      <c r="X7" s="2" t="str">
        <f>IF(AND(LEN('A créer'!P7)=0,OR('A créer'!D7="Oui",LEN('A créer'!D7)=0))=TRUE,"","ENT")</f>
        <v>ENT</v>
      </c>
      <c r="Y7" s="2" t="str">
        <f>IF(AND(LEN('A créer'!P7)=0,OR('A créer'!D7="Oui",LEN('A créer'!D7)=0))=TRUE,"","*SAVE")</f>
        <v>*SAVE</v>
      </c>
    </row>
    <row r="8" spans="1:25" x14ac:dyDescent="0.3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35">
      <c r="A9" s="2" t="str">
        <f>IF(AND(LEN('A créer'!P9)=0,OR('A créer'!D9="Oui",LEN('A créer'!D9)=0))=TRUE,"","*FN")</f>
        <v>*FN</v>
      </c>
      <c r="B9" s="6">
        <f>IF(AND(LEN('A créer'!P9)=0,OR('A créer'!D9="Oui",LEN('A créer'!D9)=0))=TRUE,"",'A créer'!P9)</f>
        <v>513547</v>
      </c>
      <c r="C9" s="2" t="str">
        <f>IF(AND(LEN('A créer'!P9)=0,OR('A créer'!D9="Oui",LEN('A créer'!D9)=0))=TRUE,"","Tab")</f>
        <v>Tab</v>
      </c>
      <c r="D9" s="6" t="str">
        <f>IF(AND(LEN('A créer'!P9)=0,OR('A créer'!D9="Oui",LEN('A créer'!D9)=0))=TRUE,"",CONCATENATE('A créer'!Q9," ",'A créer'!A9," ",'A créer'!C9,"/",'A créer'!B9))</f>
        <v>SOCIETE GENERALE 0486 LA FERTE BOIS CHALEUR/DSW</v>
      </c>
      <c r="E9" s="2" t="str">
        <f>IF(AND(LEN('A créer'!P9)=0,OR('A créer'!D9="Oui",LEN('A créer'!D9)=0))=TRUE,"","Tab 4")</f>
        <v>Tab 4</v>
      </c>
      <c r="F9" s="2" t="str">
        <f>IF(AND(LEN('A créer'!P9)=0,OR('A créer'!D9="Oui",LEN('A créer'!D9)=0))=TRUE,"","Tab")</f>
        <v>Tab</v>
      </c>
      <c r="G9" s="2" t="str">
        <f>IF(AND(LEN('A créer'!P9)=0,OR('A créer'!D9="Oui",LEN('A créer'!D9)=0))=TRUE,"","Tab")</f>
        <v>Tab</v>
      </c>
      <c r="H9" s="6" t="str">
        <f>IF(AND(LEN('A créer'!P9)=0,OR('A créer'!D9="Oui",LEN('A créer'!D9)=0))=TRUE,"","Non")</f>
        <v>Non</v>
      </c>
      <c r="I9" s="2" t="str">
        <f>IF(AND(LEN('A créer'!P9)=0,OR('A créer'!D9="Oui",LEN('A créer'!D9)=0))=TRUE,"","Tab")</f>
        <v>Tab</v>
      </c>
      <c r="J9" s="6" t="str">
        <f>IF(AND(LEN('A créer'!P9)=0,OR('A créer'!D9="Oui",LEN('A créer'!D9)=0))=TRUE,"","Oui")</f>
        <v>Oui</v>
      </c>
      <c r="K9" s="2" t="str">
        <f>IF(AND(LEN('A créer'!P9)=0,OR('A créer'!D9="Oui",LEN('A créer'!D9)=0))=TRUE,"","Tab")</f>
        <v>Tab</v>
      </c>
      <c r="L9" s="6" t="str">
        <f>IF(AND(LEN('A créer'!P9)=0,OR('A créer'!D9="Oui",LEN('A créer'!D9)=0))=TRUE,"","Actif")</f>
        <v>Actif</v>
      </c>
      <c r="M9" s="2" t="str">
        <f>IF(AND(LEN('A créer'!P9)=0,OR('A créer'!D9="Oui",LEN('A créer'!D9)=0))=TRUE,"","Tab")</f>
        <v>Tab</v>
      </c>
      <c r="N9" s="6" t="str">
        <f>IF(AND(LEN('A créer'!P9)=0,OR('A créer'!D9="Oui",LEN('A créer'!D9)=0))=TRUE,"","Non")</f>
        <v>Non</v>
      </c>
      <c r="O9" s="2" t="str">
        <f>IF(AND(LEN('A créer'!P9)=0,OR('A créer'!D9="Oui",LEN('A créer'!D9)=0))=TRUE,"","Tab")</f>
        <v>Tab</v>
      </c>
      <c r="P9" s="6" t="str">
        <f>IF(AND(LEN('A créer'!P9)=0,OR('A créer'!D9="Oui",LEN('A créer'!D9)=0))=TRUE,"","Non")</f>
        <v>Non</v>
      </c>
      <c r="Q9" s="2" t="str">
        <f>IF(AND(LEN('A créer'!P9)=0,OR('A créer'!D9="Oui",LEN('A créer'!D9)=0))=TRUE,"","Tab")</f>
        <v>Tab</v>
      </c>
      <c r="R9" s="2" t="str">
        <f>IF(AND(LEN('A créer'!P9)=0,OR('A créer'!D9="Oui",LEN('A créer'!D9)=0))=TRUE,"","ENT")</f>
        <v>ENT</v>
      </c>
      <c r="S9" s="2" t="s">
        <v>94</v>
      </c>
      <c r="T9" s="2" t="str">
        <f>IF(AND(LEN('A créer'!P9)=0,OR('A créer'!D9="Oui",LEN('A créer'!D9)=0))=TRUE,"","Tab")</f>
        <v>Tab</v>
      </c>
      <c r="U9" s="2" t="str">
        <f>IF(AND(LEN('A créer'!P9)=0,OR('A créer'!D9="Oui",LEN('A créer'!D9)=0))=TRUE,"","Tab")</f>
        <v>Tab</v>
      </c>
      <c r="V9" s="2" t="str">
        <f>IF(AND(LEN('A créer'!P9)=0,OR('A créer'!D9="Oui",LEN('A créer'!D9)=0))=TRUE,"","Tab")</f>
        <v>Tab</v>
      </c>
      <c r="W9" s="4" t="str">
        <f>IF(AND(LEN('A créer'!P9)=0,OR('A créer'!D9="Oui",LEN('A créer'!D9)=0))=TRUE,"","Non")</f>
        <v>Non</v>
      </c>
      <c r="X9" s="2" t="str">
        <f>IF(AND(LEN('A créer'!P9)=0,OR('A créer'!D9="Oui",LEN('A créer'!D9)=0))=TRUE,"","ENT")</f>
        <v>ENT</v>
      </c>
      <c r="Y9" s="2" t="str">
        <f>IF(AND(LEN('A créer'!P9)=0,OR('A créer'!D9="Oui",LEN('A créer'!D9)=0))=TRUE,"","*SAVE")</f>
        <v>*SAVE</v>
      </c>
    </row>
    <row r="10" spans="1:25" x14ac:dyDescent="0.3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94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3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94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3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94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3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3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3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3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3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3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3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3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3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3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3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3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3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3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3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3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3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3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topLeftCell="C1" zoomScale="80" zoomScaleNormal="80" workbookViewId="0">
      <pane ySplit="1" topLeftCell="A2" activePane="bottomLeft" state="frozenSplit"/>
      <selection activeCell="D5" sqref="D5"/>
      <selection pane="bottomLeft" activeCell="D5" sqref="D5"/>
    </sheetView>
  </sheetViews>
  <sheetFormatPr baseColWidth="10" defaultRowHeight="14.5" x14ac:dyDescent="0.35"/>
  <cols>
    <col min="1" max="1" width="4.81640625" bestFit="1" customWidth="1"/>
    <col min="2" max="2" width="10.1796875" bestFit="1" customWidth="1"/>
    <col min="3" max="3" width="4.81640625" bestFit="1" customWidth="1"/>
    <col min="4" max="4" width="69.453125" customWidth="1"/>
    <col min="5" max="5" width="6.453125" bestFit="1" customWidth="1"/>
    <col min="6" max="8" width="4.81640625" bestFit="1" customWidth="1"/>
    <col min="9" max="9" width="7" bestFit="1" customWidth="1"/>
    <col min="10" max="10" width="4.81640625" bestFit="1" customWidth="1"/>
    <col min="11" max="11" width="13" bestFit="1" customWidth="1"/>
    <col min="12" max="12" width="4.81640625" bestFit="1" customWidth="1"/>
    <col min="13" max="13" width="49.453125" bestFit="1" customWidth="1"/>
    <col min="14" max="14" width="6.453125" bestFit="1" customWidth="1"/>
    <col min="15" max="17" width="4.81640625" bestFit="1" customWidth="1"/>
    <col min="18" max="18" width="7" bestFit="1" customWidth="1"/>
  </cols>
  <sheetData>
    <row r="1" spans="1:18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35">
      <c r="A2" s="2" t="str">
        <f>IF(LEN('A créer'!C2)=0,"","*FN")</f>
        <v>*FN</v>
      </c>
      <c r="B2" t="str">
        <f>IF(LEN('A créer'!C2)=0,"",CONCATENATE(,'A créer'!B2,'A créer'!A2))</f>
        <v>DRW0513</v>
      </c>
      <c r="C2" s="2" t="str">
        <f>IF(LEN('A créer'!C2)=0,"","Tab")</f>
        <v>Tab</v>
      </c>
      <c r="D2" t="str">
        <f>IF(LEN('A créer'!C2)=0,"",CONCATENATE(,'A créer'!B2,'A créer'!A2,"-",'A créer'!C2))</f>
        <v>DRW0513-DK 27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FB0084715S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DRW_0513PF FPS 0513 DK 27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35">
      <c r="A3" s="2" t="str">
        <f>IF(LEN('A créer'!C3)=0,"","*FN")</f>
        <v>*FN</v>
      </c>
      <c r="B3" t="str">
        <f>IF(LEN('A créer'!C3)=0,"",CONCATENATE(,'A créer'!B3,'A créer'!A3))</f>
        <v>DNA0412</v>
      </c>
      <c r="C3" s="2" t="str">
        <f>IF(LEN('A créer'!C3)=0,"","Tab")</f>
        <v>Tab</v>
      </c>
      <c r="D3" t="str">
        <f>IF(LEN('A créer'!C3)=0,"",CONCATENATE(,'A créer'!B3,'A créer'!A3,"-",'A créer'!C3))</f>
        <v>DNA0412-SOCIETE VALMY DEFENSE 108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FB0084874Y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DNA_0412PF FPS 0412 SOCIETE VALMY DEFENSE 108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35">
      <c r="A4" s="2" t="str">
        <f>IF(LEN('A créer'!C4)=0,"","*FN")</f>
        <v>*FN</v>
      </c>
      <c r="B4" t="str">
        <f>IF(LEN('A créer'!C4)=0,"",CONCATENATE(,'A créer'!B4,'A créer'!A4))</f>
        <v>DMS0505</v>
      </c>
      <c r="C4" s="2" t="str">
        <f>IF(LEN('A créer'!C4)=0,"","Tab")</f>
        <v>Tab</v>
      </c>
      <c r="D4" t="str">
        <f>IF(LEN('A créer'!C4)=0,"",CONCATENATE(,'A créer'!B4,'A créer'!A4,"-",'A créer'!C4))</f>
        <v>DMS0505-MONTCHOVET ENERGIES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FB0084664J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DMS_0505PF FPS 0505 MONTCHOVET ENERGIES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3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35">
      <c r="A6" s="2" t="str">
        <f>IF(LEN('A créer'!C6)=0,"","*FN")</f>
        <v>*FN</v>
      </c>
      <c r="B6" t="str">
        <f>IF(LEN('A créer'!C6)=0,"",CONCATENATE(,'A créer'!B6,'A créer'!A6))</f>
        <v>DCW0450</v>
      </c>
      <c r="C6" s="2" t="str">
        <f>IF(LEN('A créer'!C6)=0,"","Tab")</f>
        <v>Tab</v>
      </c>
      <c r="D6" t="str">
        <f>IF(LEN('A créer'!C6)=0,"",CONCATENATE(,'A créer'!B6,'A créer'!A6,"-",'A créer'!C6))</f>
        <v>DCW0450-REMIREMONT ENERGIE</v>
      </c>
      <c r="E6" s="2" t="str">
        <f>IF(LEN('A créer'!C6)=0,"","Tab 4")</f>
        <v>Tab 4</v>
      </c>
      <c r="F6" s="2" t="str">
        <f>IF(LEN('A créer'!C6)=0,"","Tab")</f>
        <v>Tab</v>
      </c>
      <c r="G6" s="2" t="str">
        <f>IF(LEN('A créer'!C6)=0,"","Tab")</f>
        <v>Tab</v>
      </c>
      <c r="H6" s="2" t="str">
        <f>IF(LEN('A créer'!C6)=0,"","ENT")</f>
        <v>ENT</v>
      </c>
      <c r="I6" s="2" t="str">
        <f>IF(LEN('A créer'!C6)=0,"","*SAVE")</f>
        <v>*SAVE</v>
      </c>
      <c r="J6" s="2" t="str">
        <f>IF(LEN('A créer'!R6)=0,"","*FN")</f>
        <v>*FN</v>
      </c>
      <c r="K6" t="str">
        <f>IF(LEN('A créer'!R6)=0,"",'A créer'!R6)</f>
        <v>FB0085324J</v>
      </c>
      <c r="L6" s="2" t="str">
        <f>IF(LEN('A créer'!R6)=0,"","Tab")</f>
        <v>Tab</v>
      </c>
      <c r="M6" t="str">
        <f>IF(LEN('A créer'!R6)=0,"",CONCATENATE(,'A créer'!B6,"_",'A créer'!A6,"PF FPS ",'A créer'!A6," ",'A créer'!C6))</f>
        <v>DCW_0450PF FPS 0450 REMIREMONT ENERGIE</v>
      </c>
      <c r="N6" s="2" t="str">
        <f>IF(LEN('A créer'!R6)=0,"","Tab 4")</f>
        <v>Tab 4</v>
      </c>
      <c r="O6" s="2" t="str">
        <f>IF(LEN('A créer'!R6)=0,"","Tab")</f>
        <v>Tab</v>
      </c>
      <c r="P6" s="2" t="str">
        <f>IF(LEN('A créer'!R6)=0,"","Tab")</f>
        <v>Tab</v>
      </c>
      <c r="Q6" s="2" t="str">
        <f>IF(LEN('A créer'!R6)=0,"","ENT")</f>
        <v>ENT</v>
      </c>
      <c r="R6" s="2" t="str">
        <f>IF(LEN('A créer'!R6)=0,"","*SAVE")</f>
        <v>*SAVE</v>
      </c>
    </row>
    <row r="7" spans="1:18" x14ac:dyDescent="0.35">
      <c r="A7" s="2" t="str">
        <f>IF(LEN('A créer'!C7)=0,"","*FN")</f>
        <v>*FN</v>
      </c>
      <c r="B7" t="str">
        <f>IF(LEN('A créer'!C7)=0,"",CONCATENATE(,'A créer'!B7,'A créer'!A7))</f>
        <v>DRW0506</v>
      </c>
      <c r="C7" s="2" t="str">
        <f>IF(LEN('A créer'!C7)=0,"","Tab")</f>
        <v>Tab</v>
      </c>
      <c r="D7" t="str">
        <f>IF(LEN('A créer'!C7)=0,"",CONCATENATE(,'A créer'!B7,'A créer'!A7,"-",'A créer'!C7))</f>
        <v>DRW0506-MONTROUGE ENERGIE RENOUVELABLE</v>
      </c>
      <c r="E7" s="2" t="str">
        <f>IF(LEN('A créer'!C7)=0,"","Tab 4")</f>
        <v>Tab 4</v>
      </c>
      <c r="F7" s="2" t="str">
        <f>IF(LEN('A créer'!C7)=0,"","Tab")</f>
        <v>Tab</v>
      </c>
      <c r="G7" s="2" t="str">
        <f>IF(LEN('A créer'!C7)=0,"","Tab")</f>
        <v>Tab</v>
      </c>
      <c r="H7" s="2" t="str">
        <f>IF(LEN('A créer'!C7)=0,"","ENT")</f>
        <v>ENT</v>
      </c>
      <c r="I7" s="2" t="str">
        <f>IF(LEN('A créer'!C7)=0,"","*SAVE")</f>
        <v>*SAVE</v>
      </c>
      <c r="J7" s="2" t="str">
        <f>IF(LEN('A créer'!R7)=0,"","*FN")</f>
        <v>*FN</v>
      </c>
      <c r="K7" t="str">
        <f>IF(LEN('A créer'!R7)=0,"",'A créer'!R7)</f>
        <v>FB0085873H</v>
      </c>
      <c r="L7" s="2" t="str">
        <f>IF(LEN('A créer'!R7)=0,"","Tab")</f>
        <v>Tab</v>
      </c>
      <c r="M7" t="str">
        <f>IF(LEN('A créer'!R7)=0,"",CONCATENATE(,'A créer'!B7,"_",'A créer'!A7,"PF FPS ",'A créer'!A7," ",'A créer'!C7))</f>
        <v>DRW_0506PF FPS 0506 MONTROUGE ENERGIE RENOUVELABLE</v>
      </c>
      <c r="N7" s="2" t="str">
        <f>IF(LEN('A créer'!R7)=0,"","Tab 4")</f>
        <v>Tab 4</v>
      </c>
      <c r="O7" s="2" t="str">
        <f>IF(LEN('A créer'!R7)=0,"","Tab")</f>
        <v>Tab</v>
      </c>
      <c r="P7" s="2" t="str">
        <f>IF(LEN('A créer'!R7)=0,"","Tab")</f>
        <v>Tab</v>
      </c>
      <c r="Q7" s="2" t="str">
        <f>IF(LEN('A créer'!R7)=0,"","ENT")</f>
        <v>ENT</v>
      </c>
      <c r="R7" s="2" t="str">
        <f>IF(LEN('A créer'!R7)=0,"","*SAVE")</f>
        <v>*SAVE</v>
      </c>
    </row>
    <row r="8" spans="1:18" x14ac:dyDescent="0.3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35">
      <c r="A9" s="2" t="str">
        <f>IF(LEN('A créer'!C9)=0,"","*FN")</f>
        <v>*FN</v>
      </c>
      <c r="B9" t="str">
        <f>IF(LEN('A créer'!C9)=0,"",CONCATENATE(,'A créer'!B9,'A créer'!A9))</f>
        <v>DSW0486</v>
      </c>
      <c r="C9" s="2" t="str">
        <f>IF(LEN('A créer'!C9)=0,"","Tab")</f>
        <v>Tab</v>
      </c>
      <c r="D9" t="str">
        <f>IF(LEN('A créer'!C9)=0,"",CONCATENATE(,'A créer'!B9,'A créer'!A9,"-",'A créer'!C9))</f>
        <v>DSW0486-LA FERTE BOIS CHALEUR</v>
      </c>
      <c r="E9" s="2" t="str">
        <f>IF(LEN('A créer'!C9)=0,"","Tab 4")</f>
        <v>Tab 4</v>
      </c>
      <c r="F9" s="2" t="str">
        <f>IF(LEN('A créer'!C9)=0,"","Tab")</f>
        <v>Tab</v>
      </c>
      <c r="G9" s="2" t="str">
        <f>IF(LEN('A créer'!C9)=0,"","Tab")</f>
        <v>Tab</v>
      </c>
      <c r="H9" s="2" t="str">
        <f>IF(LEN('A créer'!C9)=0,"","ENT")</f>
        <v>ENT</v>
      </c>
      <c r="I9" s="2" t="str">
        <f>IF(LEN('A créer'!C9)=0,"","*SAVE")</f>
        <v>*SAVE</v>
      </c>
      <c r="J9" s="2" t="str">
        <f>IF(LEN('A créer'!R9)=0,"","*FN")</f>
        <v>*FN</v>
      </c>
      <c r="K9" t="str">
        <f>IF(LEN('A créer'!R9)=0,"",'A créer'!R9)</f>
        <v>FB0086567X</v>
      </c>
      <c r="L9" s="2" t="str">
        <f>IF(LEN('A créer'!R9)=0,"","Tab")</f>
        <v>Tab</v>
      </c>
      <c r="M9" t="str">
        <f>IF(LEN('A créer'!R9)=0,"",CONCATENATE(,'A créer'!B9,"_",'A créer'!A9,"PF FPS ",'A créer'!A9," ",'A créer'!C9))</f>
        <v>DSW_0486PF FPS 0486 LA FERTE BOIS CHALEUR</v>
      </c>
      <c r="N9" s="2" t="str">
        <f>IF(LEN('A créer'!R9)=0,"","Tab 4")</f>
        <v>Tab 4</v>
      </c>
      <c r="O9" s="2" t="str">
        <f>IF(LEN('A créer'!R9)=0,"","Tab")</f>
        <v>Tab</v>
      </c>
      <c r="P9" s="2" t="str">
        <f>IF(LEN('A créer'!R9)=0,"","Tab")</f>
        <v>Tab</v>
      </c>
      <c r="Q9" s="2" t="str">
        <f>IF(LEN('A créer'!R9)=0,"","ENT")</f>
        <v>ENT</v>
      </c>
      <c r="R9" s="2" t="str">
        <f>IF(LEN('A créer'!R9)=0,"","*SAVE")</f>
        <v>*SAVE</v>
      </c>
    </row>
    <row r="10" spans="1:18" x14ac:dyDescent="0.3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3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3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3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3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3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3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3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3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3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3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3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3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3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3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3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3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3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3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3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3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1"/>
  <sheetViews>
    <sheetView zoomScale="80" zoomScaleNormal="80" workbookViewId="0">
      <pane xSplit="1" ySplit="1" topLeftCell="B2" activePane="bottomRight" state="frozenSplit"/>
      <selection activeCell="D5" sqref="D5"/>
      <selection pane="topRight" activeCell="D5" sqref="D5"/>
      <selection pane="bottomLeft" activeCell="D5" sqref="D5"/>
      <selection pane="bottomRight" activeCell="D5" sqref="D5"/>
    </sheetView>
  </sheetViews>
  <sheetFormatPr baseColWidth="10" defaultRowHeight="14.5" x14ac:dyDescent="0.35"/>
  <cols>
    <col min="1" max="1" width="4.81640625" bestFit="1" customWidth="1"/>
    <col min="2" max="2" width="3.1796875" bestFit="1" customWidth="1"/>
    <col min="3" max="3" width="4.81640625" bestFit="1" customWidth="1"/>
    <col min="4" max="4" width="8.453125" bestFit="1" customWidth="1"/>
    <col min="5" max="5" width="4.81640625" bestFit="1" customWidth="1"/>
    <col min="6" max="6" width="2.26953125" bestFit="1" customWidth="1"/>
    <col min="7" max="7" width="4.81640625" bestFit="1" customWidth="1"/>
    <col min="8" max="8" width="8" bestFit="1" customWidth="1"/>
    <col min="9" max="9" width="2.26953125" bestFit="1" customWidth="1"/>
    <col min="10" max="10" width="4.81640625" bestFit="1" customWidth="1"/>
    <col min="11" max="11" width="7.7265625" bestFit="1" customWidth="1"/>
    <col min="12" max="12" width="2.26953125" bestFit="1" customWidth="1"/>
    <col min="13" max="13" width="4.81640625" bestFit="1" customWidth="1"/>
    <col min="14" max="14" width="11.7265625" bestFit="1" customWidth="1"/>
    <col min="15" max="15" width="10.1796875" bestFit="1" customWidth="1"/>
    <col min="16" max="16" width="4.81640625" bestFit="1" customWidth="1"/>
    <col min="17" max="17" width="2.26953125" bestFit="1" customWidth="1"/>
    <col min="18" max="18" width="4.81640625" bestFit="1" customWidth="1"/>
    <col min="19" max="19" width="12" bestFit="1" customWidth="1"/>
    <col min="20" max="20" width="2.26953125" bestFit="1" customWidth="1"/>
    <col min="21" max="21" width="4.81640625" bestFit="1" customWidth="1"/>
    <col min="22" max="22" width="12" bestFit="1" customWidth="1"/>
    <col min="23" max="23" width="2.26953125" bestFit="1" customWidth="1"/>
    <col min="24" max="24" width="4.81640625" bestFit="1" customWidth="1"/>
    <col min="25" max="25" width="17.453125" bestFit="1" customWidth="1"/>
    <col min="26" max="26" width="2.26953125" bestFit="1" customWidth="1"/>
    <col min="27" max="27" width="4.81640625" bestFit="1" customWidth="1"/>
    <col min="28" max="28" width="5.1796875" bestFit="1" customWidth="1"/>
    <col min="29" max="29" width="2.26953125" bestFit="1" customWidth="1"/>
    <col min="30" max="30" width="4.81640625" bestFit="1" customWidth="1"/>
    <col min="31" max="31" width="12" bestFit="1" customWidth="1"/>
    <col min="32" max="32" width="2.26953125" bestFit="1" customWidth="1"/>
    <col min="33" max="33" width="4.81640625" bestFit="1" customWidth="1"/>
    <col min="34" max="34" width="12" bestFit="1" customWidth="1"/>
    <col min="35" max="35" width="2.26953125" bestFit="1" customWidth="1"/>
    <col min="36" max="36" width="4.81640625" bestFit="1" customWidth="1"/>
    <col min="37" max="37" width="12" bestFit="1" customWidth="1"/>
    <col min="38" max="38" width="4.81640625" bestFit="1" customWidth="1"/>
    <col min="39" max="39" width="7" bestFit="1" customWidth="1"/>
    <col min="40" max="40" width="4.81640625" bestFit="1" customWidth="1"/>
    <col min="41" max="41" width="3.1796875" bestFit="1" customWidth="1"/>
    <col min="42" max="42" width="4.81640625" bestFit="1" customWidth="1"/>
    <col min="43" max="43" width="8.453125" bestFit="1" customWidth="1"/>
    <col min="44" max="44" width="4.81640625" bestFit="1" customWidth="1"/>
    <col min="45" max="45" width="2.26953125" bestFit="1" customWidth="1"/>
    <col min="46" max="46" width="4.81640625" bestFit="1" customWidth="1"/>
    <col min="47" max="47" width="8" bestFit="1" customWidth="1"/>
    <col min="48" max="48" width="2.26953125" bestFit="1" customWidth="1"/>
    <col min="49" max="49" width="4.81640625" bestFit="1" customWidth="1"/>
    <col min="50" max="50" width="7.7265625" bestFit="1" customWidth="1"/>
    <col min="51" max="51" width="2.26953125" bestFit="1" customWidth="1"/>
    <col min="52" max="52" width="4.81640625" bestFit="1" customWidth="1"/>
    <col min="53" max="53" width="11.7265625" bestFit="1" customWidth="1"/>
    <col min="54" max="54" width="8.7265625" bestFit="1" customWidth="1"/>
    <col min="55" max="55" width="4.81640625" bestFit="1" customWidth="1"/>
    <col min="56" max="56" width="2.26953125" bestFit="1" customWidth="1"/>
    <col min="57" max="57" width="4.81640625" bestFit="1" customWidth="1"/>
    <col min="58" max="58" width="12" bestFit="1" customWidth="1"/>
    <col min="59" max="59" width="2.26953125" bestFit="1" customWidth="1"/>
    <col min="60" max="60" width="4.81640625" bestFit="1" customWidth="1"/>
    <col min="61" max="61" width="12" bestFit="1" customWidth="1"/>
    <col min="62" max="62" width="2.26953125" bestFit="1" customWidth="1"/>
    <col min="63" max="63" width="4.81640625" bestFit="1" customWidth="1"/>
    <col min="64" max="64" width="17.453125" bestFit="1" customWidth="1"/>
    <col min="65" max="65" width="2.26953125" bestFit="1" customWidth="1"/>
    <col min="66" max="66" width="4.81640625" bestFit="1" customWidth="1"/>
    <col min="67" max="67" width="5.1796875" bestFit="1" customWidth="1"/>
    <col min="68" max="68" width="2.26953125" bestFit="1" customWidth="1"/>
    <col min="69" max="69" width="4.81640625" bestFit="1" customWidth="1"/>
    <col min="70" max="70" width="12" bestFit="1" customWidth="1"/>
    <col min="71" max="71" width="2.26953125" bestFit="1" customWidth="1"/>
    <col min="72" max="72" width="4.81640625" bestFit="1" customWidth="1"/>
    <col min="73" max="73" width="12" bestFit="1" customWidth="1"/>
    <col min="74" max="74" width="2.26953125" bestFit="1" customWidth="1"/>
    <col min="75" max="75" width="4.81640625" bestFit="1" customWidth="1"/>
    <col min="76" max="76" width="12" bestFit="1" customWidth="1"/>
    <col min="77" max="77" width="4.81640625" bestFit="1" customWidth="1"/>
    <col min="78" max="78" width="7" bestFit="1" customWidth="1"/>
  </cols>
  <sheetData>
    <row r="1" spans="1:78" x14ac:dyDescent="0.3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3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DRW0513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/>
      </c>
      <c r="AO2" s="3" t="str">
        <f>IF(OR('A créer'!D2="Oui",LEN('A créer'!D2)=0,LEN('A créer'!C2)=0),"","\E")</f>
        <v/>
      </c>
      <c r="AP2" s="2" t="str">
        <f>IF(OR('A créer'!D2="Oui",LEN('A créer'!D2)=0,LEN('A créer'!C2)=0),"","TAB")</f>
        <v/>
      </c>
      <c r="AQ2" t="str">
        <f>IF(OR('A créer'!D2="Oui",LEN('A créer'!D2)=0,LEN('A créer'!C2)=0),"",'A créer'!A2)</f>
        <v/>
      </c>
      <c r="AR2" s="2" t="str">
        <f>IF(OR('A créer'!D2="Oui",LEN('A créer'!D2)=0,LEN('A créer'!C2)=0),"","TAB")</f>
        <v/>
      </c>
      <c r="AS2" t="str">
        <f>IF(OR('A créer'!D2="Oui",LEN('A créer'!D2)=0,LEN('A créer'!C2)=0),"","0")</f>
        <v/>
      </c>
      <c r="AT2" s="2" t="str">
        <f>IF(OR('A créer'!D2="Oui",LEN('A créer'!D2)=0,LEN('A créer'!C2)=0),"","TAB")</f>
        <v/>
      </c>
      <c r="AU2" t="str">
        <f>IF(OR('A créer'!D2="Oui",LEN('A créer'!D2)=0,LEN('A créer'!C2)=0),"","ZZZ")</f>
        <v/>
      </c>
      <c r="AV2" t="str">
        <f>IF(OR('A créer'!D2="Oui",LEN('A créer'!D2)=0,LEN('A créer'!C2)=0),"","0")</f>
        <v/>
      </c>
      <c r="AW2" s="2" t="str">
        <f>IF(OR('A créer'!D2="Oui",LEN('A créer'!D2)=0,LEN('A créer'!C2)=0),"","TAB")</f>
        <v/>
      </c>
      <c r="AX2" t="str">
        <f>IF(OR('A créer'!D2="Oui",LEN('A créer'!D2)=0,LEN('A créer'!C2)=0),"","ZZZZZZ")</f>
        <v/>
      </c>
      <c r="AY2" t="str">
        <f>IF(OR('A créer'!D2="Oui",LEN('A créer'!D2)=0,LEN('A créer'!C2)=0),"","0")</f>
        <v/>
      </c>
      <c r="AZ2" s="2" t="str">
        <f>IF(OR('A créer'!D2="Oui",LEN('A créer'!D2)=0,LEN('A créer'!C2)=0),"","TAB")</f>
        <v/>
      </c>
      <c r="BA2" t="str">
        <f>IF(OR('A créer'!D2="Oui",LEN('A créer'!D2)=0,LEN('A créer'!C2)=0),"","ZZZZZ")</f>
        <v/>
      </c>
      <c r="BB2" t="str">
        <f>IF(OR('A créer'!D2="Oui",LEN('A créer'!D2)=0,LEN('A créer'!C2)=0),"",CONCATENATE("XXX",'A créer'!A2))</f>
        <v/>
      </c>
      <c r="BC2" s="2" t="str">
        <f>IF(OR('A créer'!D2="Oui",LEN('A créer'!D2)=0,LEN('A créer'!C2)=0),"","TAB")</f>
        <v/>
      </c>
      <c r="BD2" t="str">
        <f>IF(OR('A créer'!D2="Oui",LEN('A créer'!D2)=0,LEN('A créer'!C2)=0),"","0")</f>
        <v/>
      </c>
      <c r="BE2" s="2" t="str">
        <f>IF(OR('A créer'!D2="Oui",LEN('A créer'!D2)=0,LEN('A créer'!C2)=0),"","TAB")</f>
        <v/>
      </c>
      <c r="BF2" t="str">
        <f>IF(OR('A créer'!D2="Oui",LEN('A créer'!D2)=0,LEN('A créer'!C2)=0),"","ZZZZZZZZZZ")</f>
        <v/>
      </c>
      <c r="BG2" t="str">
        <f>IF(OR('A créer'!D2="Oui",LEN('A créer'!D2)=0,LEN('A créer'!C2)=0),"","0")</f>
        <v/>
      </c>
      <c r="BH2" s="2" t="str">
        <f>IF(OR('A créer'!D2="Oui",LEN('A créer'!D2)=0,LEN('A créer'!C2)=0),"","TAB")</f>
        <v/>
      </c>
      <c r="BI2" t="str">
        <f>IF(OR('A créer'!D2="Oui",LEN('A créer'!D2)=0,LEN('A créer'!C2)=0),"","ZZZZZZZZZZ")</f>
        <v/>
      </c>
      <c r="BJ2" t="str">
        <f>IF(OR('A créer'!D2="Oui",LEN('A créer'!D2)=0,LEN('A créer'!C2)=0),"","0")</f>
        <v/>
      </c>
      <c r="BK2" s="2" t="str">
        <f>IF(OR('A créer'!D2="Oui",LEN('A créer'!D2)=0,LEN('A créer'!C2)=0),"","TAB")</f>
        <v/>
      </c>
      <c r="BL2" t="str">
        <f>IF(OR('A créer'!D2="Oui",LEN('A créer'!D2)=0,LEN('A créer'!C2)=0),"","ZZZZZZZZZZZZZZZ")</f>
        <v/>
      </c>
      <c r="BM2" t="str">
        <f>IF(OR('A créer'!D2="Oui",LEN('A créer'!D2)=0,LEN('A créer'!C2)=0),"","0")</f>
        <v/>
      </c>
      <c r="BN2" s="2" t="str">
        <f>IF(OR('A créer'!D2="Oui",LEN('A créer'!D2)=0,LEN('A créer'!C2)=0),"","TAB")</f>
        <v/>
      </c>
      <c r="BO2" t="str">
        <f>IF(OR('A créer'!D2="Oui",LEN('A créer'!D2)=0,LEN('A créer'!C2)=0),"","ZZZ")</f>
        <v/>
      </c>
      <c r="BP2" t="str">
        <f>IF(OR('A créer'!D2="Oui",LEN('A créer'!D2)=0,LEN('A créer'!C2)=0),"","0")</f>
        <v/>
      </c>
      <c r="BQ2" s="2" t="str">
        <f>IF(OR('A créer'!D2="Oui",LEN('A créer'!D2)=0,LEN('A créer'!C2)=0),"","TAB")</f>
        <v/>
      </c>
      <c r="BR2" t="str">
        <f>IF(OR('A créer'!D2="Oui",LEN('A créer'!D2)=0,LEN('A créer'!C2)=0),"","ZZZZZZZZZZ")</f>
        <v/>
      </c>
      <c r="BS2" t="str">
        <f>IF(OR('A créer'!D2="Oui",LEN('A créer'!D2)=0,LEN('A créer'!C2)=0),"","0")</f>
        <v/>
      </c>
      <c r="BT2" s="2" t="str">
        <f>IF(OR('A créer'!D2="Oui",LEN('A créer'!D2)=0,LEN('A créer'!C2)=0),"","TAB")</f>
        <v/>
      </c>
      <c r="BU2" t="str">
        <f>IF(OR('A créer'!D2="Oui",LEN('A créer'!D2)=0,LEN('A créer'!C2)=0),"","ZZZZZZZZZZ")</f>
        <v/>
      </c>
      <c r="BV2" t="str">
        <f>IF(OR('A créer'!D2="Oui",LEN('A créer'!D2)=0,LEN('A créer'!C2)=0),"","0")</f>
        <v/>
      </c>
      <c r="BW2" s="2" t="str">
        <f>IF(OR('A créer'!D2="Oui",LEN('A créer'!D2)=0,LEN('A créer'!C2)=0),"","TAB")</f>
        <v/>
      </c>
      <c r="BX2" t="str">
        <f>IF(OR('A créer'!D2="Oui",LEN('A créer'!D2)=0,LEN('A créer'!C2)=0),"","ZZZZZZZZZZ")</f>
        <v/>
      </c>
      <c r="BY2" s="2" t="str">
        <f>IF(OR('A créer'!D2="Oui",LEN('A créer'!D2)=0,LEN('A créer'!C2)=0),"","ENT")</f>
        <v/>
      </c>
      <c r="BZ2" s="2" t="str">
        <f>IF(OR('A créer'!D2="Oui",LEN('A créer'!D2)=0,LEN('A créer'!C2)=0),"","*SAVE")</f>
        <v/>
      </c>
    </row>
    <row r="3" spans="1:78" x14ac:dyDescent="0.3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0412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DNA0412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3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0505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DMS0505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3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35">
      <c r="A6" s="2" t="str">
        <f>IF(LEN('A créer'!C6)=0,"","*FN")</f>
        <v>*FN</v>
      </c>
      <c r="B6" s="3" t="str">
        <f>IF(LEN('A créer'!C6)=0,"","\E")</f>
        <v>\E</v>
      </c>
      <c r="C6" s="2" t="str">
        <f>IF(LEN('A créer'!C6)=0,"","Tab")</f>
        <v>Tab</v>
      </c>
      <c r="D6" s="6" t="str">
        <f>IF(LEN('A créer'!C6)=0,"",'A créer'!A6)</f>
        <v>0450</v>
      </c>
      <c r="E6" s="2" t="str">
        <f>IF(LEN('A créer'!C6)=0,"","Tab")</f>
        <v>Tab</v>
      </c>
      <c r="F6" s="6">
        <f>IF(LEN('A créer'!C6)=0,"",0)</f>
        <v>0</v>
      </c>
      <c r="G6" s="2" t="str">
        <f>IF(LEN('A créer'!C6)=0,"","Tab")</f>
        <v>Tab</v>
      </c>
      <c r="H6" s="6" t="str">
        <f>IF(LEN('A créer'!C6)=0,"","ZZZ")</f>
        <v>ZZZ</v>
      </c>
      <c r="I6" s="6" t="str">
        <f>IF(LEN('A créer'!C6)=0,"","0")</f>
        <v>0</v>
      </c>
      <c r="J6" s="2" t="str">
        <f>IF(LEN('A créer'!C6)=0,"","Tab")</f>
        <v>Tab</v>
      </c>
      <c r="K6" s="6" t="str">
        <f>IF(LEN('A créer'!C6)=0,"","ZZZZZZ")</f>
        <v>ZZZZZZ</v>
      </c>
      <c r="L6" s="6" t="str">
        <f>IF(LEN('A créer'!C6)=0,"","0")</f>
        <v>0</v>
      </c>
      <c r="M6" s="2" t="str">
        <f>IF(LEN('A créer'!C6)=0,"","Tab")</f>
        <v>Tab</v>
      </c>
      <c r="N6" s="6" t="str">
        <f>IF(LEN('A créer'!C6)=0,"","ZZZZZ")</f>
        <v>ZZZZZ</v>
      </c>
      <c r="O6" s="6" t="str">
        <f>IF(LEN('A créer'!C6)=0,"",CONCATENATE('A créer'!B6,'A créer'!A6))</f>
        <v>DCW0450</v>
      </c>
      <c r="P6" s="2" t="str">
        <f>IF(LEN('A créer'!C6)=0,"","Tab")</f>
        <v>Tab</v>
      </c>
      <c r="Q6" s="6" t="str">
        <f>IF(LEN('A créer'!C6)=0,"","0")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 t="str">
        <f>IF(LEN('A créer'!C6)=0,"","0")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 t="str">
        <f>IF(LEN('A créer'!C6)=0,"","0")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 t="str">
        <f>IF(LEN('A créer'!C6)=0,"","0")</f>
        <v>0</v>
      </c>
      <c r="AA6" s="2" t="str">
        <f>IF(LEN('A créer'!C6)=0,"","Tab")</f>
        <v>Tab</v>
      </c>
      <c r="AB6" s="6" t="str">
        <f>IF(LEN('A créer'!C6)=0,"","ZZZ")</f>
        <v>ZZZ</v>
      </c>
      <c r="AC6" s="6" t="str">
        <f>IF(LEN('A créer'!C6)=0,"","0")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 t="str">
        <f>IF(LEN('A créer'!C6)=0,"","0")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 t="str">
        <f>IF(LEN('A créer'!C6)=0,"","0")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35">
      <c r="A7" s="2" t="str">
        <f>IF(LEN('A créer'!C7)=0,"","*FN")</f>
        <v>*FN</v>
      </c>
      <c r="B7" s="3" t="str">
        <f>IF(LEN('A créer'!C7)=0,"","\E")</f>
        <v>\E</v>
      </c>
      <c r="C7" s="2" t="str">
        <f>IF(LEN('A créer'!C7)=0,"","Tab")</f>
        <v>Tab</v>
      </c>
      <c r="D7" s="6" t="str">
        <f>IF(LEN('A créer'!C7)=0,"",'A créer'!A7)</f>
        <v>0506</v>
      </c>
      <c r="E7" s="2" t="str">
        <f>IF(LEN('A créer'!C7)=0,"","Tab")</f>
        <v>Tab</v>
      </c>
      <c r="F7" s="6">
        <f>IF(LEN('A créer'!C7)=0,"",0)</f>
        <v>0</v>
      </c>
      <c r="G7" s="2" t="str">
        <f>IF(LEN('A créer'!C7)=0,"","Tab")</f>
        <v>Tab</v>
      </c>
      <c r="H7" s="6" t="str">
        <f>IF(LEN('A créer'!C7)=0,"","ZZZ")</f>
        <v>ZZZ</v>
      </c>
      <c r="I7" s="6" t="str">
        <f>IF(LEN('A créer'!C7)=0,"","0")</f>
        <v>0</v>
      </c>
      <c r="J7" s="2" t="str">
        <f>IF(LEN('A créer'!C7)=0,"","Tab")</f>
        <v>Tab</v>
      </c>
      <c r="K7" s="6" t="str">
        <f>IF(LEN('A créer'!C7)=0,"","ZZZZZZ")</f>
        <v>ZZZZZZ</v>
      </c>
      <c r="L7" s="6" t="str">
        <f>IF(LEN('A créer'!C7)=0,"","0")</f>
        <v>0</v>
      </c>
      <c r="M7" s="2" t="str">
        <f>IF(LEN('A créer'!C7)=0,"","Tab")</f>
        <v>Tab</v>
      </c>
      <c r="N7" s="6" t="str">
        <f>IF(LEN('A créer'!C7)=0,"","ZZZZZ")</f>
        <v>ZZZZZ</v>
      </c>
      <c r="O7" s="6" t="str">
        <f>IF(LEN('A créer'!C7)=0,"",CONCATENATE('A créer'!B7,'A créer'!A7))</f>
        <v>DRW0506</v>
      </c>
      <c r="P7" s="2" t="str">
        <f>IF(LEN('A créer'!C7)=0,"","Tab")</f>
        <v>Tab</v>
      </c>
      <c r="Q7" s="6" t="str">
        <f>IF(LEN('A créer'!C7)=0,"","0")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 t="str">
        <f>IF(LEN('A créer'!C7)=0,"","0")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 t="str">
        <f>IF(LEN('A créer'!C7)=0,"","0")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 t="str">
        <f>IF(LEN('A créer'!C7)=0,"","0")</f>
        <v>0</v>
      </c>
      <c r="AA7" s="2" t="str">
        <f>IF(LEN('A créer'!C7)=0,"","Tab")</f>
        <v>Tab</v>
      </c>
      <c r="AB7" s="6" t="str">
        <f>IF(LEN('A créer'!C7)=0,"","ZZZ")</f>
        <v>ZZZ</v>
      </c>
      <c r="AC7" s="6" t="str">
        <f>IF(LEN('A créer'!C7)=0,"","0")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 t="str">
        <f>IF(LEN('A créer'!C7)=0,"","0")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 t="str">
        <f>IF(LEN('A créer'!C7)=0,"","0")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3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35">
      <c r="A9" s="2" t="str">
        <f>IF(LEN('A créer'!C9)=0,"","*FN")</f>
        <v>*FN</v>
      </c>
      <c r="B9" s="3" t="str">
        <f>IF(LEN('A créer'!C9)=0,"","\E")</f>
        <v>\E</v>
      </c>
      <c r="C9" s="2" t="str">
        <f>IF(LEN('A créer'!C9)=0,"","Tab")</f>
        <v>Tab</v>
      </c>
      <c r="D9" s="6" t="str">
        <f>IF(LEN('A créer'!C9)=0,"",'A créer'!A9)</f>
        <v>0486</v>
      </c>
      <c r="E9" s="2" t="str">
        <f>IF(LEN('A créer'!C9)=0,"","Tab")</f>
        <v>Tab</v>
      </c>
      <c r="F9" s="6">
        <f>IF(LEN('A créer'!C9)=0,"",0)</f>
        <v>0</v>
      </c>
      <c r="G9" s="2" t="str">
        <f>IF(LEN('A créer'!C9)=0,"","Tab")</f>
        <v>Tab</v>
      </c>
      <c r="H9" s="6" t="str">
        <f>IF(LEN('A créer'!C9)=0,"","ZZZ")</f>
        <v>ZZZ</v>
      </c>
      <c r="I9" s="6" t="str">
        <f>IF(LEN('A créer'!C9)=0,"","0")</f>
        <v>0</v>
      </c>
      <c r="J9" s="2" t="str">
        <f>IF(LEN('A créer'!C9)=0,"","Tab")</f>
        <v>Tab</v>
      </c>
      <c r="K9" s="6" t="str">
        <f>IF(LEN('A créer'!C9)=0,"","ZZZZZZ")</f>
        <v>ZZZZZZ</v>
      </c>
      <c r="L9" s="6" t="str">
        <f>IF(LEN('A créer'!C9)=0,"","0")</f>
        <v>0</v>
      </c>
      <c r="M9" s="2" t="str">
        <f>IF(LEN('A créer'!C9)=0,"","Tab")</f>
        <v>Tab</v>
      </c>
      <c r="N9" s="6" t="str">
        <f>IF(LEN('A créer'!C9)=0,"","ZZZZZ")</f>
        <v>ZZZZZ</v>
      </c>
      <c r="O9" s="6" t="str">
        <f>IF(LEN('A créer'!C9)=0,"",CONCATENATE('A créer'!B9,'A créer'!A9))</f>
        <v>DSW0486</v>
      </c>
      <c r="P9" s="2" t="str">
        <f>IF(LEN('A créer'!C9)=0,"","Tab")</f>
        <v>Tab</v>
      </c>
      <c r="Q9" s="6" t="str">
        <f>IF(LEN('A créer'!C9)=0,"","0")</f>
        <v>0</v>
      </c>
      <c r="R9" s="2" t="str">
        <f>IF(LEN('A créer'!C9)=0,"","Tab")</f>
        <v>Tab</v>
      </c>
      <c r="S9" s="6" t="str">
        <f>IF(LEN('A créer'!C9)=0,"","ZZZZZZZZZZ")</f>
        <v>ZZZZZZZZZZ</v>
      </c>
      <c r="T9" s="6" t="str">
        <f>IF(LEN('A créer'!C9)=0,"","0")</f>
        <v>0</v>
      </c>
      <c r="U9" s="2" t="str">
        <f>IF(LEN('A créer'!C9)=0,"","Tab")</f>
        <v>Tab</v>
      </c>
      <c r="V9" s="6" t="str">
        <f>IF(LEN('A créer'!C9)=0,"","ZZZZZZZZZZ")</f>
        <v>ZZZZZZZZZZ</v>
      </c>
      <c r="W9" s="6" t="str">
        <f>IF(LEN('A créer'!C9)=0,"","0")</f>
        <v>0</v>
      </c>
      <c r="X9" s="2" t="str">
        <f>IF(LEN('A créer'!C9)=0,"","Tab")</f>
        <v>Tab</v>
      </c>
      <c r="Y9" s="6" t="str">
        <f>IF(LEN('A créer'!C9)=0,"","ZZZZZZZZZZZZZZZ")</f>
        <v>ZZZZZZZZZZZZZZZ</v>
      </c>
      <c r="Z9" s="6" t="str">
        <f>IF(LEN('A créer'!C9)=0,"","0")</f>
        <v>0</v>
      </c>
      <c r="AA9" s="2" t="str">
        <f>IF(LEN('A créer'!C9)=0,"","Tab")</f>
        <v>Tab</v>
      </c>
      <c r="AB9" s="6" t="str">
        <f>IF(LEN('A créer'!C9)=0,"","ZZZ")</f>
        <v>ZZZ</v>
      </c>
      <c r="AC9" s="6" t="str">
        <f>IF(LEN('A créer'!C9)=0,"","0")</f>
        <v>0</v>
      </c>
      <c r="AD9" s="2" t="str">
        <f>IF(LEN('A créer'!C9)=0,"","Tab")</f>
        <v>Tab</v>
      </c>
      <c r="AE9" s="6" t="str">
        <f>IF(LEN('A créer'!C9)=0,"","ZZZZZZZZZZ")</f>
        <v>ZZZZZZZZZZ</v>
      </c>
      <c r="AF9" s="6" t="str">
        <f>IF(LEN('A créer'!C9)=0,"","0")</f>
        <v>0</v>
      </c>
      <c r="AG9" s="2" t="str">
        <f>IF(LEN('A créer'!C9)=0,"","Tab")</f>
        <v>Tab</v>
      </c>
      <c r="AH9" s="6" t="str">
        <f>IF(LEN('A créer'!C9)=0,"","ZZZZZZZZZZ")</f>
        <v>ZZZZZZZZZZ</v>
      </c>
      <c r="AI9" s="6" t="str">
        <f>IF(LEN('A créer'!C9)=0,"","0")</f>
        <v>0</v>
      </c>
      <c r="AJ9" s="2" t="str">
        <f>IF(LEN('A créer'!C9)=0,"","Tab")</f>
        <v>Tab</v>
      </c>
      <c r="AK9" s="6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3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3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3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3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3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3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3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3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3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3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3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3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3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3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3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3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3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3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3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3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3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3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zoomScale="80" zoomScaleNormal="80" workbookViewId="0">
      <pane xSplit="1" ySplit="1" topLeftCell="B2" activePane="bottomRight" state="frozenSplit"/>
      <selection activeCell="D5" sqref="D5"/>
      <selection pane="topRight" activeCell="D5" sqref="D5"/>
      <selection pane="bottomLeft" activeCell="D5" sqref="D5"/>
      <selection pane="bottomRight" activeCell="D5" sqref="D5"/>
    </sheetView>
  </sheetViews>
  <sheetFormatPr baseColWidth="10" defaultRowHeight="14.5" x14ac:dyDescent="0.35"/>
  <cols>
    <col min="1" max="1" width="4.26953125" bestFit="1" customWidth="1"/>
    <col min="2" max="2" width="2.26953125" bestFit="1" customWidth="1"/>
    <col min="3" max="3" width="4" bestFit="1" customWidth="1"/>
    <col min="4" max="4" width="7.453125" bestFit="1" customWidth="1"/>
    <col min="5" max="5" width="4" bestFit="1" customWidth="1"/>
    <col min="6" max="6" width="11.54296875" customWidth="1"/>
    <col min="7" max="7" width="4.453125" customWidth="1"/>
    <col min="8" max="8" width="2" bestFit="1" customWidth="1"/>
    <col min="9" max="9" width="4" bestFit="1" customWidth="1"/>
    <col min="10" max="10" width="6.26953125" bestFit="1" customWidth="1"/>
    <col min="11" max="11" width="2" bestFit="1" customWidth="1"/>
    <col min="12" max="12" width="4" bestFit="1" customWidth="1"/>
    <col min="13" max="13" width="9.54296875" bestFit="1" customWidth="1"/>
    <col min="14" max="14" width="2" bestFit="1" customWidth="1"/>
    <col min="15" max="15" width="4" bestFit="1" customWidth="1"/>
    <col min="16" max="16" width="7.26953125" bestFit="1" customWidth="1"/>
    <col min="17" max="17" width="2" bestFit="1" customWidth="1"/>
    <col min="18" max="18" width="4" bestFit="1" customWidth="1"/>
    <col min="19" max="19" width="9.81640625" bestFit="1" customWidth="1"/>
    <col min="20" max="20" width="2" bestFit="1" customWidth="1"/>
    <col min="21" max="21" width="4" bestFit="1" customWidth="1"/>
    <col min="22" max="22" width="9.81640625" bestFit="1" customWidth="1"/>
    <col min="23" max="23" width="2" bestFit="1" customWidth="1"/>
    <col min="24" max="24" width="4" bestFit="1" customWidth="1"/>
    <col min="25" max="25" width="14.26953125" bestFit="1" customWidth="1"/>
    <col min="26" max="26" width="2" bestFit="1" customWidth="1"/>
    <col min="27" max="27" width="4" bestFit="1" customWidth="1"/>
    <col min="28" max="28" width="4.26953125" bestFit="1" customWidth="1"/>
    <col min="29" max="29" width="2" bestFit="1" customWidth="1"/>
    <col min="30" max="30" width="4" bestFit="1" customWidth="1"/>
    <col min="31" max="31" width="9.81640625" bestFit="1" customWidth="1"/>
    <col min="32" max="32" width="2" bestFit="1" customWidth="1"/>
    <col min="33" max="33" width="4" bestFit="1" customWidth="1"/>
    <col min="34" max="34" width="9.81640625" bestFit="1" customWidth="1"/>
    <col min="35" max="35" width="2" bestFit="1" customWidth="1"/>
    <col min="36" max="36" width="4" bestFit="1" customWidth="1"/>
    <col min="37" max="37" width="9.81640625" bestFit="1" customWidth="1"/>
    <col min="38" max="38" width="4.26953125" bestFit="1" customWidth="1"/>
    <col min="39" max="39" width="6.1796875" bestFit="1" customWidth="1"/>
  </cols>
  <sheetData>
    <row r="1" spans="1:39" x14ac:dyDescent="0.3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3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 t="str">
        <f>IF(LEN('A créer'!C2)=0,"",'A créer'!B2)</f>
        <v>DRW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3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0412</v>
      </c>
      <c r="E3" s="2" t="str">
        <f>IF(LEN('A créer'!C3)=0,"","Tab")</f>
        <v>Tab</v>
      </c>
      <c r="F3" t="str">
        <f>IF(LEN('A créer'!C3)=0,"",'A créer'!B3)</f>
        <v>DNA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3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0505</v>
      </c>
      <c r="E4" s="2" t="str">
        <f>IF(LEN('A créer'!C4)=0,"","Tab")</f>
        <v>Tab</v>
      </c>
      <c r="F4" t="str">
        <f>IF(LEN('A créer'!C4)=0,"",'A créer'!B4)</f>
        <v>DMS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3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35">
      <c r="A6" s="2" t="str">
        <f>IF(LEN('A créer'!C6)=0,"","*FN")</f>
        <v>*FN</v>
      </c>
      <c r="B6" s="3" t="str">
        <f>IF(LEN('A créer'!C6)=0,"","\I")</f>
        <v>\I</v>
      </c>
      <c r="C6" s="2" t="str">
        <f>IF(LEN('A créer'!C6)=0,"","Tab")</f>
        <v>Tab</v>
      </c>
      <c r="D6" t="str">
        <f>IF(LEN('A créer'!C6)=0,"",'A créer'!A6)</f>
        <v>0450</v>
      </c>
      <c r="E6" s="2" t="str">
        <f>IF(LEN('A créer'!C6)=0,"","Tab")</f>
        <v>Tab</v>
      </c>
      <c r="F6" t="str">
        <f>IF(LEN('A créer'!C6)=0,"",'A créer'!B6)</f>
        <v>DCW</v>
      </c>
      <c r="G6" s="2" t="str">
        <f>IF(LEN('A créer'!C6)=0,"","Tab")</f>
        <v>Tab</v>
      </c>
      <c r="H6">
        <f>IF(LEN('A créer'!C6)=0,"",0)</f>
        <v>0</v>
      </c>
      <c r="I6" s="2" t="str">
        <f>IF(LEN('A créer'!C6)=0,"","Tab")</f>
        <v>Tab</v>
      </c>
      <c r="J6" t="str">
        <f>IF(LEN('A créer'!C6)=0,"","ZZZZZZ")</f>
        <v>ZZZZZZ</v>
      </c>
      <c r="K6">
        <f>IF(LEN('A créer'!C6)=0,"",0)</f>
        <v>0</v>
      </c>
      <c r="L6" s="2" t="str">
        <f>IF(LEN('A créer'!C6)=0,"","Tab")</f>
        <v>Tab</v>
      </c>
      <c r="M6" s="6" t="str">
        <f>IF(LEN('A créer'!C6)=0,"","ZZZZZ")</f>
        <v>ZZZZZ</v>
      </c>
      <c r="N6" s="6">
        <f>IF(LEN('A créer'!C6)=0,"",0)</f>
        <v>0</v>
      </c>
      <c r="O6" s="2" t="str">
        <f>IF(LEN('A créer'!C6)=0,"","Tab")</f>
        <v>Tab</v>
      </c>
      <c r="P6" s="6" t="str">
        <f>IF(LEN('A créer'!C6)=0,"","ZZZZZZZ")</f>
        <v>ZZZZZZZ</v>
      </c>
      <c r="Q6" s="6">
        <f>IF(LEN('A créer'!C6)=0,"",0)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>
        <f>IF(LEN('A créer'!C6)=0,"",0)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>
        <f>IF(LEN('A créer'!C6)=0,"",0)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>
        <f>IF(LEN('A créer'!C6)=0,"",0)</f>
        <v>0</v>
      </c>
      <c r="AA6" s="2" t="str">
        <f>IF(LEN('A créer'!C6)=0,"","Tab")</f>
        <v>Tab</v>
      </c>
      <c r="AB6" s="6" t="str">
        <f>IF(LEN('A créer'!C6)=0,"","ZZZ")</f>
        <v>ZZZ</v>
      </c>
      <c r="AC6" s="6">
        <f>IF(LEN('A créer'!C6)=0,"",0)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>
        <f>IF(LEN('A créer'!C6)=0,"",0)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>
        <f>IF(LEN('A créer'!C6)=0,"",0)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</row>
    <row r="7" spans="1:39" x14ac:dyDescent="0.35">
      <c r="A7" s="2" t="str">
        <f>IF(LEN('A créer'!C7)=0,"","*FN")</f>
        <v>*FN</v>
      </c>
      <c r="B7" s="3" t="str">
        <f>IF(LEN('A créer'!C7)=0,"","\I")</f>
        <v>\I</v>
      </c>
      <c r="C7" s="2" t="str">
        <f>IF(LEN('A créer'!C7)=0,"","Tab")</f>
        <v>Tab</v>
      </c>
      <c r="D7" t="str">
        <f>IF(LEN('A créer'!C7)=0,"",'A créer'!A7)</f>
        <v>0506</v>
      </c>
      <c r="E7" s="2" t="str">
        <f>IF(LEN('A créer'!C7)=0,"","Tab")</f>
        <v>Tab</v>
      </c>
      <c r="F7" t="str">
        <f>IF(LEN('A créer'!C7)=0,"",'A créer'!B7)</f>
        <v>DRW</v>
      </c>
      <c r="G7" s="2" t="str">
        <f>IF(LEN('A créer'!C7)=0,"","Tab")</f>
        <v>Tab</v>
      </c>
      <c r="H7">
        <f>IF(LEN('A créer'!C7)=0,"",0)</f>
        <v>0</v>
      </c>
      <c r="I7" s="2" t="str">
        <f>IF(LEN('A créer'!C7)=0,"","Tab")</f>
        <v>Tab</v>
      </c>
      <c r="J7" t="str">
        <f>IF(LEN('A créer'!C7)=0,"","ZZZZZZ")</f>
        <v>ZZZZZZ</v>
      </c>
      <c r="K7">
        <f>IF(LEN('A créer'!C7)=0,"",0)</f>
        <v>0</v>
      </c>
      <c r="L7" s="2" t="str">
        <f>IF(LEN('A créer'!C7)=0,"","Tab")</f>
        <v>Tab</v>
      </c>
      <c r="M7" s="6" t="str">
        <f>IF(LEN('A créer'!C7)=0,"","ZZZZZ")</f>
        <v>ZZZZZ</v>
      </c>
      <c r="N7" s="6">
        <f>IF(LEN('A créer'!C7)=0,"",0)</f>
        <v>0</v>
      </c>
      <c r="O7" s="2" t="str">
        <f>IF(LEN('A créer'!C7)=0,"","Tab")</f>
        <v>Tab</v>
      </c>
      <c r="P7" s="6" t="str">
        <f>IF(LEN('A créer'!C7)=0,"","ZZZZZZZ")</f>
        <v>ZZZZZZZ</v>
      </c>
      <c r="Q7" s="6">
        <f>IF(LEN('A créer'!C7)=0,"",0)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>
        <f>IF(LEN('A créer'!C7)=0,"",0)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>
        <f>IF(LEN('A créer'!C7)=0,"",0)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>
        <f>IF(LEN('A créer'!C7)=0,"",0)</f>
        <v>0</v>
      </c>
      <c r="AA7" s="2" t="str">
        <f>IF(LEN('A créer'!C7)=0,"","Tab")</f>
        <v>Tab</v>
      </c>
      <c r="AB7" s="6" t="str">
        <f>IF(LEN('A créer'!C7)=0,"","ZZZ")</f>
        <v>ZZZ</v>
      </c>
      <c r="AC7" s="6">
        <f>IF(LEN('A créer'!C7)=0,"",0)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>
        <f>IF(LEN('A créer'!C7)=0,"",0)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>
        <f>IF(LEN('A créer'!C7)=0,"",0)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</row>
    <row r="8" spans="1:39" x14ac:dyDescent="0.3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35">
      <c r="A9" s="2" t="str">
        <f>IF(LEN('A créer'!C9)=0,"","*FN")</f>
        <v>*FN</v>
      </c>
      <c r="B9" s="3" t="str">
        <f>IF(LEN('A créer'!C9)=0,"","\I")</f>
        <v>\I</v>
      </c>
      <c r="C9" s="2" t="str">
        <f>IF(LEN('A créer'!C9)=0,"","Tab")</f>
        <v>Tab</v>
      </c>
      <c r="D9" t="str">
        <f>IF(LEN('A créer'!C9)=0,"",'A créer'!A9)</f>
        <v>0486</v>
      </c>
      <c r="E9" s="2" t="str">
        <f>IF(LEN('A créer'!C9)=0,"","Tab")</f>
        <v>Tab</v>
      </c>
      <c r="F9" t="str">
        <f>IF(LEN('A créer'!C9)=0,"",'A créer'!B9)</f>
        <v>DSW</v>
      </c>
      <c r="G9" s="2" t="str">
        <f>IF(LEN('A créer'!C9)=0,"","Tab")</f>
        <v>Tab</v>
      </c>
      <c r="H9">
        <f>IF(LEN('A créer'!C9)=0,"",0)</f>
        <v>0</v>
      </c>
      <c r="I9" s="2" t="str">
        <f>IF(LEN('A créer'!C9)=0,"","Tab")</f>
        <v>Tab</v>
      </c>
      <c r="J9" t="str">
        <f>IF(LEN('A créer'!C9)=0,"","ZZZZZZ")</f>
        <v>ZZZZZZ</v>
      </c>
      <c r="K9">
        <f>IF(LEN('A créer'!C9)=0,"",0)</f>
        <v>0</v>
      </c>
      <c r="L9" s="2" t="str">
        <f>IF(LEN('A créer'!C9)=0,"","Tab")</f>
        <v>Tab</v>
      </c>
      <c r="M9" s="6" t="str">
        <f>IF(LEN('A créer'!C9)=0,"","ZZZZZ")</f>
        <v>ZZZZZ</v>
      </c>
      <c r="N9" s="6">
        <f>IF(LEN('A créer'!C9)=0,"",0)</f>
        <v>0</v>
      </c>
      <c r="O9" s="2" t="str">
        <f>IF(LEN('A créer'!C9)=0,"","Tab")</f>
        <v>Tab</v>
      </c>
      <c r="P9" s="6" t="str">
        <f>IF(LEN('A créer'!C9)=0,"","ZZZZZZZ")</f>
        <v>ZZZZZZZ</v>
      </c>
      <c r="Q9" s="6">
        <f>IF(LEN('A créer'!C9)=0,"",0)</f>
        <v>0</v>
      </c>
      <c r="R9" s="2" t="str">
        <f>IF(LEN('A créer'!C9)=0,"","Tab")</f>
        <v>Tab</v>
      </c>
      <c r="S9" s="6" t="str">
        <f>IF(LEN('A créer'!C9)=0,"","ZZZZZZZZZZ")</f>
        <v>ZZZZZZZZZZ</v>
      </c>
      <c r="T9" s="6">
        <f>IF(LEN('A créer'!C9)=0,"",0)</f>
        <v>0</v>
      </c>
      <c r="U9" s="2" t="str">
        <f>IF(LEN('A créer'!C9)=0,"","Tab")</f>
        <v>Tab</v>
      </c>
      <c r="V9" s="6" t="str">
        <f>IF(LEN('A créer'!C9)=0,"","ZZZZZZZZZZ")</f>
        <v>ZZZZZZZZZZ</v>
      </c>
      <c r="W9" s="6">
        <f>IF(LEN('A créer'!C9)=0,"",0)</f>
        <v>0</v>
      </c>
      <c r="X9" s="2" t="str">
        <f>IF(LEN('A créer'!C9)=0,"","Tab")</f>
        <v>Tab</v>
      </c>
      <c r="Y9" s="6" t="str">
        <f>IF(LEN('A créer'!C9)=0,"","ZZZZZZZZZZZZZZZ")</f>
        <v>ZZZZZZZZZZZZZZZ</v>
      </c>
      <c r="Z9" s="6">
        <f>IF(LEN('A créer'!C9)=0,"",0)</f>
        <v>0</v>
      </c>
      <c r="AA9" s="2" t="str">
        <f>IF(LEN('A créer'!C9)=0,"","Tab")</f>
        <v>Tab</v>
      </c>
      <c r="AB9" s="6" t="str">
        <f>IF(LEN('A créer'!C9)=0,"","ZZZ")</f>
        <v>ZZZ</v>
      </c>
      <c r="AC9" s="6">
        <f>IF(LEN('A créer'!C9)=0,"",0)</f>
        <v>0</v>
      </c>
      <c r="AD9" s="2" t="str">
        <f>IF(LEN('A créer'!C9)=0,"","Tab")</f>
        <v>Tab</v>
      </c>
      <c r="AE9" s="6" t="str">
        <f>IF(LEN('A créer'!C9)=0,"","ZZZZZZZZZZ")</f>
        <v>ZZZZZZZZZZ</v>
      </c>
      <c r="AF9" s="6">
        <f>IF(LEN('A créer'!C9)=0,"",0)</f>
        <v>0</v>
      </c>
      <c r="AG9" s="2" t="str">
        <f>IF(LEN('A créer'!C9)=0,"","Tab")</f>
        <v>Tab</v>
      </c>
      <c r="AH9" s="6" t="str">
        <f>IF(LEN('A créer'!C9)=0,"","ZZZZZZZZZZ")</f>
        <v>ZZZZZZZZZZ</v>
      </c>
      <c r="AI9" s="6">
        <f>IF(LEN('A créer'!C9)=0,"",0)</f>
        <v>0</v>
      </c>
      <c r="AJ9" s="2" t="str">
        <f>IF(LEN('A créer'!C9)=0,"","Tab")</f>
        <v>Tab</v>
      </c>
      <c r="AK9" s="6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</row>
    <row r="10" spans="1:39" x14ac:dyDescent="0.3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3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3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3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3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3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3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3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3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3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3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3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3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3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3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3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3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3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3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3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3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0"/>
  <sheetViews>
    <sheetView zoomScale="80" zoomScaleNormal="80" workbookViewId="0">
      <pane xSplit="1" ySplit="1" topLeftCell="N2" activePane="bottomRight" state="frozenSplit"/>
      <selection activeCell="D5" sqref="D5"/>
      <selection pane="topRight" activeCell="D5" sqref="D5"/>
      <selection pane="bottomLeft" activeCell="D5" sqref="D5"/>
      <selection pane="bottomRight" activeCell="D5" sqref="D5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25" bestFit="1" customWidth="1"/>
    <col min="4" max="4" width="5.26953125" customWidth="1"/>
    <col min="5" max="5" width="28.7265625" bestFit="1" customWidth="1"/>
    <col min="6" max="6" width="5.81640625" customWidth="1"/>
    <col min="7" max="8" width="4" bestFit="1" customWidth="1"/>
    <col min="9" max="9" width="49.26953125" bestFit="1" customWidth="1"/>
    <col min="10" max="10" width="6.54296875" customWidth="1"/>
    <col min="11" max="11" width="4" bestFit="1" customWidth="1"/>
    <col min="13" max="13" width="24.54296875" bestFit="1" customWidth="1"/>
    <col min="14" max="14" width="5.81640625" customWidth="1"/>
    <col min="15" max="15" width="4.26953125" bestFit="1" customWidth="1"/>
    <col min="16" max="16" width="6.1796875" bestFit="1" customWidth="1"/>
    <col min="17" max="17" width="4.26953125" bestFit="1" customWidth="1"/>
    <col min="18" max="18" width="5.453125" customWidth="1"/>
    <col min="19" max="19" width="11.7265625" customWidth="1"/>
    <col min="20" max="20" width="4.81640625" customWidth="1"/>
    <col min="21" max="21" width="41.7265625" bestFit="1" customWidth="1"/>
    <col min="22" max="22" width="5.453125" customWidth="1"/>
    <col min="23" max="23" width="4" bestFit="1" customWidth="1"/>
    <col min="24" max="24" width="4.81640625" customWidth="1"/>
    <col min="25" max="25" width="12.81640625" bestFit="1" customWidth="1"/>
    <col min="26" max="26" width="4" bestFit="1" customWidth="1"/>
    <col min="27" max="27" width="11.453125" bestFit="1" customWidth="1"/>
    <col min="28" max="28" width="4" bestFit="1" customWidth="1"/>
    <col min="29" max="29" width="11.5429687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6953125" bestFit="1" customWidth="1"/>
    <col min="38" max="38" width="4.26953125" bestFit="1" customWidth="1"/>
    <col min="39" max="39" width="7.26953125" customWidth="1"/>
    <col min="40" max="40" width="6.7265625" customWidth="1"/>
    <col min="41" max="41" width="5.54296875" customWidth="1"/>
    <col min="42" max="42" width="5.453125" customWidth="1"/>
    <col min="43" max="43" width="5.26953125" customWidth="1"/>
    <col min="44" max="44" width="6.54296875" bestFit="1" customWidth="1"/>
    <col min="45" max="45" width="4" bestFit="1" customWidth="1"/>
    <col min="46" max="46" width="4.26953125" bestFit="1" customWidth="1"/>
    <col min="47" max="47" width="6.81640625" bestFit="1" customWidth="1"/>
  </cols>
  <sheetData>
    <row r="1" spans="1:47" x14ac:dyDescent="0.3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35">
      <c r="A2" s="2" t="str">
        <f>IF(OR('A créer'!D2="Oui",LEN('A créer'!D2)=0),"","*FN")</f>
        <v/>
      </c>
      <c r="B2" s="2" t="str">
        <f>IF(OR('A créer'!D2="Oui",LEN('A créer'!D2)=0),"","Tab")</f>
        <v/>
      </c>
      <c r="C2" t="str">
        <f>IF(OR('A créer'!D2="Oui",LEN('A créer'!D2)=0),"",'A créer'!I2)</f>
        <v/>
      </c>
      <c r="D2" s="2" t="str">
        <f>IF(OR('A créer'!D2="Oui",LEN('A créer'!D2)=0),"","Tab")</f>
        <v/>
      </c>
      <c r="E2" t="str">
        <f>IF(OR('A créer'!D2="Oui",LEN('A créer'!D2)=0),"",'A créer'!C2)</f>
        <v/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créer'!D2)=0),"","Tab")</f>
        <v/>
      </c>
      <c r="I2" t="str">
        <f>IF(OR('A créer'!D2="Oui",LEN('A créer'!D2)=0),"",'A créer'!J2)</f>
        <v/>
      </c>
      <c r="J2" s="2" t="str">
        <f>IF(OR('A créer'!D2="Oui",LEN('A créer'!D2)=0),"","Tab 4")</f>
        <v/>
      </c>
      <c r="K2" s="2" t="str">
        <f>IF(OR('A créer'!D2="Oui",LEN('A créer'!D2)=0),"","Tab")</f>
        <v/>
      </c>
      <c r="L2" t="str">
        <f>IF(OR('A créer'!D2="Oui",LEN('A créer'!D2)=0),"",'A créer'!K2)</f>
        <v/>
      </c>
      <c r="M2" t="str">
        <f>IF(OR('A créer'!D2="Oui",LEN('A créer'!D2)=0),"",'A créer'!L2)</f>
        <v/>
      </c>
      <c r="N2" s="2" t="str">
        <f>IF(OR('A créer'!D2="Oui",LEN('A créer'!D2)=0),"","Tab")</f>
        <v/>
      </c>
      <c r="O2" s="2" t="str">
        <f>IF(OR('A créer'!D2="Oui",LEN('A créer'!D2)=0),"","ENT")</f>
        <v/>
      </c>
      <c r="P2" s="2" t="str">
        <f>IF(OR('A créer'!D2="Oui",LEN('A créer'!D2)=0),"","*SAVE")</f>
        <v/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DRW0513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DK 27 (18513)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85501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/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3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DNA0412</v>
      </c>
      <c r="T3" s="2" t="s">
        <v>4</v>
      </c>
      <c r="U3" s="6" t="str">
        <f>IF('A créer'!F3="Oui",'A créer'!C3,IF(LEN('A créer'!F3)=0,"",CONCATENATE('A créer'!C3," (",'A créer'!M3,")")))</f>
        <v>SOCIETE VALMY DEFENSE 108 (XXXXX)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 t="str">
        <f>IF('A créer'!F3="Oui",'A créer'!J3,IF(LEN('A créer'!F3)=0,"",'A créer'!N3))</f>
        <v>TSA 55507</v>
      </c>
      <c r="Z3" s="2" t="str">
        <f>IF(LEN('A créer'!D3)=0,"","Tab")</f>
        <v>Tab</v>
      </c>
      <c r="AA3" s="4" t="str">
        <f>IF('A créer'!F3="Oui","",IF(LEN('A créer'!F3)=0,"",'A créer'!O3))</f>
        <v>59784 LILLE CEDEX 9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/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3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DMS0505</v>
      </c>
      <c r="T4" s="2" t="s">
        <v>4</v>
      </c>
      <c r="U4" s="6" t="str">
        <f>IF('A créer'!F4="Oui",'A créer'!C4,IF(LEN('A créer'!F4)=0,"",CONCATENATE('A créer'!C4," (",'A créer'!M4,")")))</f>
        <v>MONTCHOVET ENERGIES (53505)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 t="str">
        <f>IF('A créer'!F4="Oui",'A créer'!J4,IF(LEN('A créer'!F4)=0,"",'A créer'!N4))</f>
        <v>TSA 35505</v>
      </c>
      <c r="Z4" s="2" t="str">
        <f>IF(LEN('A créer'!D4)=0,"","Tab")</f>
        <v>Tab</v>
      </c>
      <c r="AA4" s="4" t="str">
        <f>IF('A créer'!F4="Oui","",IF(LEN('A créer'!F4)=0,"",'A créer'!O4))</f>
        <v>59784 LILLE CEDEX 9</v>
      </c>
      <c r="AB4" s="2" t="str">
        <f>IF(LEN('A créer'!D4)=0,"","Tab")</f>
        <v>Tab</v>
      </c>
      <c r="AC4" s="4" t="str">
        <f>IF('A créer'!F4="Oui","",IF(LEN('A créer'!F4)=0,"","contactfournisseur@csp.dalkia.fr"))</f>
        <v>contactfournisseur@csp.dalkia.fr</v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>ATTENTION adresse UNIQUEMENT pour la comptabilité fournisseurs</v>
      </c>
      <c r="AG4" s="2" t="str">
        <f>IF(LEN('A créer'!D4)=0,"","Tab")</f>
        <v>Tab</v>
      </c>
      <c r="AH4" s="4" t="str">
        <f>IF('A créer'!F4="Oui",'A créer'!K4,IF(LEN('A créer'!F4)=0,"",""))</f>
        <v/>
      </c>
      <c r="AI4" s="2" t="str">
        <f>IF(OR(LEN('A créer'!D4)=0,LEN(AH4)&gt;0),"","Tab")</f>
        <v>Tab</v>
      </c>
      <c r="AJ4" s="6" t="str">
        <f>IF('A créer'!F4="Oui",'A créer'!L4,IF(LEN('A créer'!F4)=0,"","NOUVELLE ADRESSE FACTURATION"))</f>
        <v>NOUVELLE ADRESSE FACTURATION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/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3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3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>*FN</v>
      </c>
      <c r="R6" s="2" t="str">
        <f>IF(LEN('A créer'!D6)=0,"","Tab")</f>
        <v>Tab</v>
      </c>
      <c r="S6" s="6" t="str">
        <f>IF(LEN('A créer'!D6)=0,"",CONCATENATE('A créer'!B6,'A créer'!A6))</f>
        <v>DCW0450</v>
      </c>
      <c r="T6" s="2" t="s">
        <v>4</v>
      </c>
      <c r="U6" s="6" t="str">
        <f>IF('A créer'!F6="Oui",'A créer'!C6,IF(LEN('A créer'!F6)=0,"",CONCATENATE('A créer'!C6," (",'A créer'!M6,")")))</f>
        <v>REMIREMONT ENERGIE (13450)</v>
      </c>
      <c r="V6" s="2" t="str">
        <f>IF(LEN('A créer'!D6)=0,"","Tab")</f>
        <v>Tab</v>
      </c>
      <c r="W6" s="2" t="str">
        <f>IF(LEN('A créer'!D6)=0,"","Tab")</f>
        <v>Tab</v>
      </c>
      <c r="X6" s="2" t="str">
        <f>IF(LEN('A créer'!D6)=0,"","Tab")</f>
        <v>Tab</v>
      </c>
      <c r="Y6" s="6" t="str">
        <f>IF('A créer'!F6="Oui",'A créer'!J6,IF(LEN('A créer'!F6)=0,"",'A créer'!N6))</f>
        <v>TSA 15503</v>
      </c>
      <c r="Z6" s="2" t="str">
        <f>IF(LEN('A créer'!D6)=0,"","Tab")</f>
        <v>Tab</v>
      </c>
      <c r="AA6" s="4" t="str">
        <f>IF('A créer'!F6="Oui","",IF(LEN('A créer'!F6)=0,"",'A créer'!O6))</f>
        <v>59784 LILLE CEDEX 9</v>
      </c>
      <c r="AB6" s="2" t="str">
        <f>IF(LEN('A créer'!D6)=0,"","Tab")</f>
        <v>Tab</v>
      </c>
      <c r="AC6" s="4" t="str">
        <f>IF('A créer'!F6="Oui","",IF(LEN('A créer'!F6)=0,"","contactfournisseur@csp.dalkia.fr"))</f>
        <v>contactfournisseur@csp.dalkia.fr</v>
      </c>
      <c r="AD6" s="2" t="str">
        <f>IF(LEN('A créer'!D6)=0,"","Tab")</f>
        <v>Tab</v>
      </c>
      <c r="AE6" s="2" t="str">
        <f>IF(LEN('A créer'!D6)=0,"","Tab")</f>
        <v>Tab</v>
      </c>
      <c r="AF6" s="6" t="str">
        <f>IF('A créer'!F6="Oui","",IF(LEN('A créer'!F6)=0,"","ATTENTION adresse UNIQUEMENT pour la comptabilité fournisseurs"))</f>
        <v>ATTENTION adresse UNIQUEMENT pour la comptabilité fournisseurs</v>
      </c>
      <c r="AG6" s="2" t="str">
        <f>IF(LEN('A créer'!D6)=0,"","Tab")</f>
        <v>Tab</v>
      </c>
      <c r="AH6" s="4" t="str">
        <f>IF('A créer'!F6="Oui",'A créer'!K6,IF(LEN('A créer'!F6)=0,"",""))</f>
        <v/>
      </c>
      <c r="AI6" s="2" t="str">
        <f>IF(OR(LEN('A créer'!D6)=0,LEN(AH6)&gt;0),"","Tab")</f>
        <v>Tab</v>
      </c>
      <c r="AJ6" s="6" t="str">
        <f>IF('A créer'!F6="Oui",'A créer'!L6,IF(LEN('A créer'!F6)=0,"","NOUVELLE ADRESSE FACTURATION"))</f>
        <v>NOUVELLE ADRESSE FACTURATION</v>
      </c>
      <c r="AK6" s="2" t="str">
        <f>IF(LEN('A créer'!D6)=0,"","Tab")</f>
        <v>Tab</v>
      </c>
      <c r="AL6" s="2" t="str">
        <f>IF(LEN('A créer'!D6)=0,"","ENT")</f>
        <v>ENT</v>
      </c>
      <c r="AM6" s="2" t="str">
        <f>IF(LEN('A créer'!D6)=0,"","Tab 4")</f>
        <v>Tab 4</v>
      </c>
      <c r="AN6" s="2" t="str">
        <f>IF(LEN('A créer'!D6)=0,"","Tab 4")</f>
        <v>Tab 4</v>
      </c>
      <c r="AO6" s="2" t="str">
        <f>IF(LEN('A créer'!D6)=0,"","Tab")</f>
        <v>Tab</v>
      </c>
      <c r="AP6" s="2" t="str">
        <f>IF(LEN('A créer'!D6)=0,"","Tab")</f>
        <v>Tab</v>
      </c>
      <c r="AQ6" s="2" t="str">
        <f>IF(LEN('A créer'!D6)=0,"","Tab")</f>
        <v>Tab</v>
      </c>
      <c r="AR6" s="4" t="str">
        <f>IF(OR('A créer'!D6="Oui",LEN('A créer'!D6)=0),"",IF(LEN('A créer'!F6)=0,"",'A créer'!B6))</f>
        <v/>
      </c>
      <c r="AS6" s="2" t="str">
        <f>IF(LEN('A créer'!D6)=0,"","Tab")</f>
        <v>Tab</v>
      </c>
      <c r="AT6" s="2" t="str">
        <f>IF(LEN('A créer'!D6)=0,"","ENT")</f>
        <v>ENT</v>
      </c>
      <c r="AU6" s="2" t="str">
        <f>IF(LEN('A créer'!D6)=0,"","*SAVE")</f>
        <v>*SAVE</v>
      </c>
    </row>
    <row r="7" spans="1:47" x14ac:dyDescent="0.3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>*FN</v>
      </c>
      <c r="R7" s="2" t="str">
        <f>IF(LEN('A créer'!D7)=0,"","Tab")</f>
        <v>Tab</v>
      </c>
      <c r="S7" s="6" t="str">
        <f>IF(LEN('A créer'!D7)=0,"",CONCATENATE('A créer'!B7,'A créer'!A7))</f>
        <v>DRW0506</v>
      </c>
      <c r="T7" s="2" t="s">
        <v>4</v>
      </c>
      <c r="U7" s="6" t="str">
        <f>IF('A créer'!F7="Oui",'A créer'!C7,IF(LEN('A créer'!F7)=0,"",CONCATENATE('A créer'!C7," (",'A créer'!M7,")")))</f>
        <v>MONTROUGE ENERGIE RENOUVELABLE (18506)</v>
      </c>
      <c r="V7" s="2" t="str">
        <f>IF(LEN('A créer'!D7)=0,"","Tab")</f>
        <v>Tab</v>
      </c>
      <c r="W7" s="2" t="str">
        <f>IF(LEN('A créer'!D7)=0,"","Tab")</f>
        <v>Tab</v>
      </c>
      <c r="X7" s="2" t="str">
        <f>IF(LEN('A créer'!D7)=0,"","Tab")</f>
        <v>Tab</v>
      </c>
      <c r="Y7" s="6" t="str">
        <f>IF('A créer'!F7="Oui",'A créer'!J7,IF(LEN('A créer'!F7)=0,"",'A créer'!N7))</f>
        <v>TSA 85501</v>
      </c>
      <c r="Z7" s="2" t="str">
        <f>IF(LEN('A créer'!D7)=0,"","Tab")</f>
        <v>Tab</v>
      </c>
      <c r="AA7" s="4" t="str">
        <f>IF('A créer'!F7="Oui","",IF(LEN('A créer'!F7)=0,"",'A créer'!O7))</f>
        <v>59784 LILLE CEDEX 9</v>
      </c>
      <c r="AB7" s="2" t="str">
        <f>IF(LEN('A créer'!D7)=0,"","Tab")</f>
        <v>Tab</v>
      </c>
      <c r="AC7" s="4" t="str">
        <f>IF('A créer'!F7="Oui","",IF(LEN('A créer'!F7)=0,"","contactfournisseur@csp.dalkia.fr"))</f>
        <v>contactfournisseur@csp.dalkia.fr</v>
      </c>
      <c r="AD7" s="2" t="str">
        <f>IF(LEN('A créer'!D7)=0,"","Tab")</f>
        <v>Tab</v>
      </c>
      <c r="AE7" s="2" t="str">
        <f>IF(LEN('A créer'!D7)=0,"","Tab")</f>
        <v>Tab</v>
      </c>
      <c r="AF7" s="6" t="str">
        <f>IF('A créer'!F7="Oui","",IF(LEN('A créer'!F7)=0,"","ATTENTION adresse UNIQUEMENT pour la comptabilité fournisseurs"))</f>
        <v>ATTENTION adresse UNIQUEMENT pour la comptabilité fournisseurs</v>
      </c>
      <c r="AG7" s="2" t="str">
        <f>IF(LEN('A créer'!D7)=0,"","Tab")</f>
        <v>Tab</v>
      </c>
      <c r="AH7" s="4" t="str">
        <f>IF('A créer'!F7="Oui",'A créer'!K7,IF(LEN('A créer'!F7)=0,"",""))</f>
        <v/>
      </c>
      <c r="AI7" s="2" t="str">
        <f>IF(OR(LEN('A créer'!D7)=0,LEN(AH7)&gt;0),"","Tab")</f>
        <v>Tab</v>
      </c>
      <c r="AJ7" s="6" t="str">
        <f>IF('A créer'!F7="Oui",'A créer'!L7,IF(LEN('A créer'!F7)=0,"","NOUVELLE ADRESSE FACTURATION"))</f>
        <v>NOUVELLE ADRESSE FACTURATION</v>
      </c>
      <c r="AK7" s="2" t="str">
        <f>IF(LEN('A créer'!D7)=0,"","Tab")</f>
        <v>Tab</v>
      </c>
      <c r="AL7" s="2" t="str">
        <f>IF(LEN('A créer'!D7)=0,"","ENT")</f>
        <v>ENT</v>
      </c>
      <c r="AM7" s="2" t="str">
        <f>IF(LEN('A créer'!D7)=0,"","Tab 4")</f>
        <v>Tab 4</v>
      </c>
      <c r="AN7" s="2" t="str">
        <f>IF(LEN('A créer'!D7)=0,"","Tab 4")</f>
        <v>Tab 4</v>
      </c>
      <c r="AO7" s="2" t="str">
        <f>IF(LEN('A créer'!D7)=0,"","Tab")</f>
        <v>Tab</v>
      </c>
      <c r="AP7" s="2" t="str">
        <f>IF(LEN('A créer'!D7)=0,"","Tab")</f>
        <v>Tab</v>
      </c>
      <c r="AQ7" s="2" t="str">
        <f>IF(LEN('A créer'!D7)=0,"","Tab")</f>
        <v>Tab</v>
      </c>
      <c r="AR7" s="4" t="str">
        <f>IF(OR('A créer'!D7="Oui",LEN('A créer'!D7)=0),"",IF(LEN('A créer'!F7)=0,"",'A créer'!B7))</f>
        <v/>
      </c>
      <c r="AS7" s="2" t="str">
        <f>IF(LEN('A créer'!D7)=0,"","Tab")</f>
        <v>Tab</v>
      </c>
      <c r="AT7" s="2" t="str">
        <f>IF(LEN('A créer'!D7)=0,"","ENT")</f>
        <v>ENT</v>
      </c>
      <c r="AU7" s="2" t="str">
        <f>IF(LEN('A créer'!D7)=0,"","*SAVE")</f>
        <v>*SAVE</v>
      </c>
    </row>
    <row r="8" spans="1:47" x14ac:dyDescent="0.3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3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>*FN</v>
      </c>
      <c r="R9" s="2" t="str">
        <f>IF(LEN('A créer'!D9)=0,"","Tab")</f>
        <v>Tab</v>
      </c>
      <c r="S9" s="6" t="str">
        <f>IF(LEN('A créer'!D9)=0,"",CONCATENATE('A créer'!B9,'A créer'!A9))</f>
        <v>DSW0486</v>
      </c>
      <c r="T9" s="2" t="s">
        <v>4</v>
      </c>
      <c r="U9" s="6" t="str">
        <f>IF('A créer'!F9="Oui",'A créer'!C9,IF(LEN('A créer'!F9)=0,"",CONCATENATE('A créer'!C9," (",'A créer'!M9,")")))</f>
        <v>LA FERTE BOIS CHALEUR</v>
      </c>
      <c r="V9" s="2" t="str">
        <f>IF(LEN('A créer'!D9)=0,"","Tab")</f>
        <v>Tab</v>
      </c>
      <c r="W9" s="2" t="str">
        <f>IF(LEN('A créer'!D9)=0,"","Tab")</f>
        <v>Tab</v>
      </c>
      <c r="X9" s="2" t="str">
        <f>IF(LEN('A créer'!D9)=0,"","Tab")</f>
        <v>Tab</v>
      </c>
      <c r="Y9" s="6" t="str">
        <f>IF('A créer'!F9="Oui",'A créer'!J9,IF(LEN('A créer'!F9)=0,"",'A créer'!N9))</f>
        <v>9, ALLEE DE CINDAIS</v>
      </c>
      <c r="Z9" s="2" t="str">
        <f>IF(LEN('A créer'!D9)=0,"","Tab")</f>
        <v>Tab</v>
      </c>
      <c r="AA9" s="4" t="str">
        <f>IF('A créer'!F9="Oui","",IF(LEN('A créer'!F9)=0,"",'A créer'!O9))</f>
        <v/>
      </c>
      <c r="AB9" s="2" t="str">
        <f>IF(LEN('A créer'!D9)=0,"","Tab")</f>
        <v>Tab</v>
      </c>
      <c r="AC9" s="4" t="str">
        <f>IF('A créer'!F9="Oui","",IF(LEN('A créer'!F9)=0,"","contactfournisseur@csp.dalkia.fr"))</f>
        <v/>
      </c>
      <c r="AD9" s="2" t="str">
        <f>IF(LEN('A créer'!D9)=0,"","Tab")</f>
        <v>Tab</v>
      </c>
      <c r="AE9" s="2" t="str">
        <f>IF(LEN('A créer'!D9)=0,"","Tab")</f>
        <v>Tab</v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>Tab</v>
      </c>
      <c r="AH9" s="4">
        <f>IF('A créer'!F9="Oui",'A créer'!K9,IF(LEN('A créer'!F9)=0,"",""))</f>
        <v>14320</v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>SAINT-ANDRE SUR ORNE</v>
      </c>
      <c r="AK9" s="2" t="str">
        <f>IF(LEN('A créer'!D9)=0,"","Tab")</f>
        <v>Tab</v>
      </c>
      <c r="AL9" s="2" t="str">
        <f>IF(LEN('A créer'!D9)=0,"","ENT")</f>
        <v>ENT</v>
      </c>
      <c r="AM9" s="2" t="str">
        <f>IF(LEN('A créer'!D9)=0,"","Tab 4")</f>
        <v>Tab 4</v>
      </c>
      <c r="AN9" s="2" t="str">
        <f>IF(LEN('A créer'!D9)=0,"","Tab 4")</f>
        <v>Tab 4</v>
      </c>
      <c r="AO9" s="2" t="str">
        <f>IF(LEN('A créer'!D9)=0,"","Tab")</f>
        <v>Tab</v>
      </c>
      <c r="AP9" s="2" t="str">
        <f>IF(LEN('A créer'!D9)=0,"","Tab")</f>
        <v>Tab</v>
      </c>
      <c r="AQ9" s="2" t="str">
        <f>IF(LEN('A créer'!D9)=0,"","Tab")</f>
        <v>Tab</v>
      </c>
      <c r="AR9" s="4" t="str">
        <f>IF(OR('A créer'!D9="Oui",LEN('A créer'!D9)=0),"",IF(LEN('A créer'!F9)=0,"",'A créer'!B9))</f>
        <v/>
      </c>
      <c r="AS9" s="2" t="str">
        <f>IF(LEN('A créer'!D9)=0,"","Tab")</f>
        <v>Tab</v>
      </c>
      <c r="AT9" s="2" t="str">
        <f>IF(LEN('A créer'!D9)=0,"","ENT")</f>
        <v>ENT</v>
      </c>
      <c r="AU9" s="2" t="str">
        <f>IF(LEN('A créer'!D9)=0,"","*SAVE")</f>
        <v>*SAVE</v>
      </c>
    </row>
    <row r="10" spans="1:47" x14ac:dyDescent="0.3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3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3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3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3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3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3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3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3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3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3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3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3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3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3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3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3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3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3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3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3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Split"/>
      <selection activeCell="D5" sqref="D5"/>
      <selection pane="bottomLeft" activeCell="D5" sqref="D5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5.26953125" bestFit="1" customWidth="1"/>
    <col min="4" max="4" width="4" bestFit="1" customWidth="1"/>
    <col min="6" max="6" width="4" bestFit="1" customWidth="1"/>
    <col min="8" max="8" width="4.54296875" bestFit="1" customWidth="1"/>
    <col min="9" max="9" width="6.1796875" bestFit="1" customWidth="1"/>
  </cols>
  <sheetData>
    <row r="1" spans="1:9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3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0513</v>
      </c>
      <c r="D2" s="2" t="str">
        <f>IF(LEN('A créer'!C2)=0,"","Tab")</f>
        <v>Tab</v>
      </c>
      <c r="E2" t="str">
        <f>IF(LEN('A créer'!C2)=0,"",'A créer'!B2)</f>
        <v>DRW</v>
      </c>
      <c r="F2" s="2" t="str">
        <f>IF(LEN('A créer'!C2)=0,"","Tab")</f>
        <v>Tab</v>
      </c>
      <c r="G2" t="str">
        <f>IF(LEN('A créer'!C2)=0,"",'A créer'!G2)</f>
        <v>S2327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3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0412</v>
      </c>
      <c r="D3" s="2" t="str">
        <f>IF(LEN('A créer'!C3)=0,"","Tab")</f>
        <v>Tab</v>
      </c>
      <c r="E3" t="str">
        <f>IF(LEN('A créer'!C3)=0,"",'A créer'!B3)</f>
        <v>DNA</v>
      </c>
      <c r="F3" s="2" t="str">
        <f>IF(LEN('A créer'!C3)=0,"","Tab")</f>
        <v>Tab</v>
      </c>
      <c r="G3" t="str">
        <f>IF(LEN('A créer'!C3)=0,"",'A créer'!G3)</f>
        <v>S2008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3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0505</v>
      </c>
      <c r="D4" s="2" t="str">
        <f>IF(LEN('A créer'!C4)=0,"","Tab")</f>
        <v>Tab</v>
      </c>
      <c r="E4" t="str">
        <f>IF(LEN('A créer'!C4)=0,"",'A créer'!B4)</f>
        <v>DMS</v>
      </c>
      <c r="F4" s="2" t="str">
        <f>IF(LEN('A créer'!C4)=0,"","Tab")</f>
        <v>Tab</v>
      </c>
      <c r="G4" t="str">
        <f>IF(LEN('A créer'!C4)=0,"",'A créer'!G4)</f>
        <v>YS2121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35">
      <c r="A6" s="2" t="str">
        <f>IF(LEN('A créer'!C6)=0,"","*FN")</f>
        <v>*FN</v>
      </c>
      <c r="B6" s="2" t="str">
        <f>IF(LEN('A créer'!A6)=0,"","Tab")</f>
        <v>Tab</v>
      </c>
      <c r="C6" t="str">
        <f>IF(LEN('A créer'!C6)=0,"",'A créer'!A6)</f>
        <v>0450</v>
      </c>
      <c r="D6" s="2" t="str">
        <f>IF(LEN('A créer'!C6)=0,"","Tab")</f>
        <v>Tab</v>
      </c>
      <c r="E6" t="str">
        <f>IF(LEN('A créer'!C6)=0,"",'A créer'!B6)</f>
        <v>DCW</v>
      </c>
      <c r="F6" s="2" t="str">
        <f>IF(LEN('A créer'!C6)=0,"","Tab")</f>
        <v>Tab</v>
      </c>
      <c r="G6" t="str">
        <f>IF(LEN('A créer'!C6)=0,"",'A créer'!G6)</f>
        <v>YS2018</v>
      </c>
      <c r="H6" s="2" t="str">
        <f>IF(LEN('A créer'!C6)=0,"","Tab")</f>
        <v>Tab</v>
      </c>
      <c r="I6" s="2" t="str">
        <f>IF(LEN('A créer'!C6)=0,"","*SAVE")</f>
        <v>*SAVE</v>
      </c>
    </row>
    <row r="7" spans="1:9" x14ac:dyDescent="0.35">
      <c r="A7" s="2" t="str">
        <f>IF(LEN('A créer'!C7)=0,"","*FN")</f>
        <v>*FN</v>
      </c>
      <c r="B7" s="2" t="str">
        <f>IF(LEN('A créer'!A7)=0,"","Tab")</f>
        <v>Tab</v>
      </c>
      <c r="C7" t="str">
        <f>IF(LEN('A créer'!C7)=0,"",'A créer'!A7)</f>
        <v>0506</v>
      </c>
      <c r="D7" s="2" t="str">
        <f>IF(LEN('A créer'!C7)=0,"","Tab")</f>
        <v>Tab</v>
      </c>
      <c r="E7" t="str">
        <f>IF(LEN('A créer'!C7)=0,"",'A créer'!B7)</f>
        <v>DRW</v>
      </c>
      <c r="F7" s="2" t="str">
        <f>IF(LEN('A créer'!C7)=0,"","Tab")</f>
        <v>Tab</v>
      </c>
      <c r="G7" t="str">
        <f>IF(LEN('A créer'!C7)=0,"",'A créer'!G7)</f>
        <v>YS2122</v>
      </c>
      <c r="H7" s="2" t="str">
        <f>IF(LEN('A créer'!C7)=0,"","Tab")</f>
        <v>Tab</v>
      </c>
      <c r="I7" s="2" t="str">
        <f>IF(LEN('A créer'!C7)=0,"","*SAVE")</f>
        <v>*SAVE</v>
      </c>
    </row>
    <row r="8" spans="1:9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35">
      <c r="A9" s="2" t="str">
        <f>IF(LEN('A créer'!C9)=0,"","*FN")</f>
        <v>*FN</v>
      </c>
      <c r="B9" s="2" t="str">
        <f>IF(LEN('A créer'!A9)=0,"","Tab")</f>
        <v>Tab</v>
      </c>
      <c r="C9" t="str">
        <f>IF(LEN('A créer'!C9)=0,"",'A créer'!A9)</f>
        <v>0486</v>
      </c>
      <c r="D9" s="2" t="str">
        <f>IF(LEN('A créer'!C9)=0,"","Tab")</f>
        <v>Tab</v>
      </c>
      <c r="E9" t="str">
        <f>IF(LEN('A créer'!C9)=0,"",'A créer'!B9)</f>
        <v>DSW</v>
      </c>
      <c r="F9" s="2" t="str">
        <f>IF(LEN('A créer'!C9)=0,"","Tab")</f>
        <v>Tab</v>
      </c>
      <c r="G9" t="str">
        <f>IF(LEN('A créer'!C9)=0,"",'A créer'!G9)</f>
        <v>S2113</v>
      </c>
      <c r="H9" s="2" t="str">
        <f>IF(LEN('A créer'!C9)=0,"","Tab")</f>
        <v>Tab</v>
      </c>
      <c r="I9" s="2" t="str">
        <f>IF(LEN('A créer'!C9)=0,"","*SAVE")</f>
        <v>*SAVE</v>
      </c>
    </row>
    <row r="10" spans="1:9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3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3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3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3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3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3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activeCell="D5" sqref="D5"/>
      <selection pane="bottomLeft" activeCell="D5" sqref="D5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9" customWidth="1"/>
    <col min="4" max="4" width="4" bestFit="1" customWidth="1"/>
    <col min="5" max="5" width="10.26953125" bestFit="1" customWidth="1"/>
    <col min="6" max="6" width="4" bestFit="1" customWidth="1"/>
    <col min="7" max="7" width="10.26953125" bestFit="1" customWidth="1"/>
    <col min="8" max="8" width="6.1796875" bestFit="1" customWidth="1"/>
  </cols>
  <sheetData>
    <row r="1" spans="1:8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3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513570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3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513479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3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513564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35">
      <c r="A6" s="2" t="str">
        <f>IF(LEN('A créer'!C6)=0,"","*FN")</f>
        <v>*FN</v>
      </c>
      <c r="B6" s="2" t="str">
        <f>IF(LEN('A créer'!A6)=0,"","Tab")</f>
        <v>Tab</v>
      </c>
      <c r="C6">
        <f>IF(LEN('A créer'!P6)=0,"",'A créer'!P6)</f>
        <v>513520</v>
      </c>
      <c r="D6" s="2" t="str">
        <f>IF(LEN('A créer'!C6)=0,"","Tab")</f>
        <v>Tab</v>
      </c>
      <c r="E6" t="str">
        <f>IF(LEN('A créer'!P6)=0,"","17060")</f>
        <v>17060</v>
      </c>
      <c r="F6" s="2" t="str">
        <f>IF(LEN('A créer'!C6)=0,"","Tab")</f>
        <v>Tab</v>
      </c>
      <c r="G6" t="str">
        <f>IF(LEN('A créer'!P6)=0,"","01/01/2002")</f>
        <v>01/01/2002</v>
      </c>
      <c r="H6" s="2" t="str">
        <f>IF(LEN('A créer'!C6)=0,"","*SAVE")</f>
        <v>*SAVE</v>
      </c>
    </row>
    <row r="7" spans="1:8" x14ac:dyDescent="0.35">
      <c r="A7" s="2" t="str">
        <f>IF(LEN('A créer'!C7)=0,"","*FN")</f>
        <v>*FN</v>
      </c>
      <c r="B7" s="2" t="str">
        <f>IF(LEN('A créer'!A7)=0,"","Tab")</f>
        <v>Tab</v>
      </c>
      <c r="C7">
        <f>IF(LEN('A créer'!P7)=0,"",'A créer'!P7)</f>
        <v>513565</v>
      </c>
      <c r="D7" s="2" t="str">
        <f>IF(LEN('A créer'!C7)=0,"","Tab")</f>
        <v>Tab</v>
      </c>
      <c r="E7" t="str">
        <f>IF(LEN('A créer'!P7)=0,"","17060")</f>
        <v>17060</v>
      </c>
      <c r="F7" s="2" t="str">
        <f>IF(LEN('A créer'!C7)=0,"","Tab")</f>
        <v>Tab</v>
      </c>
      <c r="G7" t="str">
        <f>IF(LEN('A créer'!P7)=0,"","01/01/2002")</f>
        <v>01/01/2002</v>
      </c>
      <c r="H7" s="2" t="str">
        <f>IF(LEN('A créer'!C7)=0,"","*SAVE")</f>
        <v>*SAVE</v>
      </c>
    </row>
    <row r="8" spans="1:8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35">
      <c r="A9" s="2" t="str">
        <f>IF(LEN('A créer'!C9)=0,"","*FN")</f>
        <v>*FN</v>
      </c>
      <c r="B9" s="2" t="str">
        <f>IF(LEN('A créer'!A9)=0,"","Tab")</f>
        <v>Tab</v>
      </c>
      <c r="C9">
        <f>IF(LEN('A créer'!P9)=0,"",'A créer'!P9)</f>
        <v>513547</v>
      </c>
      <c r="D9" s="2" t="str">
        <f>IF(LEN('A créer'!C9)=0,"","Tab")</f>
        <v>Tab</v>
      </c>
      <c r="E9" t="str">
        <f>IF(LEN('A créer'!P9)=0,"","17060")</f>
        <v>17060</v>
      </c>
      <c r="F9" s="2" t="str">
        <f>IF(LEN('A créer'!C9)=0,"","Tab")</f>
        <v>Tab</v>
      </c>
      <c r="G9" t="str">
        <f>IF(LEN('A créer'!P9)=0,"","01/01/2002")</f>
        <v>01/01/2002</v>
      </c>
      <c r="H9" s="2" t="str">
        <f>IF(LEN('A créer'!C9)=0,"","*SAVE")</f>
        <v>*SAVE</v>
      </c>
    </row>
    <row r="10" spans="1:8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activeCell="D5" sqref="D5"/>
      <selection pane="bottomLeft" activeCell="D5" sqref="D5"/>
    </sheetView>
  </sheetViews>
  <sheetFormatPr baseColWidth="10" defaultRowHeight="14.5" x14ac:dyDescent="0.35"/>
  <cols>
    <col min="1" max="1" width="4.26953125" bestFit="1" customWidth="1"/>
    <col min="3" max="8" width="4.26953125" bestFit="1" customWidth="1"/>
  </cols>
  <sheetData>
    <row r="1" spans="1:8" x14ac:dyDescent="0.3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35">
      <c r="A2" s="2" t="str">
        <f>IF(LEN('A créer'!$C2)=0,"","TAB")</f>
        <v>TAB</v>
      </c>
      <c r="B2" s="6" t="str">
        <f>CONCATENATE('A créer'!B2,'A créer'!A2)</f>
        <v>DRW0513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35">
      <c r="A3" s="2" t="str">
        <f>IF(LEN('A créer'!$C3)=0,"","TAB")</f>
        <v>TAB</v>
      </c>
      <c r="B3" s="6" t="str">
        <f>CONCATENATE('A créer'!B3,'A créer'!A3)</f>
        <v>DNA0412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35">
      <c r="A4" s="2" t="str">
        <f>IF(LEN('A créer'!$C4)=0,"","TAB")</f>
        <v>TAB</v>
      </c>
      <c r="B4" s="6" t="str">
        <f>CONCATENATE('A créer'!B4,'A créer'!A4)</f>
        <v>DMS0505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3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35">
      <c r="A6" s="2" t="str">
        <f>IF(LEN('A créer'!$C6)=0,"","TAB")</f>
        <v>TAB</v>
      </c>
      <c r="B6" s="6" t="str">
        <f>CONCATENATE('A créer'!B6,'A créer'!A6)</f>
        <v>DCW0450</v>
      </c>
      <c r="C6" s="2" t="str">
        <f>IF(LEN('A créer'!$C6)=0,"","TAB")</f>
        <v>TAB</v>
      </c>
      <c r="D6" s="2" t="str">
        <f>IF(LEN('A créer'!$C6)=0,"","ENT")</f>
        <v>ENT</v>
      </c>
      <c r="E6" s="2" t="str">
        <f>IF(LEN('A créer'!$C6)=0,"","TAB")</f>
        <v>TAB</v>
      </c>
      <c r="F6" s="2" t="str">
        <f>IF(LEN('A créer'!$C6)=0,"","TAB")</f>
        <v>TAB</v>
      </c>
      <c r="G6" s="2" t="str">
        <f>IF(LEN('A créer'!$C6)=0,"","ENT")</f>
        <v>ENT</v>
      </c>
      <c r="H6" s="2" t="str">
        <f>IF(LEN('A créer'!$C6)=0,"","ENT")</f>
        <v>ENT</v>
      </c>
    </row>
    <row r="7" spans="1:8" x14ac:dyDescent="0.35">
      <c r="A7" s="2" t="str">
        <f>IF(LEN('A créer'!$C7)=0,"","TAB")</f>
        <v>TAB</v>
      </c>
      <c r="B7" s="6" t="str">
        <f>CONCATENATE('A créer'!B7,'A créer'!A7)</f>
        <v>DRW0506</v>
      </c>
      <c r="C7" s="2" t="str">
        <f>IF(LEN('A créer'!$C7)=0,"","TAB")</f>
        <v>TAB</v>
      </c>
      <c r="D7" s="2" t="str">
        <f>IF(LEN('A créer'!$C7)=0,"","ENT")</f>
        <v>ENT</v>
      </c>
      <c r="E7" s="2" t="str">
        <f>IF(LEN('A créer'!$C7)=0,"","TAB")</f>
        <v>TAB</v>
      </c>
      <c r="F7" s="2" t="str">
        <f>IF(LEN('A créer'!$C7)=0,"","TAB")</f>
        <v>TAB</v>
      </c>
      <c r="G7" s="2" t="str">
        <f>IF(LEN('A créer'!$C7)=0,"","ENT")</f>
        <v>ENT</v>
      </c>
      <c r="H7" s="2" t="str">
        <f>IF(LEN('A créer'!$C7)=0,"","ENT")</f>
        <v>ENT</v>
      </c>
    </row>
    <row r="8" spans="1:8" x14ac:dyDescent="0.3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35">
      <c r="A9" s="2" t="str">
        <f>IF(LEN('A créer'!$C9)=0,"","TAB")</f>
        <v>TAB</v>
      </c>
      <c r="B9" s="6" t="str">
        <f>CONCATENATE('A créer'!B9,'A créer'!A9)</f>
        <v>DSW0486</v>
      </c>
      <c r="C9" s="2" t="str">
        <f>IF(LEN('A créer'!$C9)=0,"","TAB")</f>
        <v>TAB</v>
      </c>
      <c r="D9" s="2" t="str">
        <f>IF(LEN('A créer'!$C9)=0,"","ENT")</f>
        <v>ENT</v>
      </c>
      <c r="E9" s="2" t="str">
        <f>IF(LEN('A créer'!$C9)=0,"","TAB")</f>
        <v>TAB</v>
      </c>
      <c r="F9" s="2" t="str">
        <f>IF(LEN('A créer'!$C9)=0,"","TAB")</f>
        <v>TAB</v>
      </c>
      <c r="G9" s="2" t="str">
        <f>IF(LEN('A créer'!$C9)=0,"","ENT")</f>
        <v>ENT</v>
      </c>
      <c r="H9" s="2" t="str">
        <f>IF(LEN('A créer'!$C9)=0,"","ENT")</f>
        <v>ENT</v>
      </c>
    </row>
    <row r="10" spans="1:8" x14ac:dyDescent="0.3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3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3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3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3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3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3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3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3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3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3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3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3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3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3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3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3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activeCell="D5" sqref="D5"/>
      <selection pane="bottomLeft" activeCell="D5" sqref="D5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4" max="4" width="4" bestFit="1" customWidth="1"/>
  </cols>
  <sheetData>
    <row r="1" spans="1:5" x14ac:dyDescent="0.3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3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DRW0513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3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DNA0412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3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DMS0505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3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35">
      <c r="A6" s="2" t="str">
        <f>IF(LEN('A créer'!C6)=0,"","*FN")</f>
        <v>*FN</v>
      </c>
      <c r="B6" s="2" t="str">
        <f>IF(LEN('A créer'!C6)=0,"","Tab")</f>
        <v>Tab</v>
      </c>
      <c r="C6" s="8" t="str">
        <f>CONCATENATE('A créer'!B6,'A créer'!A6)</f>
        <v>DCW0450</v>
      </c>
      <c r="D6" s="2" t="str">
        <f>IF(LEN('A créer'!C6)=0,"","Tab")</f>
        <v>Tab</v>
      </c>
      <c r="E6" s="2" t="str">
        <f>IF(LEN('A créer'!C6)=0,"","*SAVE")</f>
        <v>*SAVE</v>
      </c>
    </row>
    <row r="7" spans="1:5" x14ac:dyDescent="0.35">
      <c r="A7" s="2" t="str">
        <f>IF(LEN('A créer'!C7)=0,"","*FN")</f>
        <v>*FN</v>
      </c>
      <c r="B7" s="2" t="str">
        <f>IF(LEN('A créer'!C7)=0,"","Tab")</f>
        <v>Tab</v>
      </c>
      <c r="C7" s="8" t="str">
        <f>CONCATENATE('A créer'!B7,'A créer'!A7)</f>
        <v>DRW0506</v>
      </c>
      <c r="D7" s="2" t="str">
        <f>IF(LEN('A créer'!C7)=0,"","Tab")</f>
        <v>Tab</v>
      </c>
      <c r="E7" s="2" t="str">
        <f>IF(LEN('A créer'!C7)=0,"","*SAVE")</f>
        <v>*SAVE</v>
      </c>
    </row>
    <row r="8" spans="1:5" x14ac:dyDescent="0.3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35">
      <c r="A9" s="2" t="str">
        <f>IF(LEN('A créer'!C9)=0,"","*FN")</f>
        <v>*FN</v>
      </c>
      <c r="B9" s="2" t="str">
        <f>IF(LEN('A créer'!C9)=0,"","Tab")</f>
        <v>Tab</v>
      </c>
      <c r="C9" s="8" t="str">
        <f>CONCATENATE('A créer'!B9,'A créer'!A9)</f>
        <v>DSW0486</v>
      </c>
      <c r="D9" s="2" t="str">
        <f>IF(LEN('A créer'!C9)=0,"","Tab")</f>
        <v>Tab</v>
      </c>
      <c r="E9" s="2" t="str">
        <f>IF(LEN('A créer'!C9)=0,"","*SAVE")</f>
        <v>*SAVE</v>
      </c>
    </row>
    <row r="10" spans="1:5" x14ac:dyDescent="0.3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3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3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3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3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3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3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3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3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3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3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3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3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3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3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3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3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activeCell="D5" sqref="D5"/>
      <selection pane="topRight" activeCell="D5" sqref="D5"/>
      <selection pane="bottomLeft" activeCell="D5" sqref="D5"/>
      <selection pane="bottomRight" activeCell="D5" sqref="D5"/>
    </sheetView>
  </sheetViews>
  <sheetFormatPr baseColWidth="10" defaultRowHeight="14.5" x14ac:dyDescent="0.35"/>
  <cols>
    <col min="1" max="1" width="4.26953125" bestFit="1" customWidth="1"/>
    <col min="3" max="3" width="4.26953125" bestFit="1" customWidth="1"/>
    <col min="4" max="4" width="18.453125" bestFit="1" customWidth="1"/>
    <col min="5" max="5" width="5.26953125" style="6" bestFit="1" customWidth="1"/>
    <col min="6" max="6" width="5.7265625" bestFit="1" customWidth="1"/>
    <col min="7" max="7" width="4.26953125" style="6" bestFit="1" customWidth="1"/>
    <col min="8" max="9" width="4.26953125" bestFit="1" customWidth="1"/>
    <col min="10" max="10" width="35.26953125" bestFit="1" customWidth="1"/>
    <col min="11" max="11" width="5.7265625" bestFit="1" customWidth="1"/>
    <col min="13" max="13" width="4.26953125" style="6" bestFit="1" customWidth="1"/>
    <col min="14" max="14" width="6.1796875" bestFit="1" customWidth="1"/>
    <col min="15" max="15" width="11.54296875" style="6"/>
    <col min="16" max="16" width="4.26953125" bestFit="1" customWidth="1"/>
    <col min="17" max="17" width="5" bestFit="1" customWidth="1"/>
    <col min="18" max="18" width="4.26953125" bestFit="1" customWidth="1"/>
    <col min="20" max="21" width="5.7265625" bestFit="1" customWidth="1"/>
    <col min="22" max="24" width="4.26953125" bestFit="1" customWidth="1"/>
    <col min="26" max="26" width="5.7265625" bestFit="1" customWidth="1"/>
    <col min="28" max="28" width="4.26953125" bestFit="1" customWidth="1"/>
    <col min="29" max="29" width="6.1796875" bestFit="1" customWidth="1"/>
    <col min="30" max="30" width="13.453125" style="6" bestFit="1" customWidth="1"/>
  </cols>
  <sheetData>
    <row r="1" spans="1:30" x14ac:dyDescent="0.3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3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DRW0513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DRW0513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0513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DRW0513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35">
      <c r="A3" s="2" t="str">
        <f>IF(AND(LEN('A créer'!$C3)=0,LEN('A créer'!$E3&gt;0)),"","*FN")</f>
        <v>*FN</v>
      </c>
      <c r="B3" s="25" t="str">
        <f>IF(AND(LEN('A créer'!$C3)=0,LEN('A créer'!$E3&gt;0)),"",CONCATENATE('A créer'!B3,'A créer'!A3))</f>
        <v>DNA0412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DNA0412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créer'!$E3&gt;0)),"","*ML(103,118)")</f>
        <v>*ML(103,118)</v>
      </c>
      <c r="P3" s="2" t="str">
        <f>IF(OR(LEN('A créer'!$C3)=0,'A créer'!$E3="Oui"),"","*FN")</f>
        <v>*FN</v>
      </c>
      <c r="Q3" s="6" t="str">
        <f>IF(OR(LEN('A créer'!$C3)=0,'A créer'!$E3="Oui"),"",'A créer'!A3)</f>
        <v>0412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DNA0412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créer'!$E3="Oui"),"","*ML(103,118)")</f>
        <v>*ML(103,118)</v>
      </c>
    </row>
    <row r="4" spans="1:30" x14ac:dyDescent="0.35">
      <c r="A4" s="2" t="str">
        <f>IF(AND(LEN('A créer'!$C4)=0,LEN('A créer'!$E4&gt;0)),"","*FN")</f>
        <v>*FN</v>
      </c>
      <c r="B4" s="25" t="str">
        <f>IF(AND(LEN('A créer'!$C4)=0,LEN('A créer'!$E4&gt;0)),"",CONCATENATE('A créer'!B4,'A créer'!A4))</f>
        <v>DMS0505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DMS0505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créer'!$E4&gt;0)),"","*ML(103,118)")</f>
        <v>*ML(103,118)</v>
      </c>
      <c r="P4" s="2" t="str">
        <f>IF(OR(LEN('A créer'!$C4)=0,'A créer'!$E4="Oui"),"","*FN")</f>
        <v>*FN</v>
      </c>
      <c r="Q4" s="6" t="str">
        <f>IF(OR(LEN('A créer'!$C4)=0,'A créer'!$E4="Oui"),"",'A créer'!A4)</f>
        <v>0505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DMS0505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créer'!$E4="Oui"),"","*ML(103,118)")</f>
        <v>*ML(103,118)</v>
      </c>
    </row>
    <row r="5" spans="1:30" x14ac:dyDescent="0.3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35">
      <c r="A6" s="2" t="str">
        <f>IF(AND(LEN('A créer'!$C6)=0,LEN('A créer'!$E6&gt;0)),"","*FN")</f>
        <v>*FN</v>
      </c>
      <c r="B6" s="3" t="str">
        <f>IF(AND(LEN('A créer'!$C6)=0,LEN('A créer'!$E6&gt;0)),"",CONCATENATE('A créer'!B6,'A créer'!A6))</f>
        <v>DCW0450</v>
      </c>
      <c r="C6" s="2" t="str">
        <f>IF(AND(LEN('A créer'!$C6)=0,LEN('A créer'!$E6&gt;0)),"","TAB")</f>
        <v>TAB</v>
      </c>
      <c r="D6" s="6" t="str">
        <f>IF(AND(LEN('A créer'!$C6)=0,LEN('A créer'!$E6&gt;0)),"","Setup Business Group")</f>
        <v>Setup Business Group</v>
      </c>
      <c r="E6" s="2" t="str">
        <f>IF(AND(LEN('A créer'!$C6)=0,LEN('A créer'!$E6&gt;0)),"","TAB 4")</f>
        <v>TAB 4</v>
      </c>
      <c r="F6" s="2" t="str">
        <f>IF(AND(LEN('A créer'!$C6)=0,LEN('A créer'!$E6&gt;0)),"","TAB 4")</f>
        <v>TAB 4</v>
      </c>
      <c r="G6" s="2" t="str">
        <f>IF(AND(LEN('A créer'!$C6)=0,LEN('A créer'!$E6&gt;0)),"","TAB")</f>
        <v>TAB</v>
      </c>
      <c r="H6" s="2" t="str">
        <f>IF(AND(LEN('A créer'!$C6)=0,LEN('A créer'!$E6&gt;0)),"","TAB")</f>
        <v>TAB</v>
      </c>
      <c r="I6" s="2" t="str">
        <f>IF(AND(LEN('A créer'!$C6)=0,LEN('A créer'!$E6&gt;0)),"","TAB")</f>
        <v>TAB</v>
      </c>
      <c r="J6" s="6" t="str">
        <f>IF(AND(LEN('A créer'!$C6)=0,LEN('A créer'!$E6&gt;0)),"","\Sécuriser les organisations par hiérarchie")</f>
        <v>\Sécuriser les organisations par hiérarchie</v>
      </c>
      <c r="K6" s="2" t="str">
        <f>IF(AND(LEN('A créer'!$C6)=0,LEN('A créer'!$E6&gt;0)),"","TAB 4")</f>
        <v>TAB 4</v>
      </c>
      <c r="L6" s="6" t="str">
        <f>IF(AND(LEN('A créer'!$C6)=0,LEN('A créer'!$E6&gt;0)),"",CONCATENATE('A créer'!B6,'A créer'!A6))</f>
        <v>DCW0450</v>
      </c>
      <c r="M6" s="2" t="str">
        <f>IF(AND(LEN('A créer'!$C6)=0,LEN('A créer'!$E6&gt;0)),"","TAB")</f>
        <v>TAB</v>
      </c>
      <c r="N6" s="2" t="str">
        <f>IF(AND(LEN('A créer'!$C6)=0,LEN('A créer'!$E6&gt;0)),"","*SAVE")</f>
        <v>*SAVE</v>
      </c>
      <c r="O6" s="2" t="str">
        <f>IF(AND(LEN('A créer'!$C6)=0,LEN('A créer'!$E6&gt;0)),"","*ML(103,118)")</f>
        <v>*ML(103,118)</v>
      </c>
      <c r="P6" s="2" t="str">
        <f>IF(OR(LEN('A créer'!$C6)=0,'A créer'!$E6="Oui"),"","*FN")</f>
        <v>*FN</v>
      </c>
      <c r="Q6" s="6" t="str">
        <f>IF(OR(LEN('A créer'!$C6)=0,'A créer'!$E6="Oui"),"",'A créer'!A6)</f>
        <v>0450</v>
      </c>
      <c r="R6" s="2" t="str">
        <f>IF(OR(LEN('A créer'!$C6)=0,'A créer'!$E6="Oui"),"","TAB")</f>
        <v>TAB</v>
      </c>
      <c r="S6" s="6" t="str">
        <f>IF(OR(LEN('A créer'!$C6)=0,'A créer'!$E6="Oui"),"","Setup Business Group")</f>
        <v>Setup Business Group</v>
      </c>
      <c r="T6" s="2" t="str">
        <f>IF(OR(LEN('A créer'!$C6)=0,'A créer'!$E6="Oui"),"","TAB 4")</f>
        <v>TAB 4</v>
      </c>
      <c r="U6" s="2" t="str">
        <f>IF(OR(LEN('A créer'!$C6)=0,'A créer'!$E6="Oui"),"","TAB 4")</f>
        <v>TAB 4</v>
      </c>
      <c r="V6" s="2" t="str">
        <f>IF(OR(LEN('A créer'!$C6)=0,'A créer'!$E6="Oui"),"","TAB")</f>
        <v>TAB</v>
      </c>
      <c r="W6" s="2" t="str">
        <f>IF(OR(LEN('A créer'!$C6)=0,'A créer'!$E6="Oui"),"","TAB")</f>
        <v>TAB</v>
      </c>
      <c r="X6" s="2" t="str">
        <f>IF(OR(LEN('A créer'!$C6)=0,'A créer'!$E6="Oui"),"","TAB")</f>
        <v>TAB</v>
      </c>
      <c r="Y6" s="6" t="str">
        <f>IF(OR(LEN('A créer'!$C6)=0,'A créer'!$E6="Oui"),"","\Sécuriser les organisations par hiérarchie")</f>
        <v>\Sécuriser les organisations par hiérarchie</v>
      </c>
      <c r="Z6" s="2" t="str">
        <f>IF(OR(LEN('A créer'!$C6)=0,'A créer'!$E6="Oui"),"","TAB 4")</f>
        <v>TAB 4</v>
      </c>
      <c r="AA6" s="6" t="str">
        <f>IF(OR(LEN('A créer'!$C6)=0,'A créer'!$E6="Oui"),"",CONCATENATE('A créer'!B6,'A créer'!A6))</f>
        <v>DCW0450</v>
      </c>
      <c r="AB6" s="2" t="str">
        <f>IF(OR(LEN('A créer'!$C6)=0,'A créer'!$E6="Oui"),"","TAB")</f>
        <v>TAB</v>
      </c>
      <c r="AC6" s="2" t="str">
        <f>IF(OR(LEN('A créer'!$C6)=0,'A créer'!$E6="Oui"),"","*SAVE")</f>
        <v>*SAVE</v>
      </c>
      <c r="AD6" s="2" t="str">
        <f>IF(OR(LEN('A créer'!$C6)=0,'A créer'!$E6="Oui"),"","*ML(118,110)")</f>
        <v>*ML(118,110)</v>
      </c>
    </row>
    <row r="7" spans="1:30" x14ac:dyDescent="0.35">
      <c r="A7" s="2" t="str">
        <f>IF(AND(LEN('A créer'!$C7)=0,LEN('A créer'!$E7&gt;0)),"","*FN")</f>
        <v>*FN</v>
      </c>
      <c r="B7" s="25" t="str">
        <f>IF(AND(LEN('A créer'!$C7)=0,LEN('A créer'!$E7&gt;0)),"",CONCATENATE('A créer'!B7,'A créer'!A7))</f>
        <v>DRW0506</v>
      </c>
      <c r="C7" s="2" t="str">
        <f>IF(AND(LEN('A créer'!$C7)=0,LEN('A créer'!$E7&gt;0)),"","TAB")</f>
        <v>TAB</v>
      </c>
      <c r="D7" s="6" t="str">
        <f>IF(AND(LEN('A créer'!$C7)=0,LEN('A créer'!$E7&gt;0)),"","Setup Business Group")</f>
        <v>Setup Business Group</v>
      </c>
      <c r="E7" s="2" t="str">
        <f>IF(AND(LEN('A créer'!$C7)=0,LEN('A créer'!$E7&gt;0)),"","TAB 4")</f>
        <v>TAB 4</v>
      </c>
      <c r="F7" s="2" t="str">
        <f>IF(AND(LEN('A créer'!$C7)=0,LEN('A créer'!$E7&gt;0)),"","TAB 4")</f>
        <v>TAB 4</v>
      </c>
      <c r="G7" s="2" t="str">
        <f>IF(AND(LEN('A créer'!$C7)=0,LEN('A créer'!$E7&gt;0)),"","TAB")</f>
        <v>TAB</v>
      </c>
      <c r="H7" s="2" t="str">
        <f>IF(AND(LEN('A créer'!$C7)=0,LEN('A créer'!$E7&gt;0)),"","TAB")</f>
        <v>TAB</v>
      </c>
      <c r="I7" s="2" t="str">
        <f>IF(AND(LEN('A créer'!$C7)=0,LEN('A créer'!$E7&gt;0)),"","TAB")</f>
        <v>TAB</v>
      </c>
      <c r="J7" s="6" t="str">
        <f>IF(AND(LEN('A créer'!$C7)=0,LEN('A créer'!$E7&gt;0)),"","\Sécuriser les organisations par hiérarchie")</f>
        <v>\Sécuriser les organisations par hiérarchie</v>
      </c>
      <c r="K7" s="2" t="str">
        <f>IF(AND(LEN('A créer'!$C7)=0,LEN('A créer'!$E7&gt;0)),"","TAB 4")</f>
        <v>TAB 4</v>
      </c>
      <c r="L7" s="6" t="str">
        <f>IF(AND(LEN('A créer'!$C7)=0,LEN('A créer'!$E7&gt;0)),"",CONCATENATE('A créer'!B7,'A créer'!A7))</f>
        <v>DRW0506</v>
      </c>
      <c r="M7" s="2" t="str">
        <f>IF(AND(LEN('A créer'!$C7)=0,LEN('A créer'!$E7&gt;0)),"","TAB")</f>
        <v>TAB</v>
      </c>
      <c r="N7" s="2" t="str">
        <f>IF(AND(LEN('A créer'!$C7)=0,LEN('A créer'!$E7&gt;0)),"","*SAVE")</f>
        <v>*SAVE</v>
      </c>
      <c r="O7" s="2" t="str">
        <f>IF(AND(LEN('A créer'!$C7)=0,LEN('A créer'!$E7&gt;0)),"","*ML(103,118)")</f>
        <v>*ML(103,118)</v>
      </c>
      <c r="P7" s="2" t="str">
        <f>IF(OR(LEN('A créer'!$C7)=0,'A créer'!$E7="Oui"),"","*FN")</f>
        <v>*FN</v>
      </c>
      <c r="Q7" s="6" t="str">
        <f>IF(OR(LEN('A créer'!$C7)=0,'A créer'!$E7="Oui"),"",'A créer'!A7)</f>
        <v>0506</v>
      </c>
      <c r="R7" s="2" t="str">
        <f>IF(OR(LEN('A créer'!$C7)=0,'A créer'!$E7="Oui"),"","TAB")</f>
        <v>TAB</v>
      </c>
      <c r="S7" s="6" t="str">
        <f>IF(OR(LEN('A créer'!$C7)=0,'A créer'!$E7="Oui"),"","Setup Business Group")</f>
        <v>Setup Business Group</v>
      </c>
      <c r="T7" s="2" t="str">
        <f>IF(OR(LEN('A créer'!$C7)=0,'A créer'!$E7="Oui"),"","TAB 4")</f>
        <v>TAB 4</v>
      </c>
      <c r="U7" s="2" t="str">
        <f>IF(OR(LEN('A créer'!$C7)=0,'A créer'!$E7="Oui"),"","TAB 4")</f>
        <v>TAB 4</v>
      </c>
      <c r="V7" s="2" t="str">
        <f>IF(OR(LEN('A créer'!$C7)=0,'A créer'!$E7="Oui"),"","TAB")</f>
        <v>TAB</v>
      </c>
      <c r="W7" s="2" t="str">
        <f>IF(OR(LEN('A créer'!$C7)=0,'A créer'!$E7="Oui"),"","TAB")</f>
        <v>TAB</v>
      </c>
      <c r="X7" s="2" t="str">
        <f>IF(OR(LEN('A créer'!$C7)=0,'A créer'!$E7="Oui"),"","TAB")</f>
        <v>TAB</v>
      </c>
      <c r="Y7" s="6" t="str">
        <f>IF(OR(LEN('A créer'!$C7)=0,'A créer'!$E7="Oui"),"","\Sécuriser les organisations par hiérarchie")</f>
        <v>\Sécuriser les organisations par hiérarchie</v>
      </c>
      <c r="Z7" s="2" t="str">
        <f>IF(OR(LEN('A créer'!$C7)=0,'A créer'!$E7="Oui"),"","TAB 4")</f>
        <v>TAB 4</v>
      </c>
      <c r="AA7" s="6" t="str">
        <f>IF(OR(LEN('A créer'!$C7)=0,'A créer'!$E7="Oui"),"",CONCATENATE('A créer'!B7,'A créer'!A7))</f>
        <v>DRW0506</v>
      </c>
      <c r="AB7" s="2" t="str">
        <f>IF(OR(LEN('A créer'!$C7)=0,'A créer'!$E7="Oui"),"","TAB")</f>
        <v>TAB</v>
      </c>
      <c r="AC7" s="2" t="str">
        <f>IF(OR(LEN('A créer'!$C7)=0,'A créer'!$E7="Oui"),"","*SAVE")</f>
        <v>*SAVE</v>
      </c>
      <c r="AD7" s="2" t="str">
        <f>IF(OR(LEN('A créer'!$C7)=0,'A créer'!$E7="Oui"),"","*ML(118,110)")</f>
        <v>*ML(118,110)</v>
      </c>
    </row>
    <row r="8" spans="1:30" x14ac:dyDescent="0.35">
      <c r="A8" s="2" t="str">
        <f>IF(AND(LEN('A créer'!$C8)=0,LEN('A créer'!$E8&gt;0)),"","*FN")</f>
        <v/>
      </c>
      <c r="B8" s="25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35">
      <c r="A9" s="2" t="str">
        <f>IF(AND(LEN('A créer'!$C9)=0,LEN('A créer'!$E9&gt;0)),"","*FN")</f>
        <v>*FN</v>
      </c>
      <c r="B9" s="6" t="str">
        <f>IF(AND(LEN('A créer'!$C9)=0,LEN('A créer'!$E9&gt;0)),"",CONCATENATE('A créer'!B9,'A créer'!A9))</f>
        <v>DSW0486</v>
      </c>
      <c r="C9" s="2" t="str">
        <f>IF(AND(LEN('A créer'!$C9)=0,LEN('A créer'!$E9&gt;0)),"","TAB")</f>
        <v>TAB</v>
      </c>
      <c r="D9" s="6" t="str">
        <f>IF(AND(LEN('A créer'!$C9)=0,LEN('A créer'!$E9&gt;0)),"","Setup Business Group")</f>
        <v>Setup Business Group</v>
      </c>
      <c r="E9" s="2" t="str">
        <f>IF(AND(LEN('A créer'!$C9)=0,LEN('A créer'!$E9&gt;0)),"","TAB 4")</f>
        <v>TAB 4</v>
      </c>
      <c r="F9" s="2" t="str">
        <f>IF(AND(LEN('A créer'!$C9)=0,LEN('A créer'!$E9&gt;0)),"","TAB 4")</f>
        <v>TAB 4</v>
      </c>
      <c r="G9" s="2" t="str">
        <f>IF(AND(LEN('A créer'!$C9)=0,LEN('A créer'!$E9&gt;0)),"","TAB")</f>
        <v>TAB</v>
      </c>
      <c r="H9" s="2" t="str">
        <f>IF(AND(LEN('A créer'!$C9)=0,LEN('A créer'!$E9&gt;0)),"","TAB")</f>
        <v>TAB</v>
      </c>
      <c r="I9" s="2" t="str">
        <f>IF(AND(LEN('A créer'!$C9)=0,LEN('A créer'!$E9&gt;0)),"","TAB")</f>
        <v>TAB</v>
      </c>
      <c r="J9" s="6" t="str">
        <f>IF(AND(LEN('A créer'!$C9)=0,LEN('A créer'!$E9&gt;0)),"","\Sécuriser les organisations par hiérarchie")</f>
        <v>\Sécuriser les organisations par hiérarchie</v>
      </c>
      <c r="K9" s="2" t="str">
        <f>IF(AND(LEN('A créer'!$C9)=0,LEN('A créer'!$E9&gt;0)),"","TAB 4")</f>
        <v>TAB 4</v>
      </c>
      <c r="L9" s="6" t="str">
        <f>IF(AND(LEN('A créer'!$C9)=0,LEN('A créer'!$E9&gt;0)),"",CONCATENATE('A créer'!B9,'A créer'!A9))</f>
        <v>DSW0486</v>
      </c>
      <c r="M9" s="2" t="str">
        <f>IF(AND(LEN('A créer'!$C9)=0,LEN('A créer'!$E9&gt;0)),"","TAB")</f>
        <v>TAB</v>
      </c>
      <c r="N9" s="2" t="str">
        <f>IF(AND(LEN('A créer'!$C9)=0,LEN('A créer'!$E9&gt;0)),"","*SAVE")</f>
        <v>*SAVE</v>
      </c>
      <c r="O9" s="2" t="str">
        <f>IF(AND(LEN('A créer'!$C9)=0,LEN('A créer'!$E9&gt;0)),"","*ML(103,118)")</f>
        <v>*ML(103,118)</v>
      </c>
      <c r="P9" s="2" t="str">
        <f>IF(OR(LEN('A créer'!$C9)=0,'A créer'!$E9="Oui"),"","*FN")</f>
        <v>*FN</v>
      </c>
      <c r="Q9" s="6" t="str">
        <f>IF(OR(LEN('A créer'!$C9)=0,'A créer'!$E9="Oui"),"",'A créer'!A9)</f>
        <v>0486</v>
      </c>
      <c r="R9" s="2" t="str">
        <f>IF(OR(LEN('A créer'!$C9)=0,'A créer'!$E9="Oui"),"","TAB")</f>
        <v>TAB</v>
      </c>
      <c r="S9" s="6" t="str">
        <f>IF(OR(LEN('A créer'!$C9)=0,'A créer'!$E9="Oui"),"","Setup Business Group")</f>
        <v>Setup Business Group</v>
      </c>
      <c r="T9" s="2" t="str">
        <f>IF(OR(LEN('A créer'!$C9)=0,'A créer'!$E9="Oui"),"","TAB 4")</f>
        <v>TAB 4</v>
      </c>
      <c r="U9" s="2" t="str">
        <f>IF(OR(LEN('A créer'!$C9)=0,'A créer'!$E9="Oui"),"","TAB 4")</f>
        <v>TAB 4</v>
      </c>
      <c r="V9" s="2" t="str">
        <f>IF(OR(LEN('A créer'!$C9)=0,'A créer'!$E9="Oui"),"","TAB")</f>
        <v>TAB</v>
      </c>
      <c r="W9" s="2" t="str">
        <f>IF(OR(LEN('A créer'!$C9)=0,'A créer'!$E9="Oui"),"","TAB")</f>
        <v>TAB</v>
      </c>
      <c r="X9" s="2" t="str">
        <f>IF(OR(LEN('A créer'!$C9)=0,'A créer'!$E9="Oui"),"","TAB")</f>
        <v>TAB</v>
      </c>
      <c r="Y9" s="6" t="str">
        <f>IF(OR(LEN('A créer'!$C9)=0,'A créer'!$E9="Oui"),"","\Sécuriser les organisations par hiérarchie")</f>
        <v>\Sécuriser les organisations par hiérarchie</v>
      </c>
      <c r="Z9" s="2" t="str">
        <f>IF(OR(LEN('A créer'!$C9)=0,'A créer'!$E9="Oui"),"","TAB 4")</f>
        <v>TAB 4</v>
      </c>
      <c r="AA9" s="6" t="str">
        <f>IF(OR(LEN('A créer'!$C9)=0,'A créer'!$E9="Oui"),"",CONCATENATE('A créer'!B9,'A créer'!A9))</f>
        <v>DSW0486</v>
      </c>
      <c r="AB9" s="2" t="str">
        <f>IF(OR(LEN('A créer'!$C9)=0,'A créer'!$E9="Oui"),"","TAB")</f>
        <v>TAB</v>
      </c>
      <c r="AC9" s="2" t="str">
        <f>IF(OR(LEN('A créer'!$C9)=0,'A créer'!$E9="Oui"),"","*SAVE")</f>
        <v>*SAVE</v>
      </c>
      <c r="AD9" s="2" t="str">
        <f>IF(OR(LEN('A créer'!$C9)=0,'A créer'!$E9="Oui"),"","*ML(237,126)")</f>
        <v>*ML(237,126)</v>
      </c>
    </row>
    <row r="10" spans="1:30" x14ac:dyDescent="0.3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3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3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3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35">
      <c r="A14" s="2" t="str">
        <f>IF(AND(LEN('A créer'!$C14)=0,LEN('A créer'!$E14&gt;0)),"","*FN")</f>
        <v/>
      </c>
      <c r="B14" s="3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35">
      <c r="A15" s="2" t="str">
        <f>IF(AND(LEN('A créer'!$C15)=0,LEN('A créer'!$E15&gt;0)),"","*FN")</f>
        <v/>
      </c>
      <c r="B15" s="25" t="s">
        <v>96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3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3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3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3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3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3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3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3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3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3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3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3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3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3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3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activeCell="D5" sqref="D5"/>
      <selection pane="bottomLeft" activeCell="D5" sqref="D5"/>
    </sheetView>
  </sheetViews>
  <sheetFormatPr baseColWidth="10" defaultRowHeight="14.5" x14ac:dyDescent="0.35"/>
  <cols>
    <col min="1" max="1" width="4.26953125" bestFit="1" customWidth="1"/>
    <col min="2" max="2" width="4.26953125" style="6" customWidth="1"/>
    <col min="3" max="3" width="25.1796875" bestFit="1" customWidth="1"/>
    <col min="4" max="5" width="4.26953125" bestFit="1" customWidth="1"/>
    <col min="7" max="12" width="4.26953125" bestFit="1" customWidth="1"/>
  </cols>
  <sheetData>
    <row r="1" spans="1:12" x14ac:dyDescent="0.3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3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DRW0513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3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DNA0412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3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DMS0505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3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35">
      <c r="A6" s="2" t="str">
        <f>IF(LEN('A créer'!$C6)=0,"","TAB")</f>
        <v>TAB</v>
      </c>
      <c r="B6" s="2" t="str">
        <f>IF(LEN('A créer'!$C6)=0,"","TAB")</f>
        <v>TAB</v>
      </c>
      <c r="C6" s="6" t="str">
        <f>IF(LEN('A créer'!$C6)=0,"","\Un profil de sécurité nommé")</f>
        <v>\Un profil de sécurité nommé</v>
      </c>
      <c r="D6" s="2" t="str">
        <f>IF(LEN('A créer'!$C6)=0,"","TAB")</f>
        <v>TAB</v>
      </c>
      <c r="E6" s="2" t="str">
        <f>IF(LEN('A créer'!$C6)=0,"","TAB")</f>
        <v>TAB</v>
      </c>
      <c r="F6" s="6" t="str">
        <f>IF(LEN('A créer'!$C6)=0,"",CONCATENATE('A créer'!B6,'A créer'!A6))</f>
        <v>DCW0450</v>
      </c>
      <c r="G6" s="2" t="str">
        <f>IF(LEN('A créer'!$C6)=0,"","TAB")</f>
        <v>TAB</v>
      </c>
      <c r="H6" s="2" t="str">
        <f>IF(LEN('A créer'!$C6)=0,"","ENT")</f>
        <v>ENT</v>
      </c>
      <c r="I6" s="2" t="str">
        <f>IF(LEN('A créer'!$C6)=0,"","TAB")</f>
        <v>TAB</v>
      </c>
      <c r="J6" s="2" t="str">
        <f>IF(LEN('A créer'!$C6)=0,"","TAB")</f>
        <v>TAB</v>
      </c>
      <c r="K6" s="2" t="str">
        <f>IF(LEN('A créer'!$C6)=0,"","ENT")</f>
        <v>ENT</v>
      </c>
      <c r="L6" s="2" t="str">
        <f>IF(LEN('A créer'!$C6)=0,"","ENT")</f>
        <v>ENT</v>
      </c>
    </row>
    <row r="7" spans="1:12" x14ac:dyDescent="0.35">
      <c r="A7" s="2" t="str">
        <f>IF(LEN('A créer'!$C7)=0,"","TAB")</f>
        <v>TAB</v>
      </c>
      <c r="B7" s="2" t="str">
        <f>IF(LEN('A créer'!$C7)=0,"","TAB")</f>
        <v>TAB</v>
      </c>
      <c r="C7" s="6" t="str">
        <f>IF(LEN('A créer'!$C7)=0,"","\Un profil de sécurité nommé")</f>
        <v>\Un profil de sécurité nommé</v>
      </c>
      <c r="D7" s="2" t="str">
        <f>IF(LEN('A créer'!$C7)=0,"","TAB")</f>
        <v>TAB</v>
      </c>
      <c r="E7" s="2" t="str">
        <f>IF(LEN('A créer'!$C7)=0,"","TAB")</f>
        <v>TAB</v>
      </c>
      <c r="F7" s="6" t="str">
        <f>IF(LEN('A créer'!$C7)=0,"",CONCATENATE('A créer'!B7,'A créer'!A7))</f>
        <v>DRW0506</v>
      </c>
      <c r="G7" s="2" t="str">
        <f>IF(LEN('A créer'!$C7)=0,"","TAB")</f>
        <v>TAB</v>
      </c>
      <c r="H7" s="2" t="str">
        <f>IF(LEN('A créer'!$C7)=0,"","ENT")</f>
        <v>ENT</v>
      </c>
      <c r="I7" s="2" t="str">
        <f>IF(LEN('A créer'!$C7)=0,"","TAB")</f>
        <v>TAB</v>
      </c>
      <c r="J7" s="2" t="str">
        <f>IF(LEN('A créer'!$C7)=0,"","TAB")</f>
        <v>TAB</v>
      </c>
      <c r="K7" s="2" t="str">
        <f>IF(LEN('A créer'!$C7)=0,"","ENT")</f>
        <v>ENT</v>
      </c>
      <c r="L7" s="2" t="str">
        <f>IF(LEN('A créer'!$C7)=0,"","ENT")</f>
        <v>ENT</v>
      </c>
    </row>
    <row r="8" spans="1:12" x14ac:dyDescent="0.3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35">
      <c r="A9" s="2" t="str">
        <f>IF(LEN('A créer'!$C9)=0,"","TAB")</f>
        <v>TAB</v>
      </c>
      <c r="B9" s="2" t="str">
        <f>IF(LEN('A créer'!$C9)=0,"","TAB")</f>
        <v>TAB</v>
      </c>
      <c r="C9" s="6" t="str">
        <f>IF(LEN('A créer'!$C9)=0,"","\Un profil de sécurité nommé")</f>
        <v>\Un profil de sécurité nommé</v>
      </c>
      <c r="D9" s="2" t="str">
        <f>IF(LEN('A créer'!$C9)=0,"","TAB")</f>
        <v>TAB</v>
      </c>
      <c r="E9" s="2" t="str">
        <f>IF(LEN('A créer'!$C9)=0,"","TAB")</f>
        <v>TAB</v>
      </c>
      <c r="F9" s="6" t="str">
        <f>IF(LEN('A créer'!$C9)=0,"",CONCATENATE('A créer'!B9,'A créer'!A9))</f>
        <v>DSW0486</v>
      </c>
      <c r="G9" s="2" t="str">
        <f>IF(LEN('A créer'!$C9)=0,"","TAB")</f>
        <v>TAB</v>
      </c>
      <c r="H9" s="2" t="str">
        <f>IF(LEN('A créer'!$C9)=0,"","ENT")</f>
        <v>ENT</v>
      </c>
      <c r="I9" s="2" t="str">
        <f>IF(LEN('A créer'!$C9)=0,"","TAB")</f>
        <v>TAB</v>
      </c>
      <c r="J9" s="2" t="str">
        <f>IF(LEN('A créer'!$C9)=0,"","TAB")</f>
        <v>TAB</v>
      </c>
      <c r="K9" s="2" t="str">
        <f>IF(LEN('A créer'!$C9)=0,"","ENT")</f>
        <v>ENT</v>
      </c>
      <c r="L9" s="2" t="str">
        <f>IF(LEN('A créer'!$C9)=0,"","ENT")</f>
        <v>ENT</v>
      </c>
    </row>
    <row r="10" spans="1:12" x14ac:dyDescent="0.3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3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3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3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3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3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3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3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3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3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3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3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3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3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3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3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3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3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3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3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3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D5" sqref="D5"/>
    </sheetView>
  </sheetViews>
  <sheetFormatPr baseColWidth="10" defaultRowHeight="14.5" x14ac:dyDescent="0.35"/>
  <cols>
    <col min="1" max="1" width="25" bestFit="1" customWidth="1"/>
    <col min="2" max="2" width="11.7265625" bestFit="1" customWidth="1"/>
    <col min="3" max="3" width="12.7265625" bestFit="1" customWidth="1"/>
  </cols>
  <sheetData>
    <row r="1" spans="1:3" x14ac:dyDescent="0.35">
      <c r="A1" s="12" t="s">
        <v>75</v>
      </c>
      <c r="B1" s="12" t="s">
        <v>76</v>
      </c>
      <c r="C1" s="12" t="s">
        <v>77</v>
      </c>
    </row>
    <row r="2" spans="1:3" x14ac:dyDescent="0.35">
      <c r="A2" s="11" t="s">
        <v>80</v>
      </c>
      <c r="B2" s="11" t="s">
        <v>81</v>
      </c>
      <c r="C2" s="13" t="s">
        <v>38</v>
      </c>
    </row>
    <row r="3" spans="1:3" x14ac:dyDescent="0.35">
      <c r="A3" s="11" t="s">
        <v>82</v>
      </c>
      <c r="B3" s="11" t="s">
        <v>83</v>
      </c>
      <c r="C3" s="13" t="s">
        <v>43</v>
      </c>
    </row>
    <row r="4" spans="1:3" x14ac:dyDescent="0.35">
      <c r="A4" s="11" t="s">
        <v>84</v>
      </c>
      <c r="B4" s="11" t="s">
        <v>85</v>
      </c>
      <c r="C4" s="13" t="s">
        <v>39</v>
      </c>
    </row>
    <row r="5" spans="1:3" x14ac:dyDescent="0.35">
      <c r="A5" s="11" t="s">
        <v>86</v>
      </c>
      <c r="B5" s="11" t="s">
        <v>87</v>
      </c>
      <c r="C5" s="13" t="s">
        <v>40</v>
      </c>
    </row>
    <row r="6" spans="1:3" x14ac:dyDescent="0.35">
      <c r="A6" s="11" t="s">
        <v>88</v>
      </c>
      <c r="B6" s="11" t="s">
        <v>89</v>
      </c>
      <c r="C6" s="13" t="s">
        <v>44</v>
      </c>
    </row>
    <row r="7" spans="1:3" x14ac:dyDescent="0.35">
      <c r="A7" s="14" t="s">
        <v>78</v>
      </c>
      <c r="B7" s="13" t="s">
        <v>79</v>
      </c>
      <c r="C7" s="13" t="s">
        <v>3</v>
      </c>
    </row>
    <row r="8" spans="1:3" x14ac:dyDescent="0.35">
      <c r="A8" s="11" t="s">
        <v>90</v>
      </c>
      <c r="B8" s="11" t="s">
        <v>91</v>
      </c>
      <c r="C8" s="13" t="s">
        <v>41</v>
      </c>
    </row>
    <row r="9" spans="1:3" x14ac:dyDescent="0.3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NACER BEY Hind</cp:lastModifiedBy>
  <dcterms:created xsi:type="dcterms:W3CDTF">2021-03-23T15:13:40Z</dcterms:created>
  <dcterms:modified xsi:type="dcterms:W3CDTF">2024-07-18T08:31:41Z</dcterms:modified>
</cp:coreProperties>
</file>