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406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D2" i="16" l="1"/>
  <c r="AD3" i="16"/>
  <c r="AD4" i="16"/>
  <c r="O2" i="16"/>
  <c r="O3" i="16"/>
  <c r="O4" i="16"/>
  <c r="O5" i="16"/>
  <c r="O6" i="16"/>
  <c r="O7" i="16"/>
  <c r="O8" i="16"/>
  <c r="O9" i="16"/>
  <c r="O10" i="16"/>
  <c r="O11" i="16"/>
  <c r="O12" i="16"/>
  <c r="AZ2" i="8" l="1"/>
  <c r="AZ3" i="8"/>
  <c r="AZ4" i="8"/>
  <c r="AZ5" i="8"/>
  <c r="AZ6" i="8"/>
  <c r="AZ7" i="8"/>
  <c r="AZ8" i="8"/>
  <c r="AZ9" i="8"/>
  <c r="AZ10" i="8"/>
  <c r="AZ11" i="8"/>
  <c r="AZ12" i="8"/>
  <c r="BC2" i="9"/>
  <c r="BC3" i="9"/>
  <c r="BC4" i="9"/>
  <c r="BC5" i="9"/>
  <c r="BC6" i="9"/>
  <c r="BC7" i="9"/>
  <c r="BC8" i="9"/>
  <c r="BC9" i="9"/>
  <c r="BC10" i="9"/>
  <c r="BC11" i="9"/>
  <c r="BC12" i="9"/>
  <c r="AD5" i="16" l="1"/>
  <c r="AD6" i="16"/>
  <c r="AD7" i="16"/>
  <c r="Q5" i="16"/>
  <c r="Q6" i="16"/>
  <c r="Q7" i="16"/>
  <c r="Q8" i="16"/>
  <c r="Q9" i="16"/>
  <c r="Q10" i="16"/>
  <c r="Q11" i="16"/>
  <c r="Q12" i="16"/>
  <c r="AZ13" i="8" l="1"/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AM2" i="5"/>
  <c r="AN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AI2" i="8" l="1"/>
  <c r="AJ2" i="8"/>
  <c r="AI3" i="8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N2" i="11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25" i="18" l="1"/>
  <c r="B25" i="18"/>
  <c r="C25" i="18"/>
  <c r="D25" i="18"/>
  <c r="E25" i="18"/>
  <c r="F25" i="18"/>
  <c r="G25" i="18"/>
  <c r="H25" i="18"/>
  <c r="A2" i="15"/>
  <c r="B2" i="15"/>
  <c r="C2" i="15"/>
  <c r="D2" i="15"/>
  <c r="E2" i="15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" i="18"/>
  <c r="B2" i="18"/>
  <c r="C2" i="18"/>
  <c r="D2" i="18"/>
  <c r="E2" i="18"/>
  <c r="F2" i="18"/>
  <c r="G2" i="18"/>
  <c r="H2" i="18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 s="1"/>
  <c r="AJ2" i="5"/>
  <c r="AK2" i="5"/>
  <c r="AL2" i="5"/>
  <c r="AO2" i="5"/>
  <c r="AP2" i="5"/>
  <c r="AQ2" i="5"/>
  <c r="AR2" i="5"/>
  <c r="AS2" i="5"/>
  <c r="AT2" i="5"/>
  <c r="AU2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B2" i="5"/>
  <c r="C2" i="5"/>
  <c r="D2" i="5"/>
  <c r="E2" i="5"/>
  <c r="F2" i="5"/>
  <c r="G2" i="5"/>
  <c r="H2" i="5"/>
  <c r="I2" i="5"/>
  <c r="K2" i="5"/>
  <c r="L2" i="5"/>
  <c r="M2" i="5"/>
  <c r="N2" i="5"/>
  <c r="O2" i="5"/>
  <c r="P2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O2" i="4" l="1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2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2" i="10"/>
  <c r="B2" i="10"/>
  <c r="C2" i="10"/>
  <c r="D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T2" i="10"/>
  <c r="U2" i="10"/>
  <c r="V2" i="10"/>
  <c r="W2" i="10"/>
  <c r="X2" i="10"/>
  <c r="Y2" i="10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2" i="8"/>
  <c r="B2" i="8"/>
  <c r="C2" i="8"/>
  <c r="D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2" i="9"/>
  <c r="B2" i="9"/>
  <c r="C2" i="9"/>
  <c r="D2" i="9"/>
  <c r="F2" i="9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E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G2" i="9"/>
  <c r="H2" i="9"/>
  <c r="I2" i="9"/>
  <c r="J2" i="9"/>
  <c r="K2" i="9"/>
  <c r="L2" i="9" s="1"/>
  <c r="M2" i="9"/>
  <c r="O2" i="9"/>
  <c r="Q2" i="9"/>
  <c r="S2" i="9"/>
  <c r="U2" i="9"/>
  <c r="W2" i="9"/>
  <c r="Y2" i="9"/>
  <c r="AA2" i="9"/>
  <c r="AB2" i="9"/>
  <c r="AC2" i="9"/>
  <c r="AD2" i="9"/>
  <c r="AE2" i="9"/>
  <c r="AF2" i="9"/>
  <c r="AG2" i="9"/>
  <c r="AH2" i="9"/>
  <c r="AI2" i="9"/>
  <c r="AJ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G3" i="9"/>
  <c r="H3" i="9"/>
  <c r="I3" i="9"/>
  <c r="J3" i="9"/>
  <c r="K3" i="9"/>
  <c r="N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L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N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L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N12" i="9" s="1"/>
  <c r="M12" i="9"/>
  <c r="O12" i="9"/>
  <c r="Q12" i="9"/>
  <c r="S12" i="9"/>
  <c r="U12" i="9"/>
  <c r="W12" i="9"/>
  <c r="Y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L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A2" i="7"/>
  <c r="B2" i="7"/>
  <c r="C2" i="7"/>
  <c r="D2" i="7"/>
  <c r="E2" i="7"/>
  <c r="F2" i="7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2" i="6"/>
  <c r="B2" i="6"/>
  <c r="C2" i="6"/>
  <c r="D2" i="6"/>
  <c r="E2" i="6"/>
  <c r="F2" i="6"/>
  <c r="G2" i="6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V2" i="9" l="1"/>
  <c r="P12" i="9"/>
  <c r="T12" i="9"/>
  <c r="X12" i="9"/>
  <c r="T11" i="9"/>
  <c r="V11" i="9"/>
  <c r="P11" i="9"/>
  <c r="R4" i="9"/>
  <c r="Z2" i="9"/>
  <c r="V6" i="9"/>
  <c r="Z6" i="9"/>
  <c r="R6" i="9"/>
  <c r="V4" i="9"/>
  <c r="Z13" i="9"/>
  <c r="V13" i="9"/>
  <c r="R13" i="9"/>
  <c r="N13" i="9"/>
  <c r="X13" i="9"/>
  <c r="T13" i="9"/>
  <c r="P13" i="9"/>
  <c r="Z12" i="9"/>
  <c r="V12" i="9"/>
  <c r="R12" i="9"/>
  <c r="L12" i="9"/>
  <c r="R11" i="9"/>
  <c r="N11" i="9"/>
  <c r="Z10" i="9"/>
  <c r="V10" i="9"/>
  <c r="R10" i="9"/>
  <c r="N10" i="9"/>
  <c r="X10" i="9"/>
  <c r="T10" i="9"/>
  <c r="P10" i="9"/>
  <c r="P8" i="9"/>
  <c r="N2" i="9"/>
  <c r="T8" i="9"/>
  <c r="R2" i="9"/>
  <c r="X8" i="9"/>
  <c r="L8" i="9"/>
  <c r="N6" i="9"/>
  <c r="Z5" i="9"/>
  <c r="V5" i="9"/>
  <c r="N5" i="9"/>
  <c r="Z8" i="9"/>
  <c r="V8" i="9"/>
  <c r="R8" i="9"/>
  <c r="X6" i="9"/>
  <c r="T6" i="9"/>
  <c r="P6" i="9"/>
  <c r="Z4" i="9"/>
  <c r="X2" i="9"/>
  <c r="T2" i="9"/>
  <c r="P2" i="9"/>
  <c r="R5" i="9"/>
  <c r="X5" i="9"/>
  <c r="T5" i="9"/>
  <c r="P5" i="9"/>
  <c r="N4" i="9"/>
  <c r="X4" i="9"/>
  <c r="T4" i="9"/>
  <c r="P4" i="9"/>
  <c r="X7" i="9"/>
  <c r="T7" i="9"/>
  <c r="P7" i="9"/>
  <c r="L7" i="9"/>
  <c r="X3" i="9"/>
  <c r="T3" i="9"/>
  <c r="P3" i="9"/>
  <c r="L3" i="9"/>
  <c r="Z7" i="9"/>
  <c r="V7" i="9"/>
  <c r="R7" i="9"/>
  <c r="Z3" i="9"/>
  <c r="V3" i="9"/>
  <c r="R3" i="9"/>
  <c r="V9" i="9"/>
  <c r="N9" i="9"/>
  <c r="Z9" i="9"/>
  <c r="R9" i="9"/>
  <c r="X9" i="9"/>
  <c r="T9" i="9"/>
  <c r="P9" i="9"/>
  <c r="A2" i="17" l="1"/>
  <c r="B2" i="17"/>
  <c r="C2" i="17"/>
  <c r="D2" i="17"/>
  <c r="E2" i="17"/>
  <c r="F2" i="17"/>
  <c r="G2" i="17"/>
  <c r="H2" i="17"/>
  <c r="I2" i="17"/>
  <c r="J2" i="17"/>
  <c r="K2" i="17"/>
  <c r="L2" i="17"/>
  <c r="A3" i="17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23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G2" i="13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C2" i="13"/>
  <c r="D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B2" i="13"/>
  <c r="A2" i="13"/>
  <c r="B29" i="12" l="1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2" i="12"/>
  <c r="I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A2" i="12"/>
  <c r="C2" i="12"/>
  <c r="D2" i="12"/>
  <c r="E2" i="12"/>
  <c r="F2" i="12"/>
  <c r="G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2" i="11"/>
  <c r="B2" i="11"/>
  <c r="C2" i="11"/>
  <c r="D2" i="11"/>
  <c r="F2" i="11"/>
  <c r="G2" i="11"/>
  <c r="H2" i="11"/>
  <c r="I2" i="11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J2" i="11"/>
  <c r="K2" i="11"/>
  <c r="L2" i="11"/>
  <c r="M2" i="11"/>
  <c r="O2" i="11"/>
  <c r="P2" i="11"/>
  <c r="Q2" i="11"/>
  <c r="R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<sst xmlns="http://schemas.openxmlformats.org/spreadsheetml/2006/main" count="471" uniqueCount="106">
  <si>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</si>
  <si>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</si>
  <si>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</si>
  <si>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</si>
  <si>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</si>
  <si>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</si>
  <si>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</si>
  <si>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</si>
  <si>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</si>
  <si>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</si>
  <si>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</si>
  <si>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</si>
  <si>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</si>
  <si>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</si>
  <si>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</si>
  <si>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</si>
  <si>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</si>
  <si>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</si>
  <si>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</si>
  <si>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</si>
  <si>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</si>
  <si>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</si>
  <si>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</si>
  <si>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</si>
  <si>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</si>
  <si>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</si>
  <si>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</si>
  <si>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</si>
  <si>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</si>
  <si>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</si>
  <si>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</si>
  <si>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</si>
  <si>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</si>
  <si>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</si>
  <si>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</si>
  <si>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</si>
  <si>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</si>
  <si>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</si>
  <si>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</si>
  <si>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</si>
  <si>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</si>
  <si>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</si>
  <si>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</si>
  <si>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</si>
  <si>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</si>
  <si>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</si>
  <si>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</si>
  <si>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</si>
  <si>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</si>
  <si>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</si>
  <si>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</si>
  <si>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</si>
  <si>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</si>
  <si>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</si>
  <si>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</si>
  <si>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</si>
  <si>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</si>
  <si>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</si>
  <si>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</si>
  <si>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</si>
  <si>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</si>
  <si>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</si>
  <si>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</si>
  <si>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</si>
  <si>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</si>
  <si>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</si>
  <si>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</si>
  <si>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</si>
  <si>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</si>
  <si>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</si>
  <si>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</si>
  <si>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</si>
  <si>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</si>
  <si>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</si>
  <si>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</si>
  <si>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</si>
  <si>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</si>
  <si>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</si>
  <si>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</si>
  <si>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</si>
  <si>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</si>
  <si>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</si>
  <si>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</si>
  <si>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</si>
  <si>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</si>
  <si>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</si>
  <si>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</si>
  <si>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</si>
  <si>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</si>
  <si>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</si>
  <si>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</si>
  <si>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</si>
  <si>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</si>
  <si>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</si>
  <si>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</si>
  <si>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</si>
  <si>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</si>
  <si>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TSA 15503</t>
  </si>
  <si>
    <t>0538</t>
  </si>
  <si>
    <t>SAVERNE CHALEUR URBAINE</t>
  </si>
  <si>
    <t>S2350</t>
  </si>
  <si>
    <t>26, boulevard du Président Wilson</t>
  </si>
  <si>
    <t>STRASBOURG</t>
  </si>
  <si>
    <t>SOCIETE GENERALE</t>
  </si>
  <si>
    <t>FB0086662E</t>
  </si>
  <si>
    <t>SAVERNE CH URBAINE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</si>
</sst>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7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8" fillId="0" borderId="13" xfId="0" applyNumberFormat="1" applyFont="1" applyFill="1" applyBorder="1" applyAlignment="1">
      <alignment horizontal="center"/>
    </xf>
    <xf numFmtId="49" fontId="28" fillId="0" borderId="13" xfId="46" applyNumberFormat="1" applyFont="1" applyFill="1" applyBorder="1" applyAlignment="1">
      <alignment horizontal="center"/>
    </xf>
    <xf numFmtId="49" fontId="31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32" fillId="0" borderId="10" xfId="0" applyFont="1" applyFill="1" applyBorder="1" applyAlignment="1">
      <alignment horizontal="left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"/>
  <sheetViews>
    <sheetView tabSelected="1" zoomScale="90" zoomScaleNormal="90" workbookViewId="0">
      <pane xSplit="6" ySplit="1" topLeftCell="G2" activePane="bottomRight" state="frozenSplit"/>
      <selection activeCell="I28" sqref="I28"/>
      <selection pane="topRight" activeCell="I28" sqref="I28"/>
      <selection pane="bottomLeft" activeCell="I28" sqref="I28"/>
      <selection pane="bottomRight" activeCell="I2" sqref="I2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24.26953125" bestFit="1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1.26953125" bestFit="1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98</v>
      </c>
      <c r="B2" s="6" t="s">
        <v>38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100</v>
      </c>
      <c r="H2" s="4" t="s">
        <v>38</v>
      </c>
      <c r="I2" s="25" t="s">
        <v>105</v>
      </c>
      <c r="J2" s="20" t="s">
        <v>101</v>
      </c>
      <c r="K2" s="18">
        <v>67000</v>
      </c>
      <c r="L2" s="16" t="s">
        <v>102</v>
      </c>
      <c r="M2" s="6">
        <v>13538</v>
      </c>
      <c r="N2" s="6" t="s">
        <v>97</v>
      </c>
      <c r="O2" s="10" t="s">
        <v>96</v>
      </c>
      <c r="P2" s="19">
        <v>513583</v>
      </c>
      <c r="Q2" s="6" t="s">
        <v>103</v>
      </c>
      <c r="R2" s="23" t="s">
        <v>104</v>
      </c>
    </row>
    <row r="3" spans="1:19" s="6" customFormat="1" ht="16" thickBot="1" x14ac:dyDescent="0.4">
      <c r="A3" s="1"/>
      <c r="C3" s="15"/>
      <c r="H3" s="4"/>
      <c r="I3" s="17"/>
      <c r="K3" s="18"/>
      <c r="L3" s="16"/>
      <c r="O3" s="10"/>
      <c r="P3" s="19"/>
      <c r="R3" s="22"/>
    </row>
    <row r="4" spans="1:19" s="6" customFormat="1" ht="16" thickBot="1" x14ac:dyDescent="0.4">
      <c r="A4" s="1"/>
      <c r="C4" s="15"/>
      <c r="H4" s="4"/>
      <c r="I4" s="17"/>
      <c r="K4" s="18"/>
      <c r="L4" s="16"/>
      <c r="O4" s="10"/>
      <c r="P4" s="19"/>
      <c r="R4" s="23"/>
    </row>
    <row r="5" spans="1:19" s="6" customFormat="1" ht="16" thickBot="1" x14ac:dyDescent="0.4">
      <c r="A5" s="1"/>
      <c r="C5" s="15"/>
      <c r="H5" s="4"/>
      <c r="I5" s="17"/>
      <c r="K5" s="18"/>
      <c r="L5" s="16"/>
      <c r="O5" s="10"/>
      <c r="P5" s="19"/>
      <c r="R5" s="21"/>
    </row>
    <row r="6" spans="1:19" s="6" customFormat="1" ht="16" thickBot="1" x14ac:dyDescent="0.4">
      <c r="A6" s="1"/>
      <c r="C6" s="15"/>
      <c r="H6" s="4"/>
      <c r="I6" s="17"/>
      <c r="K6" s="18"/>
      <c r="L6" s="16"/>
      <c r="O6" s="10"/>
      <c r="P6" s="19"/>
      <c r="R6" s="23"/>
    </row>
    <row r="7" spans="1:19" s="6" customFormat="1" ht="16" thickBot="1" x14ac:dyDescent="0.4">
      <c r="A7" s="1"/>
      <c r="C7" s="15"/>
      <c r="H7" s="4"/>
      <c r="I7" s="17"/>
      <c r="K7" s="18"/>
      <c r="L7" s="16"/>
      <c r="O7" s="10"/>
      <c r="P7" s="19"/>
      <c r="R7" s="23"/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ht="16" thickBot="1" x14ac:dyDescent="0.4">
      <c r="A9" s="1"/>
      <c r="B9" s="6"/>
      <c r="C9" s="15"/>
      <c r="D9" s="6"/>
      <c r="E9" s="6"/>
      <c r="F9" s="6"/>
      <c r="G9" s="6"/>
      <c r="H9" s="4"/>
      <c r="I9" s="17"/>
      <c r="J9" s="6"/>
      <c r="K9" s="18"/>
      <c r="L9" s="16"/>
      <c r="M9" s="6"/>
      <c r="N9" s="6"/>
      <c r="O9" s="10"/>
      <c r="P9" s="19"/>
      <c r="Q9" s="6"/>
      <c r="R9" s="23"/>
      <c r="S9" s="6"/>
    </row>
    <row r="10" spans="1:19" ht="16" thickBot="1" x14ac:dyDescent="0.4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1"/>
      <c r="S10" s="6"/>
    </row>
    <row r="11" spans="1:19" ht="16" thickBot="1" x14ac:dyDescent="0.4">
      <c r="A11" s="1"/>
      <c r="B11" s="6"/>
      <c r="C11" s="15"/>
      <c r="D11" s="6"/>
      <c r="E11" s="6"/>
      <c r="F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D13" s="6"/>
      <c r="E13" s="6"/>
      <c r="F13" s="6"/>
      <c r="H13" s="20"/>
      <c r="I13" s="20"/>
      <c r="J13" s="20"/>
      <c r="K13" s="18"/>
      <c r="L13" s="16"/>
      <c r="R13" s="23"/>
      <c r="S13" s="6"/>
    </row>
    <row r="14" spans="1:19" x14ac:dyDescent="0.35">
      <c r="A14" s="1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D24" s="6"/>
    </row>
    <row r="25" spans="1:19" x14ac:dyDescent="0.35">
      <c r="A25" s="1"/>
      <c r="D25" s="6"/>
    </row>
    <row r="26" spans="1:19" x14ac:dyDescent="0.35">
      <c r="A26" s="1"/>
      <c r="D26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90" zoomScaleNormal="90"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>*FN</v>
      </c>
      <c r="B2" s="6" t="str">
        <f>IF(OR('A créer'!D2="Oui",LEN('A créer'!D2)=0),"",CONCATENATE("A",'A créer'!A2))</f>
        <v>A0538</v>
      </c>
      <c r="C2" s="2" t="str">
        <f>IF(OR('A créer'!D2="Oui",LEN('A créer'!D2)=0),"","Tab")</f>
        <v>Tab</v>
      </c>
      <c r="D2" s="6" t="str">
        <f>IF(OR('A créer'!D2="Oui",LEN('A créer'!D2)=0),"",CONCATENATE("A",'A créer'!A2))</f>
        <v>A0538</v>
      </c>
      <c r="E2" s="2" t="str">
        <f>IF(OR('A créer'!D2="Oui",LEN('A créer'!D2)=0),"","Tab")</f>
        <v>Tab</v>
      </c>
      <c r="F2" s="6" t="str">
        <f>IF(OR('A créer'!D2="Oui",LEN('A créer'!D2)=0),"",CONCATENATE("STE ",'A créer'!A2))</f>
        <v>STE 0538</v>
      </c>
      <c r="G2" s="2" t="str">
        <f>IF(OR('A créer'!D2="Oui",LEN('A créer'!D2)=0),"","*SAVE")</f>
        <v>*SAVE</v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80" zoomScaleNormal="80"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s="6" t="str">
        <f>IF(LEN('A créer'!G2)=0,"",'A créer'!G2)</f>
        <v>S2350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SAVERNE CHALEUR URBAINE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3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3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9"/>
  <sheetViews>
    <sheetView zoomScale="80" zoomScaleNormal="80" workbookViewId="0">
      <pane xSplit="1" ySplit="1" topLeftCell="U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>*FN</v>
      </c>
      <c r="B2" s="6" t="str">
        <f>IF(OR('A créer'!D2="Oui",LEN('A créer'!D2)=0),"",'A créer'!A2)</f>
        <v>0538</v>
      </c>
      <c r="C2" s="2" t="str">
        <f>IF(OR('A créer'!D2="Oui",LEN('A créer'!D2)=0),"","Tab")</f>
        <v>Tab</v>
      </c>
      <c r="D2" s="6" t="str">
        <f>IF(OR('A créer'!D2="Oui",LEN('A créer'!D2)=0),"",'A créer'!C2)</f>
        <v>SAVERNE CHALEUR URBAINE</v>
      </c>
      <c r="E2" s="2" t="s">
        <v>93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s="6" t="str">
        <f>IF(OR('A créer'!D2="Oui",LEN('A créer'!D2)=0),"","Oui")</f>
        <v>Oui</v>
      </c>
      <c r="J2" s="2" t="str">
        <f>IF(OR('A créer'!D2="Oui",LEN('A créer'!D2)=0),"","Tab")</f>
        <v>Tab</v>
      </c>
      <c r="K2" s="6" t="str">
        <f>IF(OR('A créer'!D2="Oui",LEN('A créer'!D2)=0),"",'A créer'!H2)</f>
        <v>DCW</v>
      </c>
      <c r="L2" s="6" t="str">
        <f>IF(OR('A créer'!D2="Oui",LEN('A créer'!D2)=0),"",IF($K2="DCW",'A créer'!G2,""))</f>
        <v>S2350</v>
      </c>
      <c r="M2" s="2" t="str">
        <f>IF(OR('A créer'!D2="Oui",LEN('A créer'!D2)=0),"","Tab")</f>
        <v>Tab</v>
      </c>
      <c r="N2" s="6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s="6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s="6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s="6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s="6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s="6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s="6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s="6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s="6" t="str">
        <f>IF(OR('A créer'!D2="Oui",LEN('A créer'!D2)=0),"",CONCATENATE("A",RIGHT('A créer'!A2,3)))</f>
        <v>A538</v>
      </c>
      <c r="AI2" s="2" t="str">
        <f>IF(OR('A créer'!D2="Oui",LEN('A créer'!D2)=0),"","Tab")</f>
        <v>Tab</v>
      </c>
      <c r="AJ2" s="6" t="str">
        <f>IF(OR('A créer'!D2="Oui",LEN('A créer'!D2)=0),"",CONCATENATE('A créer'!A2," Regroupement"))</f>
        <v>0538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s="6" t="str">
        <f>IF(OR('A créer'!D2="Oui",LEN('A créer'!D2)=0),"",CONCATENATE("A",'A créer'!A2))</f>
        <v>A0538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s="6" t="str">
        <f>IF(OR('A créer'!D2="Oui",LEN('A créer'!D2)=0),"","Non")</f>
        <v>Non</v>
      </c>
      <c r="AS2" s="2" t="str">
        <f>IF(OR('A créer'!D2="Oui",LEN('A créer'!D2)=0),"","Tab")</f>
        <v>Tab</v>
      </c>
      <c r="AT2" s="6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s="6" t="str">
        <f>IF(OR('A créer'!D2="Oui",LEN('A créer'!D2)=0),"",'A créer'!A2)</f>
        <v>0538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créer'!D2)=0),"","*ML(610,125)")</f>
        <v>*ML(610,125)</v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93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tr">
        <f>IF(OR('A créer'!D13="Oui",LEN('A créer'!D13)=0),"","Tab4")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9"/>
  <sheetViews>
    <sheetView zoomScale="80" zoomScaleNormal="80" workbookViewId="0">
      <pane xSplit="1" ySplit="1" topLeftCell="U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>*FN</v>
      </c>
      <c r="B2" s="6" t="str">
        <f>IF(OR('A créer'!D2="Oui",LEN('A créer'!D2)=0),IF(LEN('A créer'!B2)&gt;0,IF('A créer'!B2='A créer'!H2,"",CONCATENATE('A créer'!B2,'A créer'!A2)),""),CONCATENATE('A créer'!B2,'A créer'!A2))</f>
        <v>DCW0538</v>
      </c>
      <c r="C2" s="2" t="str">
        <f>IF(OR('A créer'!D2="Oui",LEN('A créer'!D2)=0),IF(AND(LEN('A créer'!B2)&gt;0,'A créer'!B2&lt;&gt;'A créer'!H2)=TRUE,"Tab",""),"Tab")</f>
        <v>Tab</v>
      </c>
      <c r="D2" s="6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DCW0538-SAVERNE CHALEUR URBAINE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s="6" t="str">
        <f>IF('A créer'!D2="Oui",IF(AND(LEN('A créer'!B2)&gt;0,'A créer'!B2&lt;&gt;'A créer'!H2)=TRUE,'A créer'!G2,""),'A créer'!G2)</f>
        <v>S2350</v>
      </c>
      <c r="J2" s="2" t="str">
        <f>IF(OR('A créer'!D2="Oui",LEN('A créer'!D2)=0),IF(AND(LEN('A créer'!B2)&gt;0,'A créer'!B2&lt;&gt;'A créer'!H2)=TRUE,"Tab",""),"Tab")</f>
        <v>Tab</v>
      </c>
      <c r="K2" s="6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s="6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s="6" t="str">
        <f>IF(OR('A créer'!D2="Oui",LEN('A créer'!D2)=0),"",CONCATENATE("XXX",'A créer'!A2))</f>
        <v>XXX0538</v>
      </c>
      <c r="R2" s="2" t="str">
        <f>IF(OR('A créer'!D2="Oui",LEN('A créer'!D2)=0),"","Tab")</f>
        <v>Tab</v>
      </c>
      <c r="S2" s="6" t="str">
        <f>IF(OR('A créer'!D2="Oui",LEN('A créer'!D2)=0),"",CONCATENATE("XXX-",'A créer'!C2))</f>
        <v>XXX-SAVERNE CHALEUR URBAINE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s="6" t="str">
        <f>IF(OR('A créer'!D2="Oui",LEN('A créer'!D2)=0),"",'A créer'!G2)</f>
        <v>S2350</v>
      </c>
      <c r="Y2" s="2" t="str">
        <f>IF(OR('A créer'!D2="Oui",LEN('A créer'!D2)=0),"","Tab")</f>
        <v>Tab</v>
      </c>
      <c r="Z2" s="6" t="str">
        <f>IF(OR('A créer'!D2="Oui",LEN('A créer'!D2)=0),"","Oui")</f>
        <v>Oui</v>
      </c>
      <c r="AA2" s="2" t="str">
        <f>IF(OR('A créer'!D2="Oui",LEN('A créer'!D2)=0),"","Tab")</f>
        <v>Tab</v>
      </c>
      <c r="AB2" s="6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s="6" t="str">
        <f>IF(OR('A créer'!D2="Oui",LEN('A créer'!D2)=0),"",'A créer'!A2)</f>
        <v>0538</v>
      </c>
      <c r="AG2" s="2" t="str">
        <f>IF(OR('A créer'!D2="Oui",LEN('A créer'!D2)=0),"","Tab")</f>
        <v>Tab</v>
      </c>
      <c r="AH2" s="6" t="str">
        <f>IF(OR('A créer'!D2="Oui",LEN('A créer'!D2)=0),"",'A créer'!C2)</f>
        <v>SAVERNE CHALEUR URBAINE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s="6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s="6" t="str">
        <f>IF(OR('A créer'!D2="Oui",LEN('A créer'!D2)=0),"",CONCATENATE('A créer'!B2,'A créer'!A2))</f>
        <v>DCW0538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s="6" t="str">
        <f>IF(OR('A créer'!D2="Oui",LEN('A créer'!D2)=0),"",CONCATENATE("XXX",'A créer'!A2))</f>
        <v>XXX0538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tr">
        <f>IF(OR('A créer'!D2="Oui",LEN('A créer'!D2)=0),"","*ML(608,125)")</f>
        <v>*ML(608,125)</v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créer'!D13)=0),"","*ML(602,118)")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zoomScale="80" zoomScaleNormal="80"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7.453125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15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 s="6">
        <f>IF(AND(LEN('A créer'!P2)=0,OR('A créer'!D2="Oui",LEN('A créer'!D2)=0))=TRUE,"",'A créer'!P2)</f>
        <v>513583</v>
      </c>
      <c r="C2" s="2" t="str">
        <f>IF(AND(LEN('A créer'!P2)=0,OR('A créer'!D2="Oui",LEN('A créer'!D2)=0))=TRUE,"","Tab")</f>
        <v>Tab</v>
      </c>
      <c r="D2" s="6" t="str">
        <f>IF(AND(LEN('A créer'!P2)=0,OR('A créer'!D2="Oui",LEN('A créer'!D2)=0))=TRUE,"",CONCATENATE('A créer'!Q2," ",'A créer'!A2," ",'A créer'!C2,"/",'A créer'!B2))</f>
        <v>SOCIETE GENERALE 0538 SAVERNE CHALEUR URBAINE/DCW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s="6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s="6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s="6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s="6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s="6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3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93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3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tr">
        <f>IF(AND(LEN('A créer'!P13)=0,OR('A créer'!D13="Oui",LEN('A créer'!D13)=0))=TRUE,"","Tab4")</f>
        <v/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zoomScale="80" zoomScaleNormal="80"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37.453125" bestFit="1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DCW0538</v>
      </c>
      <c r="C2" s="2" t="str">
        <f>IF(LEN('A créer'!C2)=0,"","Tab")</f>
        <v>Tab</v>
      </c>
      <c r="D2" t="str">
        <f>IF(LEN('A créer'!C2)=0,"",CONCATENATE(,'A créer'!B2,'A créer'!A2,"-",'A créer'!C2))</f>
        <v>DCW0538-SAVERNE CHALEUR URBAINE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FB0086662E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DCW_0538PF FPS 0538 SAVERNE CHALEUR URBAINE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3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3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0"/>
  <sheetViews>
    <sheetView zoomScale="80" zoomScaleNormal="80" workbookViewId="0">
      <pane xSplit="1" ySplit="1" topLeftCell="B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s="6" t="str">
        <f>IF(LEN('A créer'!C2)=0,"",'A créer'!A2)</f>
        <v>0538</v>
      </c>
      <c r="E2" s="2" t="str">
        <f>IF(LEN('A créer'!C2)=0,"","Tab")</f>
        <v>Tab</v>
      </c>
      <c r="F2" s="6">
        <f>IF(LEN('A créer'!C2)=0,"",0)</f>
        <v>0</v>
      </c>
      <c r="G2" s="2" t="str">
        <f>IF(LEN('A créer'!C2)=0,"","Tab")</f>
        <v>Tab</v>
      </c>
      <c r="H2" s="6" t="str">
        <f>IF(LEN('A créer'!C2)=0,"","ZZZ")</f>
        <v>ZZZ</v>
      </c>
      <c r="I2" s="6" t="str">
        <f>IF(LEN('A créer'!C2)=0,"","0")</f>
        <v>0</v>
      </c>
      <c r="J2" s="2" t="str">
        <f>IF(LEN('A créer'!C2)=0,"","Tab")</f>
        <v>Tab</v>
      </c>
      <c r="K2" s="6" t="str">
        <f>IF(LEN('A créer'!C2)=0,"","ZZZZZZ")</f>
        <v>ZZZZZZ</v>
      </c>
      <c r="L2" s="6" t="str">
        <f>IF(LEN('A créer'!C2)=0,"","0")</f>
        <v>0</v>
      </c>
      <c r="M2" s="2" t="str">
        <f>IF(LEN('A créer'!C2)=0,"","Tab")</f>
        <v>Tab</v>
      </c>
      <c r="N2" s="6" t="str">
        <f>IF(LEN('A créer'!C2)=0,"","ZZZZZ")</f>
        <v>ZZZZZ</v>
      </c>
      <c r="O2" s="6" t="str">
        <f>IF(LEN('A créer'!C2)=0,"",CONCATENATE('A créer'!B2,'A créer'!A2))</f>
        <v>DCW0538</v>
      </c>
      <c r="P2" s="2" t="str">
        <f>IF(LEN('A créer'!C2)=0,"","Tab")</f>
        <v>Tab</v>
      </c>
      <c r="Q2" s="6" t="str">
        <f>IF(LEN('A créer'!C2)=0,"","0")</f>
        <v>0</v>
      </c>
      <c r="R2" s="2" t="str">
        <f>IF(LEN('A créer'!C2)=0,"","Tab")</f>
        <v>Tab</v>
      </c>
      <c r="S2" s="6" t="str">
        <f>IF(LEN('A créer'!C2)=0,"","ZZZZZZZZZZ")</f>
        <v>ZZZZZZZZZZ</v>
      </c>
      <c r="T2" s="6" t="str">
        <f>IF(LEN('A créer'!C2)=0,"","0")</f>
        <v>0</v>
      </c>
      <c r="U2" s="2" t="str">
        <f>IF(LEN('A créer'!C2)=0,"","Tab")</f>
        <v>Tab</v>
      </c>
      <c r="V2" s="6" t="str">
        <f>IF(LEN('A créer'!C2)=0,"","ZZZZZZZZZZ")</f>
        <v>ZZZZZZZZZZ</v>
      </c>
      <c r="W2" s="6" t="str">
        <f>IF(LEN('A créer'!C2)=0,"","0")</f>
        <v>0</v>
      </c>
      <c r="X2" s="2" t="str">
        <f>IF(LEN('A créer'!C2)=0,"","Tab")</f>
        <v>Tab</v>
      </c>
      <c r="Y2" s="6" t="str">
        <f>IF(LEN('A créer'!C2)=0,"","ZZZZZZZZZZZZZZZ")</f>
        <v>ZZZZZZZZZZZZZZZ</v>
      </c>
      <c r="Z2" s="6" t="str">
        <f>IF(LEN('A créer'!C2)=0,"","0")</f>
        <v>0</v>
      </c>
      <c r="AA2" s="2" t="str">
        <f>IF(LEN('A créer'!C2)=0,"","Tab")</f>
        <v>Tab</v>
      </c>
      <c r="AB2" s="6" t="str">
        <f>IF(LEN('A créer'!C2)=0,"","ZZZ")</f>
        <v>ZZZ</v>
      </c>
      <c r="AC2" s="6" t="str">
        <f>IF(LEN('A créer'!C2)=0,"","0")</f>
        <v>0</v>
      </c>
      <c r="AD2" s="2" t="str">
        <f>IF(LEN('A créer'!C2)=0,"","Tab")</f>
        <v>Tab</v>
      </c>
      <c r="AE2" s="6" t="str">
        <f>IF(LEN('A créer'!C2)=0,"","ZZZZZZZZZZ")</f>
        <v>ZZZZZZZZZZ</v>
      </c>
      <c r="AF2" s="6" t="str">
        <f>IF(LEN('A créer'!C2)=0,"","0")</f>
        <v>0</v>
      </c>
      <c r="AG2" s="2" t="str">
        <f>IF(LEN('A créer'!C2)=0,"","Tab")</f>
        <v>Tab</v>
      </c>
      <c r="AH2" s="6" t="str">
        <f>IF(LEN('A créer'!C2)=0,"","ZZZZZZZZZZ")</f>
        <v>ZZZZZZZZZZ</v>
      </c>
      <c r="AI2" s="6" t="str">
        <f>IF(LEN('A créer'!C2)=0,"","0")</f>
        <v>0</v>
      </c>
      <c r="AJ2" s="2" t="str">
        <f>IF(LEN('A créer'!C2)=0,"","Tab")</f>
        <v>Tab</v>
      </c>
      <c r="AK2" s="6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s="6" t="str">
        <f>IF(OR('A créer'!D2="Oui",LEN('A créer'!D2)=0,LEN('A créer'!C2)=0),"",'A créer'!A2)</f>
        <v>0538</v>
      </c>
      <c r="AR2" s="2" t="str">
        <f>IF(OR('A créer'!D2="Oui",LEN('A créer'!D2)=0,LEN('A créer'!C2)=0),"","TAB")</f>
        <v>TAB</v>
      </c>
      <c r="AS2" s="6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s="6" t="str">
        <f>IF(OR('A créer'!D2="Oui",LEN('A créer'!D2)=0,LEN('A créer'!C2)=0),"","ZZZ")</f>
        <v>ZZZ</v>
      </c>
      <c r="AV2" s="6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s="6" t="str">
        <f>IF(OR('A créer'!D2="Oui",LEN('A créer'!D2)=0,LEN('A créer'!C2)=0),"","ZZZZZZ")</f>
        <v>ZZZZZZ</v>
      </c>
      <c r="AY2" s="6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s="6" t="str">
        <f>IF(OR('A créer'!D2="Oui",LEN('A créer'!D2)=0,LEN('A créer'!C2)=0),"","ZZZZZ")</f>
        <v>ZZZZZ</v>
      </c>
      <c r="BB2" s="6" t="str">
        <f>IF(OR('A créer'!D2="Oui",LEN('A créer'!D2)=0,LEN('A créer'!C2)=0),"",CONCATENATE("XXX",'A créer'!A2))</f>
        <v>XXX0538</v>
      </c>
      <c r="BC2" s="2" t="str">
        <f>IF(OR('A créer'!D2="Oui",LEN('A créer'!D2)=0,LEN('A créer'!C2)=0),"","TAB")</f>
        <v>TAB</v>
      </c>
      <c r="BD2" s="6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s="6" t="str">
        <f>IF(OR('A créer'!D2="Oui",LEN('A créer'!D2)=0,LEN('A créer'!C2)=0),"","ZZZZZZZZZZ")</f>
        <v>ZZZZZZZZZZ</v>
      </c>
      <c r="BG2" s="6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s="6" t="str">
        <f>IF(OR('A créer'!D2="Oui",LEN('A créer'!D2)=0,LEN('A créer'!C2)=0),"","ZZZZZZZZZZ")</f>
        <v>ZZZZZZZZZZ</v>
      </c>
      <c r="BJ2" s="6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s="6" t="str">
        <f>IF(OR('A créer'!D2="Oui",LEN('A créer'!D2)=0,LEN('A créer'!C2)=0),"","ZZZZZZZZZZZZZZZ")</f>
        <v>ZZZZZZZZZZZZZZZ</v>
      </c>
      <c r="BM2" s="6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s="6" t="str">
        <f>IF(OR('A créer'!D2="Oui",LEN('A créer'!D2)=0,LEN('A créer'!C2)=0),"","ZZZ")</f>
        <v>ZZZ</v>
      </c>
      <c r="BP2" s="6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s="6" t="str">
        <f>IF(OR('A créer'!D2="Oui",LEN('A créer'!D2)=0,LEN('A créer'!C2)=0),"","ZZZZZZZZZZ")</f>
        <v>ZZZZZZZZZZ</v>
      </c>
      <c r="BS2" s="6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s="6" t="str">
        <f>IF(OR('A créer'!D2="Oui",LEN('A créer'!D2)=0,LEN('A créer'!C2)=0),"","ZZZZZZZZZZ")</f>
        <v>ZZZZZZZZZZ</v>
      </c>
      <c r="BV2" s="6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s="6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3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zoomScale="80" zoomScaleNormal="80" workbookViewId="0">
      <pane xSplit="1" ySplit="1" topLeftCell="B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0538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s="6" t="str">
        <f>IF(LEN('A créer'!C2)=0,"","ZZZZZ")</f>
        <v>ZZZZZ</v>
      </c>
      <c r="N2" s="6">
        <f>IF(LEN('A créer'!C2)=0,"",0)</f>
        <v>0</v>
      </c>
      <c r="O2" s="2" t="str">
        <f>IF(LEN('A créer'!C2)=0,"","Tab")</f>
        <v>Tab</v>
      </c>
      <c r="P2" s="6" t="str">
        <f>IF(LEN('A créer'!C2)=0,"","ZZZZZZZ")</f>
        <v>ZZZZZZZ</v>
      </c>
      <c r="Q2" s="6">
        <f>IF(LEN('A créer'!C2)=0,"",0)</f>
        <v>0</v>
      </c>
      <c r="R2" s="2" t="str">
        <f>IF(LEN('A créer'!C2)=0,"","Tab")</f>
        <v>Tab</v>
      </c>
      <c r="S2" s="6" t="str">
        <f>IF(LEN('A créer'!C2)=0,"","ZZZZZZZZZZ")</f>
        <v>ZZZZZZZZZZ</v>
      </c>
      <c r="T2" s="6">
        <f>IF(LEN('A créer'!C2)=0,"",0)</f>
        <v>0</v>
      </c>
      <c r="U2" s="2" t="str">
        <f>IF(LEN('A créer'!C2)=0,"","Tab")</f>
        <v>Tab</v>
      </c>
      <c r="V2" s="6" t="str">
        <f>IF(LEN('A créer'!C2)=0,"","ZZZZZZZZZZ")</f>
        <v>ZZZZZZZZZZ</v>
      </c>
      <c r="W2" s="6">
        <f>IF(LEN('A créer'!C2)=0,"",0)</f>
        <v>0</v>
      </c>
      <c r="X2" s="2" t="str">
        <f>IF(LEN('A créer'!C2)=0,"","Tab")</f>
        <v>Tab</v>
      </c>
      <c r="Y2" s="6" t="str">
        <f>IF(LEN('A créer'!C2)=0,"","ZZZZZZZZZZZZZZZ")</f>
        <v>ZZZZZZZZZZZZZZZ</v>
      </c>
      <c r="Z2" s="6">
        <f>IF(LEN('A créer'!C2)=0,"",0)</f>
        <v>0</v>
      </c>
      <c r="AA2" s="2" t="str">
        <f>IF(LEN('A créer'!C2)=0,"","Tab")</f>
        <v>Tab</v>
      </c>
      <c r="AB2" s="6" t="str">
        <f>IF(LEN('A créer'!C2)=0,"","ZZZ")</f>
        <v>ZZZ</v>
      </c>
      <c r="AC2" s="6">
        <f>IF(LEN('A créer'!C2)=0,"",0)</f>
        <v>0</v>
      </c>
      <c r="AD2" s="2" t="str">
        <f>IF(LEN('A créer'!C2)=0,"","Tab")</f>
        <v>Tab</v>
      </c>
      <c r="AE2" s="6" t="str">
        <f>IF(LEN('A créer'!C2)=0,"","ZZZZZZZZZZ")</f>
        <v>ZZZZZZZZZZ</v>
      </c>
      <c r="AF2" s="6">
        <f>IF(LEN('A créer'!C2)=0,"",0)</f>
        <v>0</v>
      </c>
      <c r="AG2" s="2" t="str">
        <f>IF(LEN('A créer'!C2)=0,"","Tab")</f>
        <v>Tab</v>
      </c>
      <c r="AH2" s="6" t="str">
        <f>IF(LEN('A créer'!C2)=0,"","ZZZZZZZZZZ")</f>
        <v>ZZZZZZZZZZ</v>
      </c>
      <c r="AI2" s="6">
        <f>IF(LEN('A créer'!C2)=0,"",0)</f>
        <v>0</v>
      </c>
      <c r="AJ2" s="2" t="str">
        <f>IF(LEN('A créer'!C2)=0,"","Tab")</f>
        <v>Tab</v>
      </c>
      <c r="AK2" s="6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3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3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9"/>
  <sheetViews>
    <sheetView zoomScale="80" zoomScaleNormal="80" workbookViewId="0">
      <pane xSplit="1" ySplit="1" topLeftCell="B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33.54296875" bestFit="1" customWidth="1"/>
    <col min="22" max="22" width="5.453125" customWidth="1"/>
    <col min="23" max="23" width="4" bestFit="1" customWidth="1"/>
    <col min="24" max="24" width="4.81640625" customWidth="1"/>
    <col min="25" max="25" width="12.5429687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s="6" t="str">
        <f>IF(OR('A créer'!D2="Oui",LEN('A créer'!D2)=0),"",'A créer'!I2)</f>
        <v>SAVERNE CH URBAINE</v>
      </c>
      <c r="D2" s="2" t="str">
        <f>IF(OR('A créer'!D2="Oui",LEN('A créer'!D2)=0),"","Tab")</f>
        <v>Tab</v>
      </c>
      <c r="E2" s="6" t="str">
        <f>IF(OR('A créer'!D2="Oui",LEN('A créer'!D2)=0),"",'A créer'!C2)</f>
        <v>SAVERNE CHALEUR URBAINE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s="6" t="str">
        <f>IF(OR('A créer'!D2="Oui",LEN('A créer'!D2)=0),"",'A créer'!J2)</f>
        <v>26, boulevard du Président Wilson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 s="6">
        <f>IF(OR('A créer'!D2="Oui",LEN('A créer'!D2)=0),"",'A créer'!K2)</f>
        <v>67000</v>
      </c>
      <c r="M2" s="6" t="str">
        <f>IF(OR('A créer'!D2="Oui",LEN('A créer'!D2)=0),"",'A créer'!L2)</f>
        <v>STRASBOURG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s="6" t="str">
        <f>IF(LEN('A créer'!D2)=0,"",CONCATENATE('A créer'!B2,'A créer'!A2))</f>
        <v>DCW0538</v>
      </c>
      <c r="T2" s="2" t="s">
        <v>4</v>
      </c>
      <c r="U2" s="6" t="str">
        <f>IF('A créer'!F2="Oui",'A créer'!C2,IF(LEN('A créer'!F2)=0,"",CONCATENATE('A créer'!C2," (",'A créer'!M2,")")))</f>
        <v>SAVERNE CHALEUR URBAINE (13538)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s="6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s="6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s="6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0538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S2350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513583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3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DCW0538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3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3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80" zoomScaleNormal="80" workbookViewId="0">
      <pane ySplit="1" topLeftCell="A2" activePane="bottomLeft" state="frozenSplit"/>
      <selection activeCell="I28" sqref="I28"/>
      <selection pane="bottomLeft" activeCell="A2" sqref="A2:XFD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DCW0538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3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3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zoomScale="80" zoomScaleNormal="80" workbookViewId="0">
      <pane xSplit="1" ySplit="1" topLeftCell="B2" activePane="bottomRight" state="frozenSplit"/>
      <selection activeCell="I28" sqref="I28"/>
      <selection pane="topRight" activeCell="I28" sqref="I28"/>
      <selection pane="bottomLeft" activeCell="I28" sqref="I28"/>
      <selection pane="bottomRight" activeCell="A2" sqref="A2:XFD2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24" t="str">
        <f>IF(AND(LEN('A créer'!$C2)=0,LEN('A créer'!$E2&gt;0)),"",CONCATENATE('A créer'!B2,'A créer'!A2))</f>
        <v>DCW0538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DCW0538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0538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DCW0538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/>
      </c>
      <c r="B3" s="24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35">
      <c r="A4" s="2" t="str">
        <f>IF(AND(LEN('A créer'!$C4)=0,LEN('A créer'!$E4&gt;0)),"","*FN")</f>
        <v/>
      </c>
      <c r="B4" s="3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créer'!$E4&gt;0)),"","*ML(103,118)")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créer'!$E4="Oui"),"","*ML(103,118)")</f>
        <v/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créer'!$E5="Oui"),"","*ML(118,110)")</f>
        <v/>
      </c>
    </row>
    <row r="6" spans="1:30" x14ac:dyDescent="0.35">
      <c r="A6" s="2" t="str">
        <f>IF(AND(LEN('A créer'!$C6)=0,LEN('A créer'!$E6&gt;0)),"","*FN")</f>
        <v/>
      </c>
      <c r="B6" s="24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35">
      <c r="A7" s="2" t="str">
        <f>IF(AND(LEN('A créer'!$C7)=0,LEN('A créer'!$E7&gt;0)),"","*FN")</f>
        <v/>
      </c>
      <c r="B7" s="24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35">
      <c r="A8" s="2" t="str">
        <f>IF(AND(LEN('A créer'!$C8)=0,LEN('A créer'!$E8&gt;0)),"","*FN")</f>
        <v/>
      </c>
      <c r="B8" s="6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3" t="s">
        <v>94</v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24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ySplit="1" topLeftCell="A2" activePane="bottomLeft" state="frozenSplit"/>
      <selection activeCell="I28" sqref="I28"/>
      <selection pane="bottomLeft" activeCell="C2" sqref="C2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s="6" t="str">
        <f>IF(LEN('A créer'!$C2)=0,"",CONCATENATE('A créer'!B2,'A créer'!A2))</f>
        <v>DCW0538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3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3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" sqref="C2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74</v>
      </c>
      <c r="B1" s="12" t="s">
        <v>75</v>
      </c>
      <c r="C1" s="12" t="s">
        <v>76</v>
      </c>
    </row>
    <row r="2" spans="1:3" x14ac:dyDescent="0.35">
      <c r="A2" s="11" t="s">
        <v>79</v>
      </c>
      <c r="B2" s="11" t="s">
        <v>80</v>
      </c>
      <c r="C2" s="13" t="s">
        <v>38</v>
      </c>
    </row>
    <row r="3" spans="1:3" x14ac:dyDescent="0.35">
      <c r="A3" s="11" t="s">
        <v>81</v>
      </c>
      <c r="B3" s="11" t="s">
        <v>82</v>
      </c>
      <c r="C3" s="13" t="s">
        <v>43</v>
      </c>
    </row>
    <row r="4" spans="1:3" x14ac:dyDescent="0.35">
      <c r="A4" s="11" t="s">
        <v>83</v>
      </c>
      <c r="B4" s="11" t="s">
        <v>84</v>
      </c>
      <c r="C4" s="13" t="s">
        <v>39</v>
      </c>
    </row>
    <row r="5" spans="1:3" x14ac:dyDescent="0.35">
      <c r="A5" s="11" t="s">
        <v>85</v>
      </c>
      <c r="B5" s="11" t="s">
        <v>86</v>
      </c>
      <c r="C5" s="13" t="s">
        <v>40</v>
      </c>
    </row>
    <row r="6" spans="1:3" x14ac:dyDescent="0.35">
      <c r="A6" s="11" t="s">
        <v>87</v>
      </c>
      <c r="B6" s="11" t="s">
        <v>88</v>
      </c>
      <c r="C6" s="13" t="s">
        <v>44</v>
      </c>
    </row>
    <row r="7" spans="1:3" x14ac:dyDescent="0.35">
      <c r="A7" s="14" t="s">
        <v>77</v>
      </c>
      <c r="B7" s="13" t="s">
        <v>78</v>
      </c>
      <c r="C7" s="13" t="s">
        <v>3</v>
      </c>
    </row>
    <row r="8" spans="1:3" x14ac:dyDescent="0.35">
      <c r="A8" s="11" t="s">
        <v>89</v>
      </c>
      <c r="B8" s="11" t="s">
        <v>90</v>
      </c>
      <c r="C8" s="13" t="s">
        <v>41</v>
      </c>
    </row>
    <row r="9" spans="1:3" x14ac:dyDescent="0.3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2024-06-14T08:54:30Z</dcterms:modified>
</cp:coreProperties>
</file>