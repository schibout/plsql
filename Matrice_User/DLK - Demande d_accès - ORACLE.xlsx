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grall\Desktop\Dossiers de travail\Tache de fond - N1\Demande accès Oracle NEW_06_2025\"/>
    </mc:Choice>
  </mc:AlternateContent>
  <bookViews>
    <workbookView xWindow="0" yWindow="1785" windowWidth="11400" windowHeight="5565"/>
  </bookViews>
  <sheets>
    <sheet name="Formulaire" sheetId="1" r:id="rId1"/>
    <sheet name="Liste_responsabilites types" sheetId="2" r:id="rId2"/>
    <sheet name="Liste_regions" sheetId="5" r:id="rId3"/>
    <sheet name="Liste_stes_actives" sheetId="3" r:id="rId4"/>
    <sheet name="Site_CSP" sheetId="4" r:id="rId5"/>
    <sheet name="Révisions" sheetId="6" r:id="rId6"/>
  </sheets>
  <definedNames>
    <definedName name="_xlnm._FilterDatabase" localSheetId="1" hidden="1">'Liste_responsabilites types'!$B$1:$C$51</definedName>
    <definedName name="ECO_Périmètres">OFFSET('Liste_responsabilites types'!#REF!,,,COUNTA('Liste_responsabilites types'!#REF!)-1)</definedName>
    <definedName name="ECO_Profils">OFFSET('Liste_responsabilites types'!#REF!,,,COUNTA('Liste_responsabilites types'!#REF!)-1)</definedName>
    <definedName name="OA_Responsabilites">'Liste_responsabilites types'!$B$1:$B$36</definedName>
    <definedName name="OAP_Responsabilités">OFFSET('Liste_responsabilites types'!#REF!,,,COUNTA('Liste_responsabilites types'!$B:$B)-1)</definedName>
    <definedName name="_xlnm.Print_Area" localSheetId="0">Formulaire!$A$1:$I$12</definedName>
  </definedNames>
  <calcPr calcId="162913"/>
</workbook>
</file>

<file path=xl/calcChain.xml><?xml version="1.0" encoding="utf-8"?>
<calcChain xmlns="http://schemas.openxmlformats.org/spreadsheetml/2006/main">
  <c r="E11" i="1" l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F70" i="1" l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E37" i="1" l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C37" i="1" l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</calcChain>
</file>

<file path=xl/comments1.xml><?xml version="1.0" encoding="utf-8"?>
<comments xmlns="http://schemas.openxmlformats.org/spreadsheetml/2006/main">
  <authors>
    <author>DEFLUBE Maureen</author>
  </authors>
  <commentList>
    <comment ref="A9" authorId="0" shapeId="0">
      <text>
        <r>
          <rPr>
            <sz val="9"/>
            <color indexed="81"/>
            <rFont val="Tahoma"/>
            <family val="2"/>
          </rPr>
          <t>Choisissez un modèle de responsabilité et complétez les colonnes suivantes</t>
        </r>
      </text>
    </comment>
  </commentList>
</comments>
</file>

<file path=xl/sharedStrings.xml><?xml version="1.0" encoding="utf-8"?>
<sst xmlns="http://schemas.openxmlformats.org/spreadsheetml/2006/main" count="768" uniqueCount="750">
  <si>
    <t>Nom</t>
  </si>
  <si>
    <t>Prénom</t>
  </si>
  <si>
    <t>UTILISATEUR</t>
  </si>
  <si>
    <t>Nom du site CSP</t>
  </si>
  <si>
    <t>Code site CSP</t>
  </si>
  <si>
    <t>LILLE</t>
  </si>
  <si>
    <t>LYON</t>
  </si>
  <si>
    <t>NANTES</t>
  </si>
  <si>
    <t>IDF</t>
  </si>
  <si>
    <t>LIL</t>
  </si>
  <si>
    <t>LYO</t>
  </si>
  <si>
    <t>NAN</t>
  </si>
  <si>
    <t>Trigramme Région</t>
  </si>
  <si>
    <t>Nom complet de la Région</t>
  </si>
  <si>
    <t>DCW</t>
  </si>
  <si>
    <t>Est</t>
  </si>
  <si>
    <t>DEW</t>
  </si>
  <si>
    <t>Méditerrannée</t>
  </si>
  <si>
    <t>DLS</t>
  </si>
  <si>
    <t>Centre-Ouest</t>
  </si>
  <si>
    <t>DMS</t>
  </si>
  <si>
    <t>Centre-Est</t>
  </si>
  <si>
    <t>DNA</t>
  </si>
  <si>
    <t>Sud-Ouest</t>
  </si>
  <si>
    <t>DOS</t>
  </si>
  <si>
    <t>Siège</t>
  </si>
  <si>
    <t>DRW</t>
  </si>
  <si>
    <t>Ile-de-France</t>
  </si>
  <si>
    <t>DSW</t>
  </si>
  <si>
    <t>Nord-Ouest</t>
  </si>
  <si>
    <t>0001</t>
  </si>
  <si>
    <t>DALKIA</t>
  </si>
  <si>
    <t>0013</t>
  </si>
  <si>
    <t>BEH</t>
  </si>
  <si>
    <t>0028</t>
  </si>
  <si>
    <t>ENERLAY</t>
  </si>
  <si>
    <t>0034</t>
  </si>
  <si>
    <t>SCBC</t>
  </si>
  <si>
    <t>0049</t>
  </si>
  <si>
    <t>BERJALIA</t>
  </si>
  <si>
    <t>0047</t>
  </si>
  <si>
    <t>COCHAREC</t>
  </si>
  <si>
    <t>0067</t>
  </si>
  <si>
    <t>SOFLEC</t>
  </si>
  <si>
    <t>0051</t>
  </si>
  <si>
    <t>S.T.H.A.L.</t>
  </si>
  <si>
    <t>0069</t>
  </si>
  <si>
    <t>SOMUSSY</t>
  </si>
  <si>
    <t>0074</t>
  </si>
  <si>
    <t>SONITHERM</t>
  </si>
  <si>
    <t>0076</t>
  </si>
  <si>
    <t>NBI</t>
  </si>
  <si>
    <t>0091</t>
  </si>
  <si>
    <t>SOCOS</t>
  </si>
  <si>
    <t>0102</t>
  </si>
  <si>
    <t>SCEVIA</t>
  </si>
  <si>
    <t>0107</t>
  </si>
  <si>
    <t>CADRAZUR</t>
  </si>
  <si>
    <t>0108</t>
  </si>
  <si>
    <t>0113</t>
  </si>
  <si>
    <t>0118</t>
  </si>
  <si>
    <t>0127</t>
  </si>
  <si>
    <t>0130</t>
  </si>
  <si>
    <t>0070</t>
  </si>
  <si>
    <t>BOISMARINE</t>
  </si>
  <si>
    <t>0140</t>
  </si>
  <si>
    <t>TBE</t>
  </si>
  <si>
    <t>0141</t>
  </si>
  <si>
    <t>RESONOR</t>
  </si>
  <si>
    <t>0146</t>
  </si>
  <si>
    <t>SECV</t>
  </si>
  <si>
    <t>0139</t>
  </si>
  <si>
    <t>SCUC</t>
  </si>
  <si>
    <t>0148</t>
  </si>
  <si>
    <t>0155</t>
  </si>
  <si>
    <t>0156</t>
  </si>
  <si>
    <t>SOGIRE</t>
  </si>
  <si>
    <t>0158</t>
  </si>
  <si>
    <t>TENDEM</t>
  </si>
  <si>
    <t>0167</t>
  </si>
  <si>
    <t>0169</t>
  </si>
  <si>
    <t>SOCLIS</t>
  </si>
  <si>
    <t>0171</t>
  </si>
  <si>
    <t>SOMEC</t>
  </si>
  <si>
    <t>0180</t>
  </si>
  <si>
    <t>DCOI</t>
  </si>
  <si>
    <t>0183</t>
  </si>
  <si>
    <t>TECNI</t>
  </si>
  <si>
    <t>0185</t>
  </si>
  <si>
    <t>GTA</t>
  </si>
  <si>
    <t>0193</t>
  </si>
  <si>
    <t>ELYDE</t>
  </si>
  <si>
    <t>0198</t>
  </si>
  <si>
    <t>0205</t>
  </si>
  <si>
    <t>VALENERG</t>
  </si>
  <si>
    <t>0218</t>
  </si>
  <si>
    <t>GEOVAL</t>
  </si>
  <si>
    <t>0219</t>
  </si>
  <si>
    <t>0222</t>
  </si>
  <si>
    <t>0228</t>
  </si>
  <si>
    <t>0233</t>
  </si>
  <si>
    <t>CENEVIA</t>
  </si>
  <si>
    <t>0241</t>
  </si>
  <si>
    <t>SECUA</t>
  </si>
  <si>
    <t>0245</t>
  </si>
  <si>
    <t>CLIMATELEC</t>
  </si>
  <si>
    <t>0256</t>
  </si>
  <si>
    <t>0261</t>
  </si>
  <si>
    <t>0281</t>
  </si>
  <si>
    <t>VALENERGIA</t>
  </si>
  <si>
    <t>0283</t>
  </si>
  <si>
    <t>0284</t>
  </si>
  <si>
    <t>NIMERGIE</t>
  </si>
  <si>
    <t>0286</t>
  </si>
  <si>
    <t>STELVIA</t>
  </si>
  <si>
    <t>0300</t>
  </si>
  <si>
    <t>0303</t>
  </si>
  <si>
    <t>S.C.V.G.</t>
  </si>
  <si>
    <t>0304</t>
  </si>
  <si>
    <t>0305</t>
  </si>
  <si>
    <t>SETE</t>
  </si>
  <si>
    <t>0306</t>
  </si>
  <si>
    <t>0310</t>
  </si>
  <si>
    <t>0320</t>
  </si>
  <si>
    <t>SOCOPIC</t>
  </si>
  <si>
    <t>0322</t>
  </si>
  <si>
    <t>SEEV</t>
  </si>
  <si>
    <t>0344</t>
  </si>
  <si>
    <t>BAGEOPS</t>
  </si>
  <si>
    <t>0329</t>
  </si>
  <si>
    <t>0330</t>
  </si>
  <si>
    <t>ECOLIANE</t>
  </si>
  <si>
    <t>0331</t>
  </si>
  <si>
    <t>0340</t>
  </si>
  <si>
    <t>0341</t>
  </si>
  <si>
    <t>0362</t>
  </si>
  <si>
    <t>GEOFORT</t>
  </si>
  <si>
    <t>0348</t>
  </si>
  <si>
    <t>0349</t>
  </si>
  <si>
    <t>0350</t>
  </si>
  <si>
    <t>VIC-MEB</t>
  </si>
  <si>
    <t>0351</t>
  </si>
  <si>
    <t>0356</t>
  </si>
  <si>
    <t>0357</t>
  </si>
  <si>
    <t>ENEA</t>
  </si>
  <si>
    <t>0358</t>
  </si>
  <si>
    <t>SYNERGIE</t>
  </si>
  <si>
    <t>0359</t>
  </si>
  <si>
    <t>ECBLOIS</t>
  </si>
  <si>
    <t>0360</t>
  </si>
  <si>
    <t>SODEVAR</t>
  </si>
  <si>
    <t>0361</t>
  </si>
  <si>
    <t>ELM</t>
  </si>
  <si>
    <t>0385</t>
  </si>
  <si>
    <t>ARGEVAL</t>
  </si>
  <si>
    <t>0363</t>
  </si>
  <si>
    <t>0364</t>
  </si>
  <si>
    <t>0365</t>
  </si>
  <si>
    <t>0368</t>
  </si>
  <si>
    <t>VALHOE</t>
  </si>
  <si>
    <t>0373</t>
  </si>
  <si>
    <t>0378</t>
  </si>
  <si>
    <t>0414</t>
  </si>
  <si>
    <t>NEO</t>
  </si>
  <si>
    <t>0451</t>
  </si>
  <si>
    <t>OBM</t>
  </si>
  <si>
    <t>0397</t>
  </si>
  <si>
    <t>0459</t>
  </si>
  <si>
    <t>0415</t>
  </si>
  <si>
    <t>DALAE</t>
  </si>
  <si>
    <t>0445</t>
  </si>
  <si>
    <t>0447</t>
  </si>
  <si>
    <t>0471</t>
  </si>
  <si>
    <t>0452</t>
  </si>
  <si>
    <t>ECB</t>
  </si>
  <si>
    <t>0458</t>
  </si>
  <si>
    <t>0495</t>
  </si>
  <si>
    <t>GEMKIA</t>
  </si>
  <si>
    <t>0462</t>
  </si>
  <si>
    <t>0463</t>
  </si>
  <si>
    <t>0468</t>
  </si>
  <si>
    <t>COGERI</t>
  </si>
  <si>
    <t>0547</t>
  </si>
  <si>
    <t>CICEO</t>
  </si>
  <si>
    <t>0482</t>
  </si>
  <si>
    <t>OMNITHERM</t>
  </si>
  <si>
    <t>0483</t>
  </si>
  <si>
    <t>SGC</t>
  </si>
  <si>
    <t>0551</t>
  </si>
  <si>
    <t>CYEL</t>
  </si>
  <si>
    <t>0511</t>
  </si>
  <si>
    <t>0533</t>
  </si>
  <si>
    <t>0534</t>
  </si>
  <si>
    <t>0536</t>
  </si>
  <si>
    <t>SGR</t>
  </si>
  <si>
    <t>0539</t>
  </si>
  <si>
    <t>0542</t>
  </si>
  <si>
    <t>0543</t>
  </si>
  <si>
    <t>0546</t>
  </si>
  <si>
    <t>E.L.V.Y.A.</t>
  </si>
  <si>
    <t>0576</t>
  </si>
  <si>
    <t>0577</t>
  </si>
  <si>
    <t>SOGETH</t>
  </si>
  <si>
    <t>0553</t>
  </si>
  <si>
    <t>0557</t>
  </si>
  <si>
    <t>VILLAE</t>
  </si>
  <si>
    <t>0558</t>
  </si>
  <si>
    <t>MEVIA</t>
  </si>
  <si>
    <t>0598</t>
  </si>
  <si>
    <t>0608</t>
  </si>
  <si>
    <t>0578</t>
  </si>
  <si>
    <t>0586</t>
  </si>
  <si>
    <t>CURDEM</t>
  </si>
  <si>
    <t>0600</t>
  </si>
  <si>
    <t>0605</t>
  </si>
  <si>
    <t>0653</t>
  </si>
  <si>
    <t>SEBIO</t>
  </si>
  <si>
    <t>0613</t>
  </si>
  <si>
    <t>0628</t>
  </si>
  <si>
    <t>W-ENERGIE</t>
  </si>
  <si>
    <t>0630</t>
  </si>
  <si>
    <t>0679</t>
  </si>
  <si>
    <t>ENERLIS</t>
  </si>
  <si>
    <t>0712</t>
  </si>
  <si>
    <t>ICEIS</t>
  </si>
  <si>
    <t>0656</t>
  </si>
  <si>
    <t>THERMEVRA</t>
  </si>
  <si>
    <t>0660</t>
  </si>
  <si>
    <t>0661</t>
  </si>
  <si>
    <t>0667</t>
  </si>
  <si>
    <t>CLERVIA</t>
  </si>
  <si>
    <t>0671</t>
  </si>
  <si>
    <t>STR</t>
  </si>
  <si>
    <t>0675</t>
  </si>
  <si>
    <t>0802</t>
  </si>
  <si>
    <t>SEDS</t>
  </si>
  <si>
    <t>0683</t>
  </si>
  <si>
    <t>RENERGIES</t>
  </si>
  <si>
    <t>0684</t>
  </si>
  <si>
    <t>0693</t>
  </si>
  <si>
    <t>0695</t>
  </si>
  <si>
    <t>BELENA</t>
  </si>
  <si>
    <t>0844</t>
  </si>
  <si>
    <t>SAMEX</t>
  </si>
  <si>
    <t>0713</t>
  </si>
  <si>
    <t>0726</t>
  </si>
  <si>
    <t>0733</t>
  </si>
  <si>
    <t>0741</t>
  </si>
  <si>
    <t>0744</t>
  </si>
  <si>
    <t>0756</t>
  </si>
  <si>
    <t>0790</t>
  </si>
  <si>
    <t>SDCE</t>
  </si>
  <si>
    <t>0808</t>
  </si>
  <si>
    <t>0813</t>
  </si>
  <si>
    <t>NADIC</t>
  </si>
  <si>
    <t>0820</t>
  </si>
  <si>
    <t>SDCL</t>
  </si>
  <si>
    <t>0823</t>
  </si>
  <si>
    <t>BAI</t>
  </si>
  <si>
    <t>0825</t>
  </si>
  <si>
    <t>SOMESYS</t>
  </si>
  <si>
    <t>0829</t>
  </si>
  <si>
    <t>SDCLB</t>
  </si>
  <si>
    <t>RESOP</t>
  </si>
  <si>
    <t>0854</t>
  </si>
  <si>
    <t>COGESTAR</t>
  </si>
  <si>
    <t>0868</t>
  </si>
  <si>
    <t>DCUA</t>
  </si>
  <si>
    <t>0930</t>
  </si>
  <si>
    <t>S.O.G.E.T.</t>
  </si>
  <si>
    <t>Modèle responsabilité</t>
  </si>
  <si>
    <t>Responsabilité</t>
  </si>
  <si>
    <t>RESPONSABILITES  A AJOUTER / MODIFIER / SUPPRIMER</t>
  </si>
  <si>
    <t>Date de fin (si suppression accès)</t>
  </si>
  <si>
    <t>Formulaire de gestion des accès Oracle Dalkia</t>
  </si>
  <si>
    <t>Nom société</t>
  </si>
  <si>
    <t>0078</t>
  </si>
  <si>
    <t>ALENCON ENERGIE BOIS</t>
  </si>
  <si>
    <t>0079</t>
  </si>
  <si>
    <t>0100</t>
  </si>
  <si>
    <t>DRI</t>
  </si>
  <si>
    <t>0105</t>
  </si>
  <si>
    <t>RESOCEANE</t>
  </si>
  <si>
    <t>CALAIS ENERGIE</t>
  </si>
  <si>
    <t>ENERGIE FLANDRE</t>
  </si>
  <si>
    <t>HAUTEPIERRE ENERGIE</t>
  </si>
  <si>
    <t>0125</t>
  </si>
  <si>
    <t>COGESTAR 4</t>
  </si>
  <si>
    <t>RCS Exploitation</t>
  </si>
  <si>
    <t>SVD 66</t>
  </si>
  <si>
    <t>GESPACE FRANCE</t>
  </si>
  <si>
    <t>0149</t>
  </si>
  <si>
    <t>EFFICACITE DALKIA DATA CENTER</t>
  </si>
  <si>
    <t>NANCY ENERGIE</t>
  </si>
  <si>
    <t>0166</t>
  </si>
  <si>
    <t>CHARLEVILLE ENERGIES</t>
  </si>
  <si>
    <t>0184</t>
  </si>
  <si>
    <t>DB ANGERS</t>
  </si>
  <si>
    <t>DB ORLEANS</t>
  </si>
  <si>
    <t>DB RENNES</t>
  </si>
  <si>
    <t>CU AUTUN</t>
  </si>
  <si>
    <t>BETHUNE ENERGIE SERV</t>
  </si>
  <si>
    <t>DB TOURS</t>
  </si>
  <si>
    <t>DIJON ENERGIES</t>
  </si>
  <si>
    <t>STRASBOURG ENERGIE</t>
  </si>
  <si>
    <t>PERIN FRERES SA</t>
  </si>
  <si>
    <t>COGENERATION SEDAN</t>
  </si>
  <si>
    <t>0317</t>
  </si>
  <si>
    <t>ARDENERGIE</t>
  </si>
  <si>
    <t>0318</t>
  </si>
  <si>
    <t>LA NORMANDE DE COGEN</t>
  </si>
  <si>
    <t>0326</t>
  </si>
  <si>
    <t>SVD 58</t>
  </si>
  <si>
    <t>SVD 67</t>
  </si>
  <si>
    <t>0334</t>
  </si>
  <si>
    <t>GIPELEC</t>
  </si>
  <si>
    <t>0336</t>
  </si>
  <si>
    <t>BERAM</t>
  </si>
  <si>
    <t>BIOMASSE ENERGIE DEV</t>
  </si>
  <si>
    <t>MONTARGIS ENERGIES</t>
  </si>
  <si>
    <t>0346</t>
  </si>
  <si>
    <t>SVD 82</t>
  </si>
  <si>
    <t>0347</t>
  </si>
  <si>
    <t>GIE USLH 2</t>
  </si>
  <si>
    <t>ES SERVICES</t>
  </si>
  <si>
    <t>TOULOUSE ENERGIE DURABLE</t>
  </si>
  <si>
    <t>BRETEUIL ENERGIE</t>
  </si>
  <si>
    <t>ROANNE ENERGIES</t>
  </si>
  <si>
    <t>ELM OPERATIONS</t>
  </si>
  <si>
    <t>CREIL ENERGIES</t>
  </si>
  <si>
    <t>0367</t>
  </si>
  <si>
    <t>BOIS ENERGIE FRANCE</t>
  </si>
  <si>
    <t>HAGUE ENERGIE</t>
  </si>
  <si>
    <t>0374</t>
  </si>
  <si>
    <t>0375</t>
  </si>
  <si>
    <t>0376</t>
  </si>
  <si>
    <t>Cogestar 3</t>
  </si>
  <si>
    <t>0386</t>
  </si>
  <si>
    <t>0391</t>
  </si>
  <si>
    <t>DIT</t>
  </si>
  <si>
    <t>0396</t>
  </si>
  <si>
    <t>SVD 38</t>
  </si>
  <si>
    <t>PURPAN ENERGIES SANT</t>
  </si>
  <si>
    <t>0409</t>
  </si>
  <si>
    <t>LENS BIOMASSE ENERGI</t>
  </si>
  <si>
    <t>STE URBAINE DE CLIM</t>
  </si>
  <si>
    <t>0441</t>
  </si>
  <si>
    <t>E2S</t>
  </si>
  <si>
    <t>ARTOIS ENERGIES</t>
  </si>
  <si>
    <t>CHALONS ENERGIES</t>
  </si>
  <si>
    <t>GIE EVRY</t>
  </si>
  <si>
    <t>FRANCHE COMTE ENERG</t>
  </si>
  <si>
    <t>MALT ENERGIES</t>
  </si>
  <si>
    <t>LA SIOULE</t>
  </si>
  <si>
    <t>0476</t>
  </si>
  <si>
    <t>LAVERA ENERGIES</t>
  </si>
  <si>
    <t>0497</t>
  </si>
  <si>
    <t>COGESANTE LILLE</t>
  </si>
  <si>
    <t>DALKIA ATLANTIQUE SE</t>
  </si>
  <si>
    <t>0514</t>
  </si>
  <si>
    <t>DIKEOS</t>
  </si>
  <si>
    <t>QUIMPER ENERGIE</t>
  </si>
  <si>
    <t>MONS ENERGIE</t>
  </si>
  <si>
    <t>COGESTAR 2</t>
  </si>
  <si>
    <t>ENERGIE GRD LITTORAL</t>
  </si>
  <si>
    <t>INDUSTELEC SUD EST</t>
  </si>
  <si>
    <t>INDUSTELEC IDF</t>
  </si>
  <si>
    <t>LISIEUX ENERGIE</t>
  </si>
  <si>
    <t>SARCELLES INVESTS</t>
  </si>
  <si>
    <t>SARCELLES ENERGIE</t>
  </si>
  <si>
    <t>BAYEUX ENERGIE</t>
  </si>
  <si>
    <t>OPTIMEGE</t>
  </si>
  <si>
    <t>LOUVIERS ENERGIE</t>
  </si>
  <si>
    <t>RESEAU CU CAEN SUD</t>
  </si>
  <si>
    <t>NSO ENERGIE</t>
  </si>
  <si>
    <t>2ERT EST</t>
  </si>
  <si>
    <t>0631</t>
  </si>
  <si>
    <t>0659</t>
  </si>
  <si>
    <t>ISE</t>
  </si>
  <si>
    <t>CANTELEU ENERGIE</t>
  </si>
  <si>
    <t>CANTOPERDRIX PE</t>
  </si>
  <si>
    <t>0682</t>
  </si>
  <si>
    <t>CARBIOLANE</t>
  </si>
  <si>
    <t>NARBONNAISE DE CHAUF</t>
  </si>
  <si>
    <t>0688</t>
  </si>
  <si>
    <t>SVD 17</t>
  </si>
  <si>
    <t>ESTIA RESEAUX DE CHALEUR</t>
  </si>
  <si>
    <t>SCU MAZAMET</t>
  </si>
  <si>
    <t>RD EN</t>
  </si>
  <si>
    <t>DALKIA INVEST.</t>
  </si>
  <si>
    <t>0739</t>
  </si>
  <si>
    <t>FOR'EST EXPLOITATION</t>
  </si>
  <si>
    <t>FLANDRES ENERGIES HO</t>
  </si>
  <si>
    <t>ROUEN GRAMMONT NRJ</t>
  </si>
  <si>
    <t>VENISSIEUX ENERGIES</t>
  </si>
  <si>
    <t>0764</t>
  </si>
  <si>
    <t>SVD 30</t>
  </si>
  <si>
    <t>PNM ENERGIES</t>
  </si>
  <si>
    <t>0800</t>
  </si>
  <si>
    <t>SOGETHA</t>
  </si>
  <si>
    <t>0804</t>
  </si>
  <si>
    <t>SOLYCAF COMBUSTIBLES</t>
  </si>
  <si>
    <t>FALAISE ENERGIE</t>
  </si>
  <si>
    <t>Nom région</t>
  </si>
  <si>
    <t>DKA_GESTION_NOTIFICATIONS</t>
  </si>
  <si>
    <t>DKA_AP_CONSULTATION</t>
  </si>
  <si>
    <t>DKA_AP_CONSULTATION_REFERENTIEL</t>
  </si>
  <si>
    <t>DKA_AR_CONSULTATION</t>
  </si>
  <si>
    <t>DKA_AR_SAISIE</t>
  </si>
  <si>
    <t>DKA_PA_CONSULTATION</t>
  </si>
  <si>
    <t>XXX_PA_CONSULTATION</t>
  </si>
  <si>
    <t>YYYY_PA_CONSULTATION</t>
  </si>
  <si>
    <t>XXXYYYY_PA_CONSULTATION</t>
  </si>
  <si>
    <t>DKA_REFERENTIEL_BANCAIRE</t>
  </si>
  <si>
    <t>DKA_RB_RAPPROCHEMENT_BANCAIRE</t>
  </si>
  <si>
    <t>DKA_RB_RESPONSABLE_RAPPROCHEMENT</t>
  </si>
  <si>
    <t>DKA_GL_CONSULTATION</t>
  </si>
  <si>
    <t>DKA_GL_LEGALE_CONSULTATION</t>
  </si>
  <si>
    <t>DKA_GL_SAISIE</t>
  </si>
  <si>
    <t>DKA_GL_LEGALE_ADMINISTRATEUR</t>
  </si>
  <si>
    <t>0383</t>
  </si>
  <si>
    <t>0389</t>
  </si>
  <si>
    <t>0507</t>
  </si>
  <si>
    <t>0512</t>
  </si>
  <si>
    <t>0101</t>
  </si>
  <si>
    <t>0382</t>
  </si>
  <si>
    <t>0387</t>
  </si>
  <si>
    <t>0392</t>
  </si>
  <si>
    <t>0393</t>
  </si>
  <si>
    <t>0394</t>
  </si>
  <si>
    <t>0395</t>
  </si>
  <si>
    <t>0400</t>
  </si>
  <si>
    <t>0401</t>
  </si>
  <si>
    <t>0404</t>
  </si>
  <si>
    <t>0405</t>
  </si>
  <si>
    <t>0408</t>
  </si>
  <si>
    <t>0410</t>
  </si>
  <si>
    <t>0413</t>
  </si>
  <si>
    <t>0416</t>
  </si>
  <si>
    <t>0417</t>
  </si>
  <si>
    <t>0418</t>
  </si>
  <si>
    <t>0419</t>
  </si>
  <si>
    <t>0420</t>
  </si>
  <si>
    <t>0421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</si>
  <si>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</si>
  <si>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</si>
  <si>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</si>
  <si>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</si>
  <si>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</si>
  <si>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</si>
  <si>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</si>
  <si>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</si>
  <si>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</si>
  <si>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</si>
  <si>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</si>
  <si>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</si>
  <si>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</si>
  <si>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</si>
  <si>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</si>
  <si>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0439</t>
  </si>
  <si>
    <t>0440</t>
  </si>
  <si>
    <t>0442</t>
  </si>
  <si>
    <t>0443</t>
  </si>
  <si>
    <t>0444</t>
  </si>
  <si>
    <t>0446</t>
  </si>
  <si>
    <t>0449</t>
  </si>
  <si>
    <t>0450</t>
  </si>
  <si>
    <t>0454</t>
  </si>
  <si>
    <t>0455</t>
  </si>
  <si>
    <t>0456</t>
  </si>
  <si>
    <t>0457</t>
  </si>
  <si>
    <t>0460</t>
  </si>
  <si>
    <t>0461</t>
  </si>
  <si>
    <t>0464</t>
  </si>
  <si>
    <t>0467</t>
  </si>
  <si>
    <t>0470</t>
  </si>
  <si>
    <t>0473</t>
  </si>
  <si>
    <t>0474</t>
  </si>
  <si>
    <t>0477</t>
  </si>
  <si>
    <t>0478</t>
  </si>
  <si>
    <t>0479</t>
  </si>
  <si>
    <t>0480</t>
  </si>
  <si>
    <t>0481</t>
  </si>
  <si>
    <t>0485</t>
  </si>
  <si>
    <t>0486</t>
  </si>
  <si>
    <t>0488</t>
  </si>
  <si>
    <t>0489</t>
  </si>
  <si>
    <t>0490</t>
  </si>
  <si>
    <t>0491</t>
  </si>
  <si>
    <t>0492</t>
  </si>
  <si>
    <t>0493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</si>
  <si>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</si>
  <si>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</si>
  <si>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</si>
  <si>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</si>
  <si>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</si>
  <si>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</si>
  <si>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</si>
  <si>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</si>
  <si>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</si>
  <si>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0508</t>
  </si>
  <si>
    <t>0510</t>
  </si>
  <si>
    <t>0513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</si>
  <si>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</si>
  <si>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</si>
  <si>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</si>
  <si>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</si>
  <si>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</si>
  <si>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</si>
  <si>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</si>
  <si>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</si>
  <si>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</si>
  <si>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</si>
  <si>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</si>
  <si>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</si>
  <si>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0528</t>
  </si>
  <si>
    <t>0530</t>
  </si>
  <si>
    <t>0531</t>
  </si>
  <si>
    <t>0532</t>
  </si>
  <si>
    <t>0535</t>
  </si>
  <si>
    <t>0537</t>
  </si>
  <si>
    <t>0538</t>
  </si>
  <si>
    <t>RSAE</t>
  </si>
  <si>
    <t>HORIZONS FONTENOY SEGUR</t>
  </si>
  <si>
    <t>GPSEP</t>
  </si>
  <si>
    <t>SEINERGIE</t>
  </si>
  <si>
    <t>EGURRETIK</t>
  </si>
  <si>
    <t>CCB</t>
  </si>
  <si>
    <t>GEOVIVA</t>
  </si>
  <si>
    <t>FAVERGES ENERGIES</t>
  </si>
  <si>
    <t>VY'ENERGIE</t>
  </si>
  <si>
    <t>SVD 88</t>
  </si>
  <si>
    <t>VVV ENERGIES</t>
  </si>
  <si>
    <t>AVS ENERGIE</t>
  </si>
  <si>
    <t>CLUSES ENERGIE</t>
  </si>
  <si>
    <t>SVD 94</t>
  </si>
  <si>
    <t>ENERGISS</t>
  </si>
  <si>
    <t>EneRungis</t>
  </si>
  <si>
    <t>SVD 97</t>
  </si>
  <si>
    <t>ECLYDE</t>
  </si>
  <si>
    <t>SVD 101</t>
  </si>
  <si>
    <t>SVD 104</t>
  </si>
  <si>
    <t>SVD 105</t>
  </si>
  <si>
    <t>SVD 107</t>
  </si>
  <si>
    <t>SVD 109</t>
  </si>
  <si>
    <t>SVD 110</t>
  </si>
  <si>
    <t>SVD 111</t>
  </si>
  <si>
    <t>SVD 112</t>
  </si>
  <si>
    <t>SVD 113</t>
  </si>
  <si>
    <t>DK BIOGAZ</t>
  </si>
  <si>
    <t>DKB LA CIOTAT</t>
  </si>
  <si>
    <t>HENERGIANE</t>
  </si>
  <si>
    <t>DKB CHAGNY</t>
  </si>
  <si>
    <t>SABLE EV</t>
  </si>
  <si>
    <t>DKB ST SEVERE</t>
  </si>
  <si>
    <t>DKB VALODUO</t>
  </si>
  <si>
    <t>DKB GARDANNE</t>
  </si>
  <si>
    <t>DKB ORANGE</t>
  </si>
  <si>
    <t>DKB VERCORS</t>
  </si>
  <si>
    <t>SERRAIRES EN VERTES</t>
  </si>
  <si>
    <t>DKB GIZAY</t>
  </si>
  <si>
    <t>DKB ST LAURENT</t>
  </si>
  <si>
    <t>DKB COLONARD</t>
  </si>
  <si>
    <t>LA CRAU EN VERTES</t>
  </si>
  <si>
    <t>DKB GRANGE DAVID</t>
  </si>
  <si>
    <t>DKB PERBOUSIE</t>
  </si>
  <si>
    <t>METHAISNE E VERTES</t>
  </si>
  <si>
    <t>MEV BIOMETHANE</t>
  </si>
  <si>
    <t>GEX ENERGIES</t>
  </si>
  <si>
    <t>SVD 114</t>
  </si>
  <si>
    <t>SVD 115</t>
  </si>
  <si>
    <t>SVD 116</t>
  </si>
  <si>
    <t>SVD 117</t>
  </si>
  <si>
    <t>REMIREMONT ENERGIE</t>
  </si>
  <si>
    <t>SVD 120</t>
  </si>
  <si>
    <t>ENERGIES NICOISE</t>
  </si>
  <si>
    <t>SVD 122</t>
  </si>
  <si>
    <t>DALKIA MIDDLE EAST</t>
  </si>
  <si>
    <t>CLEA</t>
  </si>
  <si>
    <t>PERPIGNAN MED EN</t>
  </si>
  <si>
    <t>DK 3</t>
  </si>
  <si>
    <t>DK 4</t>
  </si>
  <si>
    <t>DESCHAMPS LATHUS</t>
  </si>
  <si>
    <t>CITELUM IG</t>
  </si>
  <si>
    <t>AIR FORMING</t>
  </si>
  <si>
    <t>DK 6</t>
  </si>
  <si>
    <t>MONTBELIARD ENERGIES</t>
  </si>
  <si>
    <t>L'ENERGIE LUNEVILLE</t>
  </si>
  <si>
    <t>DK 9</t>
  </si>
  <si>
    <t>DK 10</t>
  </si>
  <si>
    <t>DKDI</t>
  </si>
  <si>
    <t>LA FERTE BC</t>
  </si>
  <si>
    <t>DK 14</t>
  </si>
  <si>
    <t>DK 15</t>
  </si>
  <si>
    <t>DALKIA SMART BUILDING</t>
  </si>
  <si>
    <t>CALORIMER</t>
  </si>
  <si>
    <t>CAMILLE CLAUDEL</t>
  </si>
  <si>
    <t>EDDAL ECOMANCHE</t>
  </si>
  <si>
    <t>ECO ROC NOIR</t>
  </si>
  <si>
    <t>DK 16</t>
  </si>
  <si>
    <t>SVCM</t>
  </si>
  <si>
    <t>TERA</t>
  </si>
  <si>
    <t>RESEAU DE CHALEUR DE LA CLUSE</t>
  </si>
  <si>
    <t>DK 19</t>
  </si>
  <si>
    <t>DK 20</t>
  </si>
  <si>
    <t>MONTCHOVET ENERGIES</t>
  </si>
  <si>
    <t>MONTROUGE ER</t>
  </si>
  <si>
    <t>DK 24</t>
  </si>
  <si>
    <t>DK 25</t>
  </si>
  <si>
    <t>ECOME</t>
  </si>
  <si>
    <t>GEOCOUL</t>
  </si>
  <si>
    <t>SFT</t>
  </si>
  <si>
    <t>DK 29</t>
  </si>
  <si>
    <t>DK 30</t>
  </si>
  <si>
    <t>DK 31</t>
  </si>
  <si>
    <t>DK 32</t>
  </si>
  <si>
    <t>DK 33</t>
  </si>
  <si>
    <t>DK 34</t>
  </si>
  <si>
    <t>DK 35</t>
  </si>
  <si>
    <t>DK 36</t>
  </si>
  <si>
    <t>DK 37</t>
  </si>
  <si>
    <t>DK 38</t>
  </si>
  <si>
    <t>DK 39</t>
  </si>
  <si>
    <t>DK 40</t>
  </si>
  <si>
    <t>DK 41</t>
  </si>
  <si>
    <t>CHARLEVILLE RENOUVELABLE</t>
  </si>
  <si>
    <t>DK 44</t>
  </si>
  <si>
    <t>SAVERNE CH URBAINE</t>
  </si>
  <si>
    <t>DKII</t>
  </si>
  <si>
    <t>Date</t>
  </si>
  <si>
    <t>qui</t>
  </si>
  <si>
    <t>quoi</t>
  </si>
  <si>
    <t>pgrall</t>
  </si>
  <si>
    <t>Liste des sociétés actives + tri par ordre des responsabilités.</t>
  </si>
  <si>
    <t>XXX_PO_UTILISATEUR</t>
  </si>
  <si>
    <t>YYYY_FA_SAISIE</t>
  </si>
  <si>
    <t xml:space="preserve"> SHORT_NAME</t>
  </si>
  <si>
    <t xml:space="preserve"> NAME</t>
  </si>
  <si>
    <t>SYLVIA</t>
  </si>
  <si>
    <t>MOTTEO</t>
  </si>
  <si>
    <t>CALORIA</t>
  </si>
  <si>
    <t>RC HOPITAL ANGOULEME</t>
  </si>
  <si>
    <t>DK 45</t>
  </si>
  <si>
    <t>DK 46</t>
  </si>
  <si>
    <t>DK 48</t>
  </si>
  <si>
    <t>DK 49</t>
  </si>
  <si>
    <t>DK 50</t>
  </si>
  <si>
    <t>DK 51</t>
  </si>
  <si>
    <t>DK 52</t>
  </si>
  <si>
    <t>DK 53</t>
  </si>
  <si>
    <t>DK 54</t>
  </si>
  <si>
    <t>0540</t>
  </si>
  <si>
    <t>0541</t>
  </si>
  <si>
    <t>0545</t>
  </si>
  <si>
    <t>0548</t>
  </si>
  <si>
    <t>0549</t>
  </si>
  <si>
    <t>0552</t>
  </si>
  <si>
    <t>0554</t>
  </si>
  <si>
    <t>0555</t>
  </si>
  <si>
    <t>0556</t>
  </si>
  <si>
    <t>DKCode</t>
  </si>
  <si>
    <t>XXX_AP_CONSULTATION</t>
  </si>
  <si>
    <t>YYYY_AP_CONSULTATION</t>
  </si>
  <si>
    <t>XXXYYYY_AP_CONSULTATION</t>
  </si>
  <si>
    <t>XXXYYYY_AP_DEBLOCAGE NDF</t>
  </si>
  <si>
    <t>XXXYYYY_AP_SAISIE FACT RGLT</t>
  </si>
  <si>
    <t>XXX_AR_CONSULTATION</t>
  </si>
  <si>
    <t>YYYY_AR_CONSULTATION</t>
  </si>
  <si>
    <t>YYYY_AR_CONSULTATION RECOUVREMENT</t>
  </si>
  <si>
    <t>XXXYYYY_AR_SAISIE</t>
  </si>
  <si>
    <t>XXXYYYY_AR_ANNUL_REGLEMENT</t>
  </si>
  <si>
    <t>XXX_GL_CONSULTATION</t>
  </si>
  <si>
    <t>XXX_GL_LEGALE_CONSULTATION</t>
  </si>
  <si>
    <t>XXX_GL_SAISIE</t>
  </si>
  <si>
    <t>YYYY_GL_CONSULTATION</t>
  </si>
  <si>
    <t>YYYY_GL_LEGALE_CONSULTATION</t>
  </si>
  <si>
    <t>YYYY_FA_CONSULTATION</t>
  </si>
  <si>
    <t>XXX_AR_ANNUL_REGLEMENT</t>
  </si>
  <si>
    <t>YYYY_ENCAISSEMENT_AR_MULTI_REGION</t>
  </si>
  <si>
    <t>XXX_AR_REMB_AVOIRS</t>
  </si>
  <si>
    <t>DKA</t>
  </si>
  <si>
    <t>DKA : Recherche UO</t>
  </si>
  <si>
    <t>DKA_CONTRAT_SOUS-TRAITANCE_CONSULTATION</t>
  </si>
  <si>
    <t>YYYY_GL_SAISIE</t>
  </si>
  <si>
    <t>XXX_PA_INVEST</t>
  </si>
  <si>
    <t>XXXYYYY_PA_INVEST</t>
  </si>
  <si>
    <t>XXX_GESTION_CATALOGUE_CONSULTATION</t>
  </si>
  <si>
    <t>XXX_GESTION_CATALOGUE_SAISIE_DUPLICATION</t>
  </si>
  <si>
    <t>XXXYYYY_GESTION_RECEPTIONS</t>
  </si>
  <si>
    <t>XXX_PO_FERMETURE_DEFINITIVE</t>
  </si>
  <si>
    <t>XXX_PO_SUPERUTILISATEUR</t>
  </si>
  <si>
    <t>DKA_PO_SUPERUTILISATEUR</t>
  </si>
  <si>
    <t>WEBADI</t>
  </si>
  <si>
    <t>Intégration bureautique</t>
  </si>
  <si>
    <t>VERA</t>
  </si>
  <si>
    <t>VALSERHONE CHALEUR</t>
  </si>
  <si>
    <t>CLICHY LIVRY CHALEUR</t>
  </si>
  <si>
    <t>0544</t>
  </si>
  <si>
    <t>0559</t>
  </si>
  <si>
    <t>0560</t>
  </si>
  <si>
    <t>(au 22/05/2025)</t>
  </si>
  <si>
    <t>Revu des responaabilités actives dans Oracle + regrouepement Finance/achat dans la meme fiche suite passage SSTR chez Dacshop</t>
  </si>
  <si>
    <t>DEW_AP_CONSULTATION</t>
  </si>
  <si>
    <t>DEW_AR_CONSULTATION</t>
  </si>
  <si>
    <t>DEW_AR_REMB_AVOIRS</t>
  </si>
  <si>
    <t>DEW_GL_SAISIE</t>
  </si>
  <si>
    <t>DEW_PA_CONSULTATION</t>
  </si>
  <si>
    <t>DEW_GESTION_CATALOGUE_CONSULTATION</t>
  </si>
  <si>
    <t>DEW_PO_UTILISATEUR</t>
  </si>
  <si>
    <t>0001_AR_CONSULTATION RECOUVREMENT</t>
  </si>
  <si>
    <t>DEW0001_AR_ANNUL_REGLEMENT</t>
  </si>
  <si>
    <t>0001_ENCAISSEMENT_AR_MULTI_REGION</t>
  </si>
  <si>
    <t>0001_GL_CONSULTATION</t>
  </si>
  <si>
    <t>0001_GL_LEGALE_CONSULTATION</t>
  </si>
  <si>
    <t>0001_FA_CONSULTATION</t>
  </si>
  <si>
    <t>0001_FA_SAISIE</t>
  </si>
  <si>
    <t>0001_PA_CONSULTATION</t>
  </si>
  <si>
    <t>DEW0001_PA_CONSULTATION</t>
  </si>
  <si>
    <t>DEW0001_PA_INVEST</t>
  </si>
  <si>
    <t>DEW0001_GESTION_RECEPTIONS</t>
  </si>
  <si>
    <t>Matricule</t>
  </si>
  <si>
    <t>Code région 
(XXX)</t>
  </si>
  <si>
    <t>Société 
(YYYY)</t>
  </si>
  <si>
    <t>OA_Responsabilites Types</t>
  </si>
  <si>
    <t>Module / Thème</t>
  </si>
  <si>
    <t>FA (immobilisations)</t>
  </si>
  <si>
    <t>RB
(Rapprochement Bancaire)</t>
  </si>
  <si>
    <t>GL - Module comptable</t>
  </si>
  <si>
    <t>AP - Module Fournisseurs</t>
  </si>
  <si>
    <t>AR - Module Clients</t>
  </si>
  <si>
    <t>DOS0001_AP_CONSULTATION</t>
  </si>
  <si>
    <t>DRW0001_AP_DEBLOCAGE NDF</t>
  </si>
  <si>
    <t>DLS0001_AP_SAISIE FACT RGLT</t>
  </si>
  <si>
    <t>0119_AP_CONSULTATION</t>
  </si>
  <si>
    <t>0557_AR_CONSULTATION</t>
  </si>
  <si>
    <t>DNA_AR_ANNUL_REGLEMENT</t>
  </si>
  <si>
    <t>DCW0001_AR_SAISIE</t>
  </si>
  <si>
    <t>DMS_GL_LEGALE_CONSULTATION</t>
  </si>
  <si>
    <t>DSW_GL_CONSULTATION</t>
  </si>
  <si>
    <t>DRW_PA_INVEST</t>
  </si>
  <si>
    <t>DOS_GESTION_CATALOGUE_SAISIE_DUPLICATION</t>
  </si>
  <si>
    <t>DNA_PO_SUPERUTILISATEUR</t>
  </si>
  <si>
    <t>DLS_PO_FERMETURE_DEFINITIVE</t>
  </si>
  <si>
    <t>0470_GL_SAISIE</t>
  </si>
  <si>
    <t>qqs exemples (non exhaustifs)</t>
  </si>
  <si>
    <t>PO (Commandes et Contrat)</t>
  </si>
  <si>
    <t>PA (Projets)</t>
  </si>
  <si>
    <t>Exemples : voir l'onglet "Liste_Responsabilités types", partie grisée</t>
  </si>
  <si>
    <t>0119</t>
  </si>
  <si>
    <t>DALKIA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</si>
</sst>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6"/>
      <color indexed="56"/>
      <name val="Tahoma"/>
      <family val="2"/>
    </font>
    <font>
      <sz val="10"/>
      <name val="Arial"/>
      <family val="2"/>
    </font>
    <font>
      <b/>
      <strike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8"/>
      <color rgb="FF000000"/>
      <name val="Tahoma"/>
      <family val="2"/>
    </font>
    <font>
      <sz val="9"/>
      <color indexed="81"/>
      <name val="Tahoma"/>
      <family val="2"/>
    </font>
    <font>
      <sz val="10"/>
      <color theme="0" tint="-0.34998626667073579"/>
      <name val="Arial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0" tint="-0.249977111117893"/>
      <name val="Arial"/>
      <family val="2"/>
    </font>
    <font>
      <b/>
      <sz val="10"/>
      <color theme="0" tint="-4.9989318521683403E-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dashed">
        <color theme="1" tint="0.24994659260841701"/>
      </bottom>
      <diagonal/>
    </border>
    <border>
      <left/>
      <right/>
      <top style="thin">
        <color theme="0"/>
      </top>
      <bottom style="dashed">
        <color theme="1" tint="0.24994659260841701"/>
      </bottom>
      <diagonal/>
    </border>
    <border>
      <left/>
      <right style="thin">
        <color theme="0"/>
      </right>
      <top style="thin">
        <color theme="0"/>
      </top>
      <bottom style="dashed">
        <color theme="1" tint="0.2499465926084170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theme="1" tint="0.24994659260841701"/>
      </left>
      <right/>
      <top style="thick">
        <color theme="1" tint="0.24994659260841701"/>
      </top>
      <bottom style="thick">
        <color theme="1" tint="0.24994659260841701"/>
      </bottom>
      <diagonal/>
    </border>
    <border>
      <left/>
      <right/>
      <top style="thick">
        <color theme="1" tint="0.24994659260841701"/>
      </top>
      <bottom style="thick">
        <color theme="1" tint="0.24994659260841701"/>
      </bottom>
      <diagonal/>
    </border>
    <border>
      <left/>
      <right style="thick">
        <color theme="1" tint="0.24994659260841701"/>
      </right>
      <top style="thick">
        <color theme="1" tint="0.24994659260841701"/>
      </top>
      <bottom style="thick">
        <color theme="1" tint="0.2499465926084170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6">
    <xf numFmtId="0" fontId="0" fillId="0" borderId="0"/>
    <xf numFmtId="0" fontId="8" fillId="0" borderId="0"/>
    <xf numFmtId="0" fontId="6" fillId="0" borderId="0"/>
    <xf numFmtId="0" fontId="4" fillId="0" borderId="0"/>
    <xf numFmtId="0" fontId="4" fillId="0" borderId="0"/>
    <xf numFmtId="0" fontId="4" fillId="0" borderId="0"/>
  </cellStyleXfs>
  <cellXfs count="9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Border="1"/>
    <xf numFmtId="0" fontId="4" fillId="0" borderId="0" xfId="0" applyFont="1"/>
    <xf numFmtId="0" fontId="0" fillId="0" borderId="0" xfId="0" applyBorder="1" applyAlignment="1">
      <alignment vertical="center"/>
    </xf>
    <xf numFmtId="0" fontId="2" fillId="0" borderId="0" xfId="0" applyFont="1" applyBorder="1"/>
    <xf numFmtId="0" fontId="4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 applyBorder="1"/>
    <xf numFmtId="0" fontId="4" fillId="0" borderId="0" xfId="0" applyFont="1" applyAlignment="1">
      <alignment horizontal="center"/>
    </xf>
    <xf numFmtId="0" fontId="2" fillId="0" borderId="0" xfId="0" applyFont="1"/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0" fillId="3" borderId="0" xfId="0" applyFill="1" applyBorder="1"/>
    <xf numFmtId="0" fontId="2" fillId="3" borderId="0" xfId="0" applyFont="1" applyFill="1" applyBorder="1" applyAlignment="1">
      <alignment horizontal="right"/>
    </xf>
    <xf numFmtId="0" fontId="2" fillId="3" borderId="0" xfId="0" applyFont="1" applyFill="1" applyBorder="1"/>
    <xf numFmtId="0" fontId="4" fillId="3" borderId="0" xfId="0" applyFont="1" applyFill="1" applyBorder="1"/>
    <xf numFmtId="0" fontId="2" fillId="3" borderId="0" xfId="0" applyFont="1" applyFill="1" applyBorder="1" applyAlignment="1"/>
    <xf numFmtId="0" fontId="1" fillId="3" borderId="0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9" fillId="5" borderId="0" xfId="0" applyFont="1" applyFill="1"/>
    <xf numFmtId="0" fontId="2" fillId="5" borderId="2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right" vertical="center"/>
    </xf>
    <xf numFmtId="14" fontId="7" fillId="3" borderId="0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4" fontId="9" fillId="0" borderId="0" xfId="0" applyNumberFormat="1" applyFont="1" applyFill="1" applyAlignment="1">
      <alignment horizontal="center"/>
    </xf>
    <xf numFmtId="0" fontId="9" fillId="3" borderId="0" xfId="0" applyFont="1" applyFill="1"/>
    <xf numFmtId="0" fontId="5" fillId="3" borderId="0" xfId="0" applyFont="1" applyFill="1" applyBorder="1" applyAlignment="1">
      <alignment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Border="1"/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4" fillId="0" borderId="0" xfId="0" applyFont="1"/>
    <xf numFmtId="0" fontId="14" fillId="0" borderId="0" xfId="0" applyFont="1" applyFill="1"/>
    <xf numFmtId="14" fontId="0" fillId="0" borderId="0" xfId="0" applyNumberFormat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0" borderId="6" xfId="0" applyFont="1" applyFill="1" applyBorder="1"/>
    <xf numFmtId="0" fontId="0" fillId="0" borderId="6" xfId="0" applyFill="1" applyBorder="1"/>
    <xf numFmtId="0" fontId="15" fillId="9" borderId="0" xfId="0" applyFont="1" applyFill="1" applyAlignment="1">
      <alignment horizontal="center"/>
    </xf>
    <xf numFmtId="49" fontId="15" fillId="8" borderId="0" xfId="0" applyNumberFormat="1" applyFont="1" applyFill="1" applyAlignment="1">
      <alignment horizontal="center"/>
    </xf>
    <xf numFmtId="49" fontId="4" fillId="0" borderId="0" xfId="0" quotePrefix="1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/>
    <xf numFmtId="49" fontId="4" fillId="0" borderId="0" xfId="0" applyNumberFormat="1" applyFont="1"/>
    <xf numFmtId="0" fontId="4" fillId="4" borderId="0" xfId="0" applyFont="1" applyFill="1" applyBorder="1" applyAlignment="1">
      <alignment horizontal="center"/>
    </xf>
    <xf numFmtId="0" fontId="0" fillId="0" borderId="11" xfId="0" applyFill="1" applyBorder="1"/>
    <xf numFmtId="0" fontId="4" fillId="0" borderId="12" xfId="0" applyFont="1" applyFill="1" applyBorder="1"/>
    <xf numFmtId="0" fontId="4" fillId="0" borderId="11" xfId="0" applyFont="1" applyFill="1" applyBorder="1"/>
    <xf numFmtId="0" fontId="16" fillId="0" borderId="10" xfId="0" applyFont="1" applyBorder="1"/>
    <xf numFmtId="0" fontId="17" fillId="0" borderId="15" xfId="0" applyFont="1" applyFill="1" applyBorder="1"/>
    <xf numFmtId="0" fontId="17" fillId="0" borderId="13" xfId="0" applyFont="1" applyFill="1" applyBorder="1"/>
    <xf numFmtId="0" fontId="17" fillId="0" borderId="13" xfId="0" applyFont="1" applyBorder="1"/>
    <xf numFmtId="0" fontId="0" fillId="17" borderId="19" xfId="0" applyFill="1" applyBorder="1" applyAlignment="1">
      <alignment horizontal="center" vertical="center"/>
    </xf>
    <xf numFmtId="0" fontId="0" fillId="0" borderId="21" xfId="0" applyBorder="1"/>
    <xf numFmtId="0" fontId="17" fillId="0" borderId="22" xfId="0" applyFont="1" applyFill="1" applyBorder="1"/>
    <xf numFmtId="0" fontId="17" fillId="0" borderId="23" xfId="0" applyFont="1" applyFill="1" applyBorder="1"/>
    <xf numFmtId="0" fontId="0" fillId="0" borderId="12" xfId="0" applyFill="1" applyBorder="1"/>
    <xf numFmtId="0" fontId="4" fillId="0" borderId="12" xfId="0" applyFont="1" applyBorder="1"/>
    <xf numFmtId="0" fontId="4" fillId="0" borderId="11" xfId="0" applyFont="1" applyBorder="1"/>
    <xf numFmtId="0" fontId="16" fillId="0" borderId="17" xfId="0" applyFont="1" applyBorder="1"/>
    <xf numFmtId="0" fontId="16" fillId="0" borderId="14" xfId="0" applyFont="1" applyBorder="1"/>
    <xf numFmtId="0" fontId="16" fillId="0" borderId="24" xfId="0" applyFont="1" applyBorder="1"/>
    <xf numFmtId="0" fontId="0" fillId="0" borderId="25" xfId="0" applyBorder="1"/>
    <xf numFmtId="0" fontId="0" fillId="0" borderId="26" xfId="0" applyBorder="1"/>
    <xf numFmtId="0" fontId="2" fillId="18" borderId="0" xfId="0" applyFont="1" applyFill="1" applyBorder="1" applyAlignment="1">
      <alignment horizontal="center" vertical="center"/>
    </xf>
    <xf numFmtId="0" fontId="2" fillId="18" borderId="20" xfId="0" applyFont="1" applyFill="1" applyBorder="1" applyAlignment="1">
      <alignment horizontal="center" vertical="center"/>
    </xf>
    <xf numFmtId="0" fontId="18" fillId="18" borderId="20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4" fillId="16" borderId="16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4" fillId="10" borderId="16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4" fillId="13" borderId="16" xfId="0" applyFont="1" applyFill="1" applyBorder="1" applyAlignment="1">
      <alignment horizontal="center" vertical="center" wrapText="1"/>
    </xf>
    <xf numFmtId="0" fontId="0" fillId="13" borderId="16" xfId="0" applyFill="1" applyBorder="1" applyAlignment="1">
      <alignment horizontal="center" vertical="center"/>
    </xf>
    <xf numFmtId="0" fontId="4" fillId="15" borderId="16" xfId="0" applyFont="1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</cellXfs>
  <cellStyles count="6">
    <cellStyle name="Normal" xfId="0" builtinId="0"/>
    <cellStyle name="Normal 2" xfId="1"/>
    <cellStyle name="Normal 2 2" xfId="2"/>
    <cellStyle name="Normal 2 2 2" xfId="3"/>
    <cellStyle name="Normal 2 2 3" xfId="4"/>
    <cellStyle name="Normal 3" xf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600075</xdr:colOff>
          <xdr:row>1</xdr:row>
          <xdr:rowOff>9525</xdr:rowOff>
        </xdr:from>
        <xdr:to>
          <xdr:col>2</xdr:col>
          <xdr:colOff>1171575</xdr:colOff>
          <xdr:row>2</xdr:row>
          <xdr:rowOff>66675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00" mc:Ignorable="a14" a14:legacySpreadsheetColorIndex="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Ouverture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600075</xdr:colOff>
          <xdr:row>3</xdr:row>
          <xdr:rowOff>0</xdr:rowOff>
        </xdr:from>
        <xdr:to>
          <xdr:col>2</xdr:col>
          <xdr:colOff>1362075</xdr:colOff>
          <xdr:row>4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CC99" mc:Ignorable="a14" a14:legacySpreadsheetColorIndex="47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Modification / suppression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209550</xdr:colOff>
      <xdr:row>0</xdr:row>
      <xdr:rowOff>104775</xdr:rowOff>
    </xdr:from>
    <xdr:to>
      <xdr:col>0</xdr:col>
      <xdr:colOff>1943100</xdr:colOff>
      <xdr:row>0</xdr:row>
      <xdr:rowOff>781050</xdr:rowOff>
    </xdr:to>
    <xdr:pic>
      <xdr:nvPicPr>
        <xdr:cNvPr id="1232" name="Imag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04775"/>
          <a:ext cx="17335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257175</xdr:rowOff>
    </xdr:from>
    <xdr:to>
      <xdr:col>6</xdr:col>
      <xdr:colOff>1114425</xdr:colOff>
      <xdr:row>0</xdr:row>
      <xdr:rowOff>504825</xdr:rowOff>
    </xdr:to>
    <xdr:pic>
      <xdr:nvPicPr>
        <xdr:cNvPr id="1233" name="Imag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6025" y="257175"/>
          <a:ext cx="1114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AK74"/>
  <sheetViews>
    <sheetView tabSelected="1" zoomScaleNormal="100" workbookViewId="0">
      <selection activeCell="A11" sqref="A11"/>
    </sheetView>
  </sheetViews>
  <sheetFormatPr baseColWidth="10" defaultRowHeight="12.75" x14ac:dyDescent="0.2"/>
  <cols>
    <col min="1" max="1" width="38.7109375" style="2" customWidth="1"/>
    <col min="2" max="2" width="12.7109375" style="36" customWidth="1"/>
    <col min="3" max="3" width="31" style="2" customWidth="1"/>
    <col min="4" max="4" width="18.28515625" style="2" customWidth="1"/>
    <col min="5" max="5" width="17.5703125" style="2" customWidth="1"/>
    <col min="6" max="6" width="42" style="6" customWidth="1"/>
    <col min="7" max="7" width="18.7109375" style="6" customWidth="1"/>
    <col min="8" max="8" width="10" style="6" customWidth="1"/>
    <col min="9" max="9" width="29.85546875" style="2" customWidth="1"/>
    <col min="10" max="10" width="10.5703125" style="2" customWidth="1"/>
    <col min="11" max="37" width="11.42578125" style="15"/>
    <col min="38" max="16384" width="11.42578125" style="2"/>
  </cols>
  <sheetData>
    <row r="1" spans="1:37" ht="66" customHeight="1" x14ac:dyDescent="0.2">
      <c r="A1" s="78" t="s">
        <v>274</v>
      </c>
      <c r="B1" s="78"/>
      <c r="C1" s="78"/>
      <c r="D1" s="78"/>
      <c r="E1" s="78"/>
      <c r="F1" s="78"/>
      <c r="G1" s="78"/>
      <c r="H1" s="15"/>
      <c r="I1" s="15"/>
      <c r="J1" s="15"/>
    </row>
    <row r="2" spans="1:37" x14ac:dyDescent="0.2">
      <c r="A2" s="15"/>
      <c r="B2" s="15"/>
      <c r="C2" s="15"/>
      <c r="D2" s="79" t="s">
        <v>2</v>
      </c>
      <c r="E2" s="79"/>
      <c r="F2" s="79"/>
      <c r="G2" s="26"/>
      <c r="H2" s="27"/>
      <c r="I2" s="20"/>
      <c r="J2" s="14"/>
    </row>
    <row r="3" spans="1:37" x14ac:dyDescent="0.2">
      <c r="A3" s="15"/>
      <c r="B3" s="15"/>
      <c r="C3" s="15"/>
      <c r="D3" s="16" t="s">
        <v>0</v>
      </c>
      <c r="E3" s="80"/>
      <c r="F3" s="81"/>
      <c r="G3" s="26"/>
      <c r="H3" s="27"/>
      <c r="I3" s="20"/>
      <c r="J3" s="14"/>
    </row>
    <row r="4" spans="1:37" x14ac:dyDescent="0.2">
      <c r="A4" s="15"/>
      <c r="B4" s="15"/>
      <c r="C4" s="15"/>
      <c r="D4" s="16" t="s">
        <v>1</v>
      </c>
      <c r="E4" s="80"/>
      <c r="F4" s="81"/>
      <c r="G4" s="26"/>
      <c r="H4" s="27"/>
      <c r="I4" s="20"/>
      <c r="J4" s="14"/>
    </row>
    <row r="5" spans="1:37" x14ac:dyDescent="0.2">
      <c r="A5" s="34"/>
      <c r="B5" s="15"/>
      <c r="C5" s="15"/>
      <c r="D5" s="16" t="s">
        <v>660</v>
      </c>
      <c r="E5" s="43"/>
      <c r="F5" s="18"/>
      <c r="G5" s="26"/>
      <c r="H5" s="27"/>
      <c r="I5" s="20"/>
      <c r="J5" s="14"/>
    </row>
    <row r="6" spans="1:37" x14ac:dyDescent="0.2">
      <c r="A6" s="34"/>
      <c r="B6" s="15"/>
      <c r="C6" s="15"/>
      <c r="D6" s="16" t="s">
        <v>720</v>
      </c>
      <c r="E6" s="52"/>
      <c r="F6" s="18"/>
      <c r="G6" s="26"/>
      <c r="H6" s="27"/>
      <c r="I6" s="20"/>
      <c r="J6" s="14"/>
    </row>
    <row r="7" spans="1:37" ht="7.5" customHeight="1" x14ac:dyDescent="0.2">
      <c r="A7" s="15"/>
      <c r="B7" s="15"/>
      <c r="C7" s="15"/>
      <c r="D7" s="15"/>
      <c r="E7" s="15"/>
      <c r="F7" s="18"/>
      <c r="G7" s="18"/>
      <c r="H7" s="18"/>
      <c r="I7" s="19"/>
      <c r="J7" s="17"/>
    </row>
    <row r="8" spans="1:37" ht="24.75" customHeight="1" x14ac:dyDescent="0.2">
      <c r="A8" s="82" t="s">
        <v>272</v>
      </c>
      <c r="B8" s="83"/>
      <c r="C8" s="83"/>
      <c r="D8" s="83"/>
      <c r="E8" s="83"/>
      <c r="F8" s="83"/>
      <c r="G8" s="28"/>
      <c r="H8" s="27"/>
      <c r="I8" s="20"/>
      <c r="J8" s="14"/>
    </row>
    <row r="9" spans="1:37" s="4" customFormat="1" ht="30.75" customHeight="1" thickBot="1" x14ac:dyDescent="0.25">
      <c r="A9" s="21" t="s">
        <v>270</v>
      </c>
      <c r="B9" s="22" t="s">
        <v>722</v>
      </c>
      <c r="C9" s="22" t="s">
        <v>275</v>
      </c>
      <c r="D9" s="22" t="s">
        <v>721</v>
      </c>
      <c r="E9" s="22" t="s">
        <v>403</v>
      </c>
      <c r="F9" s="23" t="s">
        <v>271</v>
      </c>
      <c r="G9" s="25" t="s">
        <v>273</v>
      </c>
      <c r="H9" s="27"/>
      <c r="I9" s="20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spans="1:37" s="4" customFormat="1" ht="30.75" customHeight="1" thickTop="1" thickBot="1" x14ac:dyDescent="0.25">
      <c r="A10" s="75" t="s">
        <v>747</v>
      </c>
      <c r="B10" s="76"/>
      <c r="C10" s="76"/>
      <c r="D10" s="76"/>
      <c r="E10" s="76"/>
      <c r="F10" s="76"/>
      <c r="G10" s="77"/>
      <c r="H10" s="27"/>
      <c r="I10" s="20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spans="1:37" ht="13.5" thickTop="1" x14ac:dyDescent="0.2">
      <c r="A11" s="4"/>
      <c r="B11" s="37"/>
      <c r="C11" s="13" t="str">
        <f>IF(B11&gt;0,VLOOKUP(B11,Liste_stes_actives!$A:$B,2,FALSE),"")</f>
        <v/>
      </c>
      <c r="D11" s="13"/>
      <c r="E11" s="13" t="str">
        <f>IF(D11&gt;0,VLOOKUP(D11,Liste_regions!$A$2:$B$9,2,FALSE),"")</f>
        <v/>
      </c>
      <c r="F11" s="24" t="str">
        <f t="shared" ref="F11:F36" si="0">SUBSTITUTE(SUBSTITUTE(A11,"YYYY",B11),"XXX",D11)</f>
        <v/>
      </c>
      <c r="G11" s="29"/>
      <c r="H11" s="27"/>
      <c r="I11" s="20"/>
      <c r="J11" s="14"/>
    </row>
    <row r="12" spans="1:37" x14ac:dyDescent="0.2">
      <c r="A12" s="4"/>
      <c r="B12" s="37"/>
      <c r="C12" s="13" t="str">
        <f>IF(B12&gt;0,VLOOKUP(B12,Liste_stes_actives!$A:$B,2,FALSE),"")</f>
        <v/>
      </c>
      <c r="D12" s="38"/>
      <c r="E12" s="13" t="str">
        <f>IF(D12&gt;0,VLOOKUP(D12,Liste_regions!$A$2:$B$9,2,FALSE),"")</f>
        <v/>
      </c>
      <c r="F12" s="24" t="str">
        <f t="shared" si="0"/>
        <v/>
      </c>
      <c r="G12" s="29"/>
      <c r="H12" s="30"/>
      <c r="I12" s="31"/>
      <c r="J12" s="15"/>
    </row>
    <row r="13" spans="1:37" x14ac:dyDescent="0.2">
      <c r="A13" s="4"/>
      <c r="B13" s="37"/>
      <c r="C13" s="13" t="str">
        <f>IF(B13&gt;0,VLOOKUP(B13,Liste_stes_actives!$A:$B,2,FALSE),"")</f>
        <v/>
      </c>
      <c r="D13" s="38"/>
      <c r="E13" s="13" t="str">
        <f>IF(D13&gt;0,VLOOKUP(D13,Liste_regions!$A$2:$B$9,2,FALSE),"")</f>
        <v/>
      </c>
      <c r="F13" s="24" t="str">
        <f t="shared" si="0"/>
        <v/>
      </c>
      <c r="G13" s="29"/>
      <c r="H13" s="30"/>
      <c r="I13" s="15"/>
      <c r="J13" s="15"/>
    </row>
    <row r="14" spans="1:37" x14ac:dyDescent="0.2">
      <c r="A14" s="4"/>
      <c r="B14" s="37"/>
      <c r="C14" s="13" t="str">
        <f>IF(B14&gt;0,VLOOKUP(B14,Liste_stes_actives!$A:$B,2,FALSE),"")</f>
        <v/>
      </c>
      <c r="D14" s="38"/>
      <c r="E14" s="13" t="str">
        <f>IF(D14&gt;0,VLOOKUP(D14,Liste_regions!$A$2:$B$9,2,FALSE),"")</f>
        <v/>
      </c>
      <c r="F14" s="24" t="str">
        <f t="shared" si="0"/>
        <v/>
      </c>
      <c r="G14" s="29"/>
      <c r="H14" s="30"/>
      <c r="I14" s="15"/>
      <c r="J14" s="15"/>
    </row>
    <row r="15" spans="1:37" x14ac:dyDescent="0.2">
      <c r="A15" s="4"/>
      <c r="B15" s="37"/>
      <c r="C15" s="13" t="str">
        <f>IF(B15&gt;0,VLOOKUP(B15,Liste_stes_actives!$A:$B,2,FALSE),"")</f>
        <v/>
      </c>
      <c r="D15" s="39"/>
      <c r="E15" s="13" t="str">
        <f>IF(D15&gt;0,VLOOKUP(D15,Liste_regions!$A$2:$B$9,2,FALSE),"")</f>
        <v/>
      </c>
      <c r="F15" s="24" t="str">
        <f t="shared" si="0"/>
        <v/>
      </c>
      <c r="G15" s="29"/>
      <c r="H15" s="30"/>
      <c r="I15" s="15"/>
      <c r="J15" s="15"/>
    </row>
    <row r="16" spans="1:37" x14ac:dyDescent="0.2">
      <c r="A16" s="4"/>
      <c r="B16" s="37"/>
      <c r="C16" s="13" t="str">
        <f>IF(B16&gt;0,VLOOKUP(B16,Liste_stes_actives!$A:$B,2,FALSE),"")</f>
        <v/>
      </c>
      <c r="D16" s="7"/>
      <c r="E16" s="13" t="str">
        <f>IF(D16&gt;0,VLOOKUP(D16,Liste_regions!$A$2:$B$9,2,FALSE),"")</f>
        <v/>
      </c>
      <c r="F16" s="24" t="str">
        <f t="shared" si="0"/>
        <v/>
      </c>
      <c r="G16" s="29"/>
      <c r="H16" s="30"/>
      <c r="I16" s="15"/>
      <c r="J16" s="15"/>
    </row>
    <row r="17" spans="1:10" x14ac:dyDescent="0.2">
      <c r="A17" s="4"/>
      <c r="B17" s="37"/>
      <c r="C17" s="13" t="str">
        <f>IF(B17&gt;0,VLOOKUP(B17,Liste_stes_actives!$A:$B,2,FALSE),"")</f>
        <v/>
      </c>
      <c r="D17" s="7"/>
      <c r="E17" s="13" t="str">
        <f>IF(D17&gt;0,VLOOKUP(D17,Liste_regions!$A$2:$B$9,2,FALSE),"")</f>
        <v/>
      </c>
      <c r="F17" s="24" t="str">
        <f t="shared" si="0"/>
        <v/>
      </c>
      <c r="G17" s="29"/>
      <c r="H17" s="30"/>
      <c r="I17" s="15"/>
      <c r="J17" s="15"/>
    </row>
    <row r="18" spans="1:10" x14ac:dyDescent="0.2">
      <c r="A18" s="4"/>
      <c r="B18" s="37"/>
      <c r="C18" s="13" t="str">
        <f>IF(B18&gt;0,VLOOKUP(B18,Liste_stes_actives!$A:$B,2,FALSE),"")</f>
        <v/>
      </c>
      <c r="D18" s="7"/>
      <c r="E18" s="13" t="str">
        <f>IF(D18&gt;0,VLOOKUP(D18,Liste_regions!$A$2:$B$9,2,FALSE),"")</f>
        <v/>
      </c>
      <c r="F18" s="24" t="str">
        <f t="shared" si="0"/>
        <v/>
      </c>
      <c r="G18" s="29"/>
      <c r="H18" s="30"/>
      <c r="I18" s="15"/>
      <c r="J18" s="15"/>
    </row>
    <row r="19" spans="1:10" x14ac:dyDescent="0.2">
      <c r="A19" s="4"/>
      <c r="B19" s="37"/>
      <c r="C19" s="13" t="str">
        <f>IF(B19&gt;0,VLOOKUP(B19,Liste_stes_actives!$A:$B,2,FALSE),"")</f>
        <v/>
      </c>
      <c r="D19" s="7"/>
      <c r="E19" s="13" t="str">
        <f>IF(D19&gt;0,VLOOKUP(D19,Liste_regions!$A$2:$B$9,2,FALSE),"")</f>
        <v/>
      </c>
      <c r="F19" s="24" t="str">
        <f t="shared" si="0"/>
        <v/>
      </c>
      <c r="G19" s="29"/>
      <c r="H19" s="30"/>
      <c r="I19" s="15"/>
      <c r="J19" s="15"/>
    </row>
    <row r="20" spans="1:10" x14ac:dyDescent="0.2">
      <c r="A20" s="4"/>
      <c r="B20" s="37"/>
      <c r="C20" s="13" t="str">
        <f>IF(B20&gt;0,VLOOKUP(B20,Liste_stes_actives!$A:$B,2,FALSE),"")</f>
        <v/>
      </c>
      <c r="D20" s="7"/>
      <c r="E20" s="13" t="str">
        <f>IF(D20&gt;0,VLOOKUP(D20,Liste_regions!$A$2:$B$9,2,FALSE),"")</f>
        <v/>
      </c>
      <c r="F20" s="24" t="str">
        <f t="shared" si="0"/>
        <v/>
      </c>
      <c r="G20" s="29"/>
      <c r="H20" s="30"/>
      <c r="I20" s="15"/>
      <c r="J20" s="15"/>
    </row>
    <row r="21" spans="1:10" x14ac:dyDescent="0.2">
      <c r="A21" s="4"/>
      <c r="B21" s="37"/>
      <c r="C21" s="13" t="str">
        <f>IF(B21&gt;0,VLOOKUP(B21,Liste_stes_actives!$A:$B,2,FALSE),"")</f>
        <v/>
      </c>
      <c r="D21" s="7"/>
      <c r="E21" s="13" t="str">
        <f>IF(D21&gt;0,VLOOKUP(D21,Liste_regions!$A$2:$B$9,2,FALSE),"")</f>
        <v/>
      </c>
      <c r="F21" s="24" t="str">
        <f t="shared" si="0"/>
        <v/>
      </c>
      <c r="G21" s="29"/>
      <c r="H21" s="30"/>
      <c r="I21" s="15"/>
      <c r="J21" s="15"/>
    </row>
    <row r="22" spans="1:10" x14ac:dyDescent="0.2">
      <c r="A22" s="4"/>
      <c r="B22" s="37"/>
      <c r="C22" s="13" t="str">
        <f>IF(B22&gt;0,VLOOKUP(B22,Liste_stes_actives!$A:$B,2,FALSE),"")</f>
        <v/>
      </c>
      <c r="D22" s="7"/>
      <c r="E22" s="13" t="str">
        <f>IF(D22&gt;0,VLOOKUP(D22,Liste_regions!$A$2:$B$9,2,FALSE),"")</f>
        <v/>
      </c>
      <c r="F22" s="24" t="str">
        <f t="shared" si="0"/>
        <v/>
      </c>
      <c r="G22" s="29"/>
      <c r="H22" s="30"/>
      <c r="I22" s="15"/>
      <c r="J22" s="15"/>
    </row>
    <row r="23" spans="1:10" x14ac:dyDescent="0.2">
      <c r="A23" s="4"/>
      <c r="B23" s="37"/>
      <c r="C23" s="13" t="str">
        <f>IF(B23&gt;0,VLOOKUP(B23,Liste_stes_actives!$A:$B,2,FALSE),"")</f>
        <v/>
      </c>
      <c r="D23" s="7"/>
      <c r="E23" s="13" t="str">
        <f>IF(D23&gt;0,VLOOKUP(D23,Liste_regions!$A$2:$B$9,2,FALSE),"")</f>
        <v/>
      </c>
      <c r="F23" s="24" t="str">
        <f t="shared" si="0"/>
        <v/>
      </c>
      <c r="G23" s="29"/>
      <c r="H23" s="30"/>
      <c r="I23" s="15"/>
      <c r="J23" s="15"/>
    </row>
    <row r="24" spans="1:10" x14ac:dyDescent="0.2">
      <c r="A24" s="4"/>
      <c r="B24" s="37"/>
      <c r="C24" s="13" t="str">
        <f>IF(B24&gt;0,VLOOKUP(B24,Liste_stes_actives!$A:$B,2,FALSE),"")</f>
        <v/>
      </c>
      <c r="D24" s="7"/>
      <c r="E24" s="13" t="str">
        <f>IF(D24&gt;0,VLOOKUP(D24,Liste_regions!$A$2:$B$9,2,FALSE),"")</f>
        <v/>
      </c>
      <c r="F24" s="24" t="str">
        <f t="shared" si="0"/>
        <v/>
      </c>
      <c r="G24" s="29"/>
      <c r="H24" s="30"/>
      <c r="I24" s="15"/>
      <c r="J24" s="15"/>
    </row>
    <row r="25" spans="1:10" x14ac:dyDescent="0.2">
      <c r="A25" s="4"/>
      <c r="B25" s="37"/>
      <c r="C25" s="13" t="str">
        <f>IF(B25&gt;0,VLOOKUP(B25,Liste_stes_actives!$A:$B,2,FALSE),"")</f>
        <v/>
      </c>
      <c r="D25" s="7"/>
      <c r="E25" s="13" t="str">
        <f>IF(D25&gt;0,VLOOKUP(D25,Liste_regions!$A$2:$B$9,2,FALSE),"")</f>
        <v/>
      </c>
      <c r="F25" s="24" t="str">
        <f t="shared" si="0"/>
        <v/>
      </c>
      <c r="G25" s="29"/>
      <c r="H25" s="30"/>
      <c r="I25" s="15"/>
      <c r="J25" s="15"/>
    </row>
    <row r="26" spans="1:10" x14ac:dyDescent="0.2">
      <c r="A26" s="4"/>
      <c r="B26" s="37"/>
      <c r="C26" s="13" t="str">
        <f>IF(B26&gt;0,VLOOKUP(B26,Liste_stes_actives!$A:$B,2,FALSE),"")</f>
        <v/>
      </c>
      <c r="D26" s="7"/>
      <c r="E26" s="13" t="str">
        <f>IF(D26&gt;0,VLOOKUP(D26,Liste_regions!$A$2:$B$9,2,FALSE),"")</f>
        <v/>
      </c>
      <c r="F26" s="24" t="str">
        <f t="shared" si="0"/>
        <v/>
      </c>
      <c r="G26" s="29"/>
      <c r="H26" s="30"/>
      <c r="I26" s="15"/>
      <c r="J26" s="15"/>
    </row>
    <row r="27" spans="1:10" x14ac:dyDescent="0.2">
      <c r="A27" s="4"/>
      <c r="B27" s="37"/>
      <c r="C27" s="13" t="str">
        <f>IF(B27&gt;0,VLOOKUP(B27,Liste_stes_actives!$A:$B,2,FALSE),"")</f>
        <v/>
      </c>
      <c r="D27" s="7"/>
      <c r="E27" s="13" t="str">
        <f>IF(D27&gt;0,VLOOKUP(D27,Liste_regions!$A$2:$B$9,2,FALSE),"")</f>
        <v/>
      </c>
      <c r="F27" s="24" t="str">
        <f t="shared" si="0"/>
        <v/>
      </c>
      <c r="G27" s="29"/>
      <c r="H27" s="30"/>
      <c r="I27" s="15"/>
      <c r="J27" s="15"/>
    </row>
    <row r="28" spans="1:10" x14ac:dyDescent="0.2">
      <c r="A28" s="4"/>
      <c r="B28" s="35"/>
      <c r="C28" s="13" t="str">
        <f>IF(B28&gt;0,VLOOKUP(B28,Liste_stes_actives!$A:$B,2,FALSE),"")</f>
        <v/>
      </c>
      <c r="D28" s="7"/>
      <c r="E28" s="13" t="str">
        <f>IF(D28&gt;0,VLOOKUP(D28,Liste_regions!$A$2:$B$9,2,FALSE),"")</f>
        <v/>
      </c>
      <c r="F28" s="24" t="str">
        <f t="shared" si="0"/>
        <v/>
      </c>
      <c r="G28" s="29"/>
      <c r="H28" s="30"/>
      <c r="I28" s="15"/>
      <c r="J28" s="15"/>
    </row>
    <row r="29" spans="1:10" x14ac:dyDescent="0.2">
      <c r="A29" s="4"/>
      <c r="B29" s="35"/>
      <c r="C29" s="13" t="str">
        <f>IF(B29&gt;0,VLOOKUP(B29,Liste_stes_actives!$A:$B,2,FALSE),"")</f>
        <v/>
      </c>
      <c r="D29" s="7"/>
      <c r="E29" s="13" t="str">
        <f>IF(D29&gt;0,VLOOKUP(D29,Liste_regions!$A$2:$B$9,2,FALSE),"")</f>
        <v/>
      </c>
      <c r="F29" s="24" t="str">
        <f t="shared" si="0"/>
        <v/>
      </c>
      <c r="G29" s="29"/>
      <c r="H29" s="30"/>
      <c r="I29" s="15"/>
      <c r="J29" s="15"/>
    </row>
    <row r="30" spans="1:10" x14ac:dyDescent="0.2">
      <c r="A30" s="4"/>
      <c r="B30" s="35"/>
      <c r="C30" s="13" t="str">
        <f>IF(B30&gt;0,VLOOKUP(B30,Liste_stes_actives!$A:$B,2,FALSE),"")</f>
        <v/>
      </c>
      <c r="D30" s="7"/>
      <c r="E30" s="13" t="str">
        <f>IF(D30&gt;0,VLOOKUP(D30,Liste_regions!$A$2:$B$9,2,FALSE),"")</f>
        <v/>
      </c>
      <c r="F30" s="24" t="str">
        <f t="shared" si="0"/>
        <v/>
      </c>
      <c r="G30" s="29"/>
      <c r="H30" s="30"/>
      <c r="I30" s="15"/>
      <c r="J30" s="15"/>
    </row>
    <row r="31" spans="1:10" x14ac:dyDescent="0.2">
      <c r="A31" s="4"/>
      <c r="B31" s="35"/>
      <c r="C31" s="13" t="str">
        <f>IF(B31&gt;0,VLOOKUP(B31,Liste_stes_actives!$A:$B,2,FALSE),"")</f>
        <v/>
      </c>
      <c r="D31" s="7"/>
      <c r="E31" s="13" t="str">
        <f>IF(D31&gt;0,VLOOKUP(D31,Liste_regions!$A$2:$B$9,2,FALSE),"")</f>
        <v/>
      </c>
      <c r="F31" s="24" t="str">
        <f t="shared" si="0"/>
        <v/>
      </c>
      <c r="G31" s="29"/>
      <c r="H31" s="30"/>
      <c r="I31" s="15"/>
      <c r="J31" s="15"/>
    </row>
    <row r="32" spans="1:10" x14ac:dyDescent="0.2">
      <c r="A32" s="4"/>
      <c r="B32" s="35"/>
      <c r="C32" s="13" t="str">
        <f>IF(B32&gt;0,VLOOKUP(B32,Liste_stes_actives!$A:$B,2,FALSE),"")</f>
        <v/>
      </c>
      <c r="D32" s="7"/>
      <c r="E32" s="13" t="str">
        <f>IF(D32&gt;0,VLOOKUP(D32,Liste_regions!$A$2:$B$9,2,FALSE),"")</f>
        <v/>
      </c>
      <c r="F32" s="24" t="str">
        <f t="shared" si="0"/>
        <v/>
      </c>
      <c r="G32" s="29"/>
      <c r="H32" s="30"/>
      <c r="I32" s="15"/>
      <c r="J32" s="15"/>
    </row>
    <row r="33" spans="1:10" x14ac:dyDescent="0.2">
      <c r="A33" s="4"/>
      <c r="B33" s="35"/>
      <c r="C33" s="13" t="str">
        <f>IF(B33&gt;0,VLOOKUP(B33,Liste_stes_actives!$A:$B,2,FALSE),"")</f>
        <v/>
      </c>
      <c r="D33" s="7"/>
      <c r="E33" s="13" t="str">
        <f>IF(D33&gt;0,VLOOKUP(D33,Liste_regions!$A$2:$B$9,2,FALSE),"")</f>
        <v/>
      </c>
      <c r="F33" s="24" t="str">
        <f t="shared" si="0"/>
        <v/>
      </c>
      <c r="G33" s="29"/>
      <c r="H33" s="30"/>
      <c r="I33" s="15"/>
      <c r="J33" s="15"/>
    </row>
    <row r="34" spans="1:10" x14ac:dyDescent="0.2">
      <c r="A34" s="4"/>
      <c r="B34" s="35"/>
      <c r="C34" s="13" t="str">
        <f>IF(B34&gt;0,VLOOKUP(B34,Liste_stes_actives!$A:$B,2,FALSE),"")</f>
        <v/>
      </c>
      <c r="D34" s="7"/>
      <c r="E34" s="13" t="str">
        <f>IF(D34&gt;0,VLOOKUP(D34,Liste_regions!$A$2:$B$9,2,FALSE),"")</f>
        <v/>
      </c>
      <c r="F34" s="24" t="str">
        <f t="shared" si="0"/>
        <v/>
      </c>
      <c r="G34" s="29"/>
      <c r="H34" s="30"/>
      <c r="I34" s="15"/>
      <c r="J34" s="15"/>
    </row>
    <row r="35" spans="1:10" x14ac:dyDescent="0.2">
      <c r="A35" s="4"/>
      <c r="B35" s="35"/>
      <c r="C35" s="13" t="str">
        <f>IF(B35&gt;0,VLOOKUP(B35,Liste_stes_actives!$A:$B,2,FALSE),"")</f>
        <v/>
      </c>
      <c r="D35" s="7"/>
      <c r="E35" s="13" t="str">
        <f>IF(D35&gt;0,VLOOKUP(D35,Liste_regions!$A$2:$B$9,2,FALSE),"")</f>
        <v/>
      </c>
      <c r="F35" s="24" t="str">
        <f t="shared" si="0"/>
        <v/>
      </c>
      <c r="G35" s="29"/>
      <c r="H35" s="30"/>
      <c r="I35" s="15"/>
      <c r="J35" s="15"/>
    </row>
    <row r="36" spans="1:10" x14ac:dyDescent="0.2">
      <c r="A36" s="4"/>
      <c r="B36" s="35"/>
      <c r="C36" s="13" t="str">
        <f>IF(B36&gt;0,VLOOKUP(B36,Liste_stes_actives!$A:$B,2,FALSE),"")</f>
        <v/>
      </c>
      <c r="D36" s="7"/>
      <c r="E36" s="13" t="str">
        <f>IF(D36&gt;0,VLOOKUP(D36,Liste_regions!$A$2:$B$9,2,FALSE),"")</f>
        <v/>
      </c>
      <c r="F36" s="24" t="str">
        <f t="shared" si="0"/>
        <v/>
      </c>
      <c r="G36" s="29"/>
      <c r="H36" s="30"/>
      <c r="I36" s="15"/>
      <c r="J36" s="15"/>
    </row>
    <row r="37" spans="1:10" x14ac:dyDescent="0.2">
      <c r="A37" s="4"/>
      <c r="B37" s="35"/>
      <c r="C37" s="13" t="str">
        <f>IF(B37&gt;0,VLOOKUP(B37,Liste_stes_actives!$A:$B,2,FALSE),"")</f>
        <v/>
      </c>
      <c r="D37" s="7"/>
      <c r="E37" s="13" t="str">
        <f>IF(D37&gt;0,VLOOKUP(D37,Liste_regions!$A$2:$B$9,2,FALSE),"")</f>
        <v/>
      </c>
      <c r="F37" s="24" t="str">
        <f t="shared" ref="F37:F70" si="1">SUBSTITUTE(SUBSTITUTE(A37,"YYYY",B37),"XXX",D37)</f>
        <v/>
      </c>
      <c r="G37" s="29"/>
      <c r="H37" s="30"/>
      <c r="I37" s="15"/>
      <c r="J37" s="15"/>
    </row>
    <row r="38" spans="1:10" x14ac:dyDescent="0.2">
      <c r="A38" s="4"/>
      <c r="B38" s="35"/>
      <c r="C38" s="13" t="str">
        <f>IF(B38&gt;0,VLOOKUP(B38,Liste_stes_actives!$A:$B,2,FALSE),"")</f>
        <v/>
      </c>
      <c r="D38" s="7"/>
      <c r="E38" s="13" t="str">
        <f>IF(D38&gt;0,VLOOKUP(D38,Liste_regions!$A$2:$B$9,2,FALSE),"")</f>
        <v/>
      </c>
      <c r="F38" s="24" t="str">
        <f t="shared" si="1"/>
        <v/>
      </c>
      <c r="G38" s="29"/>
      <c r="H38" s="30"/>
      <c r="I38" s="15"/>
      <c r="J38" s="15"/>
    </row>
    <row r="39" spans="1:10" x14ac:dyDescent="0.2">
      <c r="A39" s="4"/>
      <c r="B39" s="35"/>
      <c r="C39" s="13" t="str">
        <f>IF(B39&gt;0,VLOOKUP(B39,Liste_stes_actives!$A:$B,2,FALSE),"")</f>
        <v/>
      </c>
      <c r="D39" s="7"/>
      <c r="E39" s="13" t="str">
        <f>IF(D39&gt;0,VLOOKUP(D39,Liste_regions!$A$2:$B$9,2,FALSE),"")</f>
        <v/>
      </c>
      <c r="F39" s="24" t="str">
        <f t="shared" si="1"/>
        <v/>
      </c>
      <c r="G39" s="29"/>
      <c r="H39" s="30"/>
      <c r="I39" s="15"/>
      <c r="J39" s="15"/>
    </row>
    <row r="40" spans="1:10" x14ac:dyDescent="0.2">
      <c r="A40" s="4"/>
      <c r="B40" s="35"/>
      <c r="C40" s="13" t="str">
        <f>IF(B40&gt;0,VLOOKUP(B40,Liste_stes_actives!$A:$B,2,FALSE),"")</f>
        <v/>
      </c>
      <c r="D40" s="7"/>
      <c r="E40" s="13" t="str">
        <f>IF(D40&gt;0,VLOOKUP(D40,Liste_regions!$A$2:$B$9,2,FALSE),"")</f>
        <v/>
      </c>
      <c r="F40" s="24" t="str">
        <f t="shared" si="1"/>
        <v/>
      </c>
      <c r="G40" s="29"/>
      <c r="H40" s="30"/>
      <c r="I40" s="15"/>
      <c r="J40" s="15"/>
    </row>
    <row r="41" spans="1:10" x14ac:dyDescent="0.2">
      <c r="A41" s="4"/>
      <c r="B41" s="35"/>
      <c r="C41" s="13" t="str">
        <f>IF(B41&gt;0,VLOOKUP(B41,Liste_stes_actives!$A:$B,2,FALSE),"")</f>
        <v/>
      </c>
      <c r="D41" s="7"/>
      <c r="E41" s="13" t="str">
        <f>IF(D41&gt;0,VLOOKUP(D41,Liste_regions!$A$2:$B$9,2,FALSE),"")</f>
        <v/>
      </c>
      <c r="F41" s="24" t="str">
        <f t="shared" si="1"/>
        <v/>
      </c>
      <c r="G41" s="29"/>
      <c r="H41" s="30"/>
      <c r="I41" s="15"/>
      <c r="J41" s="15"/>
    </row>
    <row r="42" spans="1:10" x14ac:dyDescent="0.2">
      <c r="A42" s="4"/>
      <c r="B42" s="35"/>
      <c r="C42" s="13" t="str">
        <f>IF(B42&gt;0,VLOOKUP(B42,Liste_stes_actives!$A:$B,2,FALSE),"")</f>
        <v/>
      </c>
      <c r="D42" s="7"/>
      <c r="E42" s="13" t="str">
        <f>IF(D42&gt;0,VLOOKUP(D42,Liste_regions!$A$2:$B$9,2,FALSE),"")</f>
        <v/>
      </c>
      <c r="F42" s="24" t="str">
        <f t="shared" si="1"/>
        <v/>
      </c>
      <c r="G42" s="29"/>
      <c r="H42" s="30"/>
      <c r="I42" s="15"/>
      <c r="J42" s="15"/>
    </row>
    <row r="43" spans="1:10" x14ac:dyDescent="0.2">
      <c r="A43" s="4"/>
      <c r="B43" s="35"/>
      <c r="C43" s="13" t="str">
        <f>IF(B43&gt;0,VLOOKUP(B43,Liste_stes_actives!$A:$B,2,FALSE),"")</f>
        <v/>
      </c>
      <c r="D43" s="7"/>
      <c r="E43" s="13" t="str">
        <f>IF(D43&gt;0,VLOOKUP(D43,Liste_regions!$A$2:$B$9,2,FALSE),"")</f>
        <v/>
      </c>
      <c r="F43" s="24" t="str">
        <f t="shared" si="1"/>
        <v/>
      </c>
      <c r="G43" s="29"/>
      <c r="H43" s="30"/>
      <c r="I43" s="15"/>
      <c r="J43" s="15"/>
    </row>
    <row r="44" spans="1:10" x14ac:dyDescent="0.2">
      <c r="A44" s="4"/>
      <c r="B44" s="35"/>
      <c r="C44" s="13" t="str">
        <f>IF(B44&gt;0,VLOOKUP(B44,Liste_stes_actives!$A:$B,2,FALSE),"")</f>
        <v/>
      </c>
      <c r="D44" s="7"/>
      <c r="E44" s="13" t="str">
        <f>IF(D44&gt;0,VLOOKUP(D44,Liste_regions!$A$2:$B$9,2,FALSE),"")</f>
        <v/>
      </c>
      <c r="F44" s="24" t="str">
        <f t="shared" si="1"/>
        <v/>
      </c>
      <c r="G44" s="29"/>
      <c r="H44" s="30"/>
      <c r="I44" s="15"/>
      <c r="J44" s="15"/>
    </row>
    <row r="45" spans="1:10" x14ac:dyDescent="0.2">
      <c r="A45" s="4"/>
      <c r="B45" s="35"/>
      <c r="C45" s="13" t="str">
        <f>IF(B45&gt;0,VLOOKUP(B45,Liste_stes_actives!$A:$B,2,FALSE),"")</f>
        <v/>
      </c>
      <c r="D45" s="7"/>
      <c r="E45" s="13" t="str">
        <f>IF(D45&gt;0,VLOOKUP(D45,Liste_regions!$A$2:$B$9,2,FALSE),"")</f>
        <v/>
      </c>
      <c r="F45" s="24" t="str">
        <f t="shared" si="1"/>
        <v/>
      </c>
      <c r="G45" s="29"/>
      <c r="H45" s="30"/>
      <c r="I45" s="15"/>
      <c r="J45" s="15"/>
    </row>
    <row r="46" spans="1:10" x14ac:dyDescent="0.2">
      <c r="A46" s="4"/>
      <c r="B46" s="35"/>
      <c r="C46" s="13" t="str">
        <f>IF(B46&gt;0,VLOOKUP(B46,Liste_stes_actives!$A:$B,2,FALSE),"")</f>
        <v/>
      </c>
      <c r="D46" s="7"/>
      <c r="E46" s="13" t="str">
        <f>IF(D46&gt;0,VLOOKUP(D46,Liste_regions!$A$2:$B$9,2,FALSE),"")</f>
        <v/>
      </c>
      <c r="F46" s="24" t="str">
        <f t="shared" si="1"/>
        <v/>
      </c>
      <c r="G46" s="29"/>
      <c r="H46" s="30"/>
      <c r="I46" s="15"/>
      <c r="J46" s="15"/>
    </row>
    <row r="47" spans="1:10" x14ac:dyDescent="0.2">
      <c r="A47" s="4"/>
      <c r="B47" s="35"/>
      <c r="C47" s="13" t="str">
        <f>IF(B47&gt;0,VLOOKUP(B47,Liste_stes_actives!$A:$B,2,FALSE),"")</f>
        <v/>
      </c>
      <c r="D47" s="7"/>
      <c r="E47" s="13" t="str">
        <f>IF(D47&gt;0,VLOOKUP(D47,Liste_regions!$A$2:$B$9,2,FALSE),"")</f>
        <v/>
      </c>
      <c r="F47" s="24" t="str">
        <f t="shared" si="1"/>
        <v/>
      </c>
      <c r="G47" s="29"/>
      <c r="H47" s="30"/>
      <c r="I47" s="15"/>
      <c r="J47" s="15"/>
    </row>
    <row r="48" spans="1:10" x14ac:dyDescent="0.2">
      <c r="A48" s="4"/>
      <c r="B48" s="35"/>
      <c r="C48" s="13" t="str">
        <f>IF(B48&gt;0,VLOOKUP(B48,Liste_stes_actives!$A:$B,2,FALSE),"")</f>
        <v/>
      </c>
      <c r="D48" s="7"/>
      <c r="E48" s="13" t="str">
        <f>IF(D48&gt;0,VLOOKUP(D48,Liste_regions!$A$2:$B$9,2,FALSE),"")</f>
        <v/>
      </c>
      <c r="F48" s="24" t="str">
        <f t="shared" si="1"/>
        <v/>
      </c>
      <c r="G48" s="29"/>
      <c r="H48" s="30"/>
      <c r="I48" s="15"/>
      <c r="J48" s="15"/>
    </row>
    <row r="49" spans="1:10" x14ac:dyDescent="0.2">
      <c r="A49" s="4"/>
      <c r="B49" s="35"/>
      <c r="C49" s="13" t="str">
        <f>IF(B49&gt;0,VLOOKUP(B49,Liste_stes_actives!$A:$B,2,FALSE),"")</f>
        <v/>
      </c>
      <c r="D49" s="7"/>
      <c r="E49" s="13" t="str">
        <f>IF(D49&gt;0,VLOOKUP(D49,Liste_regions!$A$2:$B$9,2,FALSE),"")</f>
        <v/>
      </c>
      <c r="F49" s="24" t="str">
        <f t="shared" si="1"/>
        <v/>
      </c>
      <c r="G49" s="29"/>
      <c r="H49" s="30"/>
      <c r="I49" s="15"/>
      <c r="J49" s="15"/>
    </row>
    <row r="50" spans="1:10" x14ac:dyDescent="0.2">
      <c r="A50" s="4"/>
      <c r="B50" s="35"/>
      <c r="C50" s="13" t="str">
        <f>IF(B50&gt;0,VLOOKUP(B50,Liste_stes_actives!$A:$B,2,FALSE),"")</f>
        <v/>
      </c>
      <c r="D50" s="7"/>
      <c r="E50" s="13" t="str">
        <f>IF(D50&gt;0,VLOOKUP(D50,Liste_regions!$A$2:$B$9,2,FALSE),"")</f>
        <v/>
      </c>
      <c r="F50" s="24" t="str">
        <f t="shared" si="1"/>
        <v/>
      </c>
      <c r="G50" s="29"/>
      <c r="H50" s="30"/>
      <c r="I50" s="15"/>
      <c r="J50" s="15"/>
    </row>
    <row r="51" spans="1:10" x14ac:dyDescent="0.2">
      <c r="A51" s="4"/>
      <c r="B51" s="35"/>
      <c r="C51" s="13" t="str">
        <f>IF(B51&gt;0,VLOOKUP(B51,Liste_stes_actives!$A:$B,2,FALSE),"")</f>
        <v/>
      </c>
      <c r="D51" s="7"/>
      <c r="E51" s="13" t="str">
        <f>IF(D51&gt;0,VLOOKUP(D51,Liste_regions!$A$2:$B$9,2,FALSE),"")</f>
        <v/>
      </c>
      <c r="F51" s="24" t="str">
        <f t="shared" si="1"/>
        <v/>
      </c>
      <c r="G51" s="29"/>
      <c r="H51" s="30"/>
      <c r="I51" s="15"/>
      <c r="J51" s="15"/>
    </row>
    <row r="52" spans="1:10" x14ac:dyDescent="0.2">
      <c r="A52" s="4"/>
      <c r="B52" s="35"/>
      <c r="C52" s="13" t="str">
        <f>IF(B52&gt;0,VLOOKUP(B52,Liste_stes_actives!$A:$B,2,FALSE),"")</f>
        <v/>
      </c>
      <c r="D52" s="7"/>
      <c r="E52" s="13" t="str">
        <f>IF(D52&gt;0,VLOOKUP(D52,Liste_regions!$A$2:$B$9,2,FALSE),"")</f>
        <v/>
      </c>
      <c r="F52" s="24" t="str">
        <f t="shared" si="1"/>
        <v/>
      </c>
      <c r="G52" s="29"/>
      <c r="H52" s="30"/>
      <c r="I52" s="15"/>
      <c r="J52" s="15"/>
    </row>
    <row r="53" spans="1:10" x14ac:dyDescent="0.2">
      <c r="A53" s="4"/>
      <c r="B53" s="35"/>
      <c r="C53" s="13" t="str">
        <f>IF(B53&gt;0,VLOOKUP(B53,Liste_stes_actives!$A:$B,2,FALSE),"")</f>
        <v/>
      </c>
      <c r="D53" s="7"/>
      <c r="E53" s="13" t="str">
        <f>IF(D53&gt;0,VLOOKUP(D53,Liste_regions!$A$2:$B$9,2,FALSE),"")</f>
        <v/>
      </c>
      <c r="F53" s="24" t="str">
        <f t="shared" si="1"/>
        <v/>
      </c>
      <c r="G53" s="29"/>
      <c r="H53" s="30"/>
      <c r="I53" s="15"/>
      <c r="J53" s="15"/>
    </row>
    <row r="54" spans="1:10" x14ac:dyDescent="0.2">
      <c r="A54" s="4"/>
      <c r="B54" s="35"/>
      <c r="C54" s="13" t="str">
        <f>IF(B54&gt;0,VLOOKUP(B54,Liste_stes_actives!$A:$B,2,FALSE),"")</f>
        <v/>
      </c>
      <c r="D54" s="7"/>
      <c r="E54" s="13" t="str">
        <f>IF(D54&gt;0,VLOOKUP(D54,Liste_regions!$A$2:$B$9,2,FALSE),"")</f>
        <v/>
      </c>
      <c r="F54" s="24" t="str">
        <f t="shared" si="1"/>
        <v/>
      </c>
      <c r="G54" s="29"/>
      <c r="H54" s="30"/>
      <c r="I54" s="15"/>
      <c r="J54" s="15"/>
    </row>
    <row r="55" spans="1:10" x14ac:dyDescent="0.2">
      <c r="A55" s="4"/>
      <c r="B55" s="35"/>
      <c r="C55" s="13" t="str">
        <f>IF(B55&gt;0,VLOOKUP(B55,Liste_stes_actives!$A:$B,2,FALSE),"")</f>
        <v/>
      </c>
      <c r="D55" s="7"/>
      <c r="E55" s="13" t="str">
        <f>IF(D55&gt;0,VLOOKUP(D55,Liste_regions!$A$2:$B$9,2,FALSE),"")</f>
        <v/>
      </c>
      <c r="F55" s="24" t="str">
        <f t="shared" si="1"/>
        <v/>
      </c>
      <c r="G55" s="29"/>
      <c r="H55" s="30"/>
      <c r="I55" s="15"/>
      <c r="J55" s="15"/>
    </row>
    <row r="56" spans="1:10" x14ac:dyDescent="0.2">
      <c r="A56" s="4"/>
      <c r="B56" s="35"/>
      <c r="C56" s="13" t="str">
        <f>IF(B56&gt;0,VLOOKUP(B56,Liste_stes_actives!$A:$B,2,FALSE),"")</f>
        <v/>
      </c>
      <c r="D56" s="7"/>
      <c r="E56" s="13" t="str">
        <f>IF(D56&gt;0,VLOOKUP(D56,Liste_regions!$A$2:$B$9,2,FALSE),"")</f>
        <v/>
      </c>
      <c r="F56" s="24" t="str">
        <f t="shared" si="1"/>
        <v/>
      </c>
      <c r="G56" s="29"/>
      <c r="H56" s="30"/>
      <c r="I56" s="15"/>
      <c r="J56" s="15"/>
    </row>
    <row r="57" spans="1:10" x14ac:dyDescent="0.2">
      <c r="A57" s="4"/>
      <c r="B57" s="35"/>
      <c r="C57" s="13" t="str">
        <f>IF(B57&gt;0,VLOOKUP(B57,Liste_stes_actives!$A:$B,2,FALSE),"")</f>
        <v/>
      </c>
      <c r="D57" s="7"/>
      <c r="E57" s="13" t="str">
        <f>IF(D57&gt;0,VLOOKUP(D57,Liste_regions!$A$2:$B$9,2,FALSE),"")</f>
        <v/>
      </c>
      <c r="F57" s="24" t="str">
        <f t="shared" si="1"/>
        <v/>
      </c>
      <c r="G57" s="29"/>
      <c r="H57" s="30"/>
      <c r="I57" s="15"/>
      <c r="J57" s="15"/>
    </row>
    <row r="58" spans="1:10" x14ac:dyDescent="0.2">
      <c r="A58" s="4"/>
      <c r="B58" s="35"/>
      <c r="C58" s="13" t="str">
        <f>IF(B58&gt;0,VLOOKUP(B58,Liste_stes_actives!$A:$B,2,FALSE),"")</f>
        <v/>
      </c>
      <c r="D58" s="7"/>
      <c r="E58" s="13" t="str">
        <f>IF(D58&gt;0,VLOOKUP(D58,Liste_regions!$A$2:$B$9,2,FALSE),"")</f>
        <v/>
      </c>
      <c r="F58" s="24" t="str">
        <f t="shared" si="1"/>
        <v/>
      </c>
      <c r="G58" s="29"/>
      <c r="H58" s="30"/>
      <c r="I58" s="15"/>
      <c r="J58" s="15"/>
    </row>
    <row r="59" spans="1:10" x14ac:dyDescent="0.2">
      <c r="A59" s="4"/>
      <c r="B59" s="35"/>
      <c r="C59" s="13" t="str">
        <f>IF(B59&gt;0,VLOOKUP(B59,Liste_stes_actives!$A:$B,2,FALSE),"")</f>
        <v/>
      </c>
      <c r="D59" s="7"/>
      <c r="E59" s="13" t="str">
        <f>IF(D59&gt;0,VLOOKUP(D59,Liste_regions!$A$2:$B$9,2,FALSE),"")</f>
        <v/>
      </c>
      <c r="F59" s="24" t="str">
        <f t="shared" si="1"/>
        <v/>
      </c>
      <c r="G59" s="29"/>
      <c r="H59" s="30"/>
      <c r="I59" s="15"/>
      <c r="J59" s="15"/>
    </row>
    <row r="60" spans="1:10" x14ac:dyDescent="0.2">
      <c r="A60" s="4"/>
      <c r="B60" s="35"/>
      <c r="C60" s="13" t="str">
        <f>IF(B60&gt;0,VLOOKUP(B60,Liste_stes_actives!$A:$B,2,FALSE),"")</f>
        <v/>
      </c>
      <c r="D60" s="7"/>
      <c r="E60" s="13" t="str">
        <f>IF(D60&gt;0,VLOOKUP(D60,Liste_regions!$A$2:$B$9,2,FALSE),"")</f>
        <v/>
      </c>
      <c r="F60" s="24" t="str">
        <f t="shared" si="1"/>
        <v/>
      </c>
      <c r="G60" s="29"/>
      <c r="H60" s="30"/>
      <c r="I60" s="15"/>
      <c r="J60" s="15"/>
    </row>
    <row r="61" spans="1:10" x14ac:dyDescent="0.2">
      <c r="A61" s="4"/>
      <c r="B61" s="35"/>
      <c r="C61" s="13" t="str">
        <f>IF(B61&gt;0,VLOOKUP(B61,Liste_stes_actives!$A:$B,2,FALSE),"")</f>
        <v/>
      </c>
      <c r="D61" s="7"/>
      <c r="E61" s="13" t="str">
        <f>IF(D61&gt;0,VLOOKUP(D61,Liste_regions!$A$2:$B$9,2,FALSE),"")</f>
        <v/>
      </c>
      <c r="F61" s="24" t="str">
        <f t="shared" si="1"/>
        <v/>
      </c>
      <c r="G61" s="29"/>
      <c r="H61" s="30"/>
      <c r="I61" s="15"/>
      <c r="J61" s="15"/>
    </row>
    <row r="62" spans="1:10" x14ac:dyDescent="0.2">
      <c r="A62" s="4"/>
      <c r="B62" s="35"/>
      <c r="C62" s="13" t="str">
        <f>IF(B62&gt;0,VLOOKUP(B62,Liste_stes_actives!$A:$B,2,FALSE),"")</f>
        <v/>
      </c>
      <c r="D62" s="7"/>
      <c r="E62" s="13" t="str">
        <f>IF(D62&gt;0,VLOOKUP(D62,Liste_regions!$A$2:$B$9,2,FALSE),"")</f>
        <v/>
      </c>
      <c r="F62" s="24" t="str">
        <f t="shared" si="1"/>
        <v/>
      </c>
      <c r="G62" s="29"/>
      <c r="H62" s="30"/>
      <c r="I62" s="15"/>
      <c r="J62" s="15"/>
    </row>
    <row r="63" spans="1:10" x14ac:dyDescent="0.2">
      <c r="A63" s="4"/>
      <c r="B63" s="35"/>
      <c r="C63" s="13" t="str">
        <f>IF(B63&gt;0,VLOOKUP(B63,Liste_stes_actives!$A:$B,2,FALSE),"")</f>
        <v/>
      </c>
      <c r="D63" s="7"/>
      <c r="E63" s="13" t="str">
        <f>IF(D63&gt;0,VLOOKUP(D63,Liste_regions!$A$2:$B$9,2,FALSE),"")</f>
        <v/>
      </c>
      <c r="F63" s="24" t="str">
        <f t="shared" si="1"/>
        <v/>
      </c>
      <c r="G63" s="29"/>
      <c r="H63" s="30"/>
      <c r="I63" s="15"/>
      <c r="J63" s="15"/>
    </row>
    <row r="64" spans="1:10" x14ac:dyDescent="0.2">
      <c r="A64" s="4"/>
      <c r="B64" s="35"/>
      <c r="C64" s="13" t="str">
        <f>IF(B64&gt;0,VLOOKUP(B64,Liste_stes_actives!$A:$B,2,FALSE),"")</f>
        <v/>
      </c>
      <c r="D64" s="7"/>
      <c r="E64" s="13" t="str">
        <f>IF(D64&gt;0,VLOOKUP(D64,Liste_regions!$A$2:$B$9,2,FALSE),"")</f>
        <v/>
      </c>
      <c r="F64" s="24" t="str">
        <f t="shared" si="1"/>
        <v/>
      </c>
      <c r="G64" s="29"/>
      <c r="H64" s="30"/>
      <c r="I64" s="15"/>
      <c r="J64" s="15"/>
    </row>
    <row r="65" spans="1:10" x14ac:dyDescent="0.2">
      <c r="A65" s="4"/>
      <c r="B65" s="35"/>
      <c r="C65" s="13" t="str">
        <f>IF(B65&gt;0,VLOOKUP(B65,Liste_stes_actives!$A:$B,2,FALSE),"")</f>
        <v/>
      </c>
      <c r="D65" s="7"/>
      <c r="E65" s="13" t="str">
        <f>IF(D65&gt;0,VLOOKUP(D65,Liste_regions!$A$2:$B$9,2,FALSE),"")</f>
        <v/>
      </c>
      <c r="F65" s="24" t="str">
        <f t="shared" si="1"/>
        <v/>
      </c>
      <c r="G65" s="29"/>
      <c r="H65" s="30"/>
      <c r="I65" s="15"/>
      <c r="J65" s="15"/>
    </row>
    <row r="66" spans="1:10" x14ac:dyDescent="0.2">
      <c r="A66" s="4"/>
      <c r="B66" s="35"/>
      <c r="C66" s="13" t="str">
        <f>IF(B66&gt;0,VLOOKUP(B66,Liste_stes_actives!$A:$B,2,FALSE),"")</f>
        <v/>
      </c>
      <c r="D66" s="7"/>
      <c r="E66" s="13" t="str">
        <f>IF(D66&gt;0,VLOOKUP(D66,Liste_regions!$A$2:$B$9,2,FALSE),"")</f>
        <v/>
      </c>
      <c r="F66" s="24" t="str">
        <f t="shared" si="1"/>
        <v/>
      </c>
      <c r="G66" s="29"/>
      <c r="H66" s="30"/>
      <c r="I66" s="15"/>
      <c r="J66" s="15"/>
    </row>
    <row r="67" spans="1:10" x14ac:dyDescent="0.2">
      <c r="A67" s="4"/>
      <c r="B67" s="35"/>
      <c r="C67" s="13" t="str">
        <f>IF(B67&gt;0,VLOOKUP(B67,Liste_stes_actives!$A:$B,2,FALSE),"")</f>
        <v/>
      </c>
      <c r="D67" s="7"/>
      <c r="E67" s="13" t="str">
        <f>IF(D67&gt;0,VLOOKUP(D67,Liste_regions!$A$2:$B$9,2,FALSE),"")</f>
        <v/>
      </c>
      <c r="F67" s="24" t="str">
        <f t="shared" si="1"/>
        <v/>
      </c>
      <c r="G67" s="29"/>
      <c r="H67" s="30"/>
      <c r="I67" s="15"/>
      <c r="J67" s="15"/>
    </row>
    <row r="68" spans="1:10" x14ac:dyDescent="0.2">
      <c r="A68" s="4"/>
      <c r="B68" s="35"/>
      <c r="C68" s="13" t="str">
        <f>IF(B68&gt;0,VLOOKUP(B68,Liste_stes_actives!$A:$B,2,FALSE),"")</f>
        <v/>
      </c>
      <c r="D68" s="7"/>
      <c r="E68" s="13" t="str">
        <f>IF(D68&gt;0,VLOOKUP(D68,Liste_regions!$A$2:$B$9,2,FALSE),"")</f>
        <v/>
      </c>
      <c r="F68" s="24" t="str">
        <f t="shared" si="1"/>
        <v/>
      </c>
      <c r="G68" s="29"/>
      <c r="H68" s="30"/>
      <c r="I68" s="15"/>
      <c r="J68" s="15"/>
    </row>
    <row r="69" spans="1:10" x14ac:dyDescent="0.2">
      <c r="A69" s="4"/>
      <c r="B69" s="35"/>
      <c r="C69" s="13" t="str">
        <f>IF(B69&gt;0,VLOOKUP(B69,Liste_stes_actives!$A:$B,2,FALSE),"")</f>
        <v/>
      </c>
      <c r="D69" s="7"/>
      <c r="E69" s="13" t="str">
        <f>IF(D69&gt;0,VLOOKUP(D69,Liste_regions!$A$2:$B$9,2,FALSE),"")</f>
        <v/>
      </c>
      <c r="F69" s="24" t="str">
        <f t="shared" si="1"/>
        <v/>
      </c>
      <c r="G69" s="29"/>
      <c r="H69" s="30"/>
      <c r="I69" s="15"/>
      <c r="J69" s="15"/>
    </row>
    <row r="70" spans="1:10" x14ac:dyDescent="0.2">
      <c r="A70" s="4"/>
      <c r="B70" s="35"/>
      <c r="C70" s="13" t="str">
        <f>IF(B70&gt;0,VLOOKUP(B70,Liste_stes_actives!$A:$B,2,FALSE),"")</f>
        <v/>
      </c>
      <c r="D70" s="7"/>
      <c r="E70" s="13" t="str">
        <f>IF(D70&gt;0,VLOOKUP(D70,Liste_regions!$A$2:$B$9,2,FALSE),"")</f>
        <v/>
      </c>
      <c r="F70" s="24" t="str">
        <f t="shared" si="1"/>
        <v/>
      </c>
      <c r="G70" s="29"/>
      <c r="H70" s="30"/>
      <c r="I70" s="15"/>
      <c r="J70" s="15"/>
    </row>
    <row r="71" spans="1:10" x14ac:dyDescent="0.2">
      <c r="B71" s="35"/>
      <c r="C71" s="7"/>
      <c r="D71" s="7"/>
      <c r="E71" s="7"/>
      <c r="F71" s="2"/>
      <c r="G71" s="2"/>
      <c r="H71" s="2"/>
    </row>
    <row r="72" spans="1:10" x14ac:dyDescent="0.2">
      <c r="B72" s="35"/>
      <c r="C72" s="7"/>
      <c r="D72" s="7"/>
      <c r="E72" s="7"/>
      <c r="F72" s="2"/>
      <c r="G72" s="2"/>
      <c r="H72" s="2"/>
    </row>
    <row r="73" spans="1:10" x14ac:dyDescent="0.2">
      <c r="B73" s="35"/>
      <c r="C73" s="7"/>
      <c r="D73" s="7"/>
      <c r="E73" s="7"/>
      <c r="F73" s="2"/>
      <c r="G73" s="2"/>
      <c r="H73" s="2"/>
    </row>
    <row r="74" spans="1:10" x14ac:dyDescent="0.2">
      <c r="B74" s="35"/>
      <c r="C74" s="7"/>
      <c r="D74" s="7"/>
      <c r="E74" s="7"/>
      <c r="F74" s="2"/>
      <c r="G74" s="2"/>
      <c r="H74" s="2"/>
    </row>
  </sheetData>
  <mergeCells count="6">
    <mergeCell ref="A10:G10"/>
    <mergeCell ref="A1:G1"/>
    <mergeCell ref="D2:F2"/>
    <mergeCell ref="E3:F3"/>
    <mergeCell ref="E4:F4"/>
    <mergeCell ref="A8:F8"/>
  </mergeCells>
  <phoneticPr fontId="1" type="noConversion"/>
  <printOptions horizontalCentered="1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5" r:id="rId4" name="Check Box 21">
              <controlPr defaultSize="0" autoFill="0" autoLine="0" autoPict="0">
                <anchor moveWithCells="1">
                  <from>
                    <xdr:col>1</xdr:col>
                    <xdr:colOff>600075</xdr:colOff>
                    <xdr:row>1</xdr:row>
                    <xdr:rowOff>9525</xdr:rowOff>
                  </from>
                  <to>
                    <xdr:col>2</xdr:col>
                    <xdr:colOff>1171575</xdr:colOff>
                    <xdr:row>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5" name="Check Box 22">
              <controlPr defaultSize="0" autoFill="0" autoLine="0" autoPict="0">
                <anchor moveWithCells="1">
                  <from>
                    <xdr:col>1</xdr:col>
                    <xdr:colOff>600075</xdr:colOff>
                    <xdr:row>3</xdr:row>
                    <xdr:rowOff>0</xdr:rowOff>
                  </from>
                  <to>
                    <xdr:col>2</xdr:col>
                    <xdr:colOff>1362075</xdr:colOff>
                    <xdr:row>4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Liste_regions!$A$2:$A$9</xm:f>
          </x14:formula1>
          <xm:sqref>D11:D70</xm:sqref>
        </x14:dataValidation>
        <x14:dataValidation type="list" allowBlank="1" showInputMessage="1" showErrorMessage="1">
          <x14:formula1>
            <xm:f>Liste_stes_actives!$A$2:$A$202</xm:f>
          </x14:formula1>
          <xm:sqref>B28:B70</xm:sqref>
        </x14:dataValidation>
        <x14:dataValidation type="list" allowBlank="1" showInputMessage="1" showErrorMessage="1">
          <x14:formula1>
            <xm:f>Liste_stes_actives!$A$2:$A$305</xm:f>
          </x14:formula1>
          <xm:sqref>B11:B27</xm:sqref>
        </x14:dataValidation>
        <x14:dataValidation type="list" allowBlank="1" showInputMessage="1" showErrorMessage="1">
          <x14:formula1>
            <xm:f>'Liste_responsabilites types'!$B$2:$B$50</xm:f>
          </x14:formula1>
          <xm:sqref>A11:A70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51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0" sqref="B10"/>
    </sheetView>
  </sheetViews>
  <sheetFormatPr baseColWidth="10" defaultRowHeight="12.75" x14ac:dyDescent="0.2"/>
  <cols>
    <col min="1" max="1" width="28.7109375" customWidth="1"/>
    <col min="2" max="2" width="49.28515625" bestFit="1" customWidth="1"/>
    <col min="3" max="3" width="63.5703125" customWidth="1"/>
  </cols>
  <sheetData>
    <row r="1" spans="1:7" ht="18.75" customHeight="1" thickBot="1" x14ac:dyDescent="0.25">
      <c r="A1" s="72" t="s">
        <v>724</v>
      </c>
      <c r="B1" s="73" t="s">
        <v>723</v>
      </c>
      <c r="C1" s="74" t="s">
        <v>744</v>
      </c>
    </row>
    <row r="2" spans="1:7" ht="14.25" thickTop="1" thickBot="1" x14ac:dyDescent="0.25">
      <c r="A2" s="86" t="s">
        <v>728</v>
      </c>
      <c r="B2" s="61" t="s">
        <v>661</v>
      </c>
      <c r="C2" s="62" t="s">
        <v>702</v>
      </c>
      <c r="D2" s="8"/>
      <c r="E2" s="8"/>
      <c r="F2" s="8"/>
    </row>
    <row r="3" spans="1:7" ht="13.5" thickBot="1" x14ac:dyDescent="0.25">
      <c r="A3" s="87"/>
      <c r="B3" s="44" t="s">
        <v>662</v>
      </c>
      <c r="C3" s="58" t="s">
        <v>733</v>
      </c>
      <c r="D3" s="8"/>
      <c r="E3" s="8"/>
      <c r="F3" s="8"/>
    </row>
    <row r="4" spans="1:7" ht="13.5" thickBot="1" x14ac:dyDescent="0.25">
      <c r="A4" s="87"/>
      <c r="B4" s="44" t="s">
        <v>663</v>
      </c>
      <c r="C4" s="58" t="s">
        <v>730</v>
      </c>
      <c r="D4" s="8"/>
      <c r="E4" s="8"/>
      <c r="F4" s="8"/>
    </row>
    <row r="5" spans="1:7" ht="13.5" thickBot="1" x14ac:dyDescent="0.25">
      <c r="A5" s="87"/>
      <c r="B5" s="44" t="s">
        <v>664</v>
      </c>
      <c r="C5" s="58" t="s">
        <v>731</v>
      </c>
      <c r="D5" s="8"/>
      <c r="E5" s="8"/>
      <c r="F5" s="8"/>
    </row>
    <row r="6" spans="1:7" ht="13.5" thickBot="1" x14ac:dyDescent="0.25">
      <c r="A6" s="87"/>
      <c r="B6" s="55" t="s">
        <v>665</v>
      </c>
      <c r="C6" s="63" t="s">
        <v>732</v>
      </c>
      <c r="D6" s="8"/>
      <c r="E6" s="8"/>
      <c r="F6" s="8"/>
    </row>
    <row r="7" spans="1:7" ht="13.5" thickBot="1" x14ac:dyDescent="0.25">
      <c r="A7" s="88" t="s">
        <v>729</v>
      </c>
      <c r="B7" s="64" t="s">
        <v>666</v>
      </c>
      <c r="C7" s="57" t="s">
        <v>703</v>
      </c>
      <c r="D7" s="8"/>
      <c r="E7" s="8"/>
      <c r="F7" s="8"/>
    </row>
    <row r="8" spans="1:7" ht="13.5" thickBot="1" x14ac:dyDescent="0.25">
      <c r="A8" s="89"/>
      <c r="B8" s="44" t="s">
        <v>667</v>
      </c>
      <c r="C8" s="58" t="s">
        <v>734</v>
      </c>
      <c r="D8" s="8"/>
      <c r="E8" s="8"/>
      <c r="F8" s="8"/>
    </row>
    <row r="9" spans="1:7" ht="13.5" thickBot="1" x14ac:dyDescent="0.25">
      <c r="A9" s="89"/>
      <c r="B9" s="44" t="s">
        <v>668</v>
      </c>
      <c r="C9" s="58" t="s">
        <v>709</v>
      </c>
      <c r="D9" s="8"/>
      <c r="E9" s="8"/>
      <c r="F9" s="8"/>
    </row>
    <row r="10" spans="1:7" ht="13.5" thickBot="1" x14ac:dyDescent="0.25">
      <c r="A10" s="89"/>
      <c r="B10" s="44" t="s">
        <v>669</v>
      </c>
      <c r="C10" s="58" t="s">
        <v>736</v>
      </c>
      <c r="D10" s="8"/>
      <c r="E10" s="8"/>
      <c r="F10" s="8"/>
    </row>
    <row r="11" spans="1:7" ht="13.5" thickBot="1" x14ac:dyDescent="0.25">
      <c r="A11" s="89"/>
      <c r="B11" s="44" t="s">
        <v>677</v>
      </c>
      <c r="C11" s="58" t="s">
        <v>735</v>
      </c>
      <c r="D11" s="8"/>
      <c r="E11" s="8"/>
      <c r="F11" s="8"/>
    </row>
    <row r="12" spans="1:7" ht="13.5" thickBot="1" x14ac:dyDescent="0.25">
      <c r="A12" s="89"/>
      <c r="B12" s="44" t="s">
        <v>679</v>
      </c>
      <c r="C12" s="58" t="s">
        <v>704</v>
      </c>
      <c r="D12" s="8"/>
      <c r="E12" s="8"/>
      <c r="F12" s="8"/>
      <c r="G12" s="3"/>
    </row>
    <row r="13" spans="1:7" ht="13.5" thickBot="1" x14ac:dyDescent="0.25">
      <c r="A13" s="89"/>
      <c r="B13" s="44" t="s">
        <v>670</v>
      </c>
      <c r="C13" s="58" t="s">
        <v>710</v>
      </c>
      <c r="D13" s="8"/>
      <c r="E13" s="8"/>
      <c r="F13" s="8"/>
    </row>
    <row r="14" spans="1:7" ht="13.5" thickBot="1" x14ac:dyDescent="0.25">
      <c r="A14" s="89"/>
      <c r="B14" s="55" t="s">
        <v>678</v>
      </c>
      <c r="C14" s="63" t="s">
        <v>711</v>
      </c>
      <c r="D14" s="8"/>
      <c r="E14" s="8"/>
      <c r="F14" s="8"/>
    </row>
    <row r="15" spans="1:7" ht="13.5" thickBot="1" x14ac:dyDescent="0.25">
      <c r="A15" s="92" t="s">
        <v>680</v>
      </c>
      <c r="B15" s="54" t="s">
        <v>681</v>
      </c>
      <c r="C15" s="57" t="s">
        <v>681</v>
      </c>
      <c r="D15" s="8"/>
      <c r="E15" s="8"/>
      <c r="F15" s="8"/>
    </row>
    <row r="16" spans="1:7" ht="13.5" thickBot="1" x14ac:dyDescent="0.25">
      <c r="A16" s="92"/>
      <c r="B16" s="44" t="s">
        <v>405</v>
      </c>
      <c r="C16" s="58" t="s">
        <v>405</v>
      </c>
      <c r="D16" s="8"/>
      <c r="E16" s="8"/>
      <c r="F16" s="8"/>
    </row>
    <row r="17" spans="1:6" ht="13.5" thickBot="1" x14ac:dyDescent="0.25">
      <c r="A17" s="93"/>
      <c r="B17" s="45" t="s">
        <v>406</v>
      </c>
      <c r="C17" s="58" t="s">
        <v>406</v>
      </c>
      <c r="D17" s="8"/>
      <c r="E17" s="8"/>
      <c r="F17" s="8"/>
    </row>
    <row r="18" spans="1:6" ht="13.5" thickBot="1" x14ac:dyDescent="0.25">
      <c r="A18" s="93"/>
      <c r="B18" s="45" t="s">
        <v>407</v>
      </c>
      <c r="C18" s="58" t="s">
        <v>407</v>
      </c>
      <c r="D18" s="8"/>
      <c r="E18" s="8"/>
      <c r="F18" s="8"/>
    </row>
    <row r="19" spans="1:6" ht="13.5" thickBot="1" x14ac:dyDescent="0.25">
      <c r="A19" s="93"/>
      <c r="B19" s="45" t="s">
        <v>408</v>
      </c>
      <c r="C19" s="58" t="s">
        <v>408</v>
      </c>
      <c r="D19" s="8"/>
      <c r="E19" s="8"/>
      <c r="F19" s="8"/>
    </row>
    <row r="20" spans="1:6" ht="13.5" thickBot="1" x14ac:dyDescent="0.25">
      <c r="A20" s="93"/>
      <c r="B20" s="44" t="s">
        <v>682</v>
      </c>
      <c r="C20" s="58" t="s">
        <v>682</v>
      </c>
      <c r="D20" s="8"/>
      <c r="E20" s="8"/>
      <c r="F20" s="8"/>
    </row>
    <row r="21" spans="1:6" ht="13.5" thickBot="1" x14ac:dyDescent="0.25">
      <c r="A21" s="93"/>
      <c r="B21" s="44" t="s">
        <v>404</v>
      </c>
      <c r="C21" s="58" t="s">
        <v>404</v>
      </c>
      <c r="D21" s="8"/>
      <c r="E21" s="8"/>
      <c r="F21" s="8"/>
    </row>
    <row r="22" spans="1:6" ht="13.5" thickBot="1" x14ac:dyDescent="0.25">
      <c r="A22" s="93"/>
      <c r="B22" s="45" t="s">
        <v>416</v>
      </c>
      <c r="C22" s="59" t="s">
        <v>416</v>
      </c>
    </row>
    <row r="23" spans="1:6" ht="13.5" thickBot="1" x14ac:dyDescent="0.25">
      <c r="A23" s="93"/>
      <c r="B23" s="45" t="s">
        <v>419</v>
      </c>
      <c r="C23" s="58" t="s">
        <v>419</v>
      </c>
      <c r="D23" s="8"/>
      <c r="E23" s="8"/>
      <c r="F23" s="8"/>
    </row>
    <row r="24" spans="1:6" ht="13.5" thickBot="1" x14ac:dyDescent="0.25">
      <c r="A24" s="93"/>
      <c r="B24" s="45" t="s">
        <v>417</v>
      </c>
      <c r="C24" s="58" t="s">
        <v>417</v>
      </c>
      <c r="D24" s="8"/>
      <c r="F24" s="8"/>
    </row>
    <row r="25" spans="1:6" ht="13.5" thickBot="1" x14ac:dyDescent="0.25">
      <c r="A25" s="93"/>
      <c r="B25" s="45" t="s">
        <v>418</v>
      </c>
      <c r="C25" s="58" t="s">
        <v>418</v>
      </c>
      <c r="D25" s="8"/>
      <c r="F25" s="8"/>
    </row>
    <row r="26" spans="1:6" ht="13.5" thickBot="1" x14ac:dyDescent="0.25">
      <c r="A26" s="93"/>
      <c r="B26" s="44" t="s">
        <v>409</v>
      </c>
      <c r="C26" s="58" t="s">
        <v>409</v>
      </c>
      <c r="D26" s="8"/>
      <c r="F26" s="8"/>
    </row>
    <row r="27" spans="1:6" ht="13.5" thickBot="1" x14ac:dyDescent="0.25">
      <c r="A27" s="93"/>
      <c r="B27" s="55" t="s">
        <v>691</v>
      </c>
      <c r="C27" s="63" t="s">
        <v>691</v>
      </c>
      <c r="E27" s="8"/>
      <c r="F27" s="8"/>
    </row>
    <row r="28" spans="1:6" ht="13.5" thickBot="1" x14ac:dyDescent="0.25">
      <c r="A28" s="94" t="s">
        <v>726</v>
      </c>
      <c r="B28" s="64" t="s">
        <v>414</v>
      </c>
      <c r="C28" s="57" t="s">
        <v>414</v>
      </c>
      <c r="E28" s="8"/>
      <c r="F28" s="8"/>
    </row>
    <row r="29" spans="1:6" ht="13.5" thickBot="1" x14ac:dyDescent="0.25">
      <c r="A29" s="95"/>
      <c r="B29" s="45" t="s">
        <v>415</v>
      </c>
      <c r="C29" s="59" t="s">
        <v>415</v>
      </c>
      <c r="E29" s="8"/>
      <c r="F29" s="8"/>
    </row>
    <row r="30" spans="1:6" ht="13.5" thickBot="1" x14ac:dyDescent="0.25">
      <c r="A30" s="95"/>
      <c r="B30" s="53" t="s">
        <v>413</v>
      </c>
      <c r="C30" s="63" t="s">
        <v>413</v>
      </c>
      <c r="E30" s="8"/>
      <c r="F30" s="8"/>
    </row>
    <row r="31" spans="1:6" ht="13.5" thickBot="1" x14ac:dyDescent="0.25">
      <c r="A31" s="90" t="s">
        <v>727</v>
      </c>
      <c r="B31" s="54" t="s">
        <v>671</v>
      </c>
      <c r="C31" s="57" t="s">
        <v>738</v>
      </c>
      <c r="D31" s="8"/>
      <c r="E31" s="8"/>
      <c r="F31" s="8"/>
    </row>
    <row r="32" spans="1:6" ht="13.5" thickBot="1" x14ac:dyDescent="0.25">
      <c r="A32" s="90"/>
      <c r="B32" s="44" t="s">
        <v>674</v>
      </c>
      <c r="C32" s="58" t="s">
        <v>712</v>
      </c>
      <c r="D32" s="8"/>
      <c r="E32" s="8"/>
      <c r="F32" s="8"/>
    </row>
    <row r="33" spans="1:8" ht="13.5" thickBot="1" x14ac:dyDescent="0.25">
      <c r="A33" s="91"/>
      <c r="B33" s="44" t="s">
        <v>672</v>
      </c>
      <c r="C33" s="58" t="s">
        <v>737</v>
      </c>
      <c r="D33" s="8"/>
      <c r="E33" s="8"/>
      <c r="F33" s="8"/>
    </row>
    <row r="34" spans="1:8" ht="13.5" thickBot="1" x14ac:dyDescent="0.25">
      <c r="A34" s="91"/>
      <c r="B34" s="44" t="s">
        <v>673</v>
      </c>
      <c r="C34" s="58" t="s">
        <v>705</v>
      </c>
      <c r="D34" s="8"/>
      <c r="E34" s="8"/>
      <c r="F34" s="8"/>
    </row>
    <row r="35" spans="1:8" ht="13.5" thickBot="1" x14ac:dyDescent="0.25">
      <c r="A35" s="91"/>
      <c r="B35" s="44" t="s">
        <v>683</v>
      </c>
      <c r="C35" s="58" t="s">
        <v>743</v>
      </c>
      <c r="D35" s="8"/>
      <c r="E35" s="8"/>
      <c r="F35" s="8"/>
    </row>
    <row r="36" spans="1:8" ht="13.5" thickBot="1" x14ac:dyDescent="0.25">
      <c r="A36" s="91"/>
      <c r="B36" s="55" t="s">
        <v>675</v>
      </c>
      <c r="C36" s="63" t="s">
        <v>713</v>
      </c>
      <c r="E36" s="8"/>
      <c r="F36" s="8"/>
      <c r="H36" s="8"/>
    </row>
    <row r="37" spans="1:8" ht="13.5" thickBot="1" x14ac:dyDescent="0.25">
      <c r="A37" s="96" t="s">
        <v>725</v>
      </c>
      <c r="B37" s="65" t="s">
        <v>676</v>
      </c>
      <c r="C37" s="57" t="s">
        <v>714</v>
      </c>
      <c r="D37" s="9"/>
      <c r="E37" s="9"/>
      <c r="F37" s="9"/>
    </row>
    <row r="38" spans="1:8" ht="13.5" thickBot="1" x14ac:dyDescent="0.25">
      <c r="A38" s="97"/>
      <c r="B38" s="66" t="s">
        <v>635</v>
      </c>
      <c r="C38" s="63" t="s">
        <v>715</v>
      </c>
      <c r="D38" s="8"/>
      <c r="F38" s="8"/>
    </row>
    <row r="39" spans="1:8" s="40" customFormat="1" ht="15.75" thickBot="1" x14ac:dyDescent="0.3">
      <c r="A39" s="84" t="s">
        <v>746</v>
      </c>
      <c r="B39" s="67" t="s">
        <v>410</v>
      </c>
      <c r="C39" s="57" t="s">
        <v>706</v>
      </c>
      <c r="D39" s="41"/>
      <c r="E39" s="41"/>
      <c r="F39" s="41"/>
    </row>
    <row r="40" spans="1:8" s="40" customFormat="1" ht="15.75" thickBot="1" x14ac:dyDescent="0.3">
      <c r="A40" s="84"/>
      <c r="B40" s="56" t="s">
        <v>411</v>
      </c>
      <c r="C40" s="58" t="s">
        <v>716</v>
      </c>
      <c r="D40" s="41"/>
      <c r="E40" s="41"/>
      <c r="F40" s="41"/>
    </row>
    <row r="41" spans="1:8" s="40" customFormat="1" ht="15.75" thickBot="1" x14ac:dyDescent="0.3">
      <c r="A41" s="84"/>
      <c r="B41" s="56" t="s">
        <v>412</v>
      </c>
      <c r="C41" s="58" t="s">
        <v>717</v>
      </c>
      <c r="D41" s="41"/>
      <c r="E41" s="41"/>
      <c r="F41" s="41"/>
    </row>
    <row r="42" spans="1:8" s="40" customFormat="1" ht="15.75" thickBot="1" x14ac:dyDescent="0.3">
      <c r="A42" s="84"/>
      <c r="B42" s="56" t="s">
        <v>684</v>
      </c>
      <c r="C42" s="58" t="s">
        <v>739</v>
      </c>
      <c r="D42" s="41"/>
      <c r="E42" s="41"/>
      <c r="F42" s="41"/>
    </row>
    <row r="43" spans="1:8" s="40" customFormat="1" ht="15.75" thickBot="1" x14ac:dyDescent="0.3">
      <c r="A43" s="84"/>
      <c r="B43" s="68" t="s">
        <v>685</v>
      </c>
      <c r="C43" s="63" t="s">
        <v>718</v>
      </c>
      <c r="D43" s="41"/>
      <c r="E43" s="41"/>
      <c r="F43" s="41"/>
    </row>
    <row r="44" spans="1:8" s="40" customFormat="1" ht="15.75" thickBot="1" x14ac:dyDescent="0.3">
      <c r="A44" s="85" t="s">
        <v>745</v>
      </c>
      <c r="B44" s="67" t="s">
        <v>686</v>
      </c>
      <c r="C44" s="57" t="s">
        <v>707</v>
      </c>
      <c r="D44" s="41"/>
      <c r="E44" s="41"/>
      <c r="F44" s="41"/>
    </row>
    <row r="45" spans="1:8" s="40" customFormat="1" ht="15.75" thickBot="1" x14ac:dyDescent="0.3">
      <c r="A45" s="85"/>
      <c r="B45" s="56" t="s">
        <v>687</v>
      </c>
      <c r="C45" s="58" t="s">
        <v>740</v>
      </c>
      <c r="D45" s="41"/>
      <c r="E45" s="41"/>
      <c r="F45" s="41"/>
    </row>
    <row r="46" spans="1:8" s="40" customFormat="1" ht="15.75" thickBot="1" x14ac:dyDescent="0.3">
      <c r="A46" s="85"/>
      <c r="B46" s="56" t="s">
        <v>688</v>
      </c>
      <c r="C46" s="58" t="s">
        <v>719</v>
      </c>
      <c r="D46" s="41"/>
      <c r="E46" s="41"/>
      <c r="F46" s="41"/>
    </row>
    <row r="47" spans="1:8" s="40" customFormat="1" ht="15.75" thickBot="1" x14ac:dyDescent="0.3">
      <c r="A47" s="85"/>
      <c r="B47" s="56" t="s">
        <v>689</v>
      </c>
      <c r="C47" s="58" t="s">
        <v>742</v>
      </c>
      <c r="D47" s="41"/>
      <c r="E47" s="41"/>
      <c r="F47" s="41"/>
    </row>
    <row r="48" spans="1:8" s="40" customFormat="1" ht="15.75" thickBot="1" x14ac:dyDescent="0.3">
      <c r="A48" s="85"/>
      <c r="B48" s="56" t="s">
        <v>690</v>
      </c>
      <c r="C48" s="59" t="s">
        <v>741</v>
      </c>
    </row>
    <row r="49" spans="1:3" s="40" customFormat="1" ht="15.75" thickBot="1" x14ac:dyDescent="0.3">
      <c r="A49" s="85"/>
      <c r="B49" s="56" t="s">
        <v>634</v>
      </c>
      <c r="C49" s="59" t="s">
        <v>708</v>
      </c>
    </row>
    <row r="50" spans="1:3" ht="15.75" thickBot="1" x14ac:dyDescent="0.3">
      <c r="A50" s="60" t="s">
        <v>692</v>
      </c>
      <c r="B50" s="69" t="s">
        <v>693</v>
      </c>
      <c r="C50" s="70"/>
    </row>
    <row r="51" spans="1:3" ht="13.5" thickTop="1" x14ac:dyDescent="0.2">
      <c r="B51" s="71"/>
      <c r="C51" s="71"/>
    </row>
  </sheetData>
  <autoFilter ref="B1:C51"/>
  <sortState ref="B19:B28">
    <sortCondition ref="B19:B28"/>
  </sortState>
  <mergeCells count="8">
    <mergeCell ref="A39:A43"/>
    <mergeCell ref="A44:A49"/>
    <mergeCell ref="A2:A6"/>
    <mergeCell ref="A7:A14"/>
    <mergeCell ref="A31:A36"/>
    <mergeCell ref="A15:A27"/>
    <mergeCell ref="A28:A30"/>
    <mergeCell ref="A37:A38"/>
  </mergeCells>
  <phoneticPr fontId="1" type="noConversion"/>
  <conditionalFormatting sqref="B1:B1048576">
    <cfRule type="duplicateValues" dxfId="0" priority="1"/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F40" sqref="F40"/>
    </sheetView>
  </sheetViews>
  <sheetFormatPr baseColWidth="10" defaultRowHeight="12.75" x14ac:dyDescent="0.2"/>
  <cols>
    <col min="1" max="1" width="18.140625" bestFit="1" customWidth="1"/>
    <col min="2" max="2" width="25.42578125" bestFit="1" customWidth="1"/>
  </cols>
  <sheetData>
    <row r="1" spans="1:2" x14ac:dyDescent="0.2">
      <c r="A1" s="1" t="s">
        <v>12</v>
      </c>
      <c r="B1" s="12" t="s">
        <v>13</v>
      </c>
    </row>
    <row r="2" spans="1:2" x14ac:dyDescent="0.2">
      <c r="A2" s="11" t="s">
        <v>14</v>
      </c>
      <c r="B2" s="3" t="s">
        <v>15</v>
      </c>
    </row>
    <row r="3" spans="1:2" x14ac:dyDescent="0.2">
      <c r="A3" s="11" t="s">
        <v>16</v>
      </c>
      <c r="B3" s="3" t="s">
        <v>17</v>
      </c>
    </row>
    <row r="4" spans="1:2" x14ac:dyDescent="0.2">
      <c r="A4" s="11" t="s">
        <v>18</v>
      </c>
      <c r="B4" s="3" t="s">
        <v>19</v>
      </c>
    </row>
    <row r="5" spans="1:2" x14ac:dyDescent="0.2">
      <c r="A5" s="11" t="s">
        <v>20</v>
      </c>
      <c r="B5" s="3" t="s">
        <v>21</v>
      </c>
    </row>
    <row r="6" spans="1:2" x14ac:dyDescent="0.2">
      <c r="A6" s="11" t="s">
        <v>22</v>
      </c>
      <c r="B6" s="3" t="s">
        <v>23</v>
      </c>
    </row>
    <row r="7" spans="1:2" x14ac:dyDescent="0.2">
      <c r="A7" s="11" t="s">
        <v>24</v>
      </c>
      <c r="B7" s="3" t="s">
        <v>25</v>
      </c>
    </row>
    <row r="8" spans="1:2" x14ac:dyDescent="0.2">
      <c r="A8" s="11" t="s">
        <v>26</v>
      </c>
      <c r="B8" s="3" t="s">
        <v>27</v>
      </c>
    </row>
    <row r="9" spans="1:2" x14ac:dyDescent="0.2">
      <c r="A9" s="11" t="s">
        <v>28</v>
      </c>
      <c r="B9" s="3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1" sqref="D11"/>
    </sheetView>
  </sheetViews>
  <sheetFormatPr baseColWidth="10" defaultRowHeight="12.75" x14ac:dyDescent="0.2"/>
  <cols>
    <col min="1" max="1" width="11.42578125" style="32"/>
    <col min="2" max="2" width="31.42578125" style="33" customWidth="1"/>
    <col min="3" max="3" width="18.42578125" customWidth="1"/>
    <col min="4" max="4" width="11.42578125" style="50"/>
  </cols>
  <sheetData>
    <row r="1" spans="1:5" x14ac:dyDescent="0.2">
      <c r="A1" s="47" t="s">
        <v>636</v>
      </c>
      <c r="B1" s="46" t="s">
        <v>637</v>
      </c>
      <c r="E1" s="12" t="s">
        <v>700</v>
      </c>
    </row>
    <row r="2" spans="1:5" x14ac:dyDescent="0.2">
      <c r="A2" s="48" t="s">
        <v>30</v>
      </c>
      <c r="B2" s="33" t="s">
        <v>31</v>
      </c>
    </row>
    <row r="3" spans="1:5" x14ac:dyDescent="0.2">
      <c r="A3" s="49" t="s">
        <v>32</v>
      </c>
      <c r="B3" s="33" t="s">
        <v>33</v>
      </c>
    </row>
    <row r="4" spans="1:5" x14ac:dyDescent="0.2">
      <c r="A4" s="32" t="s">
        <v>34</v>
      </c>
      <c r="B4" s="33" t="s">
        <v>35</v>
      </c>
      <c r="D4" s="51"/>
    </row>
    <row r="5" spans="1:5" x14ac:dyDescent="0.2">
      <c r="A5" s="32" t="s">
        <v>36</v>
      </c>
      <c r="B5" s="33" t="s">
        <v>37</v>
      </c>
      <c r="D5" s="51"/>
    </row>
    <row r="6" spans="1:5" x14ac:dyDescent="0.2">
      <c r="A6" s="32" t="s">
        <v>40</v>
      </c>
      <c r="B6" s="33" t="s">
        <v>41</v>
      </c>
      <c r="D6" s="51"/>
    </row>
    <row r="7" spans="1:5" x14ac:dyDescent="0.2">
      <c r="A7" s="32" t="s">
        <v>38</v>
      </c>
      <c r="B7" s="33" t="s">
        <v>39</v>
      </c>
      <c r="D7" s="51"/>
    </row>
    <row r="8" spans="1:5" x14ac:dyDescent="0.2">
      <c r="A8" s="32" t="s">
        <v>44</v>
      </c>
      <c r="B8" s="33" t="s">
        <v>45</v>
      </c>
      <c r="D8" s="51"/>
    </row>
    <row r="9" spans="1:5" x14ac:dyDescent="0.2">
      <c r="A9" s="32" t="s">
        <v>42</v>
      </c>
      <c r="B9" s="33" t="s">
        <v>43</v>
      </c>
      <c r="D9" s="51"/>
    </row>
    <row r="10" spans="1:5" x14ac:dyDescent="0.2">
      <c r="A10" s="32" t="s">
        <v>46</v>
      </c>
      <c r="B10" s="33" t="s">
        <v>47</v>
      </c>
      <c r="D10" s="51"/>
    </row>
    <row r="11" spans="1:5" x14ac:dyDescent="0.2">
      <c r="A11" s="32" t="s">
        <v>63</v>
      </c>
      <c r="B11" s="33" t="s">
        <v>64</v>
      </c>
      <c r="D11" s="51"/>
    </row>
    <row r="12" spans="1:5" x14ac:dyDescent="0.2">
      <c r="A12" s="32" t="s">
        <v>48</v>
      </c>
      <c r="B12" s="33" t="s">
        <v>49</v>
      </c>
      <c r="D12" s="51"/>
    </row>
    <row r="13" spans="1:5" x14ac:dyDescent="0.2">
      <c r="A13" s="32" t="s">
        <v>50</v>
      </c>
      <c r="B13" s="33" t="s">
        <v>51</v>
      </c>
      <c r="D13" s="51"/>
    </row>
    <row r="14" spans="1:5" x14ac:dyDescent="0.2">
      <c r="A14" s="32" t="s">
        <v>276</v>
      </c>
      <c r="B14" s="33" t="s">
        <v>277</v>
      </c>
      <c r="D14" s="51"/>
    </row>
    <row r="15" spans="1:5" x14ac:dyDescent="0.2">
      <c r="A15" s="32" t="s">
        <v>278</v>
      </c>
      <c r="B15" s="33" t="s">
        <v>522</v>
      </c>
      <c r="D15" s="51"/>
    </row>
    <row r="16" spans="1:5" x14ac:dyDescent="0.2">
      <c r="A16" s="32" t="s">
        <v>52</v>
      </c>
      <c r="B16" s="33" t="s">
        <v>53</v>
      </c>
      <c r="D16" s="51"/>
    </row>
    <row r="17" spans="1:4" x14ac:dyDescent="0.2">
      <c r="A17" s="32" t="s">
        <v>279</v>
      </c>
      <c r="B17" s="33" t="s">
        <v>280</v>
      </c>
      <c r="D17" s="51"/>
    </row>
    <row r="18" spans="1:4" x14ac:dyDescent="0.2">
      <c r="A18" s="32" t="s">
        <v>424</v>
      </c>
      <c r="B18" s="33" t="s">
        <v>523</v>
      </c>
      <c r="D18" s="51"/>
    </row>
    <row r="19" spans="1:4" x14ac:dyDescent="0.2">
      <c r="A19" s="32" t="s">
        <v>54</v>
      </c>
      <c r="B19" s="33" t="s">
        <v>55</v>
      </c>
      <c r="D19" s="51"/>
    </row>
    <row r="20" spans="1:4" x14ac:dyDescent="0.2">
      <c r="A20" s="32" t="s">
        <v>281</v>
      </c>
      <c r="B20" s="33" t="s">
        <v>282</v>
      </c>
      <c r="D20" s="51"/>
    </row>
    <row r="21" spans="1:4" x14ac:dyDescent="0.2">
      <c r="A21" s="32" t="s">
        <v>56</v>
      </c>
      <c r="B21" s="33" t="s">
        <v>57</v>
      </c>
      <c r="D21" s="51"/>
    </row>
    <row r="22" spans="1:4" x14ac:dyDescent="0.2">
      <c r="A22" s="32" t="s">
        <v>58</v>
      </c>
      <c r="B22" s="33" t="s">
        <v>283</v>
      </c>
      <c r="D22" s="51"/>
    </row>
    <row r="23" spans="1:4" x14ac:dyDescent="0.2">
      <c r="A23" s="32" t="s">
        <v>59</v>
      </c>
      <c r="B23" s="33" t="s">
        <v>284</v>
      </c>
      <c r="D23" s="51"/>
    </row>
    <row r="24" spans="1:4" x14ac:dyDescent="0.2">
      <c r="A24" s="32" t="s">
        <v>60</v>
      </c>
      <c r="B24" s="33" t="s">
        <v>285</v>
      </c>
      <c r="D24" s="51"/>
    </row>
    <row r="25" spans="1:4" x14ac:dyDescent="0.2">
      <c r="A25" s="32" t="s">
        <v>748</v>
      </c>
      <c r="B25" s="33" t="s">
        <v>749</v>
      </c>
      <c r="D25" s="51"/>
    </row>
    <row r="26" spans="1:4" x14ac:dyDescent="0.2">
      <c r="A26" s="32" t="s">
        <v>286</v>
      </c>
      <c r="B26" s="33" t="s">
        <v>287</v>
      </c>
      <c r="D26" s="51"/>
    </row>
    <row r="27" spans="1:4" x14ac:dyDescent="0.2">
      <c r="A27" s="32" t="s">
        <v>61</v>
      </c>
      <c r="B27" s="33" t="s">
        <v>288</v>
      </c>
      <c r="D27" s="51"/>
    </row>
    <row r="28" spans="1:4" x14ac:dyDescent="0.2">
      <c r="A28" s="32" t="s">
        <v>62</v>
      </c>
      <c r="B28" s="33" t="s">
        <v>289</v>
      </c>
      <c r="D28" s="51"/>
    </row>
    <row r="29" spans="1:4" x14ac:dyDescent="0.2">
      <c r="A29" s="32" t="s">
        <v>71</v>
      </c>
      <c r="B29" s="33" t="s">
        <v>72</v>
      </c>
      <c r="D29" s="51"/>
    </row>
    <row r="30" spans="1:4" x14ac:dyDescent="0.2">
      <c r="A30" s="32" t="s">
        <v>65</v>
      </c>
      <c r="B30" s="33" t="s">
        <v>66</v>
      </c>
      <c r="D30" s="51"/>
    </row>
    <row r="31" spans="1:4" x14ac:dyDescent="0.2">
      <c r="A31" s="32" t="s">
        <v>67</v>
      </c>
      <c r="B31" s="33" t="s">
        <v>68</v>
      </c>
      <c r="D31" s="51"/>
    </row>
    <row r="32" spans="1:4" x14ac:dyDescent="0.2">
      <c r="A32" s="32" t="s">
        <v>69</v>
      </c>
      <c r="B32" s="33" t="s">
        <v>70</v>
      </c>
      <c r="D32" s="51"/>
    </row>
    <row r="33" spans="1:4" x14ac:dyDescent="0.2">
      <c r="A33" s="32" t="s">
        <v>73</v>
      </c>
      <c r="B33" s="33" t="s">
        <v>290</v>
      </c>
      <c r="D33" s="51"/>
    </row>
    <row r="34" spans="1:4" x14ac:dyDescent="0.2">
      <c r="A34" s="32" t="s">
        <v>291</v>
      </c>
      <c r="B34" s="33" t="s">
        <v>292</v>
      </c>
      <c r="D34" s="51"/>
    </row>
    <row r="35" spans="1:4" x14ac:dyDescent="0.2">
      <c r="A35" s="32" t="s">
        <v>74</v>
      </c>
      <c r="B35" s="33" t="s">
        <v>293</v>
      </c>
      <c r="D35" s="51"/>
    </row>
    <row r="36" spans="1:4" x14ac:dyDescent="0.2">
      <c r="A36" s="32" t="s">
        <v>75</v>
      </c>
      <c r="B36" s="33" t="s">
        <v>76</v>
      </c>
      <c r="D36" s="51"/>
    </row>
    <row r="37" spans="1:4" x14ac:dyDescent="0.2">
      <c r="A37" s="32" t="s">
        <v>77</v>
      </c>
      <c r="B37" s="33" t="s">
        <v>78</v>
      </c>
      <c r="D37" s="51"/>
    </row>
    <row r="38" spans="1:4" x14ac:dyDescent="0.2">
      <c r="A38" s="32" t="s">
        <v>294</v>
      </c>
      <c r="B38" s="33" t="s">
        <v>295</v>
      </c>
      <c r="D38" s="51"/>
    </row>
    <row r="39" spans="1:4" x14ac:dyDescent="0.2">
      <c r="A39" s="32" t="s">
        <v>79</v>
      </c>
      <c r="B39" s="33" t="s">
        <v>524</v>
      </c>
      <c r="D39" s="51"/>
    </row>
    <row r="40" spans="1:4" x14ac:dyDescent="0.2">
      <c r="A40" s="32" t="s">
        <v>80</v>
      </c>
      <c r="B40" s="33" t="s">
        <v>81</v>
      </c>
      <c r="D40" s="51"/>
    </row>
    <row r="41" spans="1:4" x14ac:dyDescent="0.2">
      <c r="A41" s="32" t="s">
        <v>82</v>
      </c>
      <c r="B41" s="33" t="s">
        <v>83</v>
      </c>
      <c r="D41" s="51"/>
    </row>
    <row r="42" spans="1:4" x14ac:dyDescent="0.2">
      <c r="A42" s="32" t="s">
        <v>84</v>
      </c>
      <c r="B42" s="33" t="s">
        <v>85</v>
      </c>
      <c r="D42" s="51"/>
    </row>
    <row r="43" spans="1:4" x14ac:dyDescent="0.2">
      <c r="A43" s="32" t="s">
        <v>86</v>
      </c>
      <c r="B43" s="33" t="s">
        <v>87</v>
      </c>
      <c r="D43" s="51"/>
    </row>
    <row r="44" spans="1:4" x14ac:dyDescent="0.2">
      <c r="A44" s="32" t="s">
        <v>296</v>
      </c>
      <c r="B44" s="33" t="s">
        <v>525</v>
      </c>
      <c r="D44" s="51"/>
    </row>
    <row r="45" spans="1:4" x14ac:dyDescent="0.2">
      <c r="A45" s="32" t="s">
        <v>88</v>
      </c>
      <c r="B45" s="33" t="s">
        <v>89</v>
      </c>
      <c r="D45" s="51"/>
    </row>
    <row r="46" spans="1:4" x14ac:dyDescent="0.2">
      <c r="A46" s="32" t="s">
        <v>90</v>
      </c>
      <c r="B46" s="33" t="s">
        <v>91</v>
      </c>
      <c r="D46" s="51"/>
    </row>
    <row r="47" spans="1:4" x14ac:dyDescent="0.2">
      <c r="A47" s="32" t="s">
        <v>92</v>
      </c>
      <c r="B47" s="33" t="s">
        <v>297</v>
      </c>
      <c r="D47" s="51"/>
    </row>
    <row r="48" spans="1:4" x14ac:dyDescent="0.2">
      <c r="A48" s="32" t="s">
        <v>93</v>
      </c>
      <c r="B48" s="33" t="s">
        <v>94</v>
      </c>
      <c r="D48" s="51"/>
    </row>
    <row r="49" spans="1:4" x14ac:dyDescent="0.2">
      <c r="A49" s="32" t="s">
        <v>95</v>
      </c>
      <c r="B49" s="33" t="s">
        <v>96</v>
      </c>
      <c r="D49" s="51"/>
    </row>
    <row r="50" spans="1:4" x14ac:dyDescent="0.2">
      <c r="A50" s="32" t="s">
        <v>97</v>
      </c>
      <c r="B50" s="33" t="s">
        <v>298</v>
      </c>
      <c r="D50" s="51"/>
    </row>
    <row r="51" spans="1:4" x14ac:dyDescent="0.2">
      <c r="A51" s="32" t="s">
        <v>98</v>
      </c>
      <c r="B51" s="33" t="s">
        <v>299</v>
      </c>
      <c r="D51" s="51"/>
    </row>
    <row r="52" spans="1:4" x14ac:dyDescent="0.2">
      <c r="A52" s="32" t="s">
        <v>99</v>
      </c>
      <c r="B52" s="33" t="s">
        <v>300</v>
      </c>
      <c r="D52" s="51"/>
    </row>
    <row r="53" spans="1:4" x14ac:dyDescent="0.2">
      <c r="A53" s="32" t="s">
        <v>100</v>
      </c>
      <c r="B53" s="33" t="s">
        <v>101</v>
      </c>
      <c r="D53" s="51"/>
    </row>
    <row r="54" spans="1:4" x14ac:dyDescent="0.2">
      <c r="A54" s="32" t="s">
        <v>102</v>
      </c>
      <c r="B54" s="33" t="s">
        <v>103</v>
      </c>
      <c r="D54" s="51"/>
    </row>
    <row r="55" spans="1:4" x14ac:dyDescent="0.2">
      <c r="A55" s="32" t="s">
        <v>104</v>
      </c>
      <c r="B55" s="33" t="s">
        <v>105</v>
      </c>
      <c r="D55" s="51"/>
    </row>
    <row r="56" spans="1:4" x14ac:dyDescent="0.2">
      <c r="A56" s="32" t="s">
        <v>106</v>
      </c>
      <c r="B56" s="33" t="s">
        <v>301</v>
      </c>
      <c r="D56" s="51"/>
    </row>
    <row r="57" spans="1:4" x14ac:dyDescent="0.2">
      <c r="A57" s="32" t="s">
        <v>107</v>
      </c>
      <c r="B57" s="33" t="s">
        <v>302</v>
      </c>
      <c r="D57" s="51"/>
    </row>
    <row r="58" spans="1:4" x14ac:dyDescent="0.2">
      <c r="A58" s="32" t="s">
        <v>108</v>
      </c>
      <c r="B58" s="33" t="s">
        <v>109</v>
      </c>
      <c r="D58" s="51"/>
    </row>
    <row r="59" spans="1:4" x14ac:dyDescent="0.2">
      <c r="A59" s="32" t="s">
        <v>110</v>
      </c>
      <c r="B59" s="33" t="s">
        <v>526</v>
      </c>
      <c r="D59" s="51"/>
    </row>
    <row r="60" spans="1:4" x14ac:dyDescent="0.2">
      <c r="A60" s="32" t="s">
        <v>111</v>
      </c>
      <c r="B60" s="33" t="s">
        <v>112</v>
      </c>
      <c r="D60" s="51"/>
    </row>
    <row r="61" spans="1:4" x14ac:dyDescent="0.2">
      <c r="A61" s="32" t="s">
        <v>113</v>
      </c>
      <c r="B61" s="33" t="s">
        <v>114</v>
      </c>
      <c r="D61" s="51"/>
    </row>
    <row r="62" spans="1:4" x14ac:dyDescent="0.2">
      <c r="A62" s="32" t="s">
        <v>115</v>
      </c>
      <c r="B62" s="33" t="s">
        <v>303</v>
      </c>
      <c r="D62" s="51"/>
    </row>
    <row r="63" spans="1:4" x14ac:dyDescent="0.2">
      <c r="A63" s="32" t="s">
        <v>116</v>
      </c>
      <c r="B63" s="33" t="s">
        <v>117</v>
      </c>
      <c r="D63" s="51"/>
    </row>
    <row r="64" spans="1:4" x14ac:dyDescent="0.2">
      <c r="A64" s="32" t="s">
        <v>118</v>
      </c>
      <c r="B64" s="33" t="s">
        <v>304</v>
      </c>
      <c r="D64" s="51"/>
    </row>
    <row r="65" spans="1:4" x14ac:dyDescent="0.2">
      <c r="A65" s="32" t="s">
        <v>119</v>
      </c>
      <c r="B65" s="33" t="s">
        <v>120</v>
      </c>
      <c r="D65" s="51"/>
    </row>
    <row r="66" spans="1:4" x14ac:dyDescent="0.2">
      <c r="A66" s="32" t="s">
        <v>121</v>
      </c>
      <c r="B66" s="33" t="s">
        <v>305</v>
      </c>
      <c r="D66" s="51"/>
    </row>
    <row r="67" spans="1:4" x14ac:dyDescent="0.2">
      <c r="A67" s="32" t="s">
        <v>122</v>
      </c>
      <c r="B67" s="33" t="s">
        <v>306</v>
      </c>
      <c r="D67" s="51"/>
    </row>
    <row r="68" spans="1:4" x14ac:dyDescent="0.2">
      <c r="A68" s="32" t="s">
        <v>307</v>
      </c>
      <c r="B68" s="33" t="s">
        <v>308</v>
      </c>
      <c r="D68" s="51"/>
    </row>
    <row r="69" spans="1:4" x14ac:dyDescent="0.2">
      <c r="A69" s="32" t="s">
        <v>309</v>
      </c>
      <c r="B69" s="33" t="s">
        <v>310</v>
      </c>
      <c r="D69" s="51"/>
    </row>
    <row r="70" spans="1:4" x14ac:dyDescent="0.2">
      <c r="A70" s="32" t="s">
        <v>123</v>
      </c>
      <c r="B70" s="33" t="s">
        <v>124</v>
      </c>
      <c r="D70" s="51"/>
    </row>
    <row r="71" spans="1:4" x14ac:dyDescent="0.2">
      <c r="A71" s="32" t="s">
        <v>125</v>
      </c>
      <c r="B71" s="33" t="s">
        <v>126</v>
      </c>
      <c r="D71" s="51"/>
    </row>
    <row r="72" spans="1:4" x14ac:dyDescent="0.2">
      <c r="A72" s="32" t="s">
        <v>311</v>
      </c>
      <c r="B72" s="33" t="s">
        <v>128</v>
      </c>
      <c r="D72" s="51"/>
    </row>
    <row r="73" spans="1:4" x14ac:dyDescent="0.2">
      <c r="A73" s="32" t="s">
        <v>129</v>
      </c>
      <c r="B73" s="33" t="s">
        <v>312</v>
      </c>
      <c r="D73" s="51"/>
    </row>
    <row r="74" spans="1:4" x14ac:dyDescent="0.2">
      <c r="A74" s="32" t="s">
        <v>130</v>
      </c>
      <c r="B74" s="33" t="s">
        <v>131</v>
      </c>
      <c r="D74" s="51"/>
    </row>
    <row r="75" spans="1:4" x14ac:dyDescent="0.2">
      <c r="A75" s="32" t="s">
        <v>132</v>
      </c>
      <c r="B75" s="33" t="s">
        <v>313</v>
      </c>
      <c r="D75" s="51"/>
    </row>
    <row r="76" spans="1:4" x14ac:dyDescent="0.2">
      <c r="A76" s="32" t="s">
        <v>314</v>
      </c>
      <c r="B76" s="33" t="s">
        <v>315</v>
      </c>
      <c r="D76" s="51"/>
    </row>
    <row r="77" spans="1:4" x14ac:dyDescent="0.2">
      <c r="A77" s="32" t="s">
        <v>316</v>
      </c>
      <c r="B77" s="33" t="s">
        <v>317</v>
      </c>
      <c r="D77" s="51"/>
    </row>
    <row r="78" spans="1:4" x14ac:dyDescent="0.2">
      <c r="A78" s="32" t="s">
        <v>133</v>
      </c>
      <c r="B78" s="33" t="s">
        <v>318</v>
      </c>
      <c r="D78" s="51"/>
    </row>
    <row r="79" spans="1:4" x14ac:dyDescent="0.2">
      <c r="A79" s="32" t="s">
        <v>134</v>
      </c>
      <c r="B79" s="33" t="s">
        <v>319</v>
      </c>
      <c r="D79" s="51"/>
    </row>
    <row r="80" spans="1:4" x14ac:dyDescent="0.2">
      <c r="A80" s="32" t="s">
        <v>127</v>
      </c>
      <c r="B80" s="33" t="s">
        <v>136</v>
      </c>
      <c r="D80" s="51"/>
    </row>
    <row r="81" spans="1:4" x14ac:dyDescent="0.2">
      <c r="A81" s="32" t="s">
        <v>320</v>
      </c>
      <c r="B81" s="33" t="s">
        <v>321</v>
      </c>
      <c r="D81" s="51"/>
    </row>
    <row r="82" spans="1:4" x14ac:dyDescent="0.2">
      <c r="A82" s="32" t="s">
        <v>322</v>
      </c>
      <c r="B82" s="33" t="s">
        <v>323</v>
      </c>
      <c r="D82" s="51"/>
    </row>
    <row r="83" spans="1:4" x14ac:dyDescent="0.2">
      <c r="A83" s="32" t="s">
        <v>137</v>
      </c>
      <c r="B83" s="33" t="s">
        <v>324</v>
      </c>
      <c r="D83" s="51"/>
    </row>
    <row r="84" spans="1:4" x14ac:dyDescent="0.2">
      <c r="A84" s="32" t="s">
        <v>138</v>
      </c>
      <c r="B84" s="33" t="s">
        <v>325</v>
      </c>
      <c r="D84" s="51"/>
    </row>
    <row r="85" spans="1:4" x14ac:dyDescent="0.2">
      <c r="A85" s="32" t="s">
        <v>139</v>
      </c>
      <c r="B85" s="33" t="s">
        <v>140</v>
      </c>
      <c r="D85" s="51"/>
    </row>
    <row r="86" spans="1:4" x14ac:dyDescent="0.2">
      <c r="A86" s="32" t="s">
        <v>141</v>
      </c>
      <c r="B86" s="33" t="s">
        <v>326</v>
      </c>
      <c r="D86" s="51"/>
    </row>
    <row r="87" spans="1:4" x14ac:dyDescent="0.2">
      <c r="A87" s="32" t="s">
        <v>142</v>
      </c>
      <c r="B87" s="33" t="s">
        <v>327</v>
      </c>
      <c r="D87" s="51"/>
    </row>
    <row r="88" spans="1:4" x14ac:dyDescent="0.2">
      <c r="A88" s="32" t="s">
        <v>143</v>
      </c>
      <c r="B88" s="33" t="s">
        <v>144</v>
      </c>
      <c r="D88" s="51"/>
    </row>
    <row r="89" spans="1:4" x14ac:dyDescent="0.2">
      <c r="A89" s="32" t="s">
        <v>145</v>
      </c>
      <c r="B89" s="33" t="s">
        <v>146</v>
      </c>
      <c r="D89" s="51"/>
    </row>
    <row r="90" spans="1:4" x14ac:dyDescent="0.2">
      <c r="A90" s="32" t="s">
        <v>147</v>
      </c>
      <c r="B90" s="33" t="s">
        <v>148</v>
      </c>
      <c r="D90" s="51"/>
    </row>
    <row r="91" spans="1:4" x14ac:dyDescent="0.2">
      <c r="A91" s="32" t="s">
        <v>149</v>
      </c>
      <c r="B91" s="33" t="s">
        <v>150</v>
      </c>
      <c r="D91" s="51"/>
    </row>
    <row r="92" spans="1:4" x14ac:dyDescent="0.2">
      <c r="A92" s="32" t="s">
        <v>151</v>
      </c>
      <c r="B92" s="33" t="s">
        <v>152</v>
      </c>
      <c r="D92" s="51"/>
    </row>
    <row r="93" spans="1:4" x14ac:dyDescent="0.2">
      <c r="A93" s="32" t="s">
        <v>135</v>
      </c>
      <c r="B93" s="33" t="s">
        <v>154</v>
      </c>
      <c r="D93" s="51"/>
    </row>
    <row r="94" spans="1:4" x14ac:dyDescent="0.2">
      <c r="A94" s="32" t="s">
        <v>155</v>
      </c>
      <c r="B94" s="33" t="s">
        <v>328</v>
      </c>
      <c r="D94" s="51"/>
    </row>
    <row r="95" spans="1:4" x14ac:dyDescent="0.2">
      <c r="A95" s="32" t="s">
        <v>156</v>
      </c>
      <c r="B95" s="33" t="s">
        <v>329</v>
      </c>
      <c r="D95" s="51"/>
    </row>
    <row r="96" spans="1:4" x14ac:dyDescent="0.2">
      <c r="A96" s="32" t="s">
        <v>157</v>
      </c>
      <c r="B96" s="33" t="s">
        <v>527</v>
      </c>
      <c r="D96" s="51"/>
    </row>
    <row r="97" spans="1:4" x14ac:dyDescent="0.2">
      <c r="A97" s="32" t="s">
        <v>330</v>
      </c>
      <c r="B97" s="33" t="s">
        <v>331</v>
      </c>
      <c r="D97" s="51"/>
    </row>
    <row r="98" spans="1:4" x14ac:dyDescent="0.2">
      <c r="A98" s="32" t="s">
        <v>158</v>
      </c>
      <c r="B98" s="33" t="s">
        <v>159</v>
      </c>
      <c r="D98" s="51"/>
    </row>
    <row r="99" spans="1:4" x14ac:dyDescent="0.2">
      <c r="A99" s="32" t="s">
        <v>160</v>
      </c>
      <c r="B99" s="33" t="s">
        <v>332</v>
      </c>
      <c r="D99" s="51"/>
    </row>
    <row r="100" spans="1:4" x14ac:dyDescent="0.2">
      <c r="A100" s="32" t="s">
        <v>333</v>
      </c>
      <c r="B100" s="33" t="s">
        <v>528</v>
      </c>
      <c r="D100" s="51"/>
    </row>
    <row r="101" spans="1:4" x14ac:dyDescent="0.2">
      <c r="A101" s="32" t="s">
        <v>334</v>
      </c>
      <c r="B101" s="33" t="s">
        <v>529</v>
      </c>
      <c r="D101" s="51"/>
    </row>
    <row r="102" spans="1:4" x14ac:dyDescent="0.2">
      <c r="A102" s="32" t="s">
        <v>335</v>
      </c>
      <c r="B102" s="33" t="s">
        <v>530</v>
      </c>
      <c r="D102" s="51"/>
    </row>
    <row r="103" spans="1:4" x14ac:dyDescent="0.2">
      <c r="A103" s="32" t="s">
        <v>161</v>
      </c>
      <c r="B103" s="33" t="s">
        <v>336</v>
      </c>
      <c r="D103" s="51"/>
    </row>
    <row r="104" spans="1:4" x14ac:dyDescent="0.2">
      <c r="A104" s="32" t="s">
        <v>425</v>
      </c>
      <c r="B104" s="33" t="s">
        <v>531</v>
      </c>
      <c r="D104" s="51"/>
    </row>
    <row r="105" spans="1:4" x14ac:dyDescent="0.2">
      <c r="A105" s="32" t="s">
        <v>420</v>
      </c>
      <c r="B105" s="33" t="s">
        <v>532</v>
      </c>
      <c r="D105" s="51"/>
    </row>
    <row r="106" spans="1:4" x14ac:dyDescent="0.2">
      <c r="A106" s="32" t="s">
        <v>153</v>
      </c>
      <c r="B106" s="33" t="s">
        <v>163</v>
      </c>
      <c r="D106" s="51"/>
    </row>
    <row r="107" spans="1:4" x14ac:dyDescent="0.2">
      <c r="A107" s="32" t="s">
        <v>337</v>
      </c>
      <c r="B107" s="33" t="s">
        <v>165</v>
      </c>
      <c r="D107" s="51"/>
    </row>
    <row r="108" spans="1:4" x14ac:dyDescent="0.2">
      <c r="A108" s="32" t="s">
        <v>426</v>
      </c>
      <c r="B108" s="33" t="s">
        <v>533</v>
      </c>
      <c r="D108" s="51"/>
    </row>
    <row r="109" spans="1:4" x14ac:dyDescent="0.2">
      <c r="A109" s="32" t="s">
        <v>421</v>
      </c>
      <c r="B109" s="33" t="s">
        <v>534</v>
      </c>
      <c r="D109" s="51"/>
    </row>
    <row r="110" spans="1:4" x14ac:dyDescent="0.2">
      <c r="A110" s="32" t="s">
        <v>338</v>
      </c>
      <c r="B110" s="33" t="s">
        <v>339</v>
      </c>
      <c r="D110" s="51"/>
    </row>
    <row r="111" spans="1:4" x14ac:dyDescent="0.2">
      <c r="A111" s="32" t="s">
        <v>427</v>
      </c>
      <c r="B111" s="33" t="s">
        <v>535</v>
      </c>
      <c r="D111" s="51"/>
    </row>
    <row r="112" spans="1:4" x14ac:dyDescent="0.2">
      <c r="A112" s="32" t="s">
        <v>428</v>
      </c>
      <c r="B112" s="33" t="s">
        <v>536</v>
      </c>
      <c r="D112" s="51"/>
    </row>
    <row r="113" spans="1:4" x14ac:dyDescent="0.2">
      <c r="A113" s="32" t="s">
        <v>429</v>
      </c>
      <c r="B113" s="33" t="s">
        <v>537</v>
      </c>
      <c r="D113" s="51"/>
    </row>
    <row r="114" spans="1:4" x14ac:dyDescent="0.2">
      <c r="A114" s="32" t="s">
        <v>430</v>
      </c>
      <c r="B114" s="33" t="s">
        <v>538</v>
      </c>
      <c r="D114" s="51"/>
    </row>
    <row r="115" spans="1:4" x14ac:dyDescent="0.2">
      <c r="A115" s="32" t="s">
        <v>340</v>
      </c>
      <c r="B115" s="33" t="s">
        <v>341</v>
      </c>
      <c r="D115" s="51"/>
    </row>
    <row r="116" spans="1:4" x14ac:dyDescent="0.2">
      <c r="A116" s="32" t="s">
        <v>166</v>
      </c>
      <c r="B116" s="33" t="s">
        <v>342</v>
      </c>
      <c r="D116" s="51"/>
    </row>
    <row r="117" spans="1:4" x14ac:dyDescent="0.2">
      <c r="A117" s="32" t="s">
        <v>431</v>
      </c>
      <c r="B117" s="33" t="s">
        <v>539</v>
      </c>
      <c r="D117" s="51"/>
    </row>
    <row r="118" spans="1:4" x14ac:dyDescent="0.2">
      <c r="A118" s="32" t="s">
        <v>432</v>
      </c>
      <c r="B118" s="33" t="s">
        <v>540</v>
      </c>
      <c r="D118" s="51"/>
    </row>
    <row r="119" spans="1:4" x14ac:dyDescent="0.2">
      <c r="A119" s="32" t="s">
        <v>433</v>
      </c>
      <c r="B119" s="33" t="s">
        <v>541</v>
      </c>
      <c r="D119" s="51"/>
    </row>
    <row r="120" spans="1:4" x14ac:dyDescent="0.2">
      <c r="A120" s="32" t="s">
        <v>434</v>
      </c>
      <c r="B120" s="33" t="s">
        <v>542</v>
      </c>
      <c r="D120" s="51"/>
    </row>
    <row r="121" spans="1:4" x14ac:dyDescent="0.2">
      <c r="A121" s="32" t="s">
        <v>435</v>
      </c>
      <c r="B121" s="33" t="s">
        <v>638</v>
      </c>
      <c r="D121" s="51"/>
    </row>
    <row r="122" spans="1:4" x14ac:dyDescent="0.2">
      <c r="A122" s="32" t="s">
        <v>343</v>
      </c>
      <c r="B122" s="33" t="s">
        <v>344</v>
      </c>
      <c r="D122" s="51"/>
    </row>
    <row r="123" spans="1:4" x14ac:dyDescent="0.2">
      <c r="A123" s="32" t="s">
        <v>436</v>
      </c>
      <c r="B123" s="33" t="s">
        <v>543</v>
      </c>
      <c r="D123" s="51"/>
    </row>
    <row r="124" spans="1:4" x14ac:dyDescent="0.2">
      <c r="A124" s="32" t="s">
        <v>437</v>
      </c>
      <c r="B124" s="33" t="s">
        <v>544</v>
      </c>
      <c r="D124" s="51"/>
    </row>
    <row r="125" spans="1:4" x14ac:dyDescent="0.2">
      <c r="A125" s="32" t="s">
        <v>162</v>
      </c>
      <c r="B125" s="33" t="s">
        <v>345</v>
      </c>
      <c r="D125" s="51"/>
    </row>
    <row r="126" spans="1:4" x14ac:dyDescent="0.2">
      <c r="A126" s="32" t="s">
        <v>168</v>
      </c>
      <c r="B126" s="33" t="s">
        <v>169</v>
      </c>
      <c r="D126" s="51"/>
    </row>
    <row r="127" spans="1:4" x14ac:dyDescent="0.2">
      <c r="A127" s="32" t="s">
        <v>438</v>
      </c>
      <c r="B127" s="33" t="s">
        <v>545</v>
      </c>
      <c r="D127" s="51"/>
    </row>
    <row r="128" spans="1:4" x14ac:dyDescent="0.2">
      <c r="A128" s="32" t="s">
        <v>439</v>
      </c>
      <c r="B128" s="33" t="s">
        <v>546</v>
      </c>
      <c r="D128" s="51"/>
    </row>
    <row r="129" spans="1:4" x14ac:dyDescent="0.2">
      <c r="A129" s="32" t="s">
        <v>440</v>
      </c>
      <c r="B129" s="33" t="s">
        <v>547</v>
      </c>
      <c r="D129" s="51"/>
    </row>
    <row r="130" spans="1:4" x14ac:dyDescent="0.2">
      <c r="A130" s="32" t="s">
        <v>441</v>
      </c>
      <c r="B130" s="33" t="s">
        <v>548</v>
      </c>
      <c r="D130" s="51"/>
    </row>
    <row r="131" spans="1:4" x14ac:dyDescent="0.2">
      <c r="A131" s="32" t="s">
        <v>442</v>
      </c>
      <c r="B131" s="33" t="s">
        <v>549</v>
      </c>
      <c r="D131" s="51"/>
    </row>
    <row r="132" spans="1:4" x14ac:dyDescent="0.2">
      <c r="A132" s="32" t="s">
        <v>443</v>
      </c>
      <c r="B132" s="33" t="s">
        <v>550</v>
      </c>
      <c r="D132" s="51"/>
    </row>
    <row r="133" spans="1:4" x14ac:dyDescent="0.2">
      <c r="A133" s="32" t="s">
        <v>444</v>
      </c>
      <c r="B133" s="33" t="s">
        <v>551</v>
      </c>
      <c r="D133" s="51"/>
    </row>
    <row r="134" spans="1:4" x14ac:dyDescent="0.2">
      <c r="A134" s="32" t="s">
        <v>445</v>
      </c>
      <c r="B134" s="33" t="s">
        <v>552</v>
      </c>
      <c r="D134" s="51"/>
    </row>
    <row r="135" spans="1:4" x14ac:dyDescent="0.2">
      <c r="A135" s="32" t="s">
        <v>446</v>
      </c>
      <c r="B135" s="33" t="s">
        <v>553</v>
      </c>
      <c r="D135" s="51"/>
    </row>
    <row r="136" spans="1:4" x14ac:dyDescent="0.2">
      <c r="A136" s="32" t="s">
        <v>447</v>
      </c>
      <c r="B136" s="33" t="s">
        <v>554</v>
      </c>
      <c r="D136" s="51"/>
    </row>
    <row r="137" spans="1:4" x14ac:dyDescent="0.2">
      <c r="A137" s="32" t="s">
        <v>448</v>
      </c>
      <c r="B137" s="33" t="s">
        <v>555</v>
      </c>
      <c r="D137" s="51"/>
    </row>
    <row r="138" spans="1:4" x14ac:dyDescent="0.2">
      <c r="A138" s="32" t="s">
        <v>449</v>
      </c>
      <c r="B138" s="33" t="s">
        <v>556</v>
      </c>
      <c r="D138" s="51"/>
    </row>
    <row r="139" spans="1:4" x14ac:dyDescent="0.2">
      <c r="A139" s="32" t="s">
        <v>450</v>
      </c>
      <c r="B139" s="33" t="s">
        <v>557</v>
      </c>
      <c r="D139" s="51"/>
    </row>
    <row r="140" spans="1:4" x14ac:dyDescent="0.2">
      <c r="A140" s="32" t="s">
        <v>451</v>
      </c>
      <c r="B140" s="33" t="s">
        <v>558</v>
      </c>
      <c r="D140" s="51"/>
    </row>
    <row r="141" spans="1:4" x14ac:dyDescent="0.2">
      <c r="A141" s="32" t="s">
        <v>452</v>
      </c>
      <c r="B141" s="33" t="s">
        <v>559</v>
      </c>
      <c r="D141" s="51"/>
    </row>
    <row r="142" spans="1:4" x14ac:dyDescent="0.2">
      <c r="A142" s="32" t="s">
        <v>453</v>
      </c>
      <c r="B142" s="33" t="s">
        <v>560</v>
      </c>
      <c r="D142" s="51"/>
    </row>
    <row r="143" spans="1:4" x14ac:dyDescent="0.2">
      <c r="A143" s="32" t="s">
        <v>454</v>
      </c>
      <c r="B143" s="33" t="s">
        <v>561</v>
      </c>
      <c r="D143" s="51"/>
    </row>
    <row r="144" spans="1:4" x14ac:dyDescent="0.2">
      <c r="A144" s="32" t="s">
        <v>455</v>
      </c>
      <c r="B144" s="33" t="s">
        <v>562</v>
      </c>
      <c r="D144" s="51"/>
    </row>
    <row r="145" spans="1:4" x14ac:dyDescent="0.2">
      <c r="A145" s="32" t="s">
        <v>456</v>
      </c>
      <c r="B145" s="33" t="s">
        <v>563</v>
      </c>
      <c r="D145" s="51"/>
    </row>
    <row r="146" spans="1:4" x14ac:dyDescent="0.2">
      <c r="A146" s="32" t="s">
        <v>457</v>
      </c>
      <c r="B146" s="33" t="s">
        <v>564</v>
      </c>
      <c r="D146" s="51"/>
    </row>
    <row r="147" spans="1:4" x14ac:dyDescent="0.2">
      <c r="A147" s="32" t="s">
        <v>458</v>
      </c>
      <c r="B147" s="33" t="s">
        <v>565</v>
      </c>
      <c r="D147" s="51"/>
    </row>
    <row r="148" spans="1:4" x14ac:dyDescent="0.2">
      <c r="A148" s="32" t="s">
        <v>459</v>
      </c>
      <c r="B148" s="33" t="s">
        <v>566</v>
      </c>
      <c r="D148" s="51"/>
    </row>
    <row r="149" spans="1:4" x14ac:dyDescent="0.2">
      <c r="A149" s="32" t="s">
        <v>460</v>
      </c>
      <c r="B149" s="33" t="s">
        <v>567</v>
      </c>
      <c r="D149" s="51"/>
    </row>
    <row r="150" spans="1:4" x14ac:dyDescent="0.2">
      <c r="A150" s="32" t="s">
        <v>346</v>
      </c>
      <c r="B150" s="33" t="s">
        <v>347</v>
      </c>
      <c r="D150" s="51"/>
    </row>
    <row r="151" spans="1:4" x14ac:dyDescent="0.2">
      <c r="A151" s="32" t="s">
        <v>461</v>
      </c>
      <c r="B151" s="33" t="s">
        <v>568</v>
      </c>
      <c r="D151" s="51"/>
    </row>
    <row r="152" spans="1:4" x14ac:dyDescent="0.2">
      <c r="A152" s="32" t="s">
        <v>462</v>
      </c>
      <c r="B152" s="33" t="s">
        <v>569</v>
      </c>
      <c r="D152" s="51"/>
    </row>
    <row r="153" spans="1:4" x14ac:dyDescent="0.2">
      <c r="A153" s="32" t="s">
        <v>463</v>
      </c>
      <c r="B153" s="33" t="s">
        <v>570</v>
      </c>
      <c r="D153" s="51"/>
    </row>
    <row r="154" spans="1:4" x14ac:dyDescent="0.2">
      <c r="A154" s="32" t="s">
        <v>170</v>
      </c>
      <c r="B154" s="33" t="s">
        <v>348</v>
      </c>
      <c r="D154" s="51"/>
    </row>
    <row r="155" spans="1:4" x14ac:dyDescent="0.2">
      <c r="A155" s="32" t="s">
        <v>464</v>
      </c>
      <c r="B155" s="33" t="s">
        <v>571</v>
      </c>
      <c r="D155" s="51"/>
    </row>
    <row r="156" spans="1:4" x14ac:dyDescent="0.2">
      <c r="A156" s="32" t="s">
        <v>171</v>
      </c>
      <c r="B156" s="33" t="s">
        <v>349</v>
      </c>
      <c r="D156" s="51"/>
    </row>
    <row r="157" spans="1:4" x14ac:dyDescent="0.2">
      <c r="A157" s="32" t="s">
        <v>465</v>
      </c>
      <c r="B157" s="33" t="s">
        <v>572</v>
      </c>
      <c r="D157" s="51"/>
    </row>
    <row r="158" spans="1:4" x14ac:dyDescent="0.2">
      <c r="A158" s="32" t="s">
        <v>466</v>
      </c>
      <c r="B158" s="33" t="s">
        <v>573</v>
      </c>
      <c r="D158" s="51"/>
    </row>
    <row r="159" spans="1:4" x14ac:dyDescent="0.2">
      <c r="A159" s="32" t="s">
        <v>164</v>
      </c>
      <c r="B159" s="33" t="s">
        <v>350</v>
      </c>
      <c r="D159" s="51"/>
    </row>
    <row r="160" spans="1:4" x14ac:dyDescent="0.2">
      <c r="A160" s="32" t="s">
        <v>173</v>
      </c>
      <c r="B160" s="33" t="s">
        <v>174</v>
      </c>
      <c r="D160" s="51"/>
    </row>
    <row r="161" spans="1:4" x14ac:dyDescent="0.2">
      <c r="A161" s="32" t="s">
        <v>467</v>
      </c>
      <c r="B161" s="33" t="s">
        <v>574</v>
      </c>
      <c r="D161" s="51"/>
    </row>
    <row r="162" spans="1:4" x14ac:dyDescent="0.2">
      <c r="A162" s="32" t="s">
        <v>468</v>
      </c>
      <c r="B162" s="33" t="s">
        <v>575</v>
      </c>
      <c r="D162" s="51"/>
    </row>
    <row r="163" spans="1:4" x14ac:dyDescent="0.2">
      <c r="A163" s="32" t="s">
        <v>469</v>
      </c>
      <c r="B163" s="33" t="s">
        <v>576</v>
      </c>
      <c r="D163" s="51"/>
    </row>
    <row r="164" spans="1:4" x14ac:dyDescent="0.2">
      <c r="A164" s="32" t="s">
        <v>470</v>
      </c>
      <c r="B164" s="33" t="s">
        <v>577</v>
      </c>
      <c r="D164" s="51"/>
    </row>
    <row r="165" spans="1:4" x14ac:dyDescent="0.2">
      <c r="A165" s="32" t="s">
        <v>175</v>
      </c>
      <c r="B165" s="33" t="s">
        <v>351</v>
      </c>
      <c r="D165" s="51"/>
    </row>
    <row r="166" spans="1:4" x14ac:dyDescent="0.2">
      <c r="A166" s="32" t="s">
        <v>167</v>
      </c>
      <c r="B166" s="33" t="s">
        <v>177</v>
      </c>
      <c r="D166" s="51"/>
    </row>
    <row r="167" spans="1:4" x14ac:dyDescent="0.2">
      <c r="A167" s="32" t="s">
        <v>471</v>
      </c>
      <c r="B167" s="33" t="s">
        <v>578</v>
      </c>
      <c r="D167" s="51"/>
    </row>
    <row r="168" spans="1:4" x14ac:dyDescent="0.2">
      <c r="A168" s="32" t="s">
        <v>472</v>
      </c>
      <c r="B168" s="33" t="s">
        <v>579</v>
      </c>
      <c r="D168" s="51"/>
    </row>
    <row r="169" spans="1:4" x14ac:dyDescent="0.2">
      <c r="A169" s="32" t="s">
        <v>178</v>
      </c>
      <c r="B169" s="33" t="s">
        <v>352</v>
      </c>
      <c r="D169" s="51"/>
    </row>
    <row r="170" spans="1:4" x14ac:dyDescent="0.2">
      <c r="A170" s="32" t="s">
        <v>179</v>
      </c>
      <c r="B170" s="33" t="s">
        <v>353</v>
      </c>
      <c r="D170" s="51"/>
    </row>
    <row r="171" spans="1:4" x14ac:dyDescent="0.2">
      <c r="A171" s="32" t="s">
        <v>473</v>
      </c>
      <c r="B171" s="33" t="s">
        <v>580</v>
      </c>
      <c r="D171" s="51"/>
    </row>
    <row r="172" spans="1:4" x14ac:dyDescent="0.2">
      <c r="A172" s="32" t="s">
        <v>474</v>
      </c>
      <c r="B172" s="33" t="s">
        <v>581</v>
      </c>
      <c r="D172" s="51"/>
    </row>
    <row r="173" spans="1:4" x14ac:dyDescent="0.2">
      <c r="A173" s="32" t="s">
        <v>180</v>
      </c>
      <c r="B173" s="33" t="s">
        <v>181</v>
      </c>
      <c r="D173" s="51"/>
    </row>
    <row r="174" spans="1:4" x14ac:dyDescent="0.2">
      <c r="A174" s="32" t="s">
        <v>475</v>
      </c>
      <c r="B174" s="33" t="s">
        <v>582</v>
      </c>
      <c r="D174" s="51"/>
    </row>
    <row r="175" spans="1:4" x14ac:dyDescent="0.2">
      <c r="A175" s="32" t="s">
        <v>172</v>
      </c>
      <c r="B175" s="33" t="s">
        <v>183</v>
      </c>
      <c r="D175" s="51"/>
    </row>
    <row r="176" spans="1:4" x14ac:dyDescent="0.2">
      <c r="A176" s="32" t="s">
        <v>476</v>
      </c>
      <c r="B176" s="33" t="s">
        <v>583</v>
      </c>
      <c r="D176" s="51"/>
    </row>
    <row r="177" spans="1:4" x14ac:dyDescent="0.2">
      <c r="A177" s="32" t="s">
        <v>477</v>
      </c>
      <c r="B177" s="33" t="s">
        <v>584</v>
      </c>
      <c r="D177" s="51"/>
    </row>
    <row r="178" spans="1:4" x14ac:dyDescent="0.2">
      <c r="A178" s="32" t="s">
        <v>354</v>
      </c>
      <c r="B178" s="33" t="s">
        <v>355</v>
      </c>
      <c r="D178" s="51"/>
    </row>
    <row r="179" spans="1:4" x14ac:dyDescent="0.2">
      <c r="A179" s="32" t="s">
        <v>478</v>
      </c>
      <c r="B179" s="33" t="s">
        <v>585</v>
      </c>
      <c r="D179" s="51"/>
    </row>
    <row r="180" spans="1:4" x14ac:dyDescent="0.2">
      <c r="A180" s="32" t="s">
        <v>479</v>
      </c>
      <c r="B180" s="33" t="s">
        <v>586</v>
      </c>
      <c r="D180" s="51"/>
    </row>
    <row r="181" spans="1:4" x14ac:dyDescent="0.2">
      <c r="A181" s="32" t="s">
        <v>480</v>
      </c>
      <c r="B181" s="33" t="s">
        <v>587</v>
      </c>
      <c r="D181" s="51"/>
    </row>
    <row r="182" spans="1:4" x14ac:dyDescent="0.2">
      <c r="A182" s="32" t="s">
        <v>481</v>
      </c>
      <c r="B182" s="33" t="s">
        <v>588</v>
      </c>
      <c r="D182" s="51"/>
    </row>
    <row r="183" spans="1:4" x14ac:dyDescent="0.2">
      <c r="A183" s="32" t="s">
        <v>482</v>
      </c>
      <c r="B183" s="33" t="s">
        <v>589</v>
      </c>
      <c r="D183" s="51"/>
    </row>
    <row r="184" spans="1:4" x14ac:dyDescent="0.2">
      <c r="A184" s="32" t="s">
        <v>184</v>
      </c>
      <c r="B184" s="33" t="s">
        <v>185</v>
      </c>
      <c r="D184" s="51"/>
    </row>
    <row r="185" spans="1:4" x14ac:dyDescent="0.2">
      <c r="A185" s="32" t="s">
        <v>186</v>
      </c>
      <c r="B185" s="33" t="s">
        <v>187</v>
      </c>
      <c r="D185" s="51"/>
    </row>
    <row r="186" spans="1:4" x14ac:dyDescent="0.2">
      <c r="A186" s="32" t="s">
        <v>483</v>
      </c>
      <c r="B186" s="33" t="s">
        <v>590</v>
      </c>
      <c r="D186" s="51"/>
    </row>
    <row r="187" spans="1:4" x14ac:dyDescent="0.2">
      <c r="A187" s="32" t="s">
        <v>484</v>
      </c>
      <c r="B187" s="33" t="s">
        <v>591</v>
      </c>
      <c r="D187" s="51"/>
    </row>
    <row r="188" spans="1:4" x14ac:dyDescent="0.2">
      <c r="A188" s="32" t="s">
        <v>485</v>
      </c>
      <c r="B188" s="33" t="s">
        <v>592</v>
      </c>
      <c r="D188" s="51"/>
    </row>
    <row r="189" spans="1:4" x14ac:dyDescent="0.2">
      <c r="A189" s="32" t="s">
        <v>486</v>
      </c>
      <c r="B189" s="33" t="s">
        <v>593</v>
      </c>
      <c r="D189" s="51"/>
    </row>
    <row r="190" spans="1:4" x14ac:dyDescent="0.2">
      <c r="A190" s="32" t="s">
        <v>487</v>
      </c>
      <c r="B190" s="33" t="s">
        <v>594</v>
      </c>
      <c r="D190" s="51"/>
    </row>
    <row r="191" spans="1:4" x14ac:dyDescent="0.2">
      <c r="A191" s="32" t="s">
        <v>488</v>
      </c>
      <c r="B191" s="33" t="s">
        <v>595</v>
      </c>
      <c r="D191" s="51"/>
    </row>
    <row r="192" spans="1:4" x14ac:dyDescent="0.2">
      <c r="A192" s="32" t="s">
        <v>489</v>
      </c>
      <c r="B192" s="33" t="s">
        <v>596</v>
      </c>
      <c r="D192" s="51"/>
    </row>
    <row r="193" spans="1:4" x14ac:dyDescent="0.2">
      <c r="A193" s="32" t="s">
        <v>490</v>
      </c>
      <c r="B193" s="33" t="s">
        <v>597</v>
      </c>
      <c r="D193" s="51"/>
    </row>
    <row r="194" spans="1:4" x14ac:dyDescent="0.2">
      <c r="A194" s="32" t="s">
        <v>176</v>
      </c>
      <c r="B194" s="33" t="s">
        <v>189</v>
      </c>
      <c r="D194" s="51"/>
    </row>
    <row r="195" spans="1:4" x14ac:dyDescent="0.2">
      <c r="A195" s="32" t="s">
        <v>356</v>
      </c>
      <c r="B195" s="33" t="s">
        <v>357</v>
      </c>
      <c r="D195" s="51"/>
    </row>
    <row r="196" spans="1:4" x14ac:dyDescent="0.2">
      <c r="A196" s="32" t="s">
        <v>491</v>
      </c>
      <c r="B196" s="33" t="s">
        <v>598</v>
      </c>
      <c r="D196" s="51"/>
    </row>
    <row r="197" spans="1:4" x14ac:dyDescent="0.2">
      <c r="A197" s="32" t="s">
        <v>492</v>
      </c>
      <c r="B197" s="33" t="s">
        <v>599</v>
      </c>
      <c r="D197" s="51"/>
    </row>
    <row r="198" spans="1:4" x14ac:dyDescent="0.2">
      <c r="A198" s="32" t="s">
        <v>493</v>
      </c>
      <c r="B198" s="33" t="s">
        <v>600</v>
      </c>
      <c r="D198" s="51"/>
    </row>
    <row r="199" spans="1:4" x14ac:dyDescent="0.2">
      <c r="A199" s="32" t="s">
        <v>494</v>
      </c>
      <c r="B199" s="33" t="s">
        <v>601</v>
      </c>
      <c r="D199" s="51"/>
    </row>
    <row r="200" spans="1:4" x14ac:dyDescent="0.2">
      <c r="A200" s="32" t="s">
        <v>495</v>
      </c>
      <c r="B200" s="33" t="s">
        <v>602</v>
      </c>
      <c r="D200" s="51"/>
    </row>
    <row r="201" spans="1:4" x14ac:dyDescent="0.2">
      <c r="A201" s="32" t="s">
        <v>496</v>
      </c>
      <c r="B201" s="33" t="s">
        <v>603</v>
      </c>
      <c r="D201" s="51"/>
    </row>
    <row r="202" spans="1:4" x14ac:dyDescent="0.2">
      <c r="A202" s="32" t="s">
        <v>497</v>
      </c>
      <c r="B202" s="33" t="s">
        <v>604</v>
      </c>
      <c r="D202" s="51"/>
    </row>
    <row r="203" spans="1:4" x14ac:dyDescent="0.2">
      <c r="A203" s="32" t="s">
        <v>498</v>
      </c>
      <c r="B203" s="33" t="s">
        <v>605</v>
      </c>
      <c r="D203" s="51"/>
    </row>
    <row r="204" spans="1:4" x14ac:dyDescent="0.2">
      <c r="A204" s="32" t="s">
        <v>499</v>
      </c>
      <c r="B204" s="33" t="s">
        <v>606</v>
      </c>
      <c r="D204" s="51"/>
    </row>
    <row r="205" spans="1:4" x14ac:dyDescent="0.2">
      <c r="A205" s="32" t="s">
        <v>422</v>
      </c>
      <c r="B205" s="33" t="s">
        <v>639</v>
      </c>
      <c r="D205" s="51"/>
    </row>
    <row r="206" spans="1:4" x14ac:dyDescent="0.2">
      <c r="A206" s="32" t="s">
        <v>500</v>
      </c>
      <c r="B206" s="33" t="s">
        <v>607</v>
      </c>
      <c r="D206" s="51"/>
    </row>
    <row r="207" spans="1:4" x14ac:dyDescent="0.2">
      <c r="A207" s="32" t="s">
        <v>501</v>
      </c>
      <c r="B207" s="33" t="s">
        <v>608</v>
      </c>
      <c r="D207" s="51"/>
    </row>
    <row r="208" spans="1:4" x14ac:dyDescent="0.2">
      <c r="A208" s="32" t="s">
        <v>190</v>
      </c>
      <c r="B208" s="33" t="s">
        <v>358</v>
      </c>
      <c r="D208" s="51"/>
    </row>
    <row r="209" spans="1:4" x14ac:dyDescent="0.2">
      <c r="A209" s="32" t="s">
        <v>423</v>
      </c>
      <c r="B209" s="33" t="s">
        <v>609</v>
      </c>
      <c r="D209" s="51"/>
    </row>
    <row r="210" spans="1:4" x14ac:dyDescent="0.2">
      <c r="A210" s="32" t="s">
        <v>502</v>
      </c>
      <c r="B210" s="33" t="s">
        <v>610</v>
      </c>
      <c r="D210" s="51"/>
    </row>
    <row r="211" spans="1:4" x14ac:dyDescent="0.2">
      <c r="A211" s="32" t="s">
        <v>359</v>
      </c>
      <c r="B211" s="33" t="s">
        <v>360</v>
      </c>
      <c r="D211" s="51"/>
    </row>
    <row r="212" spans="1:4" x14ac:dyDescent="0.2">
      <c r="A212" s="32" t="s">
        <v>503</v>
      </c>
      <c r="B212" s="33" t="s">
        <v>611</v>
      </c>
      <c r="D212" s="51"/>
    </row>
    <row r="213" spans="1:4" x14ac:dyDescent="0.2">
      <c r="A213" s="32" t="s">
        <v>504</v>
      </c>
      <c r="B213" s="33" t="s">
        <v>612</v>
      </c>
      <c r="D213" s="51"/>
    </row>
    <row r="214" spans="1:4" x14ac:dyDescent="0.2">
      <c r="A214" s="32" t="s">
        <v>505</v>
      </c>
      <c r="B214" s="33" t="s">
        <v>613</v>
      </c>
      <c r="D214" s="51"/>
    </row>
    <row r="215" spans="1:4" x14ac:dyDescent="0.2">
      <c r="A215" s="32" t="s">
        <v>506</v>
      </c>
      <c r="B215" s="33" t="s">
        <v>614</v>
      </c>
      <c r="D215" s="51"/>
    </row>
    <row r="216" spans="1:4" x14ac:dyDescent="0.2">
      <c r="A216" s="32" t="s">
        <v>507</v>
      </c>
      <c r="B216" s="33" t="s">
        <v>615</v>
      </c>
      <c r="D216" s="51"/>
    </row>
    <row r="217" spans="1:4" x14ac:dyDescent="0.2">
      <c r="A217" s="32" t="s">
        <v>508</v>
      </c>
      <c r="B217" s="33" t="s">
        <v>616</v>
      </c>
      <c r="D217" s="51"/>
    </row>
    <row r="218" spans="1:4" x14ac:dyDescent="0.2">
      <c r="A218" s="32" t="s">
        <v>509</v>
      </c>
      <c r="B218" s="33" t="s">
        <v>617</v>
      </c>
      <c r="D218" s="51"/>
    </row>
    <row r="219" spans="1:4" x14ac:dyDescent="0.2">
      <c r="A219" s="32" t="s">
        <v>510</v>
      </c>
      <c r="B219" s="33" t="s">
        <v>618</v>
      </c>
      <c r="D219" s="51"/>
    </row>
    <row r="220" spans="1:4" x14ac:dyDescent="0.2">
      <c r="A220" s="32" t="s">
        <v>511</v>
      </c>
      <c r="B220" s="33" t="s">
        <v>619</v>
      </c>
      <c r="D220" s="51"/>
    </row>
    <row r="221" spans="1:4" x14ac:dyDescent="0.2">
      <c r="A221" s="32" t="s">
        <v>512</v>
      </c>
      <c r="B221" s="33" t="s">
        <v>620</v>
      </c>
      <c r="D221" s="51"/>
    </row>
    <row r="222" spans="1:4" x14ac:dyDescent="0.2">
      <c r="A222" s="32" t="s">
        <v>513</v>
      </c>
      <c r="B222" s="33" t="s">
        <v>621</v>
      </c>
      <c r="D222" s="51"/>
    </row>
    <row r="223" spans="1:4" x14ac:dyDescent="0.2">
      <c r="A223" s="32" t="s">
        <v>514</v>
      </c>
      <c r="B223" s="33" t="s">
        <v>622</v>
      </c>
      <c r="D223" s="51"/>
    </row>
    <row r="224" spans="1:4" x14ac:dyDescent="0.2">
      <c r="A224" s="32" t="s">
        <v>515</v>
      </c>
      <c r="B224" s="33" t="s">
        <v>623</v>
      </c>
      <c r="D224" s="51"/>
    </row>
    <row r="225" spans="1:4" x14ac:dyDescent="0.2">
      <c r="A225" s="32" t="s">
        <v>516</v>
      </c>
      <c r="B225" s="33" t="s">
        <v>624</v>
      </c>
      <c r="D225" s="51"/>
    </row>
    <row r="226" spans="1:4" x14ac:dyDescent="0.2">
      <c r="A226" s="32" t="s">
        <v>517</v>
      </c>
      <c r="B226" s="33" t="s">
        <v>640</v>
      </c>
      <c r="D226" s="51"/>
    </row>
    <row r="227" spans="1:4" x14ac:dyDescent="0.2">
      <c r="A227" s="32" t="s">
        <v>518</v>
      </c>
      <c r="B227" s="33" t="s">
        <v>641</v>
      </c>
      <c r="D227" s="51"/>
    </row>
    <row r="228" spans="1:4" x14ac:dyDescent="0.2">
      <c r="A228" s="32" t="s">
        <v>191</v>
      </c>
      <c r="B228" s="33" t="s">
        <v>361</v>
      </c>
      <c r="D228" s="51"/>
    </row>
    <row r="229" spans="1:4" x14ac:dyDescent="0.2">
      <c r="A229" s="32" t="s">
        <v>192</v>
      </c>
      <c r="B229" s="33" t="s">
        <v>362</v>
      </c>
      <c r="D229" s="51"/>
    </row>
    <row r="230" spans="1:4" x14ac:dyDescent="0.2">
      <c r="A230" s="32" t="s">
        <v>519</v>
      </c>
      <c r="B230" s="33" t="s">
        <v>625</v>
      </c>
      <c r="D230" s="51"/>
    </row>
    <row r="231" spans="1:4" x14ac:dyDescent="0.2">
      <c r="A231" s="32" t="s">
        <v>193</v>
      </c>
      <c r="B231" s="33" t="s">
        <v>194</v>
      </c>
      <c r="D231" s="51"/>
    </row>
    <row r="232" spans="1:4" x14ac:dyDescent="0.2">
      <c r="A232" s="32" t="s">
        <v>520</v>
      </c>
      <c r="B232" s="33" t="s">
        <v>626</v>
      </c>
      <c r="D232" s="51"/>
    </row>
    <row r="233" spans="1:4" x14ac:dyDescent="0.2">
      <c r="A233" s="32" t="s">
        <v>521</v>
      </c>
      <c r="B233" s="33" t="s">
        <v>627</v>
      </c>
      <c r="D233" s="51"/>
    </row>
    <row r="234" spans="1:4" x14ac:dyDescent="0.2">
      <c r="A234" s="32" t="s">
        <v>195</v>
      </c>
      <c r="B234" s="33" t="s">
        <v>363</v>
      </c>
      <c r="D234" s="51"/>
    </row>
    <row r="235" spans="1:4" x14ac:dyDescent="0.2">
      <c r="A235" s="32" t="s">
        <v>651</v>
      </c>
      <c r="B235" s="33" t="s">
        <v>642</v>
      </c>
      <c r="D235" s="51"/>
    </row>
    <row r="236" spans="1:4" x14ac:dyDescent="0.2">
      <c r="A236" s="32" t="s">
        <v>652</v>
      </c>
      <c r="B236" s="33" t="s">
        <v>643</v>
      </c>
      <c r="D236" s="51"/>
    </row>
    <row r="237" spans="1:4" x14ac:dyDescent="0.2">
      <c r="A237" s="32" t="s">
        <v>196</v>
      </c>
      <c r="B237" s="33" t="s">
        <v>364</v>
      </c>
      <c r="D237" s="51"/>
    </row>
    <row r="238" spans="1:4" x14ac:dyDescent="0.2">
      <c r="A238" s="32" t="s">
        <v>197</v>
      </c>
      <c r="B238" s="33" t="s">
        <v>365</v>
      </c>
      <c r="D238" s="51"/>
    </row>
    <row r="239" spans="1:4" x14ac:dyDescent="0.2">
      <c r="A239" s="32" t="s">
        <v>697</v>
      </c>
      <c r="B239" s="33" t="s">
        <v>694</v>
      </c>
      <c r="D239" s="51"/>
    </row>
    <row r="240" spans="1:4" x14ac:dyDescent="0.2">
      <c r="A240" s="32" t="s">
        <v>653</v>
      </c>
      <c r="B240" s="33" t="s">
        <v>644</v>
      </c>
      <c r="D240" s="51"/>
    </row>
    <row r="241" spans="1:4" x14ac:dyDescent="0.2">
      <c r="A241" s="32" t="s">
        <v>198</v>
      </c>
      <c r="B241" s="33" t="s">
        <v>199</v>
      </c>
      <c r="D241" s="51"/>
    </row>
    <row r="242" spans="1:4" x14ac:dyDescent="0.2">
      <c r="A242" s="32" t="s">
        <v>182</v>
      </c>
      <c r="B242" s="33" t="s">
        <v>366</v>
      </c>
      <c r="D242" s="51"/>
    </row>
    <row r="243" spans="1:4" x14ac:dyDescent="0.2">
      <c r="A243" s="32" t="s">
        <v>654</v>
      </c>
      <c r="B243" s="33" t="s">
        <v>645</v>
      </c>
      <c r="D243" s="51"/>
    </row>
    <row r="244" spans="1:4" x14ac:dyDescent="0.2">
      <c r="A244" s="32" t="s">
        <v>655</v>
      </c>
      <c r="B244" s="33" t="s">
        <v>646</v>
      </c>
      <c r="D244" s="51"/>
    </row>
    <row r="245" spans="1:4" x14ac:dyDescent="0.2">
      <c r="A245" s="32" t="s">
        <v>188</v>
      </c>
      <c r="B245" s="33" t="s">
        <v>202</v>
      </c>
      <c r="D245" s="51"/>
    </row>
    <row r="246" spans="1:4" x14ac:dyDescent="0.2">
      <c r="A246" s="32" t="s">
        <v>656</v>
      </c>
      <c r="B246" s="33" t="s">
        <v>647</v>
      </c>
      <c r="D246" s="51"/>
    </row>
    <row r="247" spans="1:4" x14ac:dyDescent="0.2">
      <c r="A247" s="32" t="s">
        <v>203</v>
      </c>
      <c r="B247" s="33" t="s">
        <v>367</v>
      </c>
      <c r="D247" s="51"/>
    </row>
    <row r="248" spans="1:4" x14ac:dyDescent="0.2">
      <c r="A248" s="32" t="s">
        <v>657</v>
      </c>
      <c r="B248" s="33" t="s">
        <v>648</v>
      </c>
      <c r="D248" s="51"/>
    </row>
    <row r="249" spans="1:4" x14ac:dyDescent="0.2">
      <c r="A249" s="32" t="s">
        <v>658</v>
      </c>
      <c r="B249" s="33" t="s">
        <v>649</v>
      </c>
      <c r="D249" s="51"/>
    </row>
    <row r="250" spans="1:4" x14ac:dyDescent="0.2">
      <c r="A250" s="32" t="s">
        <v>659</v>
      </c>
      <c r="B250" s="33" t="s">
        <v>650</v>
      </c>
      <c r="D250" s="51"/>
    </row>
    <row r="251" spans="1:4" x14ac:dyDescent="0.2">
      <c r="A251" s="32" t="s">
        <v>204</v>
      </c>
      <c r="B251" s="33" t="s">
        <v>205</v>
      </c>
      <c r="D251" s="51"/>
    </row>
    <row r="252" spans="1:4" x14ac:dyDescent="0.2">
      <c r="A252" s="32" t="s">
        <v>206</v>
      </c>
      <c r="B252" s="33" t="s">
        <v>207</v>
      </c>
      <c r="D252" s="51"/>
    </row>
    <row r="253" spans="1:4" x14ac:dyDescent="0.2">
      <c r="A253" s="32" t="s">
        <v>698</v>
      </c>
      <c r="B253" s="33" t="s">
        <v>695</v>
      </c>
      <c r="D253" s="51"/>
    </row>
    <row r="254" spans="1:4" x14ac:dyDescent="0.2">
      <c r="A254" s="32" t="s">
        <v>699</v>
      </c>
      <c r="B254" s="33" t="s">
        <v>696</v>
      </c>
      <c r="D254" s="51"/>
    </row>
    <row r="255" spans="1:4" x14ac:dyDescent="0.2">
      <c r="A255" s="32" t="s">
        <v>200</v>
      </c>
      <c r="B255" s="33" t="s">
        <v>368</v>
      </c>
      <c r="D255" s="51"/>
    </row>
    <row r="256" spans="1:4" x14ac:dyDescent="0.2">
      <c r="A256" s="32" t="s">
        <v>201</v>
      </c>
      <c r="B256" s="33" t="s">
        <v>369</v>
      </c>
      <c r="D256" s="51"/>
    </row>
    <row r="257" spans="1:4" x14ac:dyDescent="0.2">
      <c r="A257" s="32" t="s">
        <v>210</v>
      </c>
      <c r="B257" s="33" t="s">
        <v>370</v>
      </c>
      <c r="D257" s="51"/>
    </row>
    <row r="258" spans="1:4" x14ac:dyDescent="0.2">
      <c r="A258" s="32" t="s">
        <v>211</v>
      </c>
      <c r="B258" s="33" t="s">
        <v>212</v>
      </c>
      <c r="D258" s="51"/>
    </row>
    <row r="259" spans="1:4" x14ac:dyDescent="0.2">
      <c r="A259" s="32" t="s">
        <v>208</v>
      </c>
      <c r="B259" s="33" t="s">
        <v>371</v>
      </c>
      <c r="D259" s="51"/>
    </row>
    <row r="260" spans="1:4" x14ac:dyDescent="0.2">
      <c r="A260" s="32" t="s">
        <v>213</v>
      </c>
      <c r="B260" s="33" t="s">
        <v>372</v>
      </c>
      <c r="D260" s="51"/>
    </row>
    <row r="261" spans="1:4" x14ac:dyDescent="0.2">
      <c r="A261" s="32" t="s">
        <v>214</v>
      </c>
      <c r="B261" s="33" t="s">
        <v>373</v>
      </c>
      <c r="D261" s="51"/>
    </row>
    <row r="262" spans="1:4" x14ac:dyDescent="0.2">
      <c r="A262" s="32" t="s">
        <v>209</v>
      </c>
      <c r="B262" s="33" t="s">
        <v>216</v>
      </c>
      <c r="D262" s="51"/>
    </row>
    <row r="263" spans="1:4" x14ac:dyDescent="0.2">
      <c r="A263" s="32" t="s">
        <v>217</v>
      </c>
      <c r="B263" s="33" t="s">
        <v>374</v>
      </c>
      <c r="D263" s="51"/>
    </row>
    <row r="264" spans="1:4" x14ac:dyDescent="0.2">
      <c r="A264" s="32" t="s">
        <v>218</v>
      </c>
      <c r="B264" s="33" t="s">
        <v>219</v>
      </c>
      <c r="D264" s="51"/>
    </row>
    <row r="265" spans="1:4" x14ac:dyDescent="0.2">
      <c r="A265" s="32" t="s">
        <v>220</v>
      </c>
      <c r="B265" s="33" t="s">
        <v>375</v>
      </c>
      <c r="D265" s="51"/>
    </row>
    <row r="266" spans="1:4" x14ac:dyDescent="0.2">
      <c r="A266" s="32" t="s">
        <v>376</v>
      </c>
      <c r="B266" s="33" t="s">
        <v>222</v>
      </c>
      <c r="D266" s="51"/>
    </row>
    <row r="267" spans="1:4" x14ac:dyDescent="0.2">
      <c r="A267" s="32" t="s">
        <v>215</v>
      </c>
      <c r="B267" s="33" t="s">
        <v>224</v>
      </c>
      <c r="D267" s="51"/>
    </row>
    <row r="268" spans="1:4" x14ac:dyDescent="0.2">
      <c r="A268" s="32" t="s">
        <v>225</v>
      </c>
      <c r="B268" s="33" t="s">
        <v>226</v>
      </c>
      <c r="D268" s="51"/>
    </row>
    <row r="269" spans="1:4" x14ac:dyDescent="0.2">
      <c r="A269" s="32" t="s">
        <v>377</v>
      </c>
      <c r="B269" s="33" t="s">
        <v>378</v>
      </c>
      <c r="D269" s="51"/>
    </row>
    <row r="270" spans="1:4" x14ac:dyDescent="0.2">
      <c r="A270" s="32" t="s">
        <v>227</v>
      </c>
      <c r="B270" s="33" t="s">
        <v>628</v>
      </c>
      <c r="D270" s="51"/>
    </row>
    <row r="271" spans="1:4" x14ac:dyDescent="0.2">
      <c r="A271" s="32" t="s">
        <v>228</v>
      </c>
      <c r="B271" s="33" t="s">
        <v>379</v>
      </c>
      <c r="D271" s="51"/>
    </row>
    <row r="272" spans="1:4" x14ac:dyDescent="0.2">
      <c r="A272" s="32" t="s">
        <v>229</v>
      </c>
      <c r="B272" s="33" t="s">
        <v>230</v>
      </c>
      <c r="D272" s="51"/>
    </row>
    <row r="273" spans="1:4" x14ac:dyDescent="0.2">
      <c r="A273" s="32" t="s">
        <v>231</v>
      </c>
      <c r="B273" s="33" t="s">
        <v>232</v>
      </c>
      <c r="D273" s="51"/>
    </row>
    <row r="274" spans="1:4" x14ac:dyDescent="0.2">
      <c r="A274" s="32" t="s">
        <v>233</v>
      </c>
      <c r="B274" s="33" t="s">
        <v>380</v>
      </c>
      <c r="D274" s="51"/>
    </row>
    <row r="275" spans="1:4" x14ac:dyDescent="0.2">
      <c r="A275" s="32" t="s">
        <v>221</v>
      </c>
      <c r="B275" s="33" t="s">
        <v>235</v>
      </c>
      <c r="D275" s="51"/>
    </row>
    <row r="276" spans="1:4" x14ac:dyDescent="0.2">
      <c r="A276" s="32" t="s">
        <v>381</v>
      </c>
      <c r="B276" s="33" t="s">
        <v>382</v>
      </c>
      <c r="D276" s="51"/>
    </row>
    <row r="277" spans="1:4" x14ac:dyDescent="0.2">
      <c r="A277" s="32" t="s">
        <v>236</v>
      </c>
      <c r="B277" s="33" t="s">
        <v>237</v>
      </c>
      <c r="D277" s="51"/>
    </row>
    <row r="278" spans="1:4" x14ac:dyDescent="0.2">
      <c r="A278" s="32" t="s">
        <v>238</v>
      </c>
      <c r="B278" s="33" t="s">
        <v>383</v>
      </c>
      <c r="D278" s="51"/>
    </row>
    <row r="279" spans="1:4" x14ac:dyDescent="0.2">
      <c r="A279" s="32" t="s">
        <v>384</v>
      </c>
      <c r="B279" s="33" t="s">
        <v>385</v>
      </c>
      <c r="D279" s="51"/>
    </row>
    <row r="280" spans="1:4" x14ac:dyDescent="0.2">
      <c r="A280" s="32" t="s">
        <v>239</v>
      </c>
      <c r="B280" s="33" t="s">
        <v>386</v>
      </c>
      <c r="D280" s="51"/>
    </row>
    <row r="281" spans="1:4" x14ac:dyDescent="0.2">
      <c r="A281" s="32" t="s">
        <v>240</v>
      </c>
      <c r="B281" s="33" t="s">
        <v>241</v>
      </c>
      <c r="D281" s="51"/>
    </row>
    <row r="282" spans="1:4" x14ac:dyDescent="0.2">
      <c r="A282" s="32" t="s">
        <v>223</v>
      </c>
      <c r="B282" s="33" t="s">
        <v>243</v>
      </c>
      <c r="D282" s="51"/>
    </row>
    <row r="283" spans="1:4" x14ac:dyDescent="0.2">
      <c r="A283" s="32" t="s">
        <v>244</v>
      </c>
      <c r="B283" s="33" t="s">
        <v>387</v>
      </c>
      <c r="D283" s="51"/>
    </row>
    <row r="284" spans="1:4" x14ac:dyDescent="0.2">
      <c r="A284" s="32" t="s">
        <v>245</v>
      </c>
      <c r="B284" s="33" t="s">
        <v>388</v>
      </c>
      <c r="D284" s="51"/>
    </row>
    <row r="285" spans="1:4" x14ac:dyDescent="0.2">
      <c r="A285" s="32" t="s">
        <v>246</v>
      </c>
      <c r="B285" s="33" t="s">
        <v>389</v>
      </c>
      <c r="D285" s="51"/>
    </row>
    <row r="286" spans="1:4" x14ac:dyDescent="0.2">
      <c r="A286" s="32" t="s">
        <v>390</v>
      </c>
      <c r="B286" s="33" t="s">
        <v>391</v>
      </c>
      <c r="D286" s="51"/>
    </row>
    <row r="287" spans="1:4" x14ac:dyDescent="0.2">
      <c r="A287" s="32" t="s">
        <v>247</v>
      </c>
      <c r="B287" s="33" t="s">
        <v>392</v>
      </c>
      <c r="D287" s="51"/>
    </row>
    <row r="288" spans="1:4" x14ac:dyDescent="0.2">
      <c r="A288" s="32" t="s">
        <v>248</v>
      </c>
      <c r="B288" s="33" t="s">
        <v>393</v>
      </c>
      <c r="D288" s="51"/>
    </row>
    <row r="289" spans="1:4" x14ac:dyDescent="0.2">
      <c r="A289" s="32" t="s">
        <v>249</v>
      </c>
      <c r="B289" s="33" t="s">
        <v>394</v>
      </c>
      <c r="D289" s="51"/>
    </row>
    <row r="290" spans="1:4" x14ac:dyDescent="0.2">
      <c r="A290" s="32" t="s">
        <v>395</v>
      </c>
      <c r="B290" s="33" t="s">
        <v>396</v>
      </c>
      <c r="D290" s="51"/>
    </row>
    <row r="291" spans="1:4" x14ac:dyDescent="0.2">
      <c r="A291" s="32" t="s">
        <v>250</v>
      </c>
      <c r="B291" s="33" t="s">
        <v>397</v>
      </c>
      <c r="D291" s="51"/>
    </row>
    <row r="292" spans="1:4" x14ac:dyDescent="0.2">
      <c r="A292" s="32" t="s">
        <v>398</v>
      </c>
      <c r="B292" s="33" t="s">
        <v>399</v>
      </c>
      <c r="D292" s="51"/>
    </row>
    <row r="293" spans="1:4" x14ac:dyDescent="0.2">
      <c r="A293" s="32" t="s">
        <v>234</v>
      </c>
      <c r="B293" s="33" t="s">
        <v>251</v>
      </c>
      <c r="D293" s="51"/>
    </row>
    <row r="294" spans="1:4" x14ac:dyDescent="0.2">
      <c r="A294" s="32" t="s">
        <v>400</v>
      </c>
      <c r="B294" s="33" t="s">
        <v>401</v>
      </c>
      <c r="D294" s="51"/>
    </row>
    <row r="295" spans="1:4" x14ac:dyDescent="0.2">
      <c r="A295" s="32" t="s">
        <v>252</v>
      </c>
      <c r="B295" s="33" t="s">
        <v>402</v>
      </c>
      <c r="D295" s="51"/>
    </row>
    <row r="296" spans="1:4" x14ac:dyDescent="0.2">
      <c r="A296" s="32" t="s">
        <v>253</v>
      </c>
      <c r="B296" s="33" t="s">
        <v>254</v>
      </c>
      <c r="D296" s="51"/>
    </row>
    <row r="297" spans="1:4" x14ac:dyDescent="0.2">
      <c r="A297" s="32" t="s">
        <v>255</v>
      </c>
      <c r="B297" s="33" t="s">
        <v>256</v>
      </c>
      <c r="D297" s="51"/>
    </row>
    <row r="298" spans="1:4" x14ac:dyDescent="0.2">
      <c r="A298" s="32" t="s">
        <v>257</v>
      </c>
      <c r="B298" s="33" t="s">
        <v>258</v>
      </c>
      <c r="D298" s="51"/>
    </row>
    <row r="299" spans="1:4" x14ac:dyDescent="0.2">
      <c r="A299" s="32" t="s">
        <v>259</v>
      </c>
      <c r="B299" s="33" t="s">
        <v>260</v>
      </c>
      <c r="D299" s="51"/>
    </row>
    <row r="300" spans="1:4" x14ac:dyDescent="0.2">
      <c r="A300" s="32" t="s">
        <v>261</v>
      </c>
      <c r="B300" s="33" t="s">
        <v>262</v>
      </c>
      <c r="D300" s="51"/>
    </row>
    <row r="301" spans="1:4" x14ac:dyDescent="0.2">
      <c r="A301" s="32" t="s">
        <v>242</v>
      </c>
      <c r="B301" s="33" t="s">
        <v>263</v>
      </c>
      <c r="D301" s="51"/>
    </row>
    <row r="302" spans="1:4" x14ac:dyDescent="0.2">
      <c r="A302" s="32" t="s">
        <v>264</v>
      </c>
      <c r="B302" s="33" t="s">
        <v>265</v>
      </c>
    </row>
    <row r="303" spans="1:4" x14ac:dyDescent="0.2">
      <c r="A303" s="32" t="s">
        <v>266</v>
      </c>
      <c r="B303" s="33" t="s">
        <v>267</v>
      </c>
    </row>
    <row r="304" spans="1:4" x14ac:dyDescent="0.2">
      <c r="A304" s="32" t="s">
        <v>268</v>
      </c>
      <c r="B304" s="33" t="s">
        <v>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24" sqref="C24"/>
    </sheetView>
  </sheetViews>
  <sheetFormatPr baseColWidth="10" defaultRowHeight="12.75" x14ac:dyDescent="0.2"/>
  <cols>
    <col min="1" max="1" width="16.28515625" bestFit="1" customWidth="1"/>
    <col min="2" max="2" width="13.85546875" bestFit="1" customWidth="1"/>
  </cols>
  <sheetData>
    <row r="1" spans="1:2" x14ac:dyDescent="0.2">
      <c r="A1" s="10" t="s">
        <v>3</v>
      </c>
      <c r="B1" s="5" t="s">
        <v>4</v>
      </c>
    </row>
    <row r="2" spans="1:2" x14ac:dyDescent="0.2">
      <c r="A2" s="11" t="s">
        <v>5</v>
      </c>
      <c r="B2" s="11" t="s">
        <v>9</v>
      </c>
    </row>
    <row r="3" spans="1:2" x14ac:dyDescent="0.2">
      <c r="A3" s="11" t="s">
        <v>6</v>
      </c>
      <c r="B3" s="11" t="s">
        <v>10</v>
      </c>
    </row>
    <row r="4" spans="1:2" x14ac:dyDescent="0.2">
      <c r="A4" s="11" t="s">
        <v>7</v>
      </c>
      <c r="B4" s="11" t="s">
        <v>11</v>
      </c>
    </row>
    <row r="5" spans="1:2" x14ac:dyDescent="0.2">
      <c r="A5" s="11" t="s">
        <v>8</v>
      </c>
      <c r="B5" s="1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10" sqref="C10"/>
    </sheetView>
  </sheetViews>
  <sheetFormatPr baseColWidth="10" defaultRowHeight="12.75" x14ac:dyDescent="0.2"/>
  <cols>
    <col min="1" max="2" width="11.42578125" style="33"/>
    <col min="3" max="3" width="72" customWidth="1"/>
  </cols>
  <sheetData>
    <row r="1" spans="1:3" x14ac:dyDescent="0.2">
      <c r="A1" s="1" t="s">
        <v>629</v>
      </c>
      <c r="B1" s="1" t="s">
        <v>630</v>
      </c>
      <c r="C1" s="1" t="s">
        <v>631</v>
      </c>
    </row>
    <row r="2" spans="1:3" x14ac:dyDescent="0.2">
      <c r="A2" s="42">
        <v>45623</v>
      </c>
      <c r="B2" s="11" t="s">
        <v>632</v>
      </c>
      <c r="C2" s="3" t="s">
        <v>633</v>
      </c>
    </row>
    <row r="3" spans="1:3" x14ac:dyDescent="0.2">
      <c r="A3" s="42">
        <v>45799</v>
      </c>
      <c r="B3" s="33" t="s">
        <v>632</v>
      </c>
      <c r="C3" s="3" t="s">
        <v>701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</vt:i4>
      </vt:variant>
    </vt:vector>
  </HeadingPairs>
  <TitlesOfParts>
    <vt:vector size="8" baseType="lpstr">
      <vt:lpstr>Formulaire</vt:lpstr>
      <vt:lpstr>Liste_responsabilites types</vt:lpstr>
      <vt:lpstr>Liste_regions</vt:lpstr>
      <vt:lpstr>Liste_stes_actives</vt:lpstr>
      <vt:lpstr>Site_CSP</vt:lpstr>
      <vt:lpstr>Révisions</vt:lpstr>
      <vt:lpstr>OA_Responsabilites</vt:lpstr>
      <vt:lpstr>Formulaire!Zone_d_impression</vt:lpstr>
    </vt:vector>
  </TitlesOfParts>
  <Company>DALKIA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Amaury de Brisoult</dc:creator>
  <cp:lastModifiedBy>GRALL Philippe</cp:lastModifiedBy>
  <cp:lastPrinted>2017-08-30T08:41:06Z</cp:lastPrinted>
  <dcterms:created xsi:type="dcterms:W3CDTF">2008-04-16T16:15:10Z</dcterms:created>
  <dcterms:modified xsi:type="dcterms:W3CDTF">2026-01-15T09:53:23Z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