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uil1" sheetId="1" r:id="rId4"/>
    <sheet state="visible" name="AOUT 2026" sheetId="2" r:id="rId5"/>
    <sheet state="visible" name="JUILLET 2026" sheetId="3" r:id="rId6"/>
    <sheet state="visible" name="Feuil2" sheetId="4" r:id="rId7"/>
    <sheet state="visible" name="SEPTEMBRE 2026" sheetId="5" r:id="rId8"/>
  </sheets>
  <definedNames>
    <definedName hidden="1" localSheetId="1" name="_xlnm._FilterDatabase">'AOUT 2026'!$A$2:$G$85</definedName>
    <definedName hidden="1" localSheetId="2" name="_xlnm._FilterDatabase">'JUILLET 2026'!$A$2:$G$84</definedName>
  </definedNames>
  <calcPr/>
  <extLst>
    <ext uri="GoogleSheetsCustomDataVersion2">
      <go:sheetsCustomData xmlns:go="http://customooxmlschemas.google.com/" r:id="rId9" roundtripDataChecksum="tecBU3SYeMdF3Lxxxevlp1a1RKyi0XuOJC6rmwJSygg="/>
    </ext>
  </extLst>
</workbook>
</file>

<file path=xl/sharedStrings.xml><?xml version="1.0" encoding="utf-8"?>
<sst xmlns="http://schemas.openxmlformats.org/spreadsheetml/2006/main" count="836" uniqueCount="125">
  <si>
    <t>Année</t>
  </si>
  <si>
    <t>Jour férie</t>
  </si>
  <si>
    <t>Valeur retour</t>
  </si>
  <si>
    <t>CALENDRIER CLOTURE JUILLET 2026</t>
  </si>
  <si>
    <t>CALENDRIER CLOTURE AOUT 2026</t>
  </si>
  <si>
    <t>CALENDRIER CLOTURE Juillet 2026</t>
  </si>
  <si>
    <t>Oui</t>
  </si>
  <si>
    <t>ARRETE</t>
  </si>
  <si>
    <t>TRAITEMENT</t>
  </si>
  <si>
    <t>RESTITUTION</t>
  </si>
  <si>
    <t>Date de Référence J</t>
  </si>
  <si>
    <t>Jour</t>
  </si>
  <si>
    <t>Jalon</t>
  </si>
  <si>
    <t>Astreinte</t>
  </si>
  <si>
    <t>Date limite de remontée des PV pour mise en service des investissements</t>
  </si>
  <si>
    <t>Cockpit</t>
  </si>
  <si>
    <t>Vendredi 24 Aout</t>
  </si>
  <si>
    <t>Nuit</t>
  </si>
  <si>
    <t>J-5</t>
  </si>
  <si>
    <t>Cloture FA</t>
  </si>
  <si>
    <t>Vendredi 31 Aout</t>
  </si>
  <si>
    <t>J</t>
  </si>
  <si>
    <t>Cloture provisoire</t>
  </si>
  <si>
    <t>Oui (CtrlM)</t>
  </si>
  <si>
    <t>Lundi 03 Aout</t>
  </si>
  <si>
    <t>Matin</t>
  </si>
  <si>
    <t>J+1</t>
  </si>
  <si>
    <t>8H30</t>
  </si>
  <si>
    <t>J+2</t>
  </si>
  <si>
    <t>Cloture définitive</t>
  </si>
  <si>
    <t>J-8</t>
  </si>
  <si>
    <t>Mercredi 05 Aout</t>
  </si>
  <si>
    <t>Campagne Fournisseurs Virements Tiers Express</t>
  </si>
  <si>
    <t>J+3</t>
  </si>
  <si>
    <t>Premiers relevés de compteurs et de stocks</t>
  </si>
  <si>
    <t>J-7</t>
  </si>
  <si>
    <t>Incorporation en comptabilité des écritures GL de paie</t>
  </si>
  <si>
    <t>J-6</t>
  </si>
  <si>
    <t>ARCAS</t>
  </si>
  <si>
    <t>Envoi à la compta Siège du fichier PROGEFI par le service Trésorerie incluant les remarques des Uos</t>
  </si>
  <si>
    <t>Fermeture du livre comptable FA</t>
  </si>
  <si>
    <t>Soir</t>
  </si>
  <si>
    <t>Premier passage des abonnements GL dans Oracle</t>
  </si>
  <si>
    <t>Incorporation des écritures d'amortissements</t>
  </si>
  <si>
    <t>CALENDRIER CLOTURE SEPTEMBRE 2026</t>
  </si>
  <si>
    <t>Incorporation en comptabilité des écritures GL et provisions DACAR</t>
  </si>
  <si>
    <t>Campagne Fournisseurs Virements NDF Employé</t>
  </si>
  <si>
    <t>Date limite d'intégration des factures de carburant et péages  (DACAR)</t>
  </si>
  <si>
    <t>Journée</t>
  </si>
  <si>
    <t>J-4</t>
  </si>
  <si>
    <t>CALLISTO</t>
  </si>
  <si>
    <t>Derniers retours des Uos (mise à jour navettes : subventions, exceptions) et remarques sur traitement M-1</t>
  </si>
  <si>
    <t>Traitement ARCAS pour incorporation des écritures d'abonnement</t>
  </si>
  <si>
    <t>Dernières transmissions des heures de M.O.</t>
  </si>
  <si>
    <t>Dernières saisies et validation des relevés de compteur et de stocks et des livraisons</t>
  </si>
  <si>
    <t xml:space="preserve">Campagne Fournisseurs TIERS FDM - Mise à disposition des échéanciers provisoires </t>
  </si>
  <si>
    <t>Second passage des abonnements GL dans Oracle</t>
  </si>
  <si>
    <t>Calcul de la M.O. au THO (VACHE)</t>
  </si>
  <si>
    <t>Traitement CALLISTO et incorporation des écritures IFRS + envoi fichiers justificatifs aux Uos</t>
  </si>
  <si>
    <t>J-3</t>
  </si>
  <si>
    <t>Traitement ARCAS et incorporation des écritures IFRS + envoi fichiers justificatifs aux Uos</t>
  </si>
  <si>
    <t>Arrêté ventes travaux (CITY)</t>
  </si>
  <si>
    <t>Délai pour la clôture des taches GT,GX et GS</t>
  </si>
  <si>
    <t>Campagne Fournisseurs TIERS FDM - Mise à disposition des pupitres et envoi du mail de Projection</t>
  </si>
  <si>
    <t xml:space="preserve">Arrêté ventes exploitation </t>
  </si>
  <si>
    <t>Arrêté de saisie des factures Open Portal Campus</t>
  </si>
  <si>
    <t>Calcul des PAR CID</t>
  </si>
  <si>
    <t>Arrêté de saisie des factures energies</t>
  </si>
  <si>
    <t>Refacturation intra-groupe premier traitement</t>
  </si>
  <si>
    <t>Validation de l'échéancier TIERS FDM + Envoi des ordres de virements à CDPG + Envoi des avis de virements par mail aux Frs</t>
  </si>
  <si>
    <t>Dernier passage des abonnements GL dans Oracle</t>
  </si>
  <si>
    <t>Incorporation des écritures de M.O.</t>
  </si>
  <si>
    <t>Traitement PIRENE (calcul des CAP, valorisation des stocks, ventes)</t>
  </si>
  <si>
    <t xml:space="preserve">Envoi du mail de confirmation des virements TIERS FDM </t>
  </si>
  <si>
    <t>Calcul des CAP Gaz, Chaleur et électricité CELERIS</t>
  </si>
  <si>
    <t>Mise à disposition des états de REFAC au format PDF sur le drive pour les régions</t>
  </si>
  <si>
    <t>J-2</t>
  </si>
  <si>
    <t>Modification manuelle des PAR Exploitation mensuels CID et CAP Céleris</t>
  </si>
  <si>
    <t>Génération des écritures des PAR Exploitation mensuels CID</t>
  </si>
  <si>
    <t>17H</t>
  </si>
  <si>
    <t>Génération des écritures de CAP CELERIS</t>
  </si>
  <si>
    <t>Incorporation des écritures de PAR Exploitation mensuels CID</t>
  </si>
  <si>
    <t>Incorporation des écritures PIRENE (calcul des CAP, valorisation des stocks, ventes)</t>
  </si>
  <si>
    <t>Incorporation des écritures de CAP Gaz, Chaleur et électricité CELERIS</t>
  </si>
  <si>
    <t>Refacturation intra-groupe Deuxième traitement</t>
  </si>
  <si>
    <t>Mise  disposition du fichier Harry Energy</t>
  </si>
  <si>
    <t>J-1</t>
  </si>
  <si>
    <t>Fermeture automatique des commandes liées aux factures intra groupe CITY du mois</t>
  </si>
  <si>
    <t>Refacturation intra-groupe Troisième traitement</t>
  </si>
  <si>
    <t>FERMETURE DE L'APPLICATION - CLOTURE PROVISOIRE GL - DEFINITIVES : AP - AR - PO</t>
  </si>
  <si>
    <t>Refacturation intra-groupe (dernier passage)</t>
  </si>
  <si>
    <t>Calcul des CAP fournisseurs et incorporation des écritures</t>
  </si>
  <si>
    <t>Calcul des CAP spécifiques aux contrats de sous traitance et incorporation des écritures</t>
  </si>
  <si>
    <t>Calcul et écriture des TEC et PCA (codes R) travaux en cours - produits constatés d'avance</t>
  </si>
  <si>
    <t>Calcul et écriture des charges d'avance sur sinistres</t>
  </si>
  <si>
    <t>Equilibrage comptable par centre de gestion</t>
  </si>
  <si>
    <t>Mise à disposition des états de TVA (AP, AR) sur le drive pour les régions</t>
  </si>
  <si>
    <t>Mise à disposition des états CAP PO et CAP SSTR sur le drive pour les régions</t>
  </si>
  <si>
    <t xml:space="preserve"> </t>
  </si>
  <si>
    <t>Imputation (posting) des écritures GL saisies dans la matinée</t>
  </si>
  <si>
    <t>13H</t>
  </si>
  <si>
    <t>Extourne des écritures de TEC et PCA travaux en cours - produits constatés d'avance</t>
  </si>
  <si>
    <t>Extourne des écritures de charges d'avance sur sinistres</t>
  </si>
  <si>
    <t>CLOTURE DEFINITIVE DE GL</t>
  </si>
  <si>
    <t>Alimentation de la Garantie Totale</t>
  </si>
  <si>
    <t>Mise à disposition des états de TVA (GL) sur le drive pour les régions</t>
  </si>
  <si>
    <t>Mise à disposition des flux et soldes</t>
  </si>
  <si>
    <t>Mise à disposition de l'état de contrôle des retraitements IFRS</t>
  </si>
  <si>
    <t>Mise à disposition du fichier d'alimentation de Magnitude sur le drive pour les régions</t>
  </si>
  <si>
    <t>Incorporation des écritures à contrepassation sur mois suivant (2ème vendredi de chaque mois)</t>
  </si>
  <si>
    <t>Mise à disposition des échéanciers provisoires GROUPE sur vos clés régions</t>
  </si>
  <si>
    <t>J+10</t>
  </si>
  <si>
    <t>Validation de l'échéancier GROUPE + Envoi des ordres de virements à CDPG + Envoi des avis de virements par mail aux Frs</t>
  </si>
  <si>
    <t>PO Fermeture automatique des commandes (15 du mois)</t>
  </si>
  <si>
    <t>Mise à disposition des commandes fermées dans le drive pour les régions</t>
  </si>
  <si>
    <t>J+11</t>
  </si>
  <si>
    <t xml:space="preserve">Envoi du mail de confirmation des virements fournisseurs GROUPE </t>
  </si>
  <si>
    <t>Incorporation des encaissements suite à échéancier Groupe</t>
  </si>
  <si>
    <t>Envoi par mail des encaissements partiellement lettrés suite passage Intra Groupe</t>
  </si>
  <si>
    <t>J+12</t>
  </si>
  <si>
    <t>Mise à disposition des Balances Clients et Fournisseurs au 30/09 sur le drive pour les régions</t>
  </si>
  <si>
    <t>Traitement de Surtaxe Communale</t>
  </si>
  <si>
    <t>J+6</t>
  </si>
  <si>
    <t>Mise à disposition des états de surtaxe communale sur le drive pour les régions</t>
  </si>
  <si>
    <t>J+7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</si>
</sst>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m\-yyyy"/>
    <numFmt numFmtId="166" formatCode="ddd\-dd\-mmmm"/>
    <numFmt numFmtId="167" formatCode="dddd dd mmmm"/>
  </numFmts>
  <fonts count="1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8.0"/>
      <color rgb="FFFFFFFF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b/>
      <sz val="11.0"/>
      <color rgb="FFFFFFFF"/>
      <name val="Calibri"/>
    </font>
    <font>
      <sz val="10.0"/>
      <color rgb="FFD8D8D8"/>
      <name val="Arial"/>
    </font>
    <font>
      <sz val="10.0"/>
      <color theme="1"/>
      <name val="Arial"/>
    </font>
    <font>
      <sz val="7.0"/>
      <color rgb="FF171717"/>
      <name val="Arial"/>
    </font>
    <font>
      <b/>
      <sz val="10.0"/>
      <color rgb="FFFF0000"/>
      <name val="Arial"/>
    </font>
    <font>
      <strike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9F9F9"/>
        <bgColor rgb="FFF9F9F9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 style="medium">
        <color rgb="FFDDDDDD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wrapText="1"/>
    </xf>
    <xf borderId="5" fillId="4" fontId="6" numFmtId="0" xfId="0" applyAlignment="1" applyBorder="1" applyFill="1" applyFont="1">
      <alignment horizontal="center" vertical="center"/>
    </xf>
    <xf borderId="6" fillId="0" fontId="4" numFmtId="0" xfId="0" applyBorder="1" applyFont="1"/>
    <xf borderId="5" fillId="4" fontId="6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5" fillId="4" fontId="6" numFmtId="165" xfId="0" applyAlignment="1" applyBorder="1" applyFill="1" applyFont="1" applyNumberFormat="1">
      <alignment horizontal="center" shrinkToFit="0" vertical="center" wrapText="1"/>
    </xf>
    <xf borderId="8" fillId="5" fontId="7" numFmtId="0" xfId="0" applyAlignment="1" applyBorder="1" applyFill="1" applyFont="1">
      <alignment horizontal="center" shrinkToFit="0" wrapText="1"/>
    </xf>
    <xf borderId="5" fillId="4" fontId="8" numFmtId="166" xfId="0" applyAlignment="1" applyBorder="1" applyFill="1" applyFont="1" applyNumberFormat="1">
      <alignment horizontal="center" shrinkToFit="0" vertical="center" wrapText="1"/>
    </xf>
    <xf borderId="9" fillId="5" fontId="2" numFmtId="0" xfId="0" applyAlignment="1" applyBorder="1" applyFill="1" applyFont="1">
      <alignment shrinkToFit="0" wrapText="1"/>
    </xf>
    <xf borderId="10" fillId="4" fontId="6" numFmtId="165" xfId="0" applyAlignment="1" applyBorder="1" applyFill="1" applyFont="1" applyNumberFormat="1">
      <alignment horizontal="center" vertical="center"/>
    </xf>
    <xf borderId="11" fillId="5" fontId="2" numFmtId="0" xfId="0" applyAlignment="1" applyBorder="1" applyFill="1" applyFont="1">
      <alignment shrinkToFit="0" wrapText="1"/>
    </xf>
    <xf borderId="12" fillId="0" fontId="4" numFmtId="0" xfId="0" applyBorder="1" applyFont="1"/>
    <xf borderId="11" fillId="5" fontId="7" numFmtId="0" xfId="0" applyAlignment="1" applyBorder="1" applyFill="1" applyFont="1">
      <alignment horizontal="center" shrinkToFit="0" wrapText="1"/>
    </xf>
    <xf borderId="5" fillId="0" fontId="6" numFmtId="0" xfId="0" applyAlignment="1" applyBorder="1" applyFont="1">
      <alignment vertical="center"/>
    </xf>
    <xf borderId="9" fillId="5" fontId="7" numFmtId="0" xfId="0" applyAlignment="1" applyBorder="1" applyFill="1" applyFont="1">
      <alignment horizontal="center" shrinkToFit="0" wrapText="1"/>
    </xf>
    <xf borderId="5" fillId="0" fontId="9" numFmtId="0" xfId="0" applyAlignment="1" applyBorder="1" applyFont="1">
      <alignment vertical="center"/>
    </xf>
    <xf borderId="8" fillId="0" fontId="2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shrinkToFit="0" vertical="center" wrapText="1"/>
    </xf>
    <xf borderId="13" fillId="6" fontId="2" numFmtId="164" xfId="0" applyAlignment="1" applyBorder="1" applyFill="1" applyFont="1" applyNumberFormat="1">
      <alignment horizontal="center"/>
    </xf>
    <xf borderId="11" fillId="0" fontId="2" numFmtId="0" xfId="0" applyAlignment="1" applyBorder="1" applyFont="1">
      <alignment shrinkToFit="0" wrapText="1"/>
    </xf>
    <xf borderId="5" fillId="0" fontId="9" numFmtId="166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11" fillId="7" fontId="5" numFmtId="0" xfId="0" applyAlignment="1" applyBorder="1" applyFill="1" applyFont="1">
      <alignment horizontal="center" shrinkToFit="0" wrapText="1"/>
    </xf>
    <xf borderId="8" fillId="0" fontId="2" numFmtId="167" xfId="0" applyAlignment="1" applyBorder="1" applyFont="1" applyNumberFormat="1">
      <alignment readingOrder="0" shrinkToFit="0" wrapText="1"/>
    </xf>
    <xf borderId="14" fillId="0" fontId="9" numFmtId="0" xfId="0" applyAlignment="1" applyBorder="1" applyFont="1">
      <alignment horizontal="center" vertical="center"/>
    </xf>
    <xf borderId="15" fillId="8" fontId="10" numFmtId="0" xfId="0" applyAlignment="1" applyBorder="1" applyFill="1" applyFont="1">
      <alignment horizontal="left" shrinkToFit="0" vertical="top" wrapText="1"/>
    </xf>
    <xf borderId="16" fillId="0" fontId="9" numFmtId="0" xfId="0" applyAlignment="1" applyBorder="1" applyFont="1">
      <alignment horizontal="center" vertical="center"/>
    </xf>
    <xf borderId="1" fillId="9" fontId="6" numFmtId="0" xfId="0" applyAlignment="1" applyBorder="1" applyFill="1" applyFont="1">
      <alignment horizontal="left" vertical="center"/>
    </xf>
    <xf borderId="15" fillId="6" fontId="10" numFmtId="0" xfId="0" applyAlignment="1" applyBorder="1" applyFill="1" applyFont="1">
      <alignment horizontal="left" shrinkToFit="0" vertical="top" wrapText="1"/>
    </xf>
    <xf borderId="1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10" fontId="9" numFmtId="0" xfId="0" applyAlignment="1" applyBorder="1" applyFill="1" applyFont="1">
      <alignment vertical="center"/>
    </xf>
    <xf borderId="17" fillId="10" fontId="9" numFmtId="0" xfId="0" applyAlignment="1" applyBorder="1" applyFill="1" applyFont="1">
      <alignment vertical="center"/>
    </xf>
    <xf borderId="5" fillId="11" fontId="9" numFmtId="166" xfId="0" applyAlignment="1" applyBorder="1" applyFill="1" applyFont="1" applyNumberFormat="1">
      <alignment horizontal="center" shrinkToFit="0" vertical="center" wrapText="1"/>
    </xf>
    <xf borderId="5" fillId="10" fontId="9" numFmtId="166" xfId="0" applyAlignment="1" applyBorder="1" applyFill="1" applyFont="1" applyNumberFormat="1">
      <alignment horizontal="center" shrinkToFit="0" vertical="center" wrapText="1"/>
    </xf>
    <xf borderId="18" fillId="10" fontId="9" numFmtId="0" xfId="0" applyAlignment="1" applyBorder="1" applyFill="1" applyFont="1">
      <alignment horizontal="center" vertical="center"/>
    </xf>
    <xf borderId="5" fillId="10" fontId="9" numFmtId="0" xfId="0" applyAlignment="1" applyBorder="1" applyFill="1" applyFont="1">
      <alignment horizontal="center" vertical="center"/>
    </xf>
    <xf borderId="5" fillId="3" fontId="11" numFmtId="0" xfId="0" applyAlignment="1" applyBorder="1" applyFill="1" applyFont="1">
      <alignment vertical="center"/>
    </xf>
    <xf borderId="19" fillId="3" fontId="11" numFmtId="0" xfId="0" applyAlignment="1" applyBorder="1" applyFill="1" applyFont="1">
      <alignment vertical="center"/>
    </xf>
    <xf borderId="5" fillId="3" fontId="11" numFmtId="0" xfId="0" applyAlignment="1" applyBorder="1" applyFill="1" applyFont="1">
      <alignment shrinkToFit="0" vertical="center" wrapText="1"/>
    </xf>
    <xf borderId="5" fillId="3" fontId="11" numFmtId="166" xfId="0" applyAlignment="1" applyBorder="1" applyFill="1" applyFont="1" applyNumberFormat="1">
      <alignment horizontal="center" shrinkToFit="0" vertical="center" wrapText="1"/>
    </xf>
    <xf borderId="18" fillId="3" fontId="11" numFmtId="0" xfId="0" applyAlignment="1" applyBorder="1" applyFill="1" applyFont="1">
      <alignment horizontal="center" vertical="center"/>
    </xf>
    <xf borderId="5" fillId="3" fontId="11" numFmtId="0" xfId="0" applyAlignment="1" applyBorder="1" applyFill="1" applyFont="1">
      <alignment horizontal="center" vertical="center"/>
    </xf>
    <xf borderId="5" fillId="10" fontId="9" numFmtId="0" xfId="0" applyAlignment="1" applyBorder="1" applyFill="1" applyFont="1">
      <alignment shrinkToFit="0" vertical="center" wrapText="1"/>
    </xf>
    <xf borderId="20" fillId="0" fontId="9" numFmtId="0" xfId="0" applyAlignment="1" applyBorder="1" applyFont="1">
      <alignment vertical="center"/>
    </xf>
    <xf borderId="21" fillId="9" fontId="6" numFmtId="0" xfId="0" applyAlignment="1" applyBorder="1" applyFill="1" applyFont="1">
      <alignment vertical="center"/>
    </xf>
    <xf borderId="5" fillId="10" fontId="9" numFmtId="0" xfId="0" applyAlignment="1" applyBorder="1" applyFill="1" applyFont="1">
      <alignment horizontal="left" vertical="center"/>
    </xf>
    <xf borderId="5" fillId="10" fontId="9" numFmtId="0" xfId="0" applyAlignment="1" applyBorder="1" applyFill="1" applyFont="1">
      <alignment horizontal="left" shrinkToFit="0" vertical="center" wrapText="1"/>
    </xf>
    <xf borderId="5" fillId="0" fontId="12" numFmtId="0" xfId="0" applyAlignment="1" applyBorder="1" applyFont="1">
      <alignment vertical="center"/>
    </xf>
    <xf borderId="5" fillId="2" fontId="9" numFmtId="0" xfId="0" applyAlignment="1" applyBorder="1" applyFill="1" applyFont="1">
      <alignment vertical="center"/>
    </xf>
    <xf borderId="5" fillId="9" fontId="6" numFmtId="0" xfId="0" applyAlignment="1" applyBorder="1" applyFill="1" applyFont="1">
      <alignment vertical="center"/>
    </xf>
    <xf borderId="5" fillId="2" fontId="9" numFmtId="0" xfId="0" applyAlignment="1" applyBorder="1" applyFill="1" applyFont="1">
      <alignment shrinkToFit="0" vertical="center" wrapText="1"/>
    </xf>
    <xf borderId="5" fillId="9" fontId="9" numFmtId="0" xfId="0" applyAlignment="1" applyBorder="1" applyFill="1" applyFont="1">
      <alignment vertical="center"/>
    </xf>
    <xf borderId="5" fillId="9" fontId="9" numFmtId="0" xfId="0" applyAlignment="1" applyBorder="1" applyFill="1" applyFont="1">
      <alignment shrinkToFit="0" vertical="center" wrapText="1"/>
    </xf>
    <xf borderId="1" fillId="0" fontId="9" numFmtId="0" xfId="0" applyAlignment="1" applyBorder="1" applyFont="1">
      <alignment vertical="center"/>
    </xf>
    <xf borderId="3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8" fillId="12" fontId="9" numFmtId="0" xfId="0" applyAlignment="1" applyBorder="1" applyFill="1" applyFont="1">
      <alignment horizontal="center" vertical="center"/>
    </xf>
    <xf borderId="5" fillId="12" fontId="9" numFmtId="0" xfId="0" applyAlignment="1" applyBorder="1" applyFill="1" applyFont="1">
      <alignment horizontal="center" vertical="center"/>
    </xf>
    <xf borderId="5" fillId="7" fontId="6" numFmtId="0" xfId="0" applyAlignment="1" applyBorder="1" applyFill="1" applyFont="1">
      <alignment vertical="center"/>
    </xf>
    <xf borderId="5" fillId="7" fontId="6" numFmtId="0" xfId="0" applyAlignment="1" applyBorder="1" applyFill="1" applyFont="1">
      <alignment shrinkToFit="0" vertical="center" wrapText="1"/>
    </xf>
    <xf borderId="5" fillId="7" fontId="6" numFmtId="166" xfId="0" applyAlignment="1" applyBorder="1" applyFill="1" applyFont="1" applyNumberFormat="1">
      <alignment horizontal="center" shrinkToFit="0" vertical="center" wrapText="1"/>
    </xf>
    <xf borderId="18" fillId="7" fontId="6" numFmtId="0" xfId="0" applyAlignment="1" applyBorder="1" applyFill="1" applyFont="1">
      <alignment horizontal="center" vertical="center"/>
    </xf>
    <xf borderId="5" fillId="7" fontId="6" numFmtId="0" xfId="0" applyAlignment="1" applyBorder="1" applyFill="1" applyFont="1">
      <alignment horizontal="center" vertical="center"/>
    </xf>
    <xf borderId="5" fillId="7" fontId="9" numFmtId="166" xfId="0" applyAlignment="1" applyBorder="1" applyFill="1" applyFont="1" applyNumberFormat="1">
      <alignment horizontal="center" shrinkToFit="0" vertical="center" wrapText="1"/>
    </xf>
    <xf borderId="5" fillId="12" fontId="9" numFmtId="0" xfId="0" applyAlignment="1" applyBorder="1" applyFill="1" applyFont="1">
      <alignment shrinkToFit="0" vertical="center" wrapText="1"/>
    </xf>
    <xf borderId="5" fillId="0" fontId="9" numFmtId="0" xfId="0" applyAlignment="1" applyBorder="1" applyFont="1">
      <alignment horizontal="left" vertical="center"/>
    </xf>
    <xf borderId="5" fillId="13" fontId="9" numFmtId="0" xfId="0" applyAlignment="1" applyBorder="1" applyFill="1" applyFont="1">
      <alignment horizontal="left" vertical="center"/>
    </xf>
    <xf borderId="5" fillId="13" fontId="9" numFmtId="0" xfId="0" applyAlignment="1" applyBorder="1" applyFill="1" applyFont="1">
      <alignment horizontal="left" shrinkToFit="0" vertical="center" wrapText="1"/>
    </xf>
    <xf borderId="5" fillId="12" fontId="9" numFmtId="0" xfId="0" applyAlignment="1" applyBorder="1" applyFill="1" applyFont="1">
      <alignment vertical="center"/>
    </xf>
    <xf borderId="17" fillId="12" fontId="9" numFmtId="0" xfId="0" applyAlignment="1" applyBorder="1" applyFill="1" applyFont="1">
      <alignment vertical="center"/>
    </xf>
    <xf borderId="22" fillId="9" fontId="9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7" fillId="9" fontId="6" numFmtId="0" xfId="0" applyAlignment="1" applyBorder="1" applyFill="1" applyFont="1">
      <alignment vertical="center"/>
    </xf>
    <xf borderId="20" fillId="0" fontId="9" numFmtId="166" xfId="0" applyAlignment="1" applyBorder="1" applyFont="1" applyNumberFormat="1">
      <alignment horizontal="center" shrinkToFit="0" vertical="center" wrapText="1"/>
    </xf>
    <xf borderId="23" fillId="12" fontId="9" numFmtId="0" xfId="0" applyAlignment="1" applyBorder="1" applyFill="1" applyFont="1">
      <alignment horizontal="center" vertical="center"/>
    </xf>
    <xf borderId="17" fillId="12" fontId="9" numFmtId="0" xfId="0" applyAlignment="1" applyBorder="1" applyFill="1" applyFont="1">
      <alignment horizontal="center" vertical="center"/>
    </xf>
    <xf borderId="5" fillId="0" fontId="2" numFmtId="0" xfId="0" applyBorder="1" applyFont="1"/>
    <xf borderId="19" fillId="9" fontId="9" numFmtId="0" xfId="0" applyAlignment="1" applyBorder="1" applyFill="1" applyFont="1">
      <alignment shrinkToFit="0" vertical="center" wrapText="1"/>
    </xf>
    <xf borderId="5" fillId="10" fontId="9" numFmtId="166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>
        <v>2026.0</v>
      </c>
      <c r="C1" s="2"/>
      <c r="D1" s="3" t="s">
        <v>1</v>
      </c>
      <c r="E1" s="4" t="s">
        <v>2</v>
      </c>
    </row>
    <row r="2" ht="14.25" customHeight="1">
      <c r="A2" s="2"/>
      <c r="B2" s="2"/>
      <c r="C2" s="2"/>
      <c r="D2" s="6">
        <f> DATE($B$1,1,1)</f>
        <v>46023</v>
      </c>
      <c r="E2" s="4" t="s">
        <v>6</v>
      </c>
    </row>
    <row r="3" ht="14.25" customHeight="1">
      <c r="A3" s="2"/>
      <c r="B3" s="2"/>
      <c r="C3" s="2"/>
      <c r="D3" s="6">
        <f> FLOOR(DAY(MINUTE($B$1/38)/2+56)&amp;"/5/"&amp;$B$1,7)-34</f>
        <v>46117</v>
      </c>
      <c r="E3" s="4" t="s">
        <v>6</v>
      </c>
    </row>
    <row r="4" ht="14.25" customHeight="1">
      <c r="A4" s="2"/>
      <c r="B4" s="2"/>
      <c r="C4" s="2"/>
      <c r="D4" s="6">
        <f> D3 + 1</f>
        <v>46118</v>
      </c>
      <c r="E4" s="4" t="s">
        <v>6</v>
      </c>
    </row>
    <row r="5" ht="14.25" customHeight="1">
      <c r="A5" s="2"/>
      <c r="B5" s="2"/>
      <c r="C5" s="2"/>
      <c r="D5" s="6">
        <f> DATE($B$1,5,1)</f>
        <v>46143</v>
      </c>
      <c r="E5" s="4" t="s">
        <v>6</v>
      </c>
    </row>
    <row r="6" ht="14.25" customHeight="1">
      <c r="A6" s="2"/>
      <c r="B6" s="2"/>
      <c r="C6" s="2"/>
      <c r="D6" s="6">
        <f> DATE($B$1,5,8)</f>
        <v>46150</v>
      </c>
      <c r="E6" s="4" t="s">
        <v>6</v>
      </c>
    </row>
    <row r="7" ht="14.25" customHeight="1">
      <c r="A7" s="2"/>
      <c r="B7" s="2"/>
      <c r="C7" s="2"/>
      <c r="D7" s="27">
        <f>D3+"39"</f>
        <v>46156</v>
      </c>
      <c r="E7" s="4" t="s">
        <v>6</v>
      </c>
    </row>
    <row r="8" ht="14.25" customHeight="1">
      <c r="A8" s="2"/>
      <c r="B8" s="2"/>
      <c r="C8" s="2"/>
      <c r="D8" s="6">
        <f> D3 + 49</f>
        <v>46166</v>
      </c>
      <c r="E8" s="4" t="s">
        <v>6</v>
      </c>
    </row>
    <row r="9" ht="14.25" customHeight="1">
      <c r="A9" s="2"/>
      <c r="B9" s="2"/>
      <c r="C9" s="2"/>
      <c r="D9" s="6">
        <f> D3 + 50</f>
        <v>46167</v>
      </c>
      <c r="E9" s="4" t="s">
        <v>6</v>
      </c>
    </row>
    <row r="10" ht="14.25" customHeight="1">
      <c r="A10" s="2"/>
      <c r="B10" s="2"/>
      <c r="C10" s="2"/>
      <c r="D10" s="6">
        <f> DATE($B$1,7,14)</f>
        <v>46217</v>
      </c>
      <c r="E10" s="4" t="s">
        <v>6</v>
      </c>
    </row>
    <row r="11" ht="14.25" customHeight="1">
      <c r="A11" s="2"/>
      <c r="B11" s="2"/>
      <c r="C11" s="36"/>
      <c r="D11" s="6">
        <f> DATE($B$1,8,15)</f>
        <v>46249</v>
      </c>
      <c r="E11" s="4" t="s">
        <v>6</v>
      </c>
    </row>
    <row r="12" ht="14.25" customHeight="1">
      <c r="A12" s="2"/>
      <c r="B12" s="2"/>
      <c r="C12" s="39"/>
      <c r="D12" s="6">
        <f> DATE($B$1,11,1)</f>
        <v>46327</v>
      </c>
      <c r="E12" s="4" t="s">
        <v>6</v>
      </c>
    </row>
    <row r="13" ht="14.25" customHeight="1">
      <c r="A13" s="2"/>
      <c r="B13" s="2"/>
      <c r="C13" s="36"/>
      <c r="D13" s="6">
        <f> DATE($B$1,11,11)</f>
        <v>46337</v>
      </c>
      <c r="E13" s="4" t="s">
        <v>6</v>
      </c>
    </row>
    <row r="14" ht="14.25" customHeight="1">
      <c r="A14" s="2"/>
      <c r="B14" s="2"/>
      <c r="C14" s="39"/>
      <c r="D14" s="6">
        <f> DATE($B$1,12,25)</f>
        <v>46381</v>
      </c>
      <c r="E14" s="4" t="s">
        <v>6</v>
      </c>
    </row>
    <row r="15" ht="14.25" customHeight="1">
      <c r="D15" s="6">
        <v>46023.0</v>
      </c>
      <c r="E15" s="4" t="s">
        <v>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8.57"/>
    <col customWidth="1" min="3" max="3" width="75.86"/>
    <col customWidth="1" hidden="1" min="4" max="4" width="14.14"/>
    <col customWidth="1" min="5" max="5" width="17.43"/>
    <col customWidth="1" min="6" max="6" width="7.57"/>
    <col customWidth="1" min="7" max="7" width="7.43"/>
    <col customWidth="1" min="8" max="26" width="10.71"/>
  </cols>
  <sheetData>
    <row r="1" ht="26.25" customHeight="1">
      <c r="A1" s="5" t="s">
        <v>4</v>
      </c>
      <c r="B1" s="7"/>
      <c r="C1" s="7"/>
      <c r="D1" s="7"/>
      <c r="E1" s="7"/>
      <c r="F1" s="7"/>
      <c r="G1" s="8"/>
    </row>
    <row r="2" ht="14.25" customHeight="1">
      <c r="A2" s="10" t="s">
        <v>7</v>
      </c>
      <c r="B2" s="10" t="s">
        <v>8</v>
      </c>
      <c r="C2" s="12" t="s">
        <v>9</v>
      </c>
      <c r="D2" s="14" t="s">
        <v>10</v>
      </c>
      <c r="E2" s="16"/>
      <c r="F2" s="18"/>
      <c r="G2" s="20"/>
    </row>
    <row r="3" ht="14.25" customHeight="1">
      <c r="A3" s="22" t="s">
        <v>14</v>
      </c>
      <c r="B3" s="24"/>
      <c r="C3" s="26"/>
      <c r="D3" s="29"/>
      <c r="E3" s="29">
        <f>IF(G3="J",D3,WORKDAY(D$53,MID(G3,2,3),Feuil1!D$2:D$14))</f>
        <v>46253</v>
      </c>
      <c r="F3" s="35" t="s">
        <v>25</v>
      </c>
      <c r="G3" s="37" t="s">
        <v>30</v>
      </c>
    </row>
    <row r="4" ht="14.25" customHeight="1">
      <c r="A4" s="38" t="s">
        <v>32</v>
      </c>
      <c r="B4" s="7"/>
      <c r="C4" s="8"/>
      <c r="D4" s="29"/>
      <c r="E4" s="29">
        <f>IF(G4="J",D4,WORKDAY(D$53,MID(G4,2,3),Feuil1!D$2:D$14))</f>
        <v>46253</v>
      </c>
      <c r="F4" s="35" t="s">
        <v>17</v>
      </c>
      <c r="G4" s="37" t="s">
        <v>30</v>
      </c>
    </row>
    <row r="5" ht="14.25" customHeight="1">
      <c r="A5" s="22" t="s">
        <v>34</v>
      </c>
      <c r="B5" s="24"/>
      <c r="C5" s="26"/>
      <c r="D5" s="29"/>
      <c r="E5" s="29">
        <f>IF(G5="J",D5,WORKDAY(D$53,MID(G5,2,3),Feuil1!D$2:D$14))</f>
        <v>46254</v>
      </c>
      <c r="F5" s="40" t="s">
        <v>25</v>
      </c>
      <c r="G5" s="41" t="s">
        <v>35</v>
      </c>
    </row>
    <row r="6" ht="14.25" customHeight="1">
      <c r="A6" s="38" t="s">
        <v>32</v>
      </c>
      <c r="B6" s="7"/>
      <c r="C6" s="8"/>
      <c r="D6" s="29"/>
      <c r="E6" s="29">
        <f>IF(G6="J",D6,WORKDAY(D$53,MID(G6,2,3),Feuil1!D$2:D$14))</f>
        <v>46254</v>
      </c>
      <c r="F6" s="40" t="s">
        <v>17</v>
      </c>
      <c r="G6" s="41" t="s">
        <v>35</v>
      </c>
    </row>
    <row r="7" ht="14.25" customHeight="1">
      <c r="A7" s="24"/>
      <c r="B7" s="24" t="s">
        <v>36</v>
      </c>
      <c r="C7" s="26"/>
      <c r="D7" s="29"/>
      <c r="E7" s="29">
        <f>IF(G7="J",D7,WORKDAY(D$53,MID(G7,2,3),Feuil1!D$2:D$14))</f>
        <v>46255</v>
      </c>
      <c r="F7" s="40" t="s">
        <v>17</v>
      </c>
      <c r="G7" s="41" t="s">
        <v>37</v>
      </c>
    </row>
    <row r="8" ht="14.25" customHeight="1">
      <c r="A8" s="38" t="s">
        <v>32</v>
      </c>
      <c r="B8" s="7"/>
      <c r="C8" s="8"/>
      <c r="D8" s="29"/>
      <c r="E8" s="29">
        <f>IF(G8="J",D8,WORKDAY(D$53,MID(G8,2,3),Feuil1!D$2:D$14))</f>
        <v>46255</v>
      </c>
      <c r="F8" s="40" t="s">
        <v>17</v>
      </c>
      <c r="G8" s="41" t="s">
        <v>37</v>
      </c>
    </row>
    <row r="9" ht="14.25" customHeight="1">
      <c r="A9" s="42" t="s">
        <v>38</v>
      </c>
      <c r="B9" s="43" t="s">
        <v>39</v>
      </c>
      <c r="C9" s="43"/>
      <c r="D9" s="44"/>
      <c r="E9" s="45">
        <f>IF(G9="J",D9,WORKDAY(D$53,MID(G9,2,3),Feuil1!D$2:D$14))</f>
        <v>46258</v>
      </c>
      <c r="F9" s="46" t="s">
        <v>25</v>
      </c>
      <c r="G9" s="47" t="s">
        <v>18</v>
      </c>
    </row>
    <row r="10" ht="14.25" customHeight="1">
      <c r="A10" s="48" t="s">
        <v>40</v>
      </c>
      <c r="B10" s="49"/>
      <c r="C10" s="50"/>
      <c r="D10" s="51"/>
      <c r="E10" s="51">
        <f>IF(G10="J",D10,WORKDAY(D$53,MID(G10,2,3),Feuil1!D$2:D$14))</f>
        <v>46258</v>
      </c>
      <c r="F10" s="52" t="s">
        <v>41</v>
      </c>
      <c r="G10" s="53" t="s">
        <v>18</v>
      </c>
    </row>
    <row r="11" ht="14.25" customHeight="1">
      <c r="A11" s="24"/>
      <c r="B11" s="24" t="s">
        <v>42</v>
      </c>
      <c r="C11" s="26"/>
      <c r="D11" s="29"/>
      <c r="E11" s="29">
        <f>IF(G11="J",D11,WORKDAY(D$53,MID(G11,2,3),Feuil1!D$2:D$14))</f>
        <v>46258</v>
      </c>
      <c r="F11" s="40" t="s">
        <v>17</v>
      </c>
      <c r="G11" s="41" t="s">
        <v>18</v>
      </c>
    </row>
    <row r="12" ht="14.25" customHeight="1">
      <c r="A12" s="24"/>
      <c r="B12" s="24" t="s">
        <v>43</v>
      </c>
      <c r="C12" s="26"/>
      <c r="D12" s="29"/>
      <c r="E12" s="29">
        <f>IF(G12="J",D12,WORKDAY(D$53,MID(G12,2,3),Feuil1!D$2:D$14))</f>
        <v>46258</v>
      </c>
      <c r="F12" s="40" t="s">
        <v>17</v>
      </c>
      <c r="G12" s="41" t="s">
        <v>18</v>
      </c>
    </row>
    <row r="13" ht="14.25" customHeight="1">
      <c r="A13" s="24"/>
      <c r="B13" s="24" t="s">
        <v>45</v>
      </c>
      <c r="C13" s="26"/>
      <c r="D13" s="29"/>
      <c r="E13" s="29">
        <f>IF(G13="J",D13,WORKDAY(D$53,MID(G13,2,3),Feuil1!D$2:D$14))</f>
        <v>46258</v>
      </c>
      <c r="F13" s="40" t="s">
        <v>17</v>
      </c>
      <c r="G13" s="41" t="s">
        <v>18</v>
      </c>
    </row>
    <row r="14" ht="14.25" customHeight="1">
      <c r="A14" s="38" t="s">
        <v>46</v>
      </c>
      <c r="B14" s="7"/>
      <c r="C14" s="8"/>
      <c r="D14" s="29"/>
      <c r="E14" s="29">
        <f>IF(G14="J",D14,WORKDAY(D$53,MID(G14,2,3),Feuil1!D$2:D$14))</f>
        <v>46258</v>
      </c>
      <c r="F14" s="40" t="s">
        <v>17</v>
      </c>
      <c r="G14" s="41" t="s">
        <v>18</v>
      </c>
    </row>
    <row r="15" ht="14.25" customHeight="1">
      <c r="A15" s="38" t="s">
        <v>32</v>
      </c>
      <c r="B15" s="7"/>
      <c r="C15" s="8"/>
      <c r="D15" s="29"/>
      <c r="E15" s="29">
        <f>IF(G15="J",D15,WORKDAY(D$53,MID(G15,2,3),Feuil1!D$2:D$14))</f>
        <v>46258</v>
      </c>
      <c r="F15" s="40" t="s">
        <v>17</v>
      </c>
      <c r="G15" s="41" t="s">
        <v>18</v>
      </c>
    </row>
    <row r="16" ht="14.25" customHeight="1">
      <c r="A16" s="22" t="s">
        <v>47</v>
      </c>
      <c r="B16" s="24"/>
      <c r="C16" s="26"/>
      <c r="D16" s="29"/>
      <c r="E16" s="29">
        <f>IF(G16="J",D16,WORKDAY(D$53,MID(G16,2,3),Feuil1!D$2:D$14))</f>
        <v>46259</v>
      </c>
      <c r="F16" s="40" t="s">
        <v>48</v>
      </c>
      <c r="G16" s="41" t="s">
        <v>49</v>
      </c>
    </row>
    <row r="17" ht="14.25" customHeight="1">
      <c r="A17" s="42" t="s">
        <v>50</v>
      </c>
      <c r="B17" s="42" t="s">
        <v>51</v>
      </c>
      <c r="C17" s="54"/>
      <c r="D17" s="44"/>
      <c r="E17" s="45">
        <f>IF(G17="J",D17,WORKDAY(D$53,MID(G17,2,3),Feuil1!D$2:D$14))</f>
        <v>46259</v>
      </c>
      <c r="F17" s="46" t="s">
        <v>41</v>
      </c>
      <c r="G17" s="47" t="s">
        <v>49</v>
      </c>
    </row>
    <row r="18" ht="14.25" customHeight="1">
      <c r="A18" s="42" t="s">
        <v>38</v>
      </c>
      <c r="B18" s="42" t="s">
        <v>52</v>
      </c>
      <c r="C18" s="54"/>
      <c r="D18" s="44"/>
      <c r="E18" s="45">
        <f>IF(G18="J",D18,WORKDAY(D$53,MID(G18,2,3),Feuil1!D$2:D$14))</f>
        <v>46259</v>
      </c>
      <c r="F18" s="46" t="s">
        <v>41</v>
      </c>
      <c r="G18" s="47" t="s">
        <v>49</v>
      </c>
    </row>
    <row r="19" ht="14.25" customHeight="1">
      <c r="A19" s="22" t="s">
        <v>53</v>
      </c>
      <c r="B19" s="24"/>
      <c r="C19" s="26"/>
      <c r="D19" s="29"/>
      <c r="E19" s="29">
        <f>IF(G19="J",D19,WORKDAY(D$53,MID(G19,2,3),Feuil1!D$2:D$14))</f>
        <v>46259</v>
      </c>
      <c r="F19" s="40" t="s">
        <v>41</v>
      </c>
      <c r="G19" s="41" t="s">
        <v>49</v>
      </c>
    </row>
    <row r="20" ht="14.25" customHeight="1">
      <c r="A20" s="22" t="s">
        <v>54</v>
      </c>
      <c r="B20" s="24"/>
      <c r="C20" s="26"/>
      <c r="D20" s="29"/>
      <c r="E20" s="29">
        <f>IF(G20="J",D20,WORKDAY(D$53,MID(G20,2,3),Feuil1!D$2:D$14))</f>
        <v>46259</v>
      </c>
      <c r="F20" s="40" t="s">
        <v>41</v>
      </c>
      <c r="G20" s="41" t="s">
        <v>49</v>
      </c>
    </row>
    <row r="21" ht="14.25" customHeight="1">
      <c r="A21" s="38" t="s">
        <v>32</v>
      </c>
      <c r="B21" s="7"/>
      <c r="C21" s="8"/>
      <c r="D21" s="29"/>
      <c r="E21" s="29">
        <f>IF(G21="J",D21,WORKDAY(D$53,MID(G21,2,3),Feuil1!D$2:D$14))</f>
        <v>46259</v>
      </c>
      <c r="F21" s="40" t="s">
        <v>17</v>
      </c>
      <c r="G21" s="41" t="s">
        <v>49</v>
      </c>
    </row>
    <row r="22" ht="14.25" customHeight="1">
      <c r="A22" s="24"/>
      <c r="B22" s="24" t="s">
        <v>56</v>
      </c>
      <c r="C22" s="26"/>
      <c r="D22" s="29"/>
      <c r="E22" s="29">
        <f>IF(G22="J",D22,WORKDAY(D$53,MID(G22,2,3),Feuil1!D$2:D$14))</f>
        <v>46259</v>
      </c>
      <c r="F22" s="40" t="s">
        <v>17</v>
      </c>
      <c r="G22" s="41" t="s">
        <v>49</v>
      </c>
    </row>
    <row r="23" ht="14.25" customHeight="1">
      <c r="A23" s="24"/>
      <c r="B23" s="24" t="s">
        <v>57</v>
      </c>
      <c r="C23" s="26"/>
      <c r="D23" s="29"/>
      <c r="E23" s="29">
        <f>IF(G23="J",D23,WORKDAY(D$53,MID(G23,2,3),Feuil1!D$2:D$14))</f>
        <v>46259</v>
      </c>
      <c r="F23" s="40" t="s">
        <v>17</v>
      </c>
      <c r="G23" s="41" t="s">
        <v>49</v>
      </c>
    </row>
    <row r="24" ht="14.25" customHeight="1">
      <c r="A24" s="42" t="s">
        <v>50</v>
      </c>
      <c r="B24" s="57" t="s">
        <v>58</v>
      </c>
      <c r="C24" s="58"/>
      <c r="D24" s="44"/>
      <c r="E24" s="45">
        <f>IF(G24="J",D24,WORKDAY(D$53,MID(G24,2,3),Feuil1!D$2:D$14))</f>
        <v>46260</v>
      </c>
      <c r="F24" s="46" t="s">
        <v>41</v>
      </c>
      <c r="G24" s="47" t="s">
        <v>59</v>
      </c>
    </row>
    <row r="25" ht="14.25" customHeight="1">
      <c r="A25" s="42" t="s">
        <v>38</v>
      </c>
      <c r="B25" s="57" t="s">
        <v>60</v>
      </c>
      <c r="C25" s="58"/>
      <c r="D25" s="44"/>
      <c r="E25" s="45">
        <f>IF(G25="J",D25,WORKDAY(D$53,MID(G25,2,3),Feuil1!D$2:D$14))</f>
        <v>46260</v>
      </c>
      <c r="F25" s="46" t="s">
        <v>41</v>
      </c>
      <c r="G25" s="47" t="s">
        <v>59</v>
      </c>
    </row>
    <row r="26" ht="14.25" customHeight="1">
      <c r="A26" s="22" t="s">
        <v>61</v>
      </c>
      <c r="B26" s="24"/>
      <c r="C26" s="26"/>
      <c r="D26" s="29"/>
      <c r="E26" s="29">
        <f>IF(G26="J",D26,WORKDAY(D$53,MID(G26,2,3),Feuil1!D$2:D$14))</f>
        <v>46260</v>
      </c>
      <c r="F26" s="40" t="s">
        <v>41</v>
      </c>
      <c r="G26" s="41" t="s">
        <v>59</v>
      </c>
    </row>
    <row r="27" ht="14.25" customHeight="1">
      <c r="A27" s="22" t="s">
        <v>62</v>
      </c>
      <c r="B27" s="59"/>
      <c r="C27" s="26"/>
      <c r="D27" s="29"/>
      <c r="E27" s="29">
        <f>IF(G27="J",D27,WORKDAY(D$53,MID(G27,2,3),Feuil1!D$2:D$14))</f>
        <v>46260</v>
      </c>
      <c r="F27" s="40" t="s">
        <v>41</v>
      </c>
      <c r="G27" s="41" t="s">
        <v>59</v>
      </c>
    </row>
    <row r="28" ht="14.25" customHeight="1">
      <c r="A28" s="22" t="s">
        <v>64</v>
      </c>
      <c r="B28" s="24"/>
      <c r="C28" s="26"/>
      <c r="D28" s="29"/>
      <c r="E28" s="29">
        <f>IF(G28="J",D28,WORKDAY(D$53,MID(G28,2,3),Feuil1!D$2:D$14))</f>
        <v>46260</v>
      </c>
      <c r="F28" s="40" t="s">
        <v>41</v>
      </c>
      <c r="G28" s="41" t="s">
        <v>59</v>
      </c>
    </row>
    <row r="29" ht="14.25" customHeight="1">
      <c r="A29" s="22" t="s">
        <v>65</v>
      </c>
      <c r="B29" s="24"/>
      <c r="C29" s="26"/>
      <c r="D29" s="29"/>
      <c r="E29" s="29">
        <f>IF(G29="J",D29,WORKDAY(D$53,MID(G29,2,3),Feuil1!D$2:D$14))</f>
        <v>46260</v>
      </c>
      <c r="F29" s="40" t="s">
        <v>41</v>
      </c>
      <c r="G29" s="41" t="s">
        <v>59</v>
      </c>
    </row>
    <row r="30" ht="14.25" customHeight="1">
      <c r="A30" s="24"/>
      <c r="B30" s="24" t="s">
        <v>66</v>
      </c>
      <c r="C30" s="26"/>
      <c r="D30" s="29"/>
      <c r="E30" s="29">
        <f>IF(G30="J",D30,WORKDAY(D$53,MID(G30,2,3),Feuil1!D$2:D$14))</f>
        <v>46260</v>
      </c>
      <c r="F30" s="40" t="s">
        <v>41</v>
      </c>
      <c r="G30" s="41" t="s">
        <v>59</v>
      </c>
    </row>
    <row r="31" ht="14.25" customHeight="1">
      <c r="A31" s="22" t="s">
        <v>67</v>
      </c>
      <c r="B31" s="24"/>
      <c r="C31" s="26"/>
      <c r="D31" s="29"/>
      <c r="E31" s="29">
        <f>IF(G31="J",D31,WORKDAY(D$53,MID(G31,2,3),Feuil1!D$2:D$14))</f>
        <v>46260</v>
      </c>
      <c r="F31" s="40" t="s">
        <v>41</v>
      </c>
      <c r="G31" s="41" t="s">
        <v>59</v>
      </c>
    </row>
    <row r="32" ht="14.25" customHeight="1">
      <c r="A32" s="38" t="s">
        <v>32</v>
      </c>
      <c r="B32" s="7"/>
      <c r="C32" s="8"/>
      <c r="D32" s="29"/>
      <c r="E32" s="29">
        <f>IF(G32="J",D32,WORKDAY(D$53,MID(G32,2,3),Feuil1!D$2:D$14))</f>
        <v>46260</v>
      </c>
      <c r="F32" s="40" t="s">
        <v>17</v>
      </c>
      <c r="G32" s="41" t="s">
        <v>59</v>
      </c>
    </row>
    <row r="33" ht="14.25" customHeight="1">
      <c r="A33" s="24"/>
      <c r="B33" s="60" t="s">
        <v>68</v>
      </c>
      <c r="C33" s="62"/>
      <c r="D33" s="29"/>
      <c r="E33" s="29">
        <f>IF(G33="J",D33,WORKDAY(D$53,MID(G33,2,3),Feuil1!D$2:D$14))</f>
        <v>46260</v>
      </c>
      <c r="F33" s="40" t="s">
        <v>17</v>
      </c>
      <c r="G33" s="41" t="s">
        <v>59</v>
      </c>
    </row>
    <row r="34" ht="14.25" customHeight="1">
      <c r="A34" s="24"/>
      <c r="B34" s="24" t="s">
        <v>70</v>
      </c>
      <c r="C34" s="26"/>
      <c r="D34" s="29"/>
      <c r="E34" s="29">
        <f>IF(G34="J",D34,WORKDAY(D$53,MID(G34,2,3),Feuil1!D$2:D$14))</f>
        <v>46260</v>
      </c>
      <c r="F34" s="40" t="s">
        <v>17</v>
      </c>
      <c r="G34" s="41" t="s">
        <v>59</v>
      </c>
    </row>
    <row r="35" ht="14.25" customHeight="1">
      <c r="A35" s="24"/>
      <c r="B35" s="24" t="s">
        <v>71</v>
      </c>
      <c r="C35" s="26"/>
      <c r="D35" s="29"/>
      <c r="E35" s="29">
        <f>IF(G35="J",D35,WORKDAY(D$53,MID(G35,2,3),Feuil1!D$2:D$14))</f>
        <v>46260</v>
      </c>
      <c r="F35" s="40" t="s">
        <v>17</v>
      </c>
      <c r="G35" s="41" t="s">
        <v>59</v>
      </c>
    </row>
    <row r="36" ht="14.25" customHeight="1">
      <c r="A36" s="24"/>
      <c r="B36" s="24" t="s">
        <v>72</v>
      </c>
      <c r="C36" s="26"/>
      <c r="D36" s="29"/>
      <c r="E36" s="29">
        <f>IF(G36="J",D36,WORKDAY(D$53,MID(G36,2,3),Feuil1!D$2:D$14))</f>
        <v>46260</v>
      </c>
      <c r="F36" s="40" t="s">
        <v>17</v>
      </c>
      <c r="G36" s="41" t="s">
        <v>59</v>
      </c>
    </row>
    <row r="37" ht="14.25" customHeight="1">
      <c r="A37" s="24"/>
      <c r="B37" s="24" t="s">
        <v>74</v>
      </c>
      <c r="C37" s="26"/>
      <c r="D37" s="29"/>
      <c r="E37" s="29">
        <f>IF(G37="J",D37,WORKDAY(D$53,MID(G37,2,3),Feuil1!D$2:D$14))</f>
        <v>46260</v>
      </c>
      <c r="F37" s="40" t="s">
        <v>17</v>
      </c>
      <c r="G37" s="41" t="s">
        <v>59</v>
      </c>
    </row>
    <row r="38" ht="14.25" customHeight="1">
      <c r="A38" s="24"/>
      <c r="B38" s="24"/>
      <c r="C38" s="26" t="s">
        <v>75</v>
      </c>
      <c r="D38" s="29"/>
      <c r="E38" s="29">
        <f>IF(G38="J",D38,WORKDAY(D$53,MID(G38,2,3),Feuil1!D$2:D$14))</f>
        <v>46261</v>
      </c>
      <c r="F38" s="40" t="s">
        <v>25</v>
      </c>
      <c r="G38" s="41" t="s">
        <v>76</v>
      </c>
    </row>
    <row r="39" ht="14.25" customHeight="1">
      <c r="A39" s="22" t="s">
        <v>77</v>
      </c>
      <c r="B39" s="24"/>
      <c r="C39" s="26"/>
      <c r="D39" s="29"/>
      <c r="E39" s="29">
        <f>IF(G39="J",D39,WORKDAY(D$53,MID(G39,2,3),Feuil1!D$2:D$14))</f>
        <v>46261</v>
      </c>
      <c r="F39" s="40" t="s">
        <v>48</v>
      </c>
      <c r="G39" s="41" t="s">
        <v>76</v>
      </c>
    </row>
    <row r="40" ht="14.25" customHeight="1">
      <c r="A40" s="24"/>
      <c r="B40" s="24" t="s">
        <v>78</v>
      </c>
      <c r="C40" s="26"/>
      <c r="D40" s="29"/>
      <c r="E40" s="29">
        <f>IF(G40="J",D40,WORKDAY(D$53,MID(G40,2,3),Feuil1!D$2:D$14))</f>
        <v>46261</v>
      </c>
      <c r="F40" s="40" t="s">
        <v>79</v>
      </c>
      <c r="G40" s="41" t="s">
        <v>76</v>
      </c>
    </row>
    <row r="41" ht="14.25" customHeight="1">
      <c r="A41" s="24"/>
      <c r="B41" s="24" t="s">
        <v>80</v>
      </c>
      <c r="C41" s="26"/>
      <c r="D41" s="29"/>
      <c r="E41" s="29">
        <f>IF(G41="J",D41,WORKDAY(D$53,MID(G41,2,3),Feuil1!D$2:D$14))</f>
        <v>46261</v>
      </c>
      <c r="F41" s="40" t="s">
        <v>79</v>
      </c>
      <c r="G41" s="41" t="s">
        <v>76</v>
      </c>
    </row>
    <row r="42" ht="14.25" customHeight="1">
      <c r="A42" s="24"/>
      <c r="B42" s="24" t="s">
        <v>81</v>
      </c>
      <c r="C42" s="26"/>
      <c r="D42" s="29"/>
      <c r="E42" s="29">
        <f>IF(G42="J",D42,WORKDAY(D$53,MID(G42,2,3),Feuil1!D$2:D$14))</f>
        <v>46261</v>
      </c>
      <c r="F42" s="40" t="s">
        <v>17</v>
      </c>
      <c r="G42" s="41" t="s">
        <v>76</v>
      </c>
    </row>
    <row r="43" ht="14.25" customHeight="1">
      <c r="A43" s="24"/>
      <c r="B43" s="24" t="s">
        <v>82</v>
      </c>
      <c r="C43" s="26"/>
      <c r="D43" s="29"/>
      <c r="E43" s="29">
        <f>IF(G43="J",D43,WORKDAY(D$53,MID(G43,2,3),Feuil1!D$2:D$14))</f>
        <v>46261</v>
      </c>
      <c r="F43" s="40" t="s">
        <v>17</v>
      </c>
      <c r="G43" s="41" t="s">
        <v>76</v>
      </c>
    </row>
    <row r="44" ht="14.25" customHeight="1">
      <c r="A44" s="24"/>
      <c r="B44" s="24" t="s">
        <v>83</v>
      </c>
      <c r="C44" s="26"/>
      <c r="D44" s="29"/>
      <c r="E44" s="29">
        <f>IF(G44="J",D44,WORKDAY(D$53,MID(G44,2,3),Feuil1!D$2:D$14))</f>
        <v>46261</v>
      </c>
      <c r="F44" s="40" t="s">
        <v>17</v>
      </c>
      <c r="G44" s="41" t="s">
        <v>76</v>
      </c>
    </row>
    <row r="45" ht="14.25" customHeight="1">
      <c r="A45" s="38" t="s">
        <v>32</v>
      </c>
      <c r="B45" s="7"/>
      <c r="C45" s="8"/>
      <c r="D45" s="29"/>
      <c r="E45" s="29">
        <f>IF(G45="J",D45,WORKDAY(D$53,MID(G45,2,3),Feuil1!D$2:D$14))</f>
        <v>46261</v>
      </c>
      <c r="F45" s="40" t="s">
        <v>17</v>
      </c>
      <c r="G45" s="41" t="s">
        <v>76</v>
      </c>
    </row>
    <row r="46" ht="14.25" customHeight="1">
      <c r="A46" s="24"/>
      <c r="B46" s="60" t="s">
        <v>84</v>
      </c>
      <c r="C46" s="62"/>
      <c r="D46" s="29"/>
      <c r="E46" s="29">
        <f>IF(G46="J",D46,WORKDAY(D$53,MID(G46,2,3),Feuil1!D$2:D$14))</f>
        <v>46261</v>
      </c>
      <c r="F46" s="40" t="s">
        <v>17</v>
      </c>
      <c r="G46" s="41" t="s">
        <v>76</v>
      </c>
    </row>
    <row r="47" ht="14.25" customHeight="1">
      <c r="A47" s="24"/>
      <c r="B47" s="65"/>
      <c r="C47" s="66" t="s">
        <v>85</v>
      </c>
      <c r="D47" s="29"/>
      <c r="E47" s="29">
        <f>IF(G47="J",D47,WORKDAY(D$53,MID(G47,2,3),Feuil1!D$2:D$14))</f>
        <v>46261</v>
      </c>
      <c r="F47" s="40" t="s">
        <v>17</v>
      </c>
      <c r="G47" s="41" t="s">
        <v>76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4"/>
      <c r="B48" s="67"/>
      <c r="C48" s="26" t="s">
        <v>75</v>
      </c>
      <c r="D48" s="29"/>
      <c r="E48" s="29">
        <f>IF(G48="J",D48,WORKDAY(D$53,MID(G48,2,3),Feuil1!D$2:D$14))</f>
        <v>46262</v>
      </c>
      <c r="F48" s="68" t="s">
        <v>25</v>
      </c>
      <c r="G48" s="41" t="s">
        <v>86</v>
      </c>
    </row>
    <row r="49" ht="14.25" customHeight="1">
      <c r="A49" s="24"/>
      <c r="B49" s="24" t="s">
        <v>87</v>
      </c>
      <c r="C49" s="26"/>
      <c r="D49" s="29"/>
      <c r="E49" s="29">
        <f>IF(G49="J",D49,WORKDAY(D$53,MID(G49,2,3),Feuil1!D$2:D$14))</f>
        <v>46262</v>
      </c>
      <c r="F49" s="68" t="s">
        <v>25</v>
      </c>
      <c r="G49" s="41" t="s">
        <v>86</v>
      </c>
    </row>
    <row r="50" ht="14.25" customHeight="1">
      <c r="A50" s="38" t="s">
        <v>32</v>
      </c>
      <c r="B50" s="7"/>
      <c r="C50" s="8"/>
      <c r="D50" s="29"/>
      <c r="E50" s="29">
        <f>IF(G50="J",D50,WORKDAY(D$53,MID(G50,2,3),Feuil1!D$2:D$14))</f>
        <v>46262</v>
      </c>
      <c r="F50" s="40" t="s">
        <v>17</v>
      </c>
      <c r="G50" s="41" t="s">
        <v>86</v>
      </c>
    </row>
    <row r="51" ht="14.25" customHeight="1">
      <c r="A51" s="24"/>
      <c r="B51" s="60" t="s">
        <v>88</v>
      </c>
      <c r="C51" s="62"/>
      <c r="D51" s="29"/>
      <c r="E51" s="29">
        <f>IF(G51="J",D51,WORKDAY(D$53,MID(G51,2,3),Feuil1!D$2:D$14))</f>
        <v>46262</v>
      </c>
      <c r="F51" s="40" t="s">
        <v>17</v>
      </c>
      <c r="G51" s="41" t="s">
        <v>86</v>
      </c>
    </row>
    <row r="52" ht="14.25" customHeight="1">
      <c r="A52" s="24"/>
      <c r="B52" s="24"/>
      <c r="C52" s="26" t="s">
        <v>75</v>
      </c>
      <c r="D52" s="29">
        <v>46265.0</v>
      </c>
      <c r="E52" s="29">
        <f>IF(G52="J",D52,WORKDAY(D$53,MID(G52,2,3),Feuil1!D$2:D$14))</f>
        <v>46265</v>
      </c>
      <c r="F52" s="68" t="s">
        <v>25</v>
      </c>
      <c r="G52" s="69" t="s">
        <v>21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70" t="s">
        <v>89</v>
      </c>
      <c r="B53" s="70"/>
      <c r="C53" s="71"/>
      <c r="D53" s="75">
        <v>46265.0</v>
      </c>
      <c r="E53" s="72">
        <f>IF(G53="J",D53,WORKDAY(D$53,MID(G53,2,3),Feuil1!D$2:D$14))</f>
        <v>46265</v>
      </c>
      <c r="F53" s="73" t="s">
        <v>17</v>
      </c>
      <c r="G53" s="74" t="s">
        <v>21</v>
      </c>
    </row>
    <row r="54" ht="14.25" customHeight="1">
      <c r="A54" s="24"/>
      <c r="B54" s="60" t="s">
        <v>90</v>
      </c>
      <c r="C54" s="62"/>
      <c r="D54" s="29">
        <v>46265.0</v>
      </c>
      <c r="E54" s="29">
        <f>IF(G54="J",D54,WORKDAY(D$53,MID(G54,2,3),Feuil1!D$2:D$14))</f>
        <v>46265</v>
      </c>
      <c r="F54" s="68" t="s">
        <v>17</v>
      </c>
      <c r="G54" s="69" t="s">
        <v>21</v>
      </c>
    </row>
    <row r="55" ht="14.25" customHeight="1">
      <c r="A55" s="24"/>
      <c r="B55" s="24" t="s">
        <v>91</v>
      </c>
      <c r="C55" s="26"/>
      <c r="D55" s="29">
        <v>46265.0</v>
      </c>
      <c r="E55" s="29">
        <f>IF(G55="J",D55,WORKDAY(D$53,MID(G55,2,3),Feuil1!D$2:D$14))</f>
        <v>46265</v>
      </c>
      <c r="F55" s="68" t="s">
        <v>17</v>
      </c>
      <c r="G55" s="69" t="s">
        <v>21</v>
      </c>
    </row>
    <row r="56" ht="14.25" customHeight="1">
      <c r="A56" s="24"/>
      <c r="B56" s="24" t="s">
        <v>92</v>
      </c>
      <c r="C56" s="26"/>
      <c r="D56" s="29">
        <v>46265.0</v>
      </c>
      <c r="E56" s="29">
        <f>IF(G56="J",D56,WORKDAY(D$53,MID(G56,2,3),Feuil1!D$2:D$14))</f>
        <v>46265</v>
      </c>
      <c r="F56" s="68" t="s">
        <v>17</v>
      </c>
      <c r="G56" s="69" t="s">
        <v>21</v>
      </c>
    </row>
    <row r="57" ht="14.25" customHeight="1">
      <c r="A57" s="24"/>
      <c r="B57" s="24" t="s">
        <v>93</v>
      </c>
      <c r="C57" s="26"/>
      <c r="D57" s="29">
        <v>46265.0</v>
      </c>
      <c r="E57" s="29">
        <f>IF(G57="J",D57,WORKDAY(D$53,MID(G57,2,3),Feuil1!D$2:D$14))</f>
        <v>46265</v>
      </c>
      <c r="F57" s="68" t="s">
        <v>17</v>
      </c>
      <c r="G57" s="69" t="s">
        <v>21</v>
      </c>
    </row>
    <row r="58" ht="14.25" customHeight="1">
      <c r="A58" s="24"/>
      <c r="B58" s="24" t="s">
        <v>94</v>
      </c>
      <c r="C58" s="26"/>
      <c r="D58" s="29">
        <v>46265.0</v>
      </c>
      <c r="E58" s="29">
        <f>IF(G58="J",D58,WORKDAY(D$53,MID(G58,2,3),Feuil1!D$2:D$14))</f>
        <v>46265</v>
      </c>
      <c r="F58" s="68" t="s">
        <v>17</v>
      </c>
      <c r="G58" s="69" t="s">
        <v>21</v>
      </c>
    </row>
    <row r="59" ht="14.25" customHeight="1">
      <c r="A59" s="24"/>
      <c r="B59" s="24" t="s">
        <v>95</v>
      </c>
      <c r="C59" s="26"/>
      <c r="D59" s="29">
        <v>46265.0</v>
      </c>
      <c r="E59" s="29">
        <f>IF(G59="J",D59,WORKDAY(D$53,MID(G59,2,3),Feuil1!D$2:D$14))</f>
        <v>46265</v>
      </c>
      <c r="F59" s="68" t="s">
        <v>17</v>
      </c>
      <c r="G59" s="69" t="s">
        <v>21</v>
      </c>
    </row>
    <row r="60" ht="14.25" customHeight="1">
      <c r="A60" s="24"/>
      <c r="B60" s="65"/>
      <c r="C60" s="26" t="s">
        <v>75</v>
      </c>
      <c r="D60" s="29"/>
      <c r="E60" s="29">
        <f>IF(G60="J",D60,WORKDAY(D$53,MID(G60,2,3),Feuil1!D$2:D$14))</f>
        <v>46266</v>
      </c>
      <c r="F60" s="68" t="s">
        <v>25</v>
      </c>
      <c r="G60" s="69" t="s">
        <v>26</v>
      </c>
    </row>
    <row r="61" ht="14.25" customHeight="1">
      <c r="A61" s="24"/>
      <c r="B61" s="65"/>
      <c r="C61" s="76" t="s">
        <v>96</v>
      </c>
      <c r="D61" s="29"/>
      <c r="E61" s="29">
        <f>IF(G61="J",D61,WORKDAY(D$53,MID(G61,2,3),Feuil1!D$2:D$14))</f>
        <v>46266</v>
      </c>
      <c r="F61" s="68" t="s">
        <v>25</v>
      </c>
      <c r="G61" s="69" t="s">
        <v>26</v>
      </c>
    </row>
    <row r="62" ht="14.25" customHeight="1">
      <c r="A62" s="24"/>
      <c r="B62" s="65"/>
      <c r="C62" s="76" t="s">
        <v>97</v>
      </c>
      <c r="D62" s="29"/>
      <c r="E62" s="29">
        <f>IF(G62="J",D62,WORKDAY(D$53,MID(G62,2,3),Feuil1!D$2:D$14))</f>
        <v>46266</v>
      </c>
      <c r="F62" s="68" t="s">
        <v>25</v>
      </c>
      <c r="G62" s="69" t="s">
        <v>26</v>
      </c>
    </row>
    <row r="63" ht="14.25" customHeight="1">
      <c r="A63" s="77" t="s">
        <v>98</v>
      </c>
      <c r="B63" s="78" t="s">
        <v>99</v>
      </c>
      <c r="C63" s="79"/>
      <c r="D63" s="29"/>
      <c r="E63" s="29">
        <f>IF(G63="J",D63,WORKDAY(D$53,MID(G63,2,3),Feuil1!D$2:D$14))</f>
        <v>46266</v>
      </c>
      <c r="F63" s="68" t="s">
        <v>100</v>
      </c>
      <c r="G63" s="69" t="s">
        <v>26</v>
      </c>
    </row>
    <row r="64" ht="14.25" customHeight="1">
      <c r="A64" s="38" t="s">
        <v>46</v>
      </c>
      <c r="B64" s="7"/>
      <c r="C64" s="8"/>
      <c r="D64" s="29"/>
      <c r="E64" s="29">
        <f>IF(G64="J",D64,WORKDAY(D$53,MID(G64,2,3),Feuil1!D$2:D$14))</f>
        <v>46266</v>
      </c>
      <c r="F64" s="68" t="s">
        <v>17</v>
      </c>
      <c r="G64" s="69" t="s">
        <v>26</v>
      </c>
    </row>
    <row r="65" ht="14.25" customHeight="1">
      <c r="A65" s="38" t="s">
        <v>32</v>
      </c>
      <c r="B65" s="7"/>
      <c r="C65" s="8"/>
      <c r="D65" s="29"/>
      <c r="E65" s="29">
        <f>IF(G65="J",D65,WORKDAY(D$53,MID(G65,2,3),Feuil1!D$2:D$14))</f>
        <v>46266</v>
      </c>
      <c r="F65" s="68" t="s">
        <v>17</v>
      </c>
      <c r="G65" s="69" t="s">
        <v>26</v>
      </c>
    </row>
    <row r="66" ht="14.25" customHeight="1">
      <c r="A66" s="24"/>
      <c r="B66" s="24" t="s">
        <v>101</v>
      </c>
      <c r="C66" s="26"/>
      <c r="D66" s="29"/>
      <c r="E66" s="29">
        <f>IF(G66="J",D66,WORKDAY(D$53,MID(G66,2,3),Feuil1!D$2:D$14))</f>
        <v>46266</v>
      </c>
      <c r="F66" s="68" t="s">
        <v>17</v>
      </c>
      <c r="G66" s="69" t="s">
        <v>26</v>
      </c>
    </row>
    <row r="67" ht="14.25" customHeight="1">
      <c r="A67" s="24"/>
      <c r="B67" s="24" t="s">
        <v>102</v>
      </c>
      <c r="C67" s="26"/>
      <c r="D67" s="29"/>
      <c r="E67" s="29">
        <f>IF(G67="J",D67,WORKDAY(D$53,MID(G67,2,3),Feuil1!D$2:D$14))</f>
        <v>46266</v>
      </c>
      <c r="F67" s="68" t="s">
        <v>17</v>
      </c>
      <c r="G67" s="69" t="s">
        <v>26</v>
      </c>
    </row>
    <row r="68" ht="14.25" customHeight="1">
      <c r="A68" s="77" t="s">
        <v>98</v>
      </c>
      <c r="B68" s="78" t="s">
        <v>99</v>
      </c>
      <c r="C68" s="79"/>
      <c r="D68" s="29"/>
      <c r="E68" s="29">
        <f>IF(G68="J",D68,WORKDAY(D$53,MID(G68,2,3),Feuil1!D$2:D$14))</f>
        <v>46267</v>
      </c>
      <c r="F68" s="68" t="s">
        <v>100</v>
      </c>
      <c r="G68" s="69" t="s">
        <v>28</v>
      </c>
    </row>
    <row r="69" ht="14.25" customHeight="1">
      <c r="A69" s="70" t="s">
        <v>103</v>
      </c>
      <c r="B69" s="70"/>
      <c r="C69" s="71"/>
      <c r="D69" s="72"/>
      <c r="E69" s="72">
        <f>IF(G69="J",D69,WORKDAY(D$53,MID(G69,2,3),Feuil1!D$2:D$14))</f>
        <v>46267</v>
      </c>
      <c r="F69" s="73" t="s">
        <v>17</v>
      </c>
      <c r="G69" s="74" t="s">
        <v>28</v>
      </c>
    </row>
    <row r="70" ht="14.25" customHeight="1">
      <c r="A70" s="24"/>
      <c r="B70" s="24" t="s">
        <v>95</v>
      </c>
      <c r="C70" s="26"/>
      <c r="D70" s="29"/>
      <c r="E70" s="29">
        <f>IF(G70="J",D70,WORKDAY(D$53,MID(G70,2,3),Feuil1!D$2:D$14))</f>
        <v>46267</v>
      </c>
      <c r="F70" s="40" t="s">
        <v>17</v>
      </c>
      <c r="G70" s="41" t="s">
        <v>28</v>
      </c>
    </row>
    <row r="71" ht="14.25" customHeight="1">
      <c r="A71" s="24"/>
      <c r="B71" s="65" t="s">
        <v>104</v>
      </c>
      <c r="C71" s="8"/>
      <c r="D71" s="29"/>
      <c r="E71" s="29">
        <f>IF(G71="J",D71,WORKDAY(D$53,MID(G71,2,3),Feuil1!D$2:D$14))</f>
        <v>46267</v>
      </c>
      <c r="F71" s="68" t="s">
        <v>17</v>
      </c>
      <c r="G71" s="69" t="s">
        <v>28</v>
      </c>
    </row>
    <row r="72" ht="14.25" customHeight="1">
      <c r="A72" s="38" t="s">
        <v>32</v>
      </c>
      <c r="B72" s="7"/>
      <c r="C72" s="8"/>
      <c r="D72" s="29"/>
      <c r="E72" s="29">
        <f>IF(G72="J",D72,WORKDAY(D$53,MID(G72,2,3),Feuil1!D$2:D$14))</f>
        <v>46267</v>
      </c>
      <c r="F72" s="68" t="s">
        <v>17</v>
      </c>
      <c r="G72" s="69" t="s">
        <v>28</v>
      </c>
    </row>
    <row r="73" ht="14.25" customHeight="1">
      <c r="A73" s="24"/>
      <c r="B73" s="65"/>
      <c r="C73" s="76" t="s">
        <v>105</v>
      </c>
      <c r="D73" s="29"/>
      <c r="E73" s="29">
        <f>IF(G73="J",D73,WORKDAY(D$53,MID(G73,2,3),Feuil1!D$2:D$14))</f>
        <v>46268</v>
      </c>
      <c r="F73" s="68" t="s">
        <v>25</v>
      </c>
      <c r="G73" s="69" t="s">
        <v>33</v>
      </c>
    </row>
    <row r="74" ht="14.25" customHeight="1">
      <c r="A74" s="80"/>
      <c r="B74" s="80"/>
      <c r="C74" s="76" t="s">
        <v>106</v>
      </c>
      <c r="D74" s="29"/>
      <c r="E74" s="29">
        <f>IF(G74="J",D74,WORKDAY(D$53,MID(G74,2,3),Feuil1!D$2:D$14))</f>
        <v>46268</v>
      </c>
      <c r="F74" s="68" t="s">
        <v>25</v>
      </c>
      <c r="G74" s="69" t="s">
        <v>33</v>
      </c>
    </row>
    <row r="75" ht="14.25" customHeight="1">
      <c r="A75" s="80"/>
      <c r="B75" s="80"/>
      <c r="C75" s="76" t="s">
        <v>107</v>
      </c>
      <c r="D75" s="29"/>
      <c r="E75" s="29">
        <f>IF(G75="J",D75,WORKDAY(D$53,MID(G75,2,3),Feuil1!D$2:D$14))</f>
        <v>46268</v>
      </c>
      <c r="F75" s="68" t="s">
        <v>25</v>
      </c>
      <c r="G75" s="69" t="s">
        <v>33</v>
      </c>
    </row>
    <row r="76" ht="14.25" customHeight="1">
      <c r="A76" s="80"/>
      <c r="B76" s="81"/>
      <c r="C76" s="76" t="s">
        <v>108</v>
      </c>
      <c r="D76" s="29"/>
      <c r="E76" s="29">
        <f>IF(G76="J",D76,WORKDAY(D$53,MID(G76,2,3),Feuil1!D$2:D$14))</f>
        <v>46268</v>
      </c>
      <c r="F76" s="68" t="s">
        <v>25</v>
      </c>
      <c r="G76" s="69" t="s">
        <v>33</v>
      </c>
    </row>
    <row r="77" ht="14.25" customHeight="1">
      <c r="A77" s="38" t="s">
        <v>32</v>
      </c>
      <c r="B77" s="7"/>
      <c r="C77" s="8"/>
      <c r="D77" s="29"/>
      <c r="E77" s="29">
        <f>IF(G77="J",D77,WORKDAY(D$53,MID(G77,2,3),Feuil1!D$2:D$14))</f>
        <v>46268</v>
      </c>
      <c r="F77" s="68" t="s">
        <v>17</v>
      </c>
      <c r="G77" s="69" t="s">
        <v>33</v>
      </c>
    </row>
    <row r="78" ht="14.25" customHeight="1">
      <c r="A78" s="24"/>
      <c r="B78" s="42" t="s">
        <v>109</v>
      </c>
      <c r="C78" s="54"/>
      <c r="D78" s="44"/>
      <c r="E78" s="45">
        <v>46276.0</v>
      </c>
      <c r="F78" s="46" t="s">
        <v>17</v>
      </c>
      <c r="G78" s="47"/>
    </row>
    <row r="79" ht="14.25" customHeight="1">
      <c r="A79" s="24"/>
      <c r="B79" s="65"/>
      <c r="C79" s="61" t="s">
        <v>110</v>
      </c>
      <c r="D79" s="29"/>
      <c r="E79" s="29">
        <f>IF(G79="J",D79,WORKDAY(D$53,MID(G79,2,3),Feuil1!D$2:D$14))</f>
        <v>46279</v>
      </c>
      <c r="F79" s="68" t="s">
        <v>25</v>
      </c>
      <c r="G79" s="69" t="s">
        <v>111</v>
      </c>
    </row>
    <row r="80" ht="14.25" customHeight="1">
      <c r="A80" s="61" t="s">
        <v>112</v>
      </c>
      <c r="B80" s="63"/>
      <c r="C80" s="82"/>
      <c r="D80" s="29"/>
      <c r="E80" s="29">
        <f>IF(G80="J",D80,WORKDAY(D$53,MID(G80,2,3),Feuil1!D$2:D$14))</f>
        <v>46279</v>
      </c>
      <c r="F80" s="68" t="s">
        <v>17</v>
      </c>
      <c r="G80" s="69" t="s">
        <v>111</v>
      </c>
    </row>
    <row r="81" ht="14.25" customHeight="1">
      <c r="A81" s="24"/>
      <c r="B81" s="24" t="s">
        <v>113</v>
      </c>
      <c r="C81" s="26"/>
      <c r="D81" s="29"/>
      <c r="E81" s="29">
        <v>46280.0</v>
      </c>
      <c r="F81" s="68" t="s">
        <v>17</v>
      </c>
      <c r="G81" s="69"/>
    </row>
    <row r="82" ht="14.25" customHeight="1">
      <c r="A82" s="24"/>
      <c r="B82" s="65"/>
      <c r="C82" s="83" t="s">
        <v>114</v>
      </c>
      <c r="D82" s="29"/>
      <c r="E82" s="29">
        <f>E81+1</f>
        <v>46281</v>
      </c>
      <c r="F82" s="68" t="s">
        <v>25</v>
      </c>
      <c r="G82" s="69"/>
    </row>
    <row r="83" ht="14.25" customHeight="1">
      <c r="A83" s="24"/>
      <c r="B83" s="65"/>
      <c r="C83" s="61" t="s">
        <v>116</v>
      </c>
      <c r="D83" s="29"/>
      <c r="E83" s="29">
        <f>IF(G83="J",D83,WORKDAY(D$53,MID(G83,2,3),Feuil1!D$2:D$14))</f>
        <v>46280</v>
      </c>
      <c r="F83" s="68" t="s">
        <v>25</v>
      </c>
      <c r="G83" s="69" t="s">
        <v>115</v>
      </c>
    </row>
    <row r="84" ht="14.25" customHeight="1">
      <c r="A84" s="24"/>
      <c r="B84" s="61" t="s">
        <v>117</v>
      </c>
      <c r="C84" s="89"/>
      <c r="D84" s="29"/>
      <c r="E84" s="29">
        <f>IF(G84="J",D84,WORKDAY(D$53,MID(G84,2,3),Feuil1!D$2:D$14))</f>
        <v>46280</v>
      </c>
      <c r="F84" s="68" t="s">
        <v>17</v>
      </c>
      <c r="G84" s="69" t="s">
        <v>115</v>
      </c>
    </row>
    <row r="85" ht="14.25" customHeight="1">
      <c r="A85" s="88"/>
      <c r="B85" s="88"/>
      <c r="C85" s="88" t="s">
        <v>118</v>
      </c>
      <c r="D85" s="88"/>
      <c r="E85" s="29">
        <f>E84+1</f>
        <v>46281</v>
      </c>
      <c r="F85" s="69" t="s">
        <v>25</v>
      </c>
      <c r="G85" s="69" t="s">
        <v>119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G$85"/>
  <mergeCells count="16">
    <mergeCell ref="A1:G1"/>
    <mergeCell ref="F2:G2"/>
    <mergeCell ref="A4:C4"/>
    <mergeCell ref="A6:C6"/>
    <mergeCell ref="A8:C8"/>
    <mergeCell ref="A14:C14"/>
    <mergeCell ref="A15:C15"/>
    <mergeCell ref="A72:C72"/>
    <mergeCell ref="A77:C77"/>
    <mergeCell ref="A21:C21"/>
    <mergeCell ref="A32:C32"/>
    <mergeCell ref="A45:C45"/>
    <mergeCell ref="A50:C50"/>
    <mergeCell ref="A64:C64"/>
    <mergeCell ref="A65:C65"/>
    <mergeCell ref="B71:C7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8.57"/>
    <col customWidth="1" min="3" max="3" width="75.86"/>
    <col customWidth="1" hidden="1" min="4" max="4" width="14.14"/>
    <col customWidth="1" min="5" max="5" width="16.43"/>
    <col customWidth="1" min="6" max="6" width="7.57"/>
    <col customWidth="1" min="7" max="7" width="7.43"/>
    <col customWidth="1" min="8" max="26" width="10.71"/>
  </cols>
  <sheetData>
    <row r="1" ht="26.25" customHeight="1">
      <c r="A1" s="5" t="s">
        <v>3</v>
      </c>
      <c r="B1" s="7"/>
      <c r="C1" s="7"/>
      <c r="D1" s="7"/>
      <c r="E1" s="7"/>
      <c r="F1" s="7"/>
      <c r="G1" s="8"/>
    </row>
    <row r="2" ht="14.25" customHeight="1">
      <c r="A2" s="10" t="s">
        <v>7</v>
      </c>
      <c r="B2" s="10" t="s">
        <v>8</v>
      </c>
      <c r="C2" s="12" t="s">
        <v>9</v>
      </c>
      <c r="D2" s="14" t="s">
        <v>10</v>
      </c>
      <c r="E2" s="16"/>
      <c r="F2" s="18"/>
      <c r="G2" s="20"/>
    </row>
    <row r="3" ht="14.25" customHeight="1">
      <c r="A3" s="22" t="s">
        <v>14</v>
      </c>
      <c r="B3" s="24"/>
      <c r="C3" s="26"/>
      <c r="D3" s="29"/>
      <c r="E3" s="29">
        <f>IF(G3="J",D3,WORKDAY(D$53,MID(G3,2,3),Feuil1!D$2:D$14))</f>
        <v>46224</v>
      </c>
      <c r="F3" s="35" t="s">
        <v>25</v>
      </c>
      <c r="G3" s="37" t="s">
        <v>30</v>
      </c>
    </row>
    <row r="4" ht="14.25" customHeight="1">
      <c r="A4" s="38" t="s">
        <v>32</v>
      </c>
      <c r="B4" s="7"/>
      <c r="C4" s="8"/>
      <c r="D4" s="29"/>
      <c r="E4" s="29">
        <f>IF(G4="J",D4,WORKDAY(D$53,MID(G4,2,3),Feuil1!D$2:D$14))</f>
        <v>46224</v>
      </c>
      <c r="F4" s="35" t="s">
        <v>17</v>
      </c>
      <c r="G4" s="37" t="s">
        <v>30</v>
      </c>
    </row>
    <row r="5" ht="14.25" customHeight="1">
      <c r="A5" s="22" t="s">
        <v>34</v>
      </c>
      <c r="B5" s="24"/>
      <c r="C5" s="26"/>
      <c r="D5" s="29"/>
      <c r="E5" s="29">
        <f>IF(G5="J",D5,WORKDAY(D$53,MID(G5,2,3),Feuil1!D$2:D$14))</f>
        <v>46225</v>
      </c>
      <c r="F5" s="40" t="s">
        <v>25</v>
      </c>
      <c r="G5" s="41" t="s">
        <v>35</v>
      </c>
    </row>
    <row r="6" ht="14.25" customHeight="1">
      <c r="A6" s="38" t="s">
        <v>32</v>
      </c>
      <c r="B6" s="7"/>
      <c r="C6" s="8"/>
      <c r="D6" s="29"/>
      <c r="E6" s="29">
        <f>IF(G6="J",D6,WORKDAY(D$53,MID(G6,2,3),Feuil1!D$2:D$14))</f>
        <v>46225</v>
      </c>
      <c r="F6" s="40" t="s">
        <v>17</v>
      </c>
      <c r="G6" s="41" t="s">
        <v>35</v>
      </c>
    </row>
    <row r="7" ht="14.25" customHeight="1">
      <c r="A7" s="24"/>
      <c r="B7" s="24" t="s">
        <v>36</v>
      </c>
      <c r="C7" s="26"/>
      <c r="D7" s="29"/>
      <c r="E7" s="29">
        <f>IF(G7="J",D7,WORKDAY(D$53,MID(G7,2,3),Feuil1!D$2:D$14))</f>
        <v>46225</v>
      </c>
      <c r="F7" s="40" t="s">
        <v>17</v>
      </c>
      <c r="G7" s="41" t="s">
        <v>35</v>
      </c>
    </row>
    <row r="8" ht="14.25" customHeight="1">
      <c r="A8" s="38" t="s">
        <v>32</v>
      </c>
      <c r="B8" s="7"/>
      <c r="C8" s="8"/>
      <c r="D8" s="29"/>
      <c r="E8" s="29">
        <f>IF(G8="J",D8,WORKDAY(D$53,MID(G8,2,3),Feuil1!D$2:D$14))</f>
        <v>46226</v>
      </c>
      <c r="F8" s="40" t="s">
        <v>17</v>
      </c>
      <c r="G8" s="41" t="s">
        <v>37</v>
      </c>
    </row>
    <row r="9" ht="14.25" customHeight="1">
      <c r="A9" s="42" t="s">
        <v>38</v>
      </c>
      <c r="B9" s="43" t="s">
        <v>39</v>
      </c>
      <c r="C9" s="43"/>
      <c r="D9" s="44"/>
      <c r="E9" s="45">
        <f>IF(G9="J",D9,WORKDAY(D$53,MID(G9,2,3),Feuil1!D$2:D$14))</f>
        <v>46227</v>
      </c>
      <c r="F9" s="46" t="s">
        <v>25</v>
      </c>
      <c r="G9" s="47" t="s">
        <v>18</v>
      </c>
    </row>
    <row r="10" ht="14.25" customHeight="1">
      <c r="A10" s="48" t="s">
        <v>40</v>
      </c>
      <c r="B10" s="49"/>
      <c r="C10" s="50"/>
      <c r="D10" s="51"/>
      <c r="E10" s="51">
        <f>IF(G10="J",D10,WORKDAY(D$53,MID(G10,2,3),Feuil1!D$2:D$14))</f>
        <v>46227</v>
      </c>
      <c r="F10" s="52" t="s">
        <v>41</v>
      </c>
      <c r="G10" s="53" t="s">
        <v>18</v>
      </c>
    </row>
    <row r="11" ht="14.25" customHeight="1">
      <c r="A11" s="24"/>
      <c r="B11" s="24" t="s">
        <v>42</v>
      </c>
      <c r="C11" s="26"/>
      <c r="D11" s="29"/>
      <c r="E11" s="29">
        <f>IF(G11="J",D11,WORKDAY(D$53,MID(G11,2,3),Feuil1!D$2:D$14))</f>
        <v>46227</v>
      </c>
      <c r="F11" s="40" t="s">
        <v>17</v>
      </c>
      <c r="G11" s="41" t="s">
        <v>18</v>
      </c>
    </row>
    <row r="12" ht="14.25" customHeight="1">
      <c r="A12" s="24"/>
      <c r="B12" s="24" t="s">
        <v>43</v>
      </c>
      <c r="C12" s="26"/>
      <c r="D12" s="29"/>
      <c r="E12" s="29">
        <f>IF(G12="J",D12,WORKDAY(D$53,MID(G12,2,3),Feuil1!D$2:D$14))</f>
        <v>46227</v>
      </c>
      <c r="F12" s="40" t="s">
        <v>17</v>
      </c>
      <c r="G12" s="41" t="s">
        <v>18</v>
      </c>
    </row>
    <row r="13" ht="14.25" customHeight="1">
      <c r="A13" s="24"/>
      <c r="B13" s="24" t="s">
        <v>45</v>
      </c>
      <c r="C13" s="26"/>
      <c r="D13" s="29"/>
      <c r="E13" s="29">
        <f>IF(G13="J",D13,WORKDAY(D$53,MID(G13,2,3),Feuil1!D$2:D$14))</f>
        <v>46227</v>
      </c>
      <c r="F13" s="40" t="s">
        <v>17</v>
      </c>
      <c r="G13" s="41" t="s">
        <v>18</v>
      </c>
    </row>
    <row r="14" ht="14.25" customHeight="1">
      <c r="A14" s="38" t="s">
        <v>32</v>
      </c>
      <c r="B14" s="7"/>
      <c r="C14" s="8"/>
      <c r="D14" s="29"/>
      <c r="E14" s="29">
        <f>IF(G14="J",D14,WORKDAY(D$53,MID(G14,2,3),Feuil1!D$2:D$14))</f>
        <v>46227</v>
      </c>
      <c r="F14" s="40" t="s">
        <v>17</v>
      </c>
      <c r="G14" s="41" t="s">
        <v>18</v>
      </c>
    </row>
    <row r="15" ht="14.25" customHeight="1">
      <c r="A15" s="22" t="s">
        <v>47</v>
      </c>
      <c r="B15" s="24"/>
      <c r="C15" s="26"/>
      <c r="D15" s="29"/>
      <c r="E15" s="29">
        <f>IF(G15="J",D15,WORKDAY(D$53,MID(G15,2,3),Feuil1!D$2:D$14))</f>
        <v>46230</v>
      </c>
      <c r="F15" s="40" t="s">
        <v>48</v>
      </c>
      <c r="G15" s="41" t="s">
        <v>49</v>
      </c>
    </row>
    <row r="16" ht="14.25" customHeight="1">
      <c r="A16" s="42" t="s">
        <v>50</v>
      </c>
      <c r="B16" s="42" t="s">
        <v>51</v>
      </c>
      <c r="C16" s="54"/>
      <c r="D16" s="44"/>
      <c r="E16" s="45">
        <f>IF(G16="J",D16,WORKDAY(D$53,MID(G16,2,3),Feuil1!D$2:D$14))</f>
        <v>46230</v>
      </c>
      <c r="F16" s="46" t="s">
        <v>41</v>
      </c>
      <c r="G16" s="47" t="s">
        <v>49</v>
      </c>
    </row>
    <row r="17" ht="14.25" customHeight="1">
      <c r="A17" s="42" t="s">
        <v>38</v>
      </c>
      <c r="B17" s="42" t="s">
        <v>52</v>
      </c>
      <c r="C17" s="54"/>
      <c r="D17" s="44"/>
      <c r="E17" s="45">
        <f>IF(G17="J",D17,WORKDAY(D$53,MID(G17,2,3),Feuil1!D$2:D$14))</f>
        <v>46230</v>
      </c>
      <c r="F17" s="46" t="s">
        <v>41</v>
      </c>
      <c r="G17" s="47" t="s">
        <v>49</v>
      </c>
    </row>
    <row r="18" ht="14.25" customHeight="1">
      <c r="A18" s="22" t="s">
        <v>53</v>
      </c>
      <c r="B18" s="24"/>
      <c r="C18" s="26"/>
      <c r="D18" s="29"/>
      <c r="E18" s="29">
        <f>IF(G18="J",D18,WORKDAY(D$53,MID(G18,2,3),Feuil1!D$2:D$14))</f>
        <v>46230</v>
      </c>
      <c r="F18" s="40" t="s">
        <v>41</v>
      </c>
      <c r="G18" s="41" t="s">
        <v>49</v>
      </c>
    </row>
    <row r="19" ht="14.25" customHeight="1">
      <c r="A19" s="22" t="s">
        <v>54</v>
      </c>
      <c r="B19" s="24"/>
      <c r="C19" s="26"/>
      <c r="D19" s="29"/>
      <c r="E19" s="29">
        <f>IF(G19="J",D19,WORKDAY(D$53,MID(G19,2,3),Feuil1!D$2:D$14))</f>
        <v>46230</v>
      </c>
      <c r="F19" s="40" t="s">
        <v>41</v>
      </c>
      <c r="G19" s="41" t="s">
        <v>49</v>
      </c>
    </row>
    <row r="20" ht="14.25" customHeight="1">
      <c r="A20" s="38" t="s">
        <v>46</v>
      </c>
      <c r="B20" s="7"/>
      <c r="C20" s="8"/>
      <c r="D20" s="29"/>
      <c r="E20" s="29">
        <f>IF(G20="J",D20,WORKDAY(D$53,MID(G20,2,3),Feuil1!D$2:D$14))</f>
        <v>46230</v>
      </c>
      <c r="F20" s="40" t="s">
        <v>17</v>
      </c>
      <c r="G20" s="41" t="s">
        <v>49</v>
      </c>
    </row>
    <row r="21" ht="14.25" customHeight="1">
      <c r="A21" s="38" t="s">
        <v>32</v>
      </c>
      <c r="B21" s="7"/>
      <c r="C21" s="8"/>
      <c r="D21" s="29"/>
      <c r="E21" s="29">
        <f>IF(G21="J",D21,WORKDAY(D$53,MID(G21,2,3),Feuil1!D$2:D$14))</f>
        <v>46230</v>
      </c>
      <c r="F21" s="40" t="s">
        <v>17</v>
      </c>
      <c r="G21" s="41" t="s">
        <v>49</v>
      </c>
    </row>
    <row r="22" ht="14.25" customHeight="1">
      <c r="A22" s="24"/>
      <c r="B22" s="24" t="s">
        <v>56</v>
      </c>
      <c r="C22" s="26"/>
      <c r="D22" s="29"/>
      <c r="E22" s="29">
        <f>IF(G22="J",D22,WORKDAY(D$53,MID(G22,2,3),Feuil1!D$2:D$14))</f>
        <v>46230</v>
      </c>
      <c r="F22" s="40" t="s">
        <v>17</v>
      </c>
      <c r="G22" s="41" t="s">
        <v>49</v>
      </c>
    </row>
    <row r="23" ht="14.25" customHeight="1">
      <c r="A23" s="24"/>
      <c r="B23" s="24" t="s">
        <v>57</v>
      </c>
      <c r="C23" s="26"/>
      <c r="D23" s="29"/>
      <c r="E23" s="29">
        <f>IF(G23="J",D23,WORKDAY(D$53,MID(G23,2,3),Feuil1!D$2:D$14))</f>
        <v>46230</v>
      </c>
      <c r="F23" s="40" t="s">
        <v>17</v>
      </c>
      <c r="G23" s="41" t="s">
        <v>49</v>
      </c>
    </row>
    <row r="24" ht="14.25" customHeight="1">
      <c r="A24" s="42" t="s">
        <v>50</v>
      </c>
      <c r="B24" s="57" t="s">
        <v>58</v>
      </c>
      <c r="C24" s="58"/>
      <c r="D24" s="44"/>
      <c r="E24" s="45">
        <f>IF(G24="J",D24,WORKDAY(D$53,MID(G24,2,3),Feuil1!D$2:D$14))</f>
        <v>46231</v>
      </c>
      <c r="F24" s="46" t="s">
        <v>41</v>
      </c>
      <c r="G24" s="47" t="s">
        <v>59</v>
      </c>
    </row>
    <row r="25" ht="14.25" customHeight="1">
      <c r="A25" s="42" t="s">
        <v>38</v>
      </c>
      <c r="B25" s="57" t="s">
        <v>60</v>
      </c>
      <c r="C25" s="58"/>
      <c r="D25" s="44"/>
      <c r="E25" s="45">
        <f>IF(G25="J",D25,WORKDAY(D$53,MID(G25,2,3),Feuil1!D$2:D$14))</f>
        <v>46231</v>
      </c>
      <c r="F25" s="46" t="s">
        <v>41</v>
      </c>
      <c r="G25" s="47" t="s">
        <v>59</v>
      </c>
    </row>
    <row r="26" ht="14.25" customHeight="1">
      <c r="A26" s="22" t="s">
        <v>61</v>
      </c>
      <c r="B26" s="24"/>
      <c r="C26" s="26"/>
      <c r="D26" s="29"/>
      <c r="E26" s="29">
        <f>IF(G26="J",D26,WORKDAY(D$53,MID(G26,2,3),Feuil1!D$2:D$14))</f>
        <v>46231</v>
      </c>
      <c r="F26" s="40" t="s">
        <v>41</v>
      </c>
      <c r="G26" s="41" t="s">
        <v>59</v>
      </c>
    </row>
    <row r="27" ht="14.25" customHeight="1">
      <c r="A27" s="22" t="s">
        <v>62</v>
      </c>
      <c r="B27" s="59"/>
      <c r="C27" s="26"/>
      <c r="D27" s="29"/>
      <c r="E27" s="29">
        <f>IF(G27="J",D27,WORKDAY(D$53,MID(G27,2,3),Feuil1!D$2:D$14))</f>
        <v>46231</v>
      </c>
      <c r="F27" s="40" t="s">
        <v>41</v>
      </c>
      <c r="G27" s="41" t="s">
        <v>59</v>
      </c>
    </row>
    <row r="28" ht="14.25" customHeight="1">
      <c r="A28" s="22" t="s">
        <v>64</v>
      </c>
      <c r="B28" s="24"/>
      <c r="C28" s="26"/>
      <c r="D28" s="29"/>
      <c r="E28" s="29">
        <f>IF(G28="J",D28,WORKDAY(D$53,MID(G28,2,3),Feuil1!D$2:D$14))</f>
        <v>46231</v>
      </c>
      <c r="F28" s="40" t="s">
        <v>41</v>
      </c>
      <c r="G28" s="41" t="s">
        <v>59</v>
      </c>
    </row>
    <row r="29" ht="14.25" customHeight="1">
      <c r="A29" s="22" t="s">
        <v>65</v>
      </c>
      <c r="B29" s="24"/>
      <c r="C29" s="26"/>
      <c r="D29" s="29"/>
      <c r="E29" s="29">
        <f>IF(G29="J",D29,WORKDAY(D$53,MID(G29,2,3),Feuil1!D$2:D$14))</f>
        <v>46231</v>
      </c>
      <c r="F29" s="40" t="s">
        <v>41</v>
      </c>
      <c r="G29" s="41" t="s">
        <v>59</v>
      </c>
    </row>
    <row r="30" ht="14.25" customHeight="1">
      <c r="A30" s="24"/>
      <c r="B30" s="24" t="s">
        <v>66</v>
      </c>
      <c r="C30" s="26"/>
      <c r="D30" s="29"/>
      <c r="E30" s="29">
        <f>IF(G30="J",D30,WORKDAY(D$53,MID(G30,2,3),Feuil1!D$2:D$14))</f>
        <v>46231</v>
      </c>
      <c r="F30" s="40" t="s">
        <v>41</v>
      </c>
      <c r="G30" s="41" t="s">
        <v>59</v>
      </c>
    </row>
    <row r="31" ht="14.25" customHeight="1">
      <c r="A31" s="22" t="s">
        <v>67</v>
      </c>
      <c r="B31" s="24"/>
      <c r="C31" s="26"/>
      <c r="D31" s="29"/>
      <c r="E31" s="29">
        <f>IF(G31="J",D31,WORKDAY(D$53,MID(G31,2,3),Feuil1!D$2:D$14))</f>
        <v>46231</v>
      </c>
      <c r="F31" s="40" t="s">
        <v>41</v>
      </c>
      <c r="G31" s="41" t="s">
        <v>59</v>
      </c>
    </row>
    <row r="32" ht="14.25" customHeight="1">
      <c r="A32" s="38" t="s">
        <v>32</v>
      </c>
      <c r="B32" s="7"/>
      <c r="C32" s="8"/>
      <c r="D32" s="29"/>
      <c r="E32" s="29">
        <f>IF(G32="J",D32,WORKDAY(D$53,MID(G32,2,3),Feuil1!D$2:D$14))</f>
        <v>46231</v>
      </c>
      <c r="F32" s="40" t="s">
        <v>17</v>
      </c>
      <c r="G32" s="41" t="s">
        <v>59</v>
      </c>
    </row>
    <row r="33" ht="14.25" customHeight="1">
      <c r="A33" s="24"/>
      <c r="B33" s="60" t="s">
        <v>68</v>
      </c>
      <c r="C33" s="62"/>
      <c r="D33" s="29"/>
      <c r="E33" s="29">
        <f>IF(G33="J",D33,WORKDAY(D$53,MID(G33,2,3),Feuil1!D$2:D$14))</f>
        <v>46231</v>
      </c>
      <c r="F33" s="40" t="s">
        <v>17</v>
      </c>
      <c r="G33" s="41" t="s">
        <v>59</v>
      </c>
    </row>
    <row r="34" ht="14.25" customHeight="1">
      <c r="A34" s="24"/>
      <c r="B34" s="24" t="s">
        <v>70</v>
      </c>
      <c r="C34" s="26"/>
      <c r="D34" s="29"/>
      <c r="E34" s="29">
        <f>IF(G34="J",D34,WORKDAY(D$53,MID(G34,2,3),Feuil1!D$2:D$14))</f>
        <v>46231</v>
      </c>
      <c r="F34" s="40" t="s">
        <v>17</v>
      </c>
      <c r="G34" s="41" t="s">
        <v>59</v>
      </c>
    </row>
    <row r="35" ht="14.25" customHeight="1">
      <c r="A35" s="24"/>
      <c r="B35" s="24" t="s">
        <v>71</v>
      </c>
      <c r="C35" s="26"/>
      <c r="D35" s="29"/>
      <c r="E35" s="29">
        <f>IF(G35="J",D35,WORKDAY(D$53,MID(G35,2,3),Feuil1!D$2:D$14))</f>
        <v>46231</v>
      </c>
      <c r="F35" s="40" t="s">
        <v>17</v>
      </c>
      <c r="G35" s="41" t="s">
        <v>59</v>
      </c>
    </row>
    <row r="36" ht="14.25" customHeight="1">
      <c r="A36" s="24"/>
      <c r="B36" s="24" t="s">
        <v>72</v>
      </c>
      <c r="C36" s="26"/>
      <c r="D36" s="29"/>
      <c r="E36" s="29">
        <f>IF(G36="J",D36,WORKDAY(D$53,MID(G36,2,3),Feuil1!D$2:D$14))</f>
        <v>46231</v>
      </c>
      <c r="F36" s="40" t="s">
        <v>17</v>
      </c>
      <c r="G36" s="41" t="s">
        <v>59</v>
      </c>
    </row>
    <row r="37" ht="14.25" customHeight="1">
      <c r="A37" s="24"/>
      <c r="B37" s="24" t="s">
        <v>74</v>
      </c>
      <c r="C37" s="26"/>
      <c r="D37" s="29"/>
      <c r="E37" s="29">
        <f>IF(G37="J",D37,WORKDAY(D$53,MID(G37,2,3),Feuil1!D$2:D$14))</f>
        <v>46231</v>
      </c>
      <c r="F37" s="40" t="s">
        <v>17</v>
      </c>
      <c r="G37" s="41" t="s">
        <v>59</v>
      </c>
    </row>
    <row r="38" ht="14.25" customHeight="1">
      <c r="A38" s="24"/>
      <c r="B38" s="24"/>
      <c r="C38" s="26" t="s">
        <v>75</v>
      </c>
      <c r="D38" s="29"/>
      <c r="E38" s="29">
        <f>IF(G38="J",D38,WORKDAY(D$53,MID(G38,2,3),Feuil1!D$2:D$14))</f>
        <v>46232</v>
      </c>
      <c r="F38" s="40" t="s">
        <v>25</v>
      </c>
      <c r="G38" s="41" t="s">
        <v>76</v>
      </c>
    </row>
    <row r="39" ht="14.25" customHeight="1">
      <c r="A39" s="22" t="s">
        <v>77</v>
      </c>
      <c r="B39" s="24"/>
      <c r="C39" s="26"/>
      <c r="D39" s="29"/>
      <c r="E39" s="29">
        <f>IF(G39="J",D39,WORKDAY(D$53,MID(G39,2,3),Feuil1!D$2:D$14))</f>
        <v>46232</v>
      </c>
      <c r="F39" s="40" t="s">
        <v>48</v>
      </c>
      <c r="G39" s="41" t="s">
        <v>76</v>
      </c>
    </row>
    <row r="40" ht="14.25" customHeight="1">
      <c r="A40" s="24"/>
      <c r="B40" s="24" t="s">
        <v>78</v>
      </c>
      <c r="C40" s="26"/>
      <c r="D40" s="29"/>
      <c r="E40" s="29">
        <f>IF(G40="J",D40,WORKDAY(D$53,MID(G40,2,3),Feuil1!D$2:D$14))</f>
        <v>46232</v>
      </c>
      <c r="F40" s="40" t="s">
        <v>79</v>
      </c>
      <c r="G40" s="41" t="s">
        <v>76</v>
      </c>
    </row>
    <row r="41" ht="14.25" customHeight="1">
      <c r="A41" s="24"/>
      <c r="B41" s="24" t="s">
        <v>80</v>
      </c>
      <c r="C41" s="26"/>
      <c r="D41" s="29"/>
      <c r="E41" s="29">
        <f>IF(G41="J",D41,WORKDAY(D$53,MID(G41,2,3),Feuil1!D$2:D$14))</f>
        <v>46232</v>
      </c>
      <c r="F41" s="40" t="s">
        <v>79</v>
      </c>
      <c r="G41" s="41" t="s">
        <v>76</v>
      </c>
    </row>
    <row r="42" ht="14.25" customHeight="1">
      <c r="A42" s="24"/>
      <c r="B42" s="24" t="s">
        <v>81</v>
      </c>
      <c r="C42" s="26"/>
      <c r="D42" s="29"/>
      <c r="E42" s="29">
        <f>IF(G42="J",D42,WORKDAY(D$53,MID(G42,2,3),Feuil1!D$2:D$14))</f>
        <v>46232</v>
      </c>
      <c r="F42" s="40" t="s">
        <v>17</v>
      </c>
      <c r="G42" s="41" t="s">
        <v>76</v>
      </c>
    </row>
    <row r="43" ht="14.25" customHeight="1">
      <c r="A43" s="24"/>
      <c r="B43" s="24" t="s">
        <v>82</v>
      </c>
      <c r="C43" s="26"/>
      <c r="D43" s="29"/>
      <c r="E43" s="29">
        <f>IF(G43="J",D43,WORKDAY(D$53,MID(G43,2,3),Feuil1!D$2:D$14))</f>
        <v>46232</v>
      </c>
      <c r="F43" s="40" t="s">
        <v>17</v>
      </c>
      <c r="G43" s="41" t="s">
        <v>76</v>
      </c>
    </row>
    <row r="44" ht="14.25" customHeight="1">
      <c r="A44" s="24"/>
      <c r="B44" s="24" t="s">
        <v>83</v>
      </c>
      <c r="C44" s="26"/>
      <c r="D44" s="29"/>
      <c r="E44" s="29">
        <f>IF(G44="J",D44,WORKDAY(D$53,MID(G44,2,3),Feuil1!D$2:D$14))</f>
        <v>46232</v>
      </c>
      <c r="F44" s="40" t="s">
        <v>17</v>
      </c>
      <c r="G44" s="41" t="s">
        <v>76</v>
      </c>
    </row>
    <row r="45" ht="14.25" customHeight="1">
      <c r="A45" s="38" t="s">
        <v>32</v>
      </c>
      <c r="B45" s="7"/>
      <c r="C45" s="8"/>
      <c r="D45" s="29"/>
      <c r="E45" s="29">
        <f>IF(G45="J",D45,WORKDAY(D$53,MID(G45,2,3),Feuil1!D$2:D$14))</f>
        <v>46232</v>
      </c>
      <c r="F45" s="40" t="s">
        <v>17</v>
      </c>
      <c r="G45" s="41" t="s">
        <v>76</v>
      </c>
    </row>
    <row r="46" ht="14.25" customHeight="1">
      <c r="A46" s="24"/>
      <c r="B46" s="60" t="s">
        <v>84</v>
      </c>
      <c r="C46" s="62"/>
      <c r="D46" s="29"/>
      <c r="E46" s="29">
        <f>IF(G46="J",D46,WORKDAY(D$53,MID(G46,2,3),Feuil1!D$2:D$14))</f>
        <v>46232</v>
      </c>
      <c r="F46" s="40" t="s">
        <v>17</v>
      </c>
      <c r="G46" s="41" t="s">
        <v>76</v>
      </c>
    </row>
    <row r="47" ht="14.25" customHeight="1">
      <c r="A47" s="24"/>
      <c r="B47" s="65"/>
      <c r="C47" s="66" t="s">
        <v>85</v>
      </c>
      <c r="D47" s="29"/>
      <c r="E47" s="29">
        <f>IF(G47="J",D47,WORKDAY(D$53,MID(G47,2,3),Feuil1!D$2:D$14))</f>
        <v>46232</v>
      </c>
      <c r="F47" s="40" t="s">
        <v>17</v>
      </c>
      <c r="G47" s="41" t="s">
        <v>76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4"/>
      <c r="B48" s="67"/>
      <c r="C48" s="26" t="s">
        <v>75</v>
      </c>
      <c r="D48" s="29"/>
      <c r="E48" s="29">
        <f>IF(G48="J",D48,WORKDAY(D$53,MID(G48,2,3),Feuil1!D$2:D$14))</f>
        <v>46233</v>
      </c>
      <c r="F48" s="68" t="s">
        <v>25</v>
      </c>
      <c r="G48" s="41" t="s">
        <v>86</v>
      </c>
    </row>
    <row r="49" ht="14.25" customHeight="1">
      <c r="A49" s="24"/>
      <c r="B49" s="24" t="s">
        <v>87</v>
      </c>
      <c r="C49" s="26"/>
      <c r="D49" s="29"/>
      <c r="E49" s="29">
        <f>IF(G49="J",D49,WORKDAY(D$53,MID(G49,2,3),Feuil1!D$2:D$14))</f>
        <v>46233</v>
      </c>
      <c r="F49" s="68" t="s">
        <v>25</v>
      </c>
      <c r="G49" s="41" t="s">
        <v>86</v>
      </c>
    </row>
    <row r="50" ht="14.25" customHeight="1">
      <c r="A50" s="38" t="s">
        <v>32</v>
      </c>
      <c r="B50" s="7"/>
      <c r="C50" s="8"/>
      <c r="D50" s="29"/>
      <c r="E50" s="29">
        <f>IF(G50="J",D50,WORKDAY(D$53,MID(G50,2,3),Feuil1!D$2:D$14))</f>
        <v>46233</v>
      </c>
      <c r="F50" s="40" t="s">
        <v>17</v>
      </c>
      <c r="G50" s="41" t="s">
        <v>86</v>
      </c>
    </row>
    <row r="51" ht="14.25" customHeight="1">
      <c r="A51" s="24"/>
      <c r="B51" s="60" t="s">
        <v>88</v>
      </c>
      <c r="C51" s="62"/>
      <c r="D51" s="29"/>
      <c r="E51" s="29">
        <f>IF(G51="J",D51,WORKDAY(D$53,MID(G51,2,3),Feuil1!D$2:D$14))</f>
        <v>46233</v>
      </c>
      <c r="F51" s="40" t="s">
        <v>17</v>
      </c>
      <c r="G51" s="41" t="s">
        <v>86</v>
      </c>
    </row>
    <row r="52" ht="14.25" customHeight="1">
      <c r="A52" s="24"/>
      <c r="B52" s="24"/>
      <c r="C52" s="26" t="s">
        <v>75</v>
      </c>
      <c r="D52" s="29">
        <v>46234.0</v>
      </c>
      <c r="E52" s="29">
        <f>IF(G52="J",D52,WORKDAY(D$53,MID(G52,2,3),Feuil1!D$2:D$14))</f>
        <v>46234</v>
      </c>
      <c r="F52" s="68" t="s">
        <v>25</v>
      </c>
      <c r="G52" s="69" t="s">
        <v>21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70" t="s">
        <v>89</v>
      </c>
      <c r="B53" s="70"/>
      <c r="C53" s="71"/>
      <c r="D53" s="72">
        <v>46234.0</v>
      </c>
      <c r="E53" s="72">
        <f>IF(G53="J",D53,WORKDAY(D$53,MID(G53,2,3),Feuil1!D$2:D$14))</f>
        <v>46234</v>
      </c>
      <c r="F53" s="73" t="s">
        <v>17</v>
      </c>
      <c r="G53" s="74" t="s">
        <v>21</v>
      </c>
    </row>
    <row r="54" ht="14.25" customHeight="1">
      <c r="A54" s="24"/>
      <c r="B54" s="60" t="s">
        <v>90</v>
      </c>
      <c r="C54" s="62"/>
      <c r="D54" s="29">
        <v>46234.0</v>
      </c>
      <c r="E54" s="29">
        <f>IF(G54="J",D54,WORKDAY(D$53,MID(G54,2,3),Feuil1!D$2:D$14))</f>
        <v>46234</v>
      </c>
      <c r="F54" s="68" t="s">
        <v>17</v>
      </c>
      <c r="G54" s="69" t="s">
        <v>21</v>
      </c>
    </row>
    <row r="55" ht="14.25" customHeight="1">
      <c r="A55" s="24"/>
      <c r="B55" s="24" t="s">
        <v>91</v>
      </c>
      <c r="C55" s="26"/>
      <c r="D55" s="29">
        <v>46234.0</v>
      </c>
      <c r="E55" s="29">
        <f>IF(G55="J",D55,WORKDAY(D$53,MID(G55,2,3),Feuil1!D$2:D$14))</f>
        <v>46234</v>
      </c>
      <c r="F55" s="68" t="s">
        <v>17</v>
      </c>
      <c r="G55" s="69" t="s">
        <v>21</v>
      </c>
    </row>
    <row r="56" ht="14.25" customHeight="1">
      <c r="A56" s="24"/>
      <c r="B56" s="24" t="s">
        <v>92</v>
      </c>
      <c r="C56" s="26"/>
      <c r="D56" s="29">
        <v>46234.0</v>
      </c>
      <c r="E56" s="29">
        <f>IF(G56="J",D56,WORKDAY(D$53,MID(G56,2,3),Feuil1!D$2:D$14))</f>
        <v>46234</v>
      </c>
      <c r="F56" s="68" t="s">
        <v>17</v>
      </c>
      <c r="G56" s="69" t="s">
        <v>21</v>
      </c>
    </row>
    <row r="57" ht="14.25" customHeight="1">
      <c r="A57" s="24"/>
      <c r="B57" s="24" t="s">
        <v>93</v>
      </c>
      <c r="C57" s="26"/>
      <c r="D57" s="29">
        <v>46234.0</v>
      </c>
      <c r="E57" s="29">
        <f>IF(G57="J",D57,WORKDAY(D$53,MID(G57,2,3),Feuil1!D$2:D$14))</f>
        <v>46234</v>
      </c>
      <c r="F57" s="68" t="s">
        <v>17</v>
      </c>
      <c r="G57" s="69" t="s">
        <v>21</v>
      </c>
    </row>
    <row r="58" ht="14.25" customHeight="1">
      <c r="A58" s="24"/>
      <c r="B58" s="24" t="s">
        <v>94</v>
      </c>
      <c r="C58" s="26"/>
      <c r="D58" s="29">
        <v>46234.0</v>
      </c>
      <c r="E58" s="29">
        <f>IF(G58="J",D58,WORKDAY(D$53,MID(G58,2,3),Feuil1!D$2:D$14))</f>
        <v>46234</v>
      </c>
      <c r="F58" s="68" t="s">
        <v>17</v>
      </c>
      <c r="G58" s="69" t="s">
        <v>21</v>
      </c>
    </row>
    <row r="59" ht="14.25" customHeight="1">
      <c r="A59" s="24"/>
      <c r="B59" s="24" t="s">
        <v>95</v>
      </c>
      <c r="C59" s="26"/>
      <c r="D59" s="29">
        <v>46234.0</v>
      </c>
      <c r="E59" s="29">
        <f>IF(G59="J",D59,WORKDAY(D$53,MID(G59,2,3),Feuil1!D$2:D$14))</f>
        <v>46234</v>
      </c>
      <c r="F59" s="68" t="s">
        <v>17</v>
      </c>
      <c r="G59" s="69" t="s">
        <v>21</v>
      </c>
    </row>
    <row r="60" ht="14.25" customHeight="1">
      <c r="A60" s="24"/>
      <c r="B60" s="65"/>
      <c r="C60" s="26" t="s">
        <v>75</v>
      </c>
      <c r="D60" s="29"/>
      <c r="E60" s="29">
        <f>IF(G60="J",D60,WORKDAY(D$53,MID(G60,2,3),Feuil1!D$2:D$14))</f>
        <v>46237</v>
      </c>
      <c r="F60" s="68" t="s">
        <v>25</v>
      </c>
      <c r="G60" s="69" t="s">
        <v>26</v>
      </c>
    </row>
    <row r="61" ht="14.25" customHeight="1">
      <c r="A61" s="24"/>
      <c r="B61" s="65"/>
      <c r="C61" s="76" t="s">
        <v>96</v>
      </c>
      <c r="D61" s="29"/>
      <c r="E61" s="29">
        <f>IF(G61="J",D61,WORKDAY(D$53,MID(G61,2,3),Feuil1!D$2:D$14))</f>
        <v>46237</v>
      </c>
      <c r="F61" s="68" t="s">
        <v>25</v>
      </c>
      <c r="G61" s="69" t="s">
        <v>26</v>
      </c>
    </row>
    <row r="62" ht="14.25" customHeight="1">
      <c r="A62" s="24"/>
      <c r="B62" s="65"/>
      <c r="C62" s="76" t="s">
        <v>97</v>
      </c>
      <c r="D62" s="29"/>
      <c r="E62" s="29">
        <f>IF(G62="J",D62,WORKDAY(D$53,MID(G62,2,3),Feuil1!D$2:D$14))</f>
        <v>46237</v>
      </c>
      <c r="F62" s="68" t="s">
        <v>25</v>
      </c>
      <c r="G62" s="69" t="s">
        <v>26</v>
      </c>
    </row>
    <row r="63" ht="14.25" customHeight="1">
      <c r="A63" s="77" t="s">
        <v>98</v>
      </c>
      <c r="B63" s="78" t="s">
        <v>99</v>
      </c>
      <c r="C63" s="79"/>
      <c r="D63" s="29"/>
      <c r="E63" s="29">
        <f>IF(G63="J",D63,WORKDAY(D$53,MID(G63,2,3),Feuil1!D$2:D$14))</f>
        <v>46237</v>
      </c>
      <c r="F63" s="68" t="s">
        <v>100</v>
      </c>
      <c r="G63" s="69" t="s">
        <v>26</v>
      </c>
    </row>
    <row r="64" ht="14.25" customHeight="1">
      <c r="A64" s="38" t="s">
        <v>46</v>
      </c>
      <c r="B64" s="7"/>
      <c r="C64" s="8"/>
      <c r="D64" s="29"/>
      <c r="E64" s="29">
        <f>IF(G64="J",D64,WORKDAY(D$53,MID(G64,2,3),Feuil1!D$2:D$14))</f>
        <v>46237</v>
      </c>
      <c r="F64" s="68" t="s">
        <v>17</v>
      </c>
      <c r="G64" s="69" t="s">
        <v>26</v>
      </c>
    </row>
    <row r="65" ht="14.25" customHeight="1">
      <c r="A65" s="38" t="s">
        <v>32</v>
      </c>
      <c r="B65" s="7"/>
      <c r="C65" s="8"/>
      <c r="D65" s="29"/>
      <c r="E65" s="29">
        <f>IF(G65="J",D65,WORKDAY(D$53,MID(G65,2,3),Feuil1!D$2:D$14))</f>
        <v>46237</v>
      </c>
      <c r="F65" s="68" t="s">
        <v>17</v>
      </c>
      <c r="G65" s="69" t="s">
        <v>26</v>
      </c>
    </row>
    <row r="66" ht="14.25" customHeight="1">
      <c r="A66" s="24"/>
      <c r="B66" s="24" t="s">
        <v>101</v>
      </c>
      <c r="C66" s="26"/>
      <c r="D66" s="29"/>
      <c r="E66" s="29">
        <f>IF(G66="J",D66,WORKDAY(D$53,MID(G66,2,3),Feuil1!D$2:D$14))</f>
        <v>46237</v>
      </c>
      <c r="F66" s="68" t="s">
        <v>17</v>
      </c>
      <c r="G66" s="69" t="s">
        <v>26</v>
      </c>
    </row>
    <row r="67" ht="14.25" customHeight="1">
      <c r="A67" s="24"/>
      <c r="B67" s="24" t="s">
        <v>102</v>
      </c>
      <c r="C67" s="26"/>
      <c r="D67" s="29"/>
      <c r="E67" s="29">
        <f>IF(G67="J",D67,WORKDAY(D$53,MID(G67,2,3),Feuil1!D$2:D$14))</f>
        <v>46237</v>
      </c>
      <c r="F67" s="68" t="s">
        <v>17</v>
      </c>
      <c r="G67" s="69" t="s">
        <v>26</v>
      </c>
    </row>
    <row r="68" ht="14.25" customHeight="1">
      <c r="A68" s="77" t="s">
        <v>98</v>
      </c>
      <c r="B68" s="78" t="s">
        <v>99</v>
      </c>
      <c r="C68" s="79"/>
      <c r="D68" s="29"/>
      <c r="E68" s="29">
        <f>IF(G68="J",D68,WORKDAY(D$53,MID(G68,2,3),Feuil1!D$2:D$14))</f>
        <v>46238</v>
      </c>
      <c r="F68" s="68" t="s">
        <v>100</v>
      </c>
      <c r="G68" s="69" t="s">
        <v>28</v>
      </c>
    </row>
    <row r="69" ht="14.25" customHeight="1">
      <c r="A69" s="70" t="s">
        <v>103</v>
      </c>
      <c r="B69" s="70"/>
      <c r="C69" s="71"/>
      <c r="D69" s="72"/>
      <c r="E69" s="72">
        <f>IF(G69="J",D69,WORKDAY(D$53,MID(G69,2,3),Feuil1!D$2:D$14))</f>
        <v>46238</v>
      </c>
      <c r="F69" s="73" t="s">
        <v>17</v>
      </c>
      <c r="G69" s="74" t="s">
        <v>28</v>
      </c>
    </row>
    <row r="70" ht="14.25" customHeight="1">
      <c r="A70" s="24"/>
      <c r="B70" s="24" t="s">
        <v>95</v>
      </c>
      <c r="C70" s="26"/>
      <c r="D70" s="29"/>
      <c r="E70" s="29">
        <f>IF(G70="J",D70,WORKDAY(D$53,MID(G70,2,3),Feuil1!D$2:D$14))</f>
        <v>46238</v>
      </c>
      <c r="F70" s="40" t="s">
        <v>17</v>
      </c>
      <c r="G70" s="41" t="s">
        <v>28</v>
      </c>
    </row>
    <row r="71" ht="14.25" customHeight="1">
      <c r="A71" s="24"/>
      <c r="B71" s="65" t="s">
        <v>104</v>
      </c>
      <c r="C71" s="8"/>
      <c r="D71" s="29"/>
      <c r="E71" s="29">
        <f>IF(G71="J",D71,WORKDAY(D$53,MID(G71,2,3),Feuil1!D$2:D$14))</f>
        <v>46238</v>
      </c>
      <c r="F71" s="68" t="s">
        <v>17</v>
      </c>
      <c r="G71" s="69" t="s">
        <v>28</v>
      </c>
    </row>
    <row r="72" ht="14.25" customHeight="1">
      <c r="A72" s="38" t="s">
        <v>32</v>
      </c>
      <c r="B72" s="7"/>
      <c r="C72" s="8"/>
      <c r="D72" s="29"/>
      <c r="E72" s="29">
        <f>IF(G72="J",D72,WORKDAY(D$53,MID(G72,2,3),Feuil1!D$2:D$14))</f>
        <v>46238</v>
      </c>
      <c r="F72" s="68" t="s">
        <v>17</v>
      </c>
      <c r="G72" s="69" t="s">
        <v>28</v>
      </c>
    </row>
    <row r="73" ht="14.25" customHeight="1">
      <c r="A73" s="24"/>
      <c r="B73" s="65"/>
      <c r="C73" s="76" t="s">
        <v>105</v>
      </c>
      <c r="D73" s="29"/>
      <c r="E73" s="29">
        <f>IF(G73="J",D73,WORKDAY(D$53,MID(G73,2,3),Feuil1!D$2:D$14))</f>
        <v>46239</v>
      </c>
      <c r="F73" s="68" t="s">
        <v>25</v>
      </c>
      <c r="G73" s="69" t="s">
        <v>33</v>
      </c>
    </row>
    <row r="74" ht="14.25" customHeight="1">
      <c r="A74" s="80"/>
      <c r="B74" s="80"/>
      <c r="C74" s="76" t="s">
        <v>106</v>
      </c>
      <c r="D74" s="29"/>
      <c r="E74" s="29">
        <f>IF(G74="J",D74,WORKDAY(D$53,MID(G74,2,3),Feuil1!D$2:D$14))</f>
        <v>46239</v>
      </c>
      <c r="F74" s="68" t="s">
        <v>25</v>
      </c>
      <c r="G74" s="69" t="s">
        <v>33</v>
      </c>
    </row>
    <row r="75" ht="14.25" customHeight="1">
      <c r="A75" s="80"/>
      <c r="B75" s="80"/>
      <c r="C75" s="76" t="s">
        <v>107</v>
      </c>
      <c r="D75" s="29"/>
      <c r="E75" s="29">
        <f>IF(G75="J",D75,WORKDAY(D$53,MID(G75,2,3),Feuil1!D$2:D$14))</f>
        <v>46239</v>
      </c>
      <c r="F75" s="68" t="s">
        <v>25</v>
      </c>
      <c r="G75" s="69" t="s">
        <v>33</v>
      </c>
    </row>
    <row r="76" ht="14.25" customHeight="1">
      <c r="A76" s="80"/>
      <c r="B76" s="81"/>
      <c r="C76" s="76" t="s">
        <v>108</v>
      </c>
      <c r="D76" s="29"/>
      <c r="E76" s="29">
        <f>IF(G76="J",D76,WORKDAY(D$53,MID(G76,2,3),Feuil1!D$2:D$14))</f>
        <v>46239</v>
      </c>
      <c r="F76" s="68" t="s">
        <v>25</v>
      </c>
      <c r="G76" s="69" t="s">
        <v>33</v>
      </c>
    </row>
    <row r="77" ht="14.25" customHeight="1">
      <c r="A77" s="38" t="s">
        <v>32</v>
      </c>
      <c r="B77" s="7"/>
      <c r="C77" s="8"/>
      <c r="D77" s="29"/>
      <c r="E77" s="29">
        <f>IF(G77="J",D77,WORKDAY(D$53,MID(G77,2,3),Feuil1!D$2:D$14))</f>
        <v>46239</v>
      </c>
      <c r="F77" s="68" t="s">
        <v>17</v>
      </c>
      <c r="G77" s="69" t="s">
        <v>33</v>
      </c>
    </row>
    <row r="78" ht="14.25" customHeight="1">
      <c r="A78" s="24"/>
      <c r="B78" s="42" t="s">
        <v>109</v>
      </c>
      <c r="C78" s="54"/>
      <c r="D78" s="44"/>
      <c r="E78" s="45">
        <v>46248.0</v>
      </c>
      <c r="F78" s="46" t="s">
        <v>17</v>
      </c>
      <c r="G78" s="47"/>
    </row>
    <row r="79" ht="14.25" customHeight="1">
      <c r="A79" s="24"/>
      <c r="B79" s="65"/>
      <c r="C79" s="61" t="s">
        <v>110</v>
      </c>
      <c r="D79" s="29"/>
      <c r="E79" s="29">
        <f>IF(G79="J",D79,WORKDAY(D$53,MID(G79,2,3),Feuil1!D$2:D$14))</f>
        <v>46248</v>
      </c>
      <c r="F79" s="68" t="s">
        <v>25</v>
      </c>
      <c r="G79" s="69" t="s">
        <v>111</v>
      </c>
    </row>
    <row r="80" ht="14.25" customHeight="1">
      <c r="A80" s="61" t="s">
        <v>112</v>
      </c>
      <c r="B80" s="63"/>
      <c r="C80" s="82"/>
      <c r="D80" s="29"/>
      <c r="E80" s="29">
        <f>IF(G80="J",D80,WORKDAY(D$53,MID(G80,2,3),Feuil1!D$2:D$14))</f>
        <v>46248</v>
      </c>
      <c r="F80" s="68" t="s">
        <v>41</v>
      </c>
      <c r="G80" s="69" t="s">
        <v>111</v>
      </c>
    </row>
    <row r="81" ht="14.25" customHeight="1">
      <c r="A81" s="24"/>
      <c r="B81" s="24" t="s">
        <v>113</v>
      </c>
      <c r="C81" s="26"/>
      <c r="D81" s="29"/>
      <c r="E81" s="29">
        <v>46249.0</v>
      </c>
      <c r="F81" s="68" t="s">
        <v>17</v>
      </c>
      <c r="G81" s="69"/>
    </row>
    <row r="82" ht="14.25" customHeight="1">
      <c r="A82" s="24"/>
      <c r="B82" s="65"/>
      <c r="C82" s="83" t="s">
        <v>114</v>
      </c>
      <c r="D82" s="29"/>
      <c r="E82" s="29">
        <f>IF(G82="J",D82,WORKDAY(D$53,MID(G82,2,3),Feuil1!D$2:D$14))</f>
        <v>46251</v>
      </c>
      <c r="F82" s="68" t="s">
        <v>25</v>
      </c>
      <c r="G82" s="69" t="s">
        <v>115</v>
      </c>
    </row>
    <row r="83" ht="14.25" customHeight="1">
      <c r="A83" s="24"/>
      <c r="B83" s="65"/>
      <c r="C83" s="61" t="s">
        <v>116</v>
      </c>
      <c r="D83" s="29"/>
      <c r="E83" s="29">
        <f>IF(G83="J",D83,WORKDAY(D$53,MID(G83,2,3),Feuil1!D$2:D$14))</f>
        <v>46251</v>
      </c>
      <c r="F83" s="68" t="s">
        <v>25</v>
      </c>
      <c r="G83" s="69" t="s">
        <v>115</v>
      </c>
    </row>
    <row r="84" ht="14.25" customHeight="1">
      <c r="A84" s="55"/>
      <c r="B84" s="84" t="s">
        <v>117</v>
      </c>
      <c r="C84" s="82"/>
      <c r="D84" s="85"/>
      <c r="E84" s="85">
        <f>IF(G84="J",D84,WORKDAY(D$53,MID(G84,2,3),Feuil1!D$2:D$14))</f>
        <v>46251</v>
      </c>
      <c r="F84" s="86" t="s">
        <v>17</v>
      </c>
      <c r="G84" s="87" t="s">
        <v>115</v>
      </c>
    </row>
    <row r="85" ht="14.25" customHeight="1">
      <c r="A85" s="88"/>
      <c r="B85" s="88"/>
      <c r="C85" s="88" t="s">
        <v>118</v>
      </c>
      <c r="D85" s="88"/>
      <c r="E85" s="29">
        <f>E84+1</f>
        <v>46252</v>
      </c>
      <c r="F85" s="69" t="s">
        <v>25</v>
      </c>
      <c r="G85" s="69" t="s">
        <v>119</v>
      </c>
    </row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G$84"/>
  <mergeCells count="16">
    <mergeCell ref="A1:G1"/>
    <mergeCell ref="F2:G2"/>
    <mergeCell ref="A4:C4"/>
    <mergeCell ref="A6:C6"/>
    <mergeCell ref="A8:C8"/>
    <mergeCell ref="A14:C14"/>
    <mergeCell ref="A20:C20"/>
    <mergeCell ref="A72:C72"/>
    <mergeCell ref="A77:C77"/>
    <mergeCell ref="A21:C21"/>
    <mergeCell ref="A32:C32"/>
    <mergeCell ref="A45:C45"/>
    <mergeCell ref="A50:C50"/>
    <mergeCell ref="A64:C64"/>
    <mergeCell ref="A65:C65"/>
    <mergeCell ref="B71:C7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86"/>
    <col customWidth="1" min="3" max="3" width="6.86"/>
    <col customWidth="1" min="4" max="4" width="10.43"/>
    <col customWidth="1" min="5" max="5" width="18.14"/>
    <col customWidth="1" min="6" max="6" width="17.0"/>
    <col customWidth="1" min="7" max="7" width="20.29"/>
    <col customWidth="1" min="8" max="26" width="10.71"/>
  </cols>
  <sheetData>
    <row r="1" ht="14.25" customHeight="1"/>
    <row r="2" ht="14.25" customHeight="1">
      <c r="B2" s="9" t="s">
        <v>5</v>
      </c>
      <c r="C2" s="11"/>
      <c r="D2" s="11"/>
      <c r="E2" s="11"/>
      <c r="F2" s="11"/>
      <c r="G2" s="13"/>
    </row>
    <row r="3" ht="14.25" customHeight="1">
      <c r="B3" s="15" t="s">
        <v>11</v>
      </c>
      <c r="C3" s="17"/>
      <c r="D3" s="19"/>
      <c r="E3" s="21" t="s">
        <v>12</v>
      </c>
      <c r="F3" s="21" t="s">
        <v>13</v>
      </c>
      <c r="G3" s="23" t="s">
        <v>15</v>
      </c>
    </row>
    <row r="4" ht="14.25" customHeight="1">
      <c r="B4" s="25" t="s">
        <v>16</v>
      </c>
      <c r="C4" s="28" t="s">
        <v>17</v>
      </c>
      <c r="D4" s="30" t="s">
        <v>18</v>
      </c>
      <c r="E4" s="31" t="s">
        <v>19</v>
      </c>
      <c r="F4" s="28"/>
      <c r="G4" s="28"/>
    </row>
    <row r="5" ht="14.25" customHeight="1">
      <c r="B5" s="25" t="s">
        <v>20</v>
      </c>
      <c r="C5" s="28" t="s">
        <v>17</v>
      </c>
      <c r="D5" s="30" t="s">
        <v>21</v>
      </c>
      <c r="E5" s="31" t="s">
        <v>22</v>
      </c>
      <c r="F5" s="28" t="s">
        <v>23</v>
      </c>
      <c r="G5" s="28"/>
    </row>
    <row r="6" ht="14.25" customHeight="1">
      <c r="B6" s="32" t="s">
        <v>24</v>
      </c>
      <c r="C6" s="28" t="s">
        <v>25</v>
      </c>
      <c r="D6" s="30" t="s">
        <v>26</v>
      </c>
      <c r="E6" s="28"/>
      <c r="F6" s="28"/>
      <c r="G6" s="33" t="s">
        <v>27</v>
      </c>
    </row>
    <row r="7" ht="14.25" customHeight="1">
      <c r="B7" s="34">
        <v>46267.0</v>
      </c>
      <c r="C7" s="28" t="s">
        <v>17</v>
      </c>
      <c r="D7" s="30" t="s">
        <v>28</v>
      </c>
      <c r="E7" s="31" t="s">
        <v>29</v>
      </c>
      <c r="F7" s="28" t="s">
        <v>23</v>
      </c>
      <c r="G7" s="28"/>
    </row>
    <row r="8" ht="14.25" customHeight="1">
      <c r="B8" s="32" t="s">
        <v>31</v>
      </c>
      <c r="C8" s="28" t="s">
        <v>25</v>
      </c>
      <c r="D8" s="30" t="s">
        <v>33</v>
      </c>
      <c r="E8" s="28"/>
      <c r="F8" s="28"/>
      <c r="G8" s="33" t="s">
        <v>27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G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8.57"/>
    <col customWidth="1" min="3" max="3" width="76.57"/>
    <col customWidth="1" hidden="1" min="4" max="4" width="2.43"/>
    <col customWidth="1" min="5" max="5" width="17.0"/>
    <col customWidth="1" min="6" max="6" width="7.57"/>
    <col customWidth="1" min="7" max="7" width="7.43"/>
    <col customWidth="1" min="8" max="26" width="10.71"/>
  </cols>
  <sheetData>
    <row r="1" ht="26.25" customHeight="1">
      <c r="A1" s="5" t="s">
        <v>44</v>
      </c>
      <c r="B1" s="7"/>
      <c r="C1" s="7"/>
      <c r="D1" s="7"/>
      <c r="E1" s="7"/>
      <c r="F1" s="7"/>
      <c r="G1" s="8"/>
    </row>
    <row r="2" ht="27.0" customHeight="1">
      <c r="A2" s="10" t="s">
        <v>7</v>
      </c>
      <c r="B2" s="10" t="s">
        <v>8</v>
      </c>
      <c r="C2" s="12" t="s">
        <v>9</v>
      </c>
      <c r="D2" s="14" t="s">
        <v>10</v>
      </c>
      <c r="E2" s="16"/>
      <c r="F2" s="18"/>
      <c r="G2" s="20"/>
    </row>
    <row r="3" ht="14.25" customHeight="1">
      <c r="A3" s="22" t="s">
        <v>14</v>
      </c>
      <c r="B3" s="24"/>
      <c r="C3" s="26"/>
      <c r="D3" s="29"/>
      <c r="E3" s="29">
        <f>IF(G3="J",D3,WORKDAY(D$56,MID(G3,2,3),Feuil1!D$2:D$14))</f>
        <v>46283</v>
      </c>
      <c r="F3" s="35" t="s">
        <v>25</v>
      </c>
      <c r="G3" s="37" t="s">
        <v>30</v>
      </c>
    </row>
    <row r="4" ht="14.25" customHeight="1">
      <c r="A4" s="38" t="s">
        <v>32</v>
      </c>
      <c r="B4" s="7"/>
      <c r="C4" s="8"/>
      <c r="D4" s="29"/>
      <c r="E4" s="29">
        <f>IF(G4="J",D4,WORKDAY(D$56,MID(G4,2,3),Feuil1!D$2:D$14))</f>
        <v>46283</v>
      </c>
      <c r="F4" s="35" t="s">
        <v>17</v>
      </c>
      <c r="G4" s="37" t="s">
        <v>30</v>
      </c>
    </row>
    <row r="5" ht="14.25" customHeight="1">
      <c r="A5" s="22" t="s">
        <v>34</v>
      </c>
      <c r="B5" s="24"/>
      <c r="C5" s="26"/>
      <c r="D5" s="29"/>
      <c r="E5" s="29">
        <f>IF(G5="J",D5,WORKDAY(D$56,MID(G5,2,3),Feuil1!D$2:D$14))</f>
        <v>46286</v>
      </c>
      <c r="F5" s="40" t="s">
        <v>25</v>
      </c>
      <c r="G5" s="41" t="s">
        <v>35</v>
      </c>
    </row>
    <row r="6" ht="14.25" customHeight="1">
      <c r="A6" s="38" t="s">
        <v>46</v>
      </c>
      <c r="B6" s="7"/>
      <c r="C6" s="8"/>
      <c r="D6" s="29"/>
      <c r="E6" s="29">
        <f>IF(G6="J",D6,WORKDAY(D$56,MID(G6,2,3),Feuil1!D$2:D$14))</f>
        <v>46286</v>
      </c>
      <c r="F6" s="40" t="s">
        <v>17</v>
      </c>
      <c r="G6" s="41" t="s">
        <v>35</v>
      </c>
    </row>
    <row r="7" ht="14.25" customHeight="1">
      <c r="A7" s="38" t="s">
        <v>32</v>
      </c>
      <c r="B7" s="7"/>
      <c r="C7" s="8"/>
      <c r="D7" s="29"/>
      <c r="E7" s="29">
        <f>IF(G7="J",D7,WORKDAY(D$56,MID(G7,2,3),Feuil1!D$2:D$14))</f>
        <v>46286</v>
      </c>
      <c r="F7" s="40" t="s">
        <v>17</v>
      </c>
      <c r="G7" s="41" t="s">
        <v>35</v>
      </c>
    </row>
    <row r="8" ht="14.25" customHeight="1">
      <c r="A8" s="38" t="s">
        <v>32</v>
      </c>
      <c r="B8" s="7"/>
      <c r="C8" s="8"/>
      <c r="D8" s="29"/>
      <c r="E8" s="29">
        <f>IF(G8="J",D8,WORKDAY(D$56,MID(G8,2,3),Feuil1!D$2:D$14))</f>
        <v>46287</v>
      </c>
      <c r="F8" s="40" t="s">
        <v>17</v>
      </c>
      <c r="G8" s="41" t="s">
        <v>37</v>
      </c>
    </row>
    <row r="9" ht="14.25" customHeight="1">
      <c r="A9" s="24"/>
      <c r="B9" s="24" t="s">
        <v>36</v>
      </c>
      <c r="C9" s="26"/>
      <c r="D9" s="29"/>
      <c r="E9" s="29">
        <f>IF(G9="J",D9,WORKDAY(D$56,MID(G9,2,3),Feuil1!D$2:D$14))</f>
        <v>46288</v>
      </c>
      <c r="F9" s="40" t="s">
        <v>17</v>
      </c>
      <c r="G9" s="41" t="s">
        <v>18</v>
      </c>
    </row>
    <row r="10" ht="14.25" customHeight="1">
      <c r="A10" s="22"/>
      <c r="B10" s="55"/>
      <c r="C10" s="56" t="s">
        <v>55</v>
      </c>
      <c r="D10" s="29"/>
      <c r="E10" s="29">
        <f>IF(G10="J",D10,WORKDAY(D$56,MID(G10,2,3),Feuil1!D$2:D$14))</f>
        <v>46288</v>
      </c>
      <c r="F10" s="40" t="s">
        <v>25</v>
      </c>
      <c r="G10" s="41" t="s">
        <v>18</v>
      </c>
    </row>
    <row r="11" ht="14.25" customHeight="1">
      <c r="A11" s="42" t="s">
        <v>38</v>
      </c>
      <c r="B11" s="43" t="s">
        <v>39</v>
      </c>
      <c r="C11" s="43"/>
      <c r="D11" s="44"/>
      <c r="E11" s="45">
        <f>IF(G11="J",D11,WORKDAY(D$56,MID(G11,2,3),Feuil1!D$2:D$14))</f>
        <v>46288</v>
      </c>
      <c r="F11" s="46" t="s">
        <v>25</v>
      </c>
      <c r="G11" s="47" t="s">
        <v>18</v>
      </c>
    </row>
    <row r="12" ht="14.25" customHeight="1">
      <c r="A12" s="48" t="s">
        <v>40</v>
      </c>
      <c r="B12" s="49"/>
      <c r="C12" s="50"/>
      <c r="D12" s="51"/>
      <c r="E12" s="51">
        <f>IF(G12="J",D12,WORKDAY(D$56,MID(G12,2,3),Feuil1!D$2:D$14))</f>
        <v>46288</v>
      </c>
      <c r="F12" s="52" t="s">
        <v>41</v>
      </c>
      <c r="G12" s="53" t="s">
        <v>18</v>
      </c>
    </row>
    <row r="13" ht="14.25" customHeight="1">
      <c r="A13" s="24"/>
      <c r="B13" s="24" t="s">
        <v>42</v>
      </c>
      <c r="C13" s="26"/>
      <c r="D13" s="29"/>
      <c r="E13" s="29">
        <f>IF(G13="J",D13,WORKDAY(D$56,MID(G13,2,3),Feuil1!D$2:D$14))</f>
        <v>46288</v>
      </c>
      <c r="F13" s="40" t="s">
        <v>17</v>
      </c>
      <c r="G13" s="41" t="s">
        <v>18</v>
      </c>
    </row>
    <row r="14" ht="14.25" customHeight="1">
      <c r="A14" s="24"/>
      <c r="B14" s="24" t="s">
        <v>43</v>
      </c>
      <c r="C14" s="26"/>
      <c r="D14" s="29"/>
      <c r="E14" s="29">
        <f>IF(G14="J",D14,WORKDAY(D$56,MID(G14,2,3),Feuil1!D$2:D$14))</f>
        <v>46288</v>
      </c>
      <c r="F14" s="40" t="s">
        <v>17</v>
      </c>
      <c r="G14" s="41" t="s">
        <v>18</v>
      </c>
    </row>
    <row r="15" ht="14.25" customHeight="1">
      <c r="A15" s="24"/>
      <c r="B15" s="24" t="s">
        <v>45</v>
      </c>
      <c r="C15" s="26"/>
      <c r="D15" s="29"/>
      <c r="E15" s="29">
        <f>IF(G15="J",D15,WORKDAY(D$56,MID(G15,2,3),Feuil1!D$2:D$14))</f>
        <v>46288</v>
      </c>
      <c r="F15" s="40" t="s">
        <v>17</v>
      </c>
      <c r="G15" s="41" t="s">
        <v>18</v>
      </c>
    </row>
    <row r="16" ht="14.25" customHeight="1">
      <c r="A16" s="56" t="s">
        <v>63</v>
      </c>
      <c r="B16" s="56"/>
      <c r="C16" s="56"/>
      <c r="D16" s="29"/>
      <c r="E16" s="29">
        <f>IF(G16="J",D16,WORKDAY(D$56,MID(G16,2,3),Feuil1!D$2:D$14))</f>
        <v>46289</v>
      </c>
      <c r="F16" s="40" t="s">
        <v>25</v>
      </c>
      <c r="G16" s="41" t="s">
        <v>49</v>
      </c>
    </row>
    <row r="17" ht="14.25" customHeight="1">
      <c r="A17" s="22" t="s">
        <v>47</v>
      </c>
      <c r="B17" s="24"/>
      <c r="C17" s="26"/>
      <c r="D17" s="29"/>
      <c r="E17" s="29">
        <f>IF(G17="J",D17,WORKDAY(D$56,MID(G17,2,3),Feuil1!D$2:D$14))</f>
        <v>46289</v>
      </c>
      <c r="F17" s="40" t="s">
        <v>48</v>
      </c>
      <c r="G17" s="41" t="s">
        <v>49</v>
      </c>
    </row>
    <row r="18" ht="14.25" customHeight="1">
      <c r="A18" s="42" t="s">
        <v>50</v>
      </c>
      <c r="B18" s="42" t="s">
        <v>51</v>
      </c>
      <c r="C18" s="54"/>
      <c r="D18" s="44"/>
      <c r="E18" s="45">
        <f>IF(G18="J",D18,WORKDAY(D$56,MID(G18,2,3),Feuil1!D$2:D$14))</f>
        <v>46289</v>
      </c>
      <c r="F18" s="46" t="s">
        <v>41</v>
      </c>
      <c r="G18" s="47" t="s">
        <v>49</v>
      </c>
    </row>
    <row r="19" ht="14.25" customHeight="1">
      <c r="A19" s="42" t="s">
        <v>38</v>
      </c>
      <c r="B19" s="42" t="s">
        <v>52</v>
      </c>
      <c r="C19" s="54"/>
      <c r="D19" s="44"/>
      <c r="E19" s="45">
        <f>IF(G19="J",D19,WORKDAY(D$56,MID(G19,2,3),Feuil1!D$2:D$14))</f>
        <v>46289</v>
      </c>
      <c r="F19" s="46" t="s">
        <v>41</v>
      </c>
      <c r="G19" s="47" t="s">
        <v>49</v>
      </c>
    </row>
    <row r="20" ht="14.25" customHeight="1">
      <c r="A20" s="22" t="s">
        <v>53</v>
      </c>
      <c r="B20" s="24"/>
      <c r="C20" s="26"/>
      <c r="D20" s="29"/>
      <c r="E20" s="29">
        <f>IF(G20="J",D20,WORKDAY(D$56,MID(G20,2,3),Feuil1!D$2:D$14))</f>
        <v>46289</v>
      </c>
      <c r="F20" s="40" t="s">
        <v>41</v>
      </c>
      <c r="G20" s="41" t="s">
        <v>49</v>
      </c>
    </row>
    <row r="21" ht="14.25" customHeight="1">
      <c r="A21" s="22" t="s">
        <v>54</v>
      </c>
      <c r="B21" s="24"/>
      <c r="C21" s="26"/>
      <c r="D21" s="29"/>
      <c r="E21" s="29">
        <f>IF(G21="J",D21,WORKDAY(D$56,MID(G21,2,3),Feuil1!D$2:D$14))</f>
        <v>46289</v>
      </c>
      <c r="F21" s="40" t="s">
        <v>41</v>
      </c>
      <c r="G21" s="41" t="s">
        <v>49</v>
      </c>
    </row>
    <row r="22" ht="14.25" customHeight="1">
      <c r="A22" s="61" t="s">
        <v>69</v>
      </c>
      <c r="B22" s="63"/>
      <c r="C22" s="64"/>
      <c r="D22" s="29"/>
      <c r="E22" s="29">
        <f>IF(G22="J",D22,WORKDAY(D$56,MID(G22,2,3),Feuil1!D$2:D$14))</f>
        <v>46289</v>
      </c>
      <c r="F22" s="40" t="s">
        <v>41</v>
      </c>
      <c r="G22" s="41" t="s">
        <v>49</v>
      </c>
    </row>
    <row r="23" ht="14.25" customHeight="1">
      <c r="A23" s="24"/>
      <c r="B23" s="24" t="s">
        <v>56</v>
      </c>
      <c r="C23" s="26"/>
      <c r="D23" s="29"/>
      <c r="E23" s="29">
        <f>IF(G23="J",D23,WORKDAY(D$56,MID(G23,2,3),Feuil1!D$2:D$14))</f>
        <v>46289</v>
      </c>
      <c r="F23" s="40" t="s">
        <v>17</v>
      </c>
      <c r="G23" s="41" t="s">
        <v>49</v>
      </c>
    </row>
    <row r="24" ht="14.25" customHeight="1">
      <c r="A24" s="24"/>
      <c r="B24" s="24" t="s">
        <v>57</v>
      </c>
      <c r="C24" s="26"/>
      <c r="D24" s="29"/>
      <c r="E24" s="29">
        <f>IF(G24="J",D24,WORKDAY(D$56,MID(G24,2,3),Feuil1!D$2:D$14))</f>
        <v>46289</v>
      </c>
      <c r="F24" s="40" t="s">
        <v>17</v>
      </c>
      <c r="G24" s="41" t="s">
        <v>49</v>
      </c>
    </row>
    <row r="25" ht="14.25" customHeight="1">
      <c r="A25" s="24"/>
      <c r="B25" s="24"/>
      <c r="C25" s="61" t="s">
        <v>73</v>
      </c>
      <c r="D25" s="29"/>
      <c r="E25" s="29">
        <f>IF(G25="J",D25,WORKDAY(D$56,MID(G25,2,3),Feuil1!D$2:D$14))</f>
        <v>46290</v>
      </c>
      <c r="F25" s="40" t="s">
        <v>25</v>
      </c>
      <c r="G25" s="41" t="s">
        <v>59</v>
      </c>
    </row>
    <row r="26" ht="14.25" customHeight="1">
      <c r="A26" s="42" t="s">
        <v>50</v>
      </c>
      <c r="B26" s="57" t="s">
        <v>58</v>
      </c>
      <c r="C26" s="58"/>
      <c r="D26" s="44"/>
      <c r="E26" s="45">
        <f>IF(G26="J",D26,WORKDAY(D$56,MID(G26,2,3),Feuil1!D$2:D$14))</f>
        <v>46290</v>
      </c>
      <c r="F26" s="46" t="s">
        <v>41</v>
      </c>
      <c r="G26" s="47" t="s">
        <v>59</v>
      </c>
    </row>
    <row r="27" ht="14.25" customHeight="1">
      <c r="A27" s="42" t="s">
        <v>38</v>
      </c>
      <c r="B27" s="57" t="s">
        <v>60</v>
      </c>
      <c r="C27" s="58"/>
      <c r="D27" s="44"/>
      <c r="E27" s="45">
        <f>IF(G27="J",D27,WORKDAY(D$56,MID(G27,2,3),Feuil1!D$2:D$14))</f>
        <v>46290</v>
      </c>
      <c r="F27" s="46" t="s">
        <v>41</v>
      </c>
      <c r="G27" s="47" t="s">
        <v>59</v>
      </c>
    </row>
    <row r="28" ht="14.25" customHeight="1">
      <c r="A28" s="22" t="s">
        <v>61</v>
      </c>
      <c r="B28" s="24"/>
      <c r="C28" s="26"/>
      <c r="D28" s="29"/>
      <c r="E28" s="29">
        <f>IF(G28="J",D28,WORKDAY(D$56,MID(G28,2,3),Feuil1!D$2:D$14))</f>
        <v>46290</v>
      </c>
      <c r="F28" s="40" t="s">
        <v>41</v>
      </c>
      <c r="G28" s="41" t="s">
        <v>59</v>
      </c>
    </row>
    <row r="29" ht="14.25" customHeight="1">
      <c r="A29" s="22" t="s">
        <v>62</v>
      </c>
      <c r="B29" s="59"/>
      <c r="C29" s="26"/>
      <c r="D29" s="29"/>
      <c r="E29" s="29">
        <f>IF(G29="J",D29,WORKDAY(D$56,MID(G29,2,3),Feuil1!D$2:D$14))</f>
        <v>46290</v>
      </c>
      <c r="F29" s="40" t="s">
        <v>41</v>
      </c>
      <c r="G29" s="41" t="s">
        <v>59</v>
      </c>
    </row>
    <row r="30" ht="14.25" customHeight="1">
      <c r="A30" s="22" t="s">
        <v>64</v>
      </c>
      <c r="B30" s="24"/>
      <c r="C30" s="26"/>
      <c r="D30" s="29"/>
      <c r="E30" s="29">
        <f>IF(G30="J",D30,WORKDAY(D$56,MID(G30,2,3),Feuil1!D$2:D$14))</f>
        <v>46290</v>
      </c>
      <c r="F30" s="40" t="s">
        <v>41</v>
      </c>
      <c r="G30" s="41" t="s">
        <v>59</v>
      </c>
    </row>
    <row r="31" ht="14.25" customHeight="1">
      <c r="A31" s="22" t="s">
        <v>65</v>
      </c>
      <c r="B31" s="24"/>
      <c r="C31" s="26"/>
      <c r="D31" s="29"/>
      <c r="E31" s="29">
        <f>IF(G31="J",D31,WORKDAY(D$56,MID(G31,2,3),Feuil1!D$2:D$14))</f>
        <v>46290</v>
      </c>
      <c r="F31" s="40" t="s">
        <v>41</v>
      </c>
      <c r="G31" s="41" t="s">
        <v>59</v>
      </c>
    </row>
    <row r="32" ht="14.25" customHeight="1">
      <c r="A32" s="24"/>
      <c r="B32" s="24" t="s">
        <v>66</v>
      </c>
      <c r="C32" s="26"/>
      <c r="D32" s="29"/>
      <c r="E32" s="29">
        <f>IF(G32="J",D32,WORKDAY(D$56,MID(G32,2,3),Feuil1!D$2:D$14))</f>
        <v>46290</v>
      </c>
      <c r="F32" s="40" t="s">
        <v>41</v>
      </c>
      <c r="G32" s="41" t="s">
        <v>59</v>
      </c>
    </row>
    <row r="33" ht="14.25" customHeight="1">
      <c r="A33" s="22" t="s">
        <v>67</v>
      </c>
      <c r="B33" s="24"/>
      <c r="C33" s="26"/>
      <c r="D33" s="29"/>
      <c r="E33" s="29">
        <f>IF(G33="J",D33,WORKDAY(D$56,MID(G33,2,3),Feuil1!D$2:D$14))</f>
        <v>46290</v>
      </c>
      <c r="F33" s="40" t="s">
        <v>41</v>
      </c>
      <c r="G33" s="41" t="s">
        <v>59</v>
      </c>
    </row>
    <row r="34" ht="14.25" customHeight="1">
      <c r="A34" s="38" t="s">
        <v>32</v>
      </c>
      <c r="B34" s="7"/>
      <c r="C34" s="8"/>
      <c r="D34" s="29"/>
      <c r="E34" s="29">
        <f>IF(G34="J",D34,WORKDAY(D$56,MID(G34,2,3),Feuil1!D$2:D$14))</f>
        <v>46290</v>
      </c>
      <c r="F34" s="40" t="s">
        <v>17</v>
      </c>
      <c r="G34" s="41" t="s">
        <v>59</v>
      </c>
    </row>
    <row r="35" ht="14.25" customHeight="1">
      <c r="A35" s="24"/>
      <c r="B35" s="60" t="s">
        <v>68</v>
      </c>
      <c r="C35" s="62"/>
      <c r="D35" s="29"/>
      <c r="E35" s="29">
        <f>IF(G35="J",D35,WORKDAY(D$56,MID(G35,2,3),Feuil1!D$2:D$14))</f>
        <v>46290</v>
      </c>
      <c r="F35" s="40" t="s">
        <v>17</v>
      </c>
      <c r="G35" s="41" t="s">
        <v>59</v>
      </c>
    </row>
    <row r="36" ht="14.25" customHeight="1">
      <c r="A36" s="24"/>
      <c r="B36" s="24" t="s">
        <v>70</v>
      </c>
      <c r="C36" s="26"/>
      <c r="D36" s="29"/>
      <c r="E36" s="29">
        <f>IF(G36="J",D36,WORKDAY(D$56,MID(G36,2,3),Feuil1!D$2:D$14))</f>
        <v>46290</v>
      </c>
      <c r="F36" s="40" t="s">
        <v>17</v>
      </c>
      <c r="G36" s="41" t="s">
        <v>59</v>
      </c>
    </row>
    <row r="37" ht="14.25" customHeight="1">
      <c r="A37" s="24"/>
      <c r="B37" s="24" t="s">
        <v>71</v>
      </c>
      <c r="C37" s="26"/>
      <c r="D37" s="29"/>
      <c r="E37" s="29">
        <f>IF(G37="J",D37,WORKDAY(D$56,MID(G37,2,3),Feuil1!D$2:D$14))</f>
        <v>46290</v>
      </c>
      <c r="F37" s="40" t="s">
        <v>17</v>
      </c>
      <c r="G37" s="41" t="s">
        <v>59</v>
      </c>
    </row>
    <row r="38" ht="14.25" customHeight="1">
      <c r="A38" s="24"/>
      <c r="B38" s="24" t="s">
        <v>72</v>
      </c>
      <c r="C38" s="26"/>
      <c r="D38" s="29"/>
      <c r="E38" s="29">
        <f>IF(G38="J",D38,WORKDAY(D$56,MID(G38,2,3),Feuil1!D$2:D$14))</f>
        <v>46290</v>
      </c>
      <c r="F38" s="40" t="s">
        <v>17</v>
      </c>
      <c r="G38" s="41" t="s">
        <v>59</v>
      </c>
    </row>
    <row r="39" ht="14.25" customHeight="1">
      <c r="A39" s="24"/>
      <c r="B39" s="24" t="s">
        <v>74</v>
      </c>
      <c r="C39" s="26"/>
      <c r="D39" s="29"/>
      <c r="E39" s="29">
        <f>IF(G39="J",D39,WORKDAY(D$56,MID(G39,2,3),Feuil1!D$2:D$14))</f>
        <v>46290</v>
      </c>
      <c r="F39" s="40" t="s">
        <v>17</v>
      </c>
      <c r="G39" s="41" t="s">
        <v>59</v>
      </c>
    </row>
    <row r="40" ht="14.25" customHeight="1">
      <c r="A40" s="24"/>
      <c r="B40" s="24"/>
      <c r="C40" s="26" t="s">
        <v>75</v>
      </c>
      <c r="D40" s="29"/>
      <c r="E40" s="29">
        <f>IF(G40="J",D40,WORKDAY(D$56,MID(G40,2,3),Feuil1!D$2:D$14))</f>
        <v>46293</v>
      </c>
      <c r="F40" s="40" t="s">
        <v>25</v>
      </c>
      <c r="G40" s="41" t="s">
        <v>76</v>
      </c>
    </row>
    <row r="41" ht="14.25" customHeight="1">
      <c r="A41" s="22" t="s">
        <v>77</v>
      </c>
      <c r="B41" s="24"/>
      <c r="C41" s="26"/>
      <c r="D41" s="29"/>
      <c r="E41" s="29">
        <f>IF(G41="J",D41,WORKDAY(D$56,MID(G41,2,3),Feuil1!D$2:D$14))</f>
        <v>46293</v>
      </c>
      <c r="F41" s="40" t="s">
        <v>48</v>
      </c>
      <c r="G41" s="41" t="s">
        <v>76</v>
      </c>
    </row>
    <row r="42" ht="14.25" customHeight="1">
      <c r="A42" s="24"/>
      <c r="B42" s="24" t="s">
        <v>78</v>
      </c>
      <c r="C42" s="26"/>
      <c r="D42" s="29"/>
      <c r="E42" s="29">
        <f>IF(G42="J",D42,WORKDAY(D$56,MID(G42,2,3),Feuil1!D$2:D$14))</f>
        <v>46293</v>
      </c>
      <c r="F42" s="40" t="s">
        <v>79</v>
      </c>
      <c r="G42" s="41" t="s">
        <v>76</v>
      </c>
    </row>
    <row r="43" ht="14.25" customHeight="1">
      <c r="A43" s="24"/>
      <c r="B43" s="24" t="s">
        <v>80</v>
      </c>
      <c r="C43" s="26"/>
      <c r="D43" s="29"/>
      <c r="E43" s="29">
        <f>IF(G43="J",D43,WORKDAY(D$56,MID(G43,2,3),Feuil1!D$2:D$14))</f>
        <v>46293</v>
      </c>
      <c r="F43" s="40" t="s">
        <v>79</v>
      </c>
      <c r="G43" s="41" t="s">
        <v>76</v>
      </c>
    </row>
    <row r="44" ht="14.25" customHeight="1">
      <c r="A44" s="24"/>
      <c r="B44" s="24" t="s">
        <v>81</v>
      </c>
      <c r="C44" s="26"/>
      <c r="D44" s="29"/>
      <c r="E44" s="29">
        <f>IF(G44="J",D44,WORKDAY(D$56,MID(G44,2,3),Feuil1!D$2:D$14))</f>
        <v>46293</v>
      </c>
      <c r="F44" s="40" t="s">
        <v>17</v>
      </c>
      <c r="G44" s="41" t="s">
        <v>76</v>
      </c>
    </row>
    <row r="45" ht="14.25" customHeight="1">
      <c r="A45" s="24"/>
      <c r="B45" s="24" t="s">
        <v>82</v>
      </c>
      <c r="C45" s="26"/>
      <c r="D45" s="29"/>
      <c r="E45" s="29">
        <f>IF(G45="J",D45,WORKDAY(D$56,MID(G45,2,3),Feuil1!D$2:D$14))</f>
        <v>46293</v>
      </c>
      <c r="F45" s="40" t="s">
        <v>17</v>
      </c>
      <c r="G45" s="41" t="s">
        <v>76</v>
      </c>
    </row>
    <row r="46" ht="14.25" customHeight="1">
      <c r="A46" s="24"/>
      <c r="B46" s="24" t="s">
        <v>83</v>
      </c>
      <c r="C46" s="26"/>
      <c r="D46" s="29"/>
      <c r="E46" s="29">
        <f>IF(G46="J",D46,WORKDAY(D$56,MID(G46,2,3),Feuil1!D$2:D$14))</f>
        <v>46293</v>
      </c>
      <c r="F46" s="40" t="s">
        <v>17</v>
      </c>
      <c r="G46" s="41" t="s">
        <v>76</v>
      </c>
    </row>
    <row r="47" ht="14.25" customHeight="1">
      <c r="A47" s="38" t="s">
        <v>46</v>
      </c>
      <c r="B47" s="7"/>
      <c r="C47" s="8"/>
      <c r="D47" s="29"/>
      <c r="E47" s="29">
        <f>IF(G47="J",D47,WORKDAY(D$56,MID(G47,2,3),Feuil1!D$2:D$14))</f>
        <v>46293</v>
      </c>
      <c r="F47" s="40" t="s">
        <v>17</v>
      </c>
      <c r="G47" s="41" t="s">
        <v>76</v>
      </c>
    </row>
    <row r="48" ht="14.25" customHeight="1">
      <c r="A48" s="38" t="s">
        <v>32</v>
      </c>
      <c r="B48" s="7"/>
      <c r="C48" s="8"/>
      <c r="D48" s="29"/>
      <c r="E48" s="29">
        <f>IF(G48="J",D48,WORKDAY(D$56,MID(G48,2,3),Feuil1!D$2:D$14))</f>
        <v>46293</v>
      </c>
      <c r="F48" s="40" t="s">
        <v>17</v>
      </c>
      <c r="G48" s="41" t="s">
        <v>76</v>
      </c>
    </row>
    <row r="49" ht="14.25" customHeight="1">
      <c r="A49" s="24"/>
      <c r="B49" s="60" t="s">
        <v>84</v>
      </c>
      <c r="C49" s="62"/>
      <c r="D49" s="29"/>
      <c r="E49" s="29">
        <f>IF(G49="J",D49,WORKDAY(D$56,MID(G49,2,3),Feuil1!D$2:D$14))</f>
        <v>46293</v>
      </c>
      <c r="F49" s="40" t="s">
        <v>17</v>
      </c>
      <c r="G49" s="41" t="s">
        <v>76</v>
      </c>
    </row>
    <row r="50" ht="14.25" customHeight="1">
      <c r="A50" s="24"/>
      <c r="B50" s="65"/>
      <c r="C50" s="66" t="s">
        <v>85</v>
      </c>
      <c r="D50" s="29"/>
      <c r="E50" s="29">
        <f>IF(G50="J",D50,WORKDAY(D$56,MID(G50,2,3),Feuil1!D$2:D$14))</f>
        <v>46293</v>
      </c>
      <c r="F50" s="40" t="s">
        <v>17</v>
      </c>
      <c r="G50" s="41" t="s">
        <v>76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4"/>
      <c r="B51" s="67"/>
      <c r="C51" s="26" t="s">
        <v>75</v>
      </c>
      <c r="D51" s="29"/>
      <c r="E51" s="29">
        <f>IF(G51="J",D51,WORKDAY(D$56,MID(G51,2,3),Feuil1!D$2:D$14))</f>
        <v>46294</v>
      </c>
      <c r="F51" s="68" t="s">
        <v>25</v>
      </c>
      <c r="G51" s="41" t="s">
        <v>86</v>
      </c>
    </row>
    <row r="52" ht="14.25" customHeight="1">
      <c r="A52" s="24"/>
      <c r="B52" s="24" t="s">
        <v>87</v>
      </c>
      <c r="C52" s="26"/>
      <c r="D52" s="29"/>
      <c r="E52" s="29">
        <f>IF(G52="J",D52,WORKDAY(D$56,MID(G52,2,3),Feuil1!D$2:D$14))</f>
        <v>46294</v>
      </c>
      <c r="F52" s="68" t="s">
        <v>25</v>
      </c>
      <c r="G52" s="41" t="s">
        <v>86</v>
      </c>
    </row>
    <row r="53" ht="14.25" customHeight="1">
      <c r="A53" s="38" t="s">
        <v>32</v>
      </c>
      <c r="B53" s="7"/>
      <c r="C53" s="8"/>
      <c r="D53" s="29"/>
      <c r="E53" s="29">
        <f>IF(G53="J",D53,WORKDAY(D$56,MID(G53,2,3),Feuil1!D$2:D$14))</f>
        <v>46294</v>
      </c>
      <c r="F53" s="68" t="s">
        <v>25</v>
      </c>
      <c r="G53" s="41" t="s">
        <v>86</v>
      </c>
    </row>
    <row r="54" ht="14.25" customHeight="1">
      <c r="A54" s="24"/>
      <c r="B54" s="60" t="s">
        <v>88</v>
      </c>
      <c r="C54" s="62"/>
      <c r="D54" s="29"/>
      <c r="E54" s="29">
        <f>IF(G54="J",D54,WORKDAY(D$56,MID(G54,2,3),Feuil1!D$2:D$14))</f>
        <v>46294</v>
      </c>
      <c r="F54" s="40" t="s">
        <v>17</v>
      </c>
      <c r="G54" s="41" t="s">
        <v>86</v>
      </c>
    </row>
    <row r="55" ht="14.25" customHeight="1">
      <c r="A55" s="24"/>
      <c r="B55" s="24"/>
      <c r="C55" s="26" t="s">
        <v>75</v>
      </c>
      <c r="D55" s="29">
        <v>46295.0</v>
      </c>
      <c r="E55" s="29">
        <f>IF(G55="J",D55,WORKDAY(D$56,MID(G55,2,3),Feuil1!D$2:D$14))</f>
        <v>46295</v>
      </c>
      <c r="F55" s="68" t="s">
        <v>25</v>
      </c>
      <c r="G55" s="69" t="s">
        <v>21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70" t="s">
        <v>89</v>
      </c>
      <c r="B56" s="70"/>
      <c r="C56" s="71"/>
      <c r="D56" s="29">
        <v>46295.0</v>
      </c>
      <c r="E56" s="72">
        <f>IF(G56="J",D56,WORKDAY(D$56,MID(G56,2,3),Feuil1!D$2:D$14))</f>
        <v>46295</v>
      </c>
      <c r="F56" s="73" t="s">
        <v>17</v>
      </c>
      <c r="G56" s="74" t="s">
        <v>21</v>
      </c>
    </row>
    <row r="57" ht="14.25" customHeight="1">
      <c r="A57" s="24"/>
      <c r="B57" s="60" t="s">
        <v>90</v>
      </c>
      <c r="C57" s="62"/>
      <c r="D57" s="29">
        <v>46295.0</v>
      </c>
      <c r="E57" s="29">
        <f>IF(G57="J",D57,WORKDAY(D$56,MID(G57,2,3),Feuil1!D$2:D$14))</f>
        <v>46295</v>
      </c>
      <c r="F57" s="68" t="s">
        <v>17</v>
      </c>
      <c r="G57" s="69" t="s">
        <v>21</v>
      </c>
    </row>
    <row r="58" ht="14.25" customHeight="1">
      <c r="A58" s="24"/>
      <c r="B58" s="24" t="s">
        <v>91</v>
      </c>
      <c r="C58" s="26"/>
      <c r="D58" s="29">
        <v>46295.0</v>
      </c>
      <c r="E58" s="29">
        <f>IF(G58="J",D58,WORKDAY(D$56,MID(G58,2,3),Feuil1!D$2:D$14))</f>
        <v>46295</v>
      </c>
      <c r="F58" s="68" t="s">
        <v>17</v>
      </c>
      <c r="G58" s="69" t="s">
        <v>21</v>
      </c>
    </row>
    <row r="59" ht="14.25" customHeight="1">
      <c r="A59" s="24"/>
      <c r="B59" s="24" t="s">
        <v>92</v>
      </c>
      <c r="C59" s="26"/>
      <c r="D59" s="29">
        <v>46295.0</v>
      </c>
      <c r="E59" s="29">
        <f>IF(G59="J",D59,WORKDAY(D$56,MID(G59,2,3),Feuil1!D$2:D$14))</f>
        <v>46295</v>
      </c>
      <c r="F59" s="68" t="s">
        <v>17</v>
      </c>
      <c r="G59" s="69" t="s">
        <v>21</v>
      </c>
    </row>
    <row r="60" ht="14.25" customHeight="1">
      <c r="A60" s="24"/>
      <c r="B60" s="24" t="s">
        <v>93</v>
      </c>
      <c r="C60" s="26"/>
      <c r="D60" s="29">
        <v>46295.0</v>
      </c>
      <c r="E60" s="29">
        <f>IF(G60="J",D60,WORKDAY(D$56,MID(G60,2,3),Feuil1!D$2:D$14))</f>
        <v>46295</v>
      </c>
      <c r="F60" s="68" t="s">
        <v>17</v>
      </c>
      <c r="G60" s="69" t="s">
        <v>21</v>
      </c>
    </row>
    <row r="61" ht="14.25" customHeight="1">
      <c r="A61" s="24"/>
      <c r="B61" s="24" t="s">
        <v>94</v>
      </c>
      <c r="C61" s="26"/>
      <c r="D61" s="29">
        <v>46295.0</v>
      </c>
      <c r="E61" s="29">
        <f>IF(G61="J",D61,WORKDAY(D$56,MID(G61,2,3),Feuil1!D$2:D$14))</f>
        <v>46295</v>
      </c>
      <c r="F61" s="68" t="s">
        <v>17</v>
      </c>
      <c r="G61" s="69" t="s">
        <v>21</v>
      </c>
    </row>
    <row r="62" ht="14.25" customHeight="1">
      <c r="A62" s="24"/>
      <c r="B62" s="24" t="s">
        <v>95</v>
      </c>
      <c r="C62" s="26"/>
      <c r="D62" s="29">
        <v>46295.0</v>
      </c>
      <c r="E62" s="29">
        <f>IF(G62="J",D62,WORKDAY(D$56,MID(G62,2,3),Feuil1!D$2:D$14))</f>
        <v>46295</v>
      </c>
      <c r="F62" s="68" t="s">
        <v>17</v>
      </c>
      <c r="G62" s="69" t="s">
        <v>21</v>
      </c>
    </row>
    <row r="63" ht="14.25" customHeight="1">
      <c r="A63" s="24"/>
      <c r="B63" s="65"/>
      <c r="C63" s="26" t="s">
        <v>75</v>
      </c>
      <c r="D63" s="29"/>
      <c r="E63" s="29">
        <f>IF(G63="J",D63,WORKDAY(D$56,MID(G63,2,3),Feuil1!D$2:D$14))</f>
        <v>46296</v>
      </c>
      <c r="F63" s="68" t="s">
        <v>25</v>
      </c>
      <c r="G63" s="69" t="s">
        <v>26</v>
      </c>
    </row>
    <row r="64" ht="14.25" customHeight="1">
      <c r="A64" s="24"/>
      <c r="B64" s="65"/>
      <c r="C64" s="76" t="s">
        <v>96</v>
      </c>
      <c r="D64" s="29"/>
      <c r="E64" s="29">
        <f>IF(G64="J",D64,WORKDAY(D$56,MID(G64,2,3),Feuil1!D$2:D$14))</f>
        <v>46296</v>
      </c>
      <c r="F64" s="68" t="s">
        <v>25</v>
      </c>
      <c r="G64" s="69" t="s">
        <v>26</v>
      </c>
    </row>
    <row r="65" ht="14.25" customHeight="1">
      <c r="A65" s="24"/>
      <c r="B65" s="65"/>
      <c r="C65" s="76" t="s">
        <v>97</v>
      </c>
      <c r="D65" s="29"/>
      <c r="E65" s="29">
        <f>IF(G65="J",D65,WORKDAY(D$56,MID(G65,2,3),Feuil1!D$2:D$14))</f>
        <v>46296</v>
      </c>
      <c r="F65" s="68" t="s">
        <v>25</v>
      </c>
      <c r="G65" s="69" t="s">
        <v>26</v>
      </c>
    </row>
    <row r="66" ht="14.25" customHeight="1">
      <c r="A66" s="77" t="s">
        <v>98</v>
      </c>
      <c r="B66" s="78" t="s">
        <v>99</v>
      </c>
      <c r="C66" s="79"/>
      <c r="D66" s="29"/>
      <c r="E66" s="29">
        <f>IF(G66="J",D66,WORKDAY(D$56,MID(G66,2,3),Feuil1!D$2:D$14))</f>
        <v>46296</v>
      </c>
      <c r="F66" s="68" t="s">
        <v>100</v>
      </c>
      <c r="G66" s="69" t="s">
        <v>26</v>
      </c>
    </row>
    <row r="67" ht="14.25" customHeight="1">
      <c r="A67" s="38" t="s">
        <v>32</v>
      </c>
      <c r="B67" s="7"/>
      <c r="C67" s="8"/>
      <c r="D67" s="29"/>
      <c r="E67" s="29">
        <f>IF(G67="J",D67,WORKDAY(D$56,MID(G67,2,3),Feuil1!D$2:D$14))</f>
        <v>46296</v>
      </c>
      <c r="F67" s="68" t="s">
        <v>17</v>
      </c>
      <c r="G67" s="69" t="s">
        <v>26</v>
      </c>
    </row>
    <row r="68" ht="14.25" customHeight="1">
      <c r="A68" s="24"/>
      <c r="B68" s="24" t="s">
        <v>101</v>
      </c>
      <c r="C68" s="26"/>
      <c r="D68" s="29"/>
      <c r="E68" s="29">
        <f>IF(G68="J",D68,WORKDAY(D$56,MID(G68,2,3),Feuil1!D$2:D$14))</f>
        <v>46296</v>
      </c>
      <c r="F68" s="68" t="s">
        <v>17</v>
      </c>
      <c r="G68" s="69" t="s">
        <v>26</v>
      </c>
    </row>
    <row r="69" ht="14.25" customHeight="1">
      <c r="A69" s="24"/>
      <c r="B69" s="24" t="s">
        <v>102</v>
      </c>
      <c r="C69" s="26"/>
      <c r="D69" s="29"/>
      <c r="E69" s="29">
        <f>IF(G69="J",D69,WORKDAY(D$56,MID(G69,2,3),Feuil1!D$2:D$14))</f>
        <v>46296</v>
      </c>
      <c r="F69" s="68" t="s">
        <v>17</v>
      </c>
      <c r="G69" s="69" t="s">
        <v>26</v>
      </c>
    </row>
    <row r="70" ht="14.25" customHeight="1">
      <c r="A70" s="77" t="s">
        <v>98</v>
      </c>
      <c r="B70" s="78" t="s">
        <v>99</v>
      </c>
      <c r="C70" s="79"/>
      <c r="D70" s="29"/>
      <c r="E70" s="29">
        <f>IF(G70="J",D70,WORKDAY(D$56,MID(G70,2,3),Feuil1!D$2:D$14))</f>
        <v>46297</v>
      </c>
      <c r="F70" s="68" t="s">
        <v>100</v>
      </c>
      <c r="G70" s="69" t="s">
        <v>28</v>
      </c>
    </row>
    <row r="71" ht="14.25" customHeight="1">
      <c r="A71" s="70" t="s">
        <v>103</v>
      </c>
      <c r="B71" s="70"/>
      <c r="C71" s="71"/>
      <c r="D71" s="72"/>
      <c r="E71" s="72">
        <f>IF(G71="J",D71,WORKDAY(D$56,MID(G71,2,3),Feuil1!D$2:D$14))</f>
        <v>46297</v>
      </c>
      <c r="F71" s="73" t="s">
        <v>17</v>
      </c>
      <c r="G71" s="74" t="s">
        <v>28</v>
      </c>
    </row>
    <row r="72" ht="14.25" customHeight="1">
      <c r="A72" s="24"/>
      <c r="B72" s="24" t="s">
        <v>95</v>
      </c>
      <c r="C72" s="26"/>
      <c r="D72" s="29"/>
      <c r="E72" s="29">
        <f>IF(G72="J",D72,WORKDAY(D$56,MID(G72,2,3),Feuil1!D$2:D$14))</f>
        <v>46297</v>
      </c>
      <c r="F72" s="40" t="s">
        <v>17</v>
      </c>
      <c r="G72" s="41" t="s">
        <v>28</v>
      </c>
    </row>
    <row r="73" ht="14.25" customHeight="1">
      <c r="A73" s="24"/>
      <c r="B73" s="65" t="s">
        <v>104</v>
      </c>
      <c r="C73" s="8"/>
      <c r="D73" s="29"/>
      <c r="E73" s="29">
        <f>IF(G73="J",D73,WORKDAY(D$56,MID(G73,2,3),Feuil1!D$2:D$14))</f>
        <v>46297</v>
      </c>
      <c r="F73" s="68" t="s">
        <v>17</v>
      </c>
      <c r="G73" s="41" t="s">
        <v>28</v>
      </c>
    </row>
    <row r="74" ht="14.25" customHeight="1">
      <c r="A74" s="38" t="s">
        <v>32</v>
      </c>
      <c r="B74" s="7"/>
      <c r="C74" s="8"/>
      <c r="D74" s="29"/>
      <c r="E74" s="29">
        <f>IF(G74="J",D74,WORKDAY(D$56,MID(G74,2,3),Feuil1!D$2:D$14))</f>
        <v>46297</v>
      </c>
      <c r="F74" s="68" t="s">
        <v>17</v>
      </c>
      <c r="G74" s="41" t="s">
        <v>28</v>
      </c>
    </row>
    <row r="75" ht="14.25" customHeight="1">
      <c r="A75" s="24"/>
      <c r="B75" s="65"/>
      <c r="C75" s="76" t="s">
        <v>105</v>
      </c>
      <c r="D75" s="29"/>
      <c r="E75" s="29">
        <f>IF(G75="J",D75,WORKDAY(D$56,MID(G75,2,3),Feuil1!D$2:D$14))</f>
        <v>46300</v>
      </c>
      <c r="F75" s="68" t="s">
        <v>25</v>
      </c>
      <c r="G75" s="69" t="s">
        <v>33</v>
      </c>
    </row>
    <row r="76" ht="14.25" customHeight="1">
      <c r="A76" s="80"/>
      <c r="B76" s="80"/>
      <c r="C76" s="76" t="s">
        <v>106</v>
      </c>
      <c r="D76" s="29"/>
      <c r="E76" s="29">
        <f>IF(G76="J",D76,WORKDAY(D$56,MID(G76,2,3),Feuil1!D$2:D$14))</f>
        <v>46300</v>
      </c>
      <c r="F76" s="68" t="s">
        <v>25</v>
      </c>
      <c r="G76" s="69" t="s">
        <v>33</v>
      </c>
    </row>
    <row r="77" ht="14.25" customHeight="1">
      <c r="A77" s="80"/>
      <c r="B77" s="80"/>
      <c r="C77" s="76" t="s">
        <v>107</v>
      </c>
      <c r="D77" s="29"/>
      <c r="E77" s="29">
        <f>IF(G77="J",D77,WORKDAY(D$56,MID(G77,2,3),Feuil1!D$2:D$14))</f>
        <v>46300</v>
      </c>
      <c r="F77" s="68" t="s">
        <v>25</v>
      </c>
      <c r="G77" s="69" t="s">
        <v>33</v>
      </c>
    </row>
    <row r="78" ht="14.25" customHeight="1">
      <c r="A78" s="80"/>
      <c r="B78" s="81"/>
      <c r="C78" s="76" t="s">
        <v>108</v>
      </c>
      <c r="D78" s="29"/>
      <c r="E78" s="29">
        <f>IF(G78="J",D78,WORKDAY(D$56,MID(G78,2,3),Feuil1!D$2:D$14))</f>
        <v>46300</v>
      </c>
      <c r="F78" s="68" t="s">
        <v>25</v>
      </c>
      <c r="G78" s="69" t="s">
        <v>33</v>
      </c>
    </row>
    <row r="79" ht="12.75" customHeight="1">
      <c r="A79" s="80"/>
      <c r="B79" s="81"/>
      <c r="C79" s="76" t="s">
        <v>120</v>
      </c>
      <c r="D79" s="29"/>
      <c r="E79" s="29">
        <f>IF(G79="J",D79,WORKDAY(D$56,MID(G79,2,3),Feuil1!D$2:D$14))</f>
        <v>46300</v>
      </c>
      <c r="F79" s="68" t="s">
        <v>25</v>
      </c>
      <c r="G79" s="69" t="s">
        <v>33</v>
      </c>
    </row>
    <row r="80" ht="12.75" customHeight="1">
      <c r="A80" s="38" t="s">
        <v>46</v>
      </c>
      <c r="B80" s="7"/>
      <c r="C80" s="8"/>
      <c r="D80" s="29"/>
      <c r="E80" s="29">
        <f>IF(G80="J",D80,WORKDAY(D$56,MID(G80,2,3),Feuil1!D$2:D$14))</f>
        <v>46300</v>
      </c>
      <c r="F80" s="68" t="s">
        <v>17</v>
      </c>
      <c r="G80" s="69" t="s">
        <v>33</v>
      </c>
    </row>
    <row r="81" ht="12.75" customHeight="1">
      <c r="A81" s="38" t="s">
        <v>32</v>
      </c>
      <c r="B81" s="7"/>
      <c r="C81" s="8"/>
      <c r="D81" s="29"/>
      <c r="E81" s="29">
        <f>IF(G81="J",D81,WORKDAY(D$56,MID(G81,2,3),Feuil1!D$2:D$14))</f>
        <v>46300</v>
      </c>
      <c r="F81" s="68" t="s">
        <v>17</v>
      </c>
      <c r="G81" s="69" t="s">
        <v>33</v>
      </c>
    </row>
    <row r="82" ht="12.75" customHeight="1">
      <c r="A82" s="80"/>
      <c r="B82" s="81" t="s">
        <v>121</v>
      </c>
      <c r="C82" s="76"/>
      <c r="D82" s="29"/>
      <c r="E82" s="29">
        <f>IF(G82="J",D82,WORKDAY(D$56,MID(G82,2,3),Feuil1!D$2:D$14))</f>
        <v>46303</v>
      </c>
      <c r="F82" s="68" t="s">
        <v>17</v>
      </c>
      <c r="G82" s="69" t="s">
        <v>122</v>
      </c>
    </row>
    <row r="83" ht="12.75" customHeight="1">
      <c r="A83" s="80"/>
      <c r="B83" s="81"/>
      <c r="C83" s="76" t="s">
        <v>123</v>
      </c>
      <c r="D83" s="29"/>
      <c r="E83" s="29">
        <f>IF(G83="J",D83,WORKDAY(D$56,MID(G83,2,3),Feuil1!D$2:D$14))</f>
        <v>46304</v>
      </c>
      <c r="F83" s="68" t="s">
        <v>25</v>
      </c>
      <c r="G83" s="69" t="s">
        <v>124</v>
      </c>
    </row>
    <row r="84" ht="14.25" customHeight="1">
      <c r="A84" s="24"/>
      <c r="B84" s="42" t="s">
        <v>109</v>
      </c>
      <c r="C84" s="54"/>
      <c r="D84" s="44"/>
      <c r="E84" s="90">
        <v>46304.0</v>
      </c>
      <c r="F84" s="46" t="s">
        <v>17</v>
      </c>
      <c r="G84" s="47"/>
    </row>
    <row r="85" ht="14.25" customHeight="1">
      <c r="A85" s="24"/>
      <c r="B85" s="65"/>
      <c r="C85" s="61" t="s">
        <v>110</v>
      </c>
      <c r="D85" s="29"/>
      <c r="E85" s="29">
        <f>IF(G85="J",D85,WORKDAY(D$56,MID(G85,2,3),Feuil1!D$2:D$14))</f>
        <v>46309</v>
      </c>
      <c r="F85" s="68" t="s">
        <v>25</v>
      </c>
      <c r="G85" s="69" t="s">
        <v>111</v>
      </c>
    </row>
    <row r="86" ht="14.25" customHeight="1">
      <c r="A86" s="61" t="s">
        <v>112</v>
      </c>
      <c r="B86" s="63"/>
      <c r="C86" s="82"/>
      <c r="D86" s="29"/>
      <c r="E86" s="29">
        <f>IF(G86="J",D86,WORKDAY(D$56,MID(G86,2,3),Feuil1!D$2:D$14))</f>
        <v>46309</v>
      </c>
      <c r="F86" s="68" t="s">
        <v>41</v>
      </c>
      <c r="G86" s="69" t="s">
        <v>111</v>
      </c>
    </row>
    <row r="87" ht="14.25" customHeight="1">
      <c r="A87" s="24"/>
      <c r="B87" s="24" t="s">
        <v>113</v>
      </c>
      <c r="C87" s="26"/>
      <c r="D87" s="29"/>
      <c r="E87" s="29">
        <v>46310.0</v>
      </c>
      <c r="F87" s="68" t="s">
        <v>17</v>
      </c>
      <c r="G87" s="69"/>
    </row>
    <row r="88" ht="14.25" customHeight="1">
      <c r="A88" s="24"/>
      <c r="B88" s="65"/>
      <c r="C88" s="83" t="s">
        <v>114</v>
      </c>
      <c r="D88" s="29"/>
      <c r="E88" s="29">
        <f>E87+1</f>
        <v>46311</v>
      </c>
      <c r="F88" s="68" t="s">
        <v>25</v>
      </c>
      <c r="G88" s="69"/>
    </row>
    <row r="89" ht="14.25" customHeight="1">
      <c r="A89" s="24"/>
      <c r="B89" s="65"/>
      <c r="C89" s="61" t="s">
        <v>116</v>
      </c>
      <c r="D89" s="29"/>
      <c r="E89" s="29">
        <f>IF(G89="J",D89,WORKDAY(D$56,MID(G89,2,3),Feuil1!D$2:D$14))</f>
        <v>46310</v>
      </c>
      <c r="F89" s="68" t="s">
        <v>25</v>
      </c>
      <c r="G89" s="69" t="s">
        <v>115</v>
      </c>
    </row>
    <row r="90" ht="14.25" customHeight="1">
      <c r="A90" s="24"/>
      <c r="B90" s="61" t="s">
        <v>117</v>
      </c>
      <c r="C90" s="89"/>
      <c r="D90" s="29"/>
      <c r="E90" s="29">
        <f>IF(G90="J",D90,WORKDAY(D$56,MID(G90,2,3),Feuil1!D$2:D$14))</f>
        <v>46310</v>
      </c>
      <c r="F90" s="68" t="s">
        <v>17</v>
      </c>
      <c r="G90" s="69" t="s">
        <v>115</v>
      </c>
    </row>
    <row r="91" ht="14.25" customHeight="1">
      <c r="A91" s="88"/>
      <c r="B91" s="88"/>
      <c r="C91" s="88" t="s">
        <v>118</v>
      </c>
      <c r="D91" s="88"/>
      <c r="E91" s="29">
        <f>IF(G91="J",D91,WORKDAY(D$56,MID(G91,2,3),Feuil1!D$2:D$14))</f>
        <v>46311</v>
      </c>
      <c r="F91" s="69" t="s">
        <v>25</v>
      </c>
      <c r="G91" s="69" t="s">
        <v>119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47:C47"/>
    <mergeCell ref="A48:C48"/>
    <mergeCell ref="A53:C53"/>
    <mergeCell ref="A67:C67"/>
    <mergeCell ref="B73:C73"/>
    <mergeCell ref="A74:C74"/>
    <mergeCell ref="A80:C80"/>
    <mergeCell ref="A81:C81"/>
    <mergeCell ref="A1:G1"/>
    <mergeCell ref="F2:G2"/>
    <mergeCell ref="A4:C4"/>
    <mergeCell ref="A6:C6"/>
    <mergeCell ref="A7:C7"/>
    <mergeCell ref="A8:C8"/>
    <mergeCell ref="A34:C3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2026-01-12T10:23:48Z</dcterms:created>
  <dc:creator>TIABLIKOFF MATHIEU</dc:creator>
</cp:coreProperties>
</file>